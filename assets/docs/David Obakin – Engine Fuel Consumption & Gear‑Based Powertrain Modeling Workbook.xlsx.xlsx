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avid\Downloads\"/>
    </mc:Choice>
  </mc:AlternateContent>
  <xr:revisionPtr revIDLastSave="0" documentId="13_ncr:1_{AF70A874-A806-4025-8F83-09B05EC77CCD}" xr6:coauthVersionLast="47" xr6:coauthVersionMax="47" xr10:uidLastSave="{00000000-0000-0000-0000-000000000000}"/>
  <bookViews>
    <workbookView xWindow="-98" yWindow="-98" windowWidth="21795" windowHeight="12975" activeTab="1" xr2:uid="{0841E0F8-0A2D-4A4C-9DDA-7E0F5F87C5FC}"/>
  </bookViews>
  <sheets>
    <sheet name="Backward Fuel Model (Fusion V6)" sheetId="1" r:id="rId1"/>
    <sheet name="Fuel Rate_Gear Selection_MP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49" i="2" l="1"/>
  <c r="K1349" i="2"/>
  <c r="N1348" i="2"/>
  <c r="K1348" i="2"/>
  <c r="N1347" i="2"/>
  <c r="K1347" i="2"/>
  <c r="N1346" i="2"/>
  <c r="K1346" i="2"/>
  <c r="N1345" i="2"/>
  <c r="K1345" i="2"/>
  <c r="N1344" i="2"/>
  <c r="K1344" i="2"/>
  <c r="N1343" i="2"/>
  <c r="K1343" i="2"/>
  <c r="N1342" i="2"/>
  <c r="K1342" i="2"/>
  <c r="N1341" i="2"/>
  <c r="K1341" i="2"/>
  <c r="N1340" i="2"/>
  <c r="K1340" i="2"/>
  <c r="N1339" i="2"/>
  <c r="K1339" i="2"/>
  <c r="N1338" i="2"/>
  <c r="K1338" i="2"/>
  <c r="N1337" i="2"/>
  <c r="K1337" i="2"/>
  <c r="N1336" i="2"/>
  <c r="K1336" i="2"/>
  <c r="N1335" i="2"/>
  <c r="K1335" i="2"/>
  <c r="N1334" i="2"/>
  <c r="K1334" i="2"/>
  <c r="N1333" i="2"/>
  <c r="K1333" i="2"/>
  <c r="N1332" i="2"/>
  <c r="K1332" i="2"/>
  <c r="N1331" i="2"/>
  <c r="K1331" i="2"/>
  <c r="N1330" i="2"/>
  <c r="K1330" i="2"/>
  <c r="N1329" i="2"/>
  <c r="K1329" i="2"/>
  <c r="N1328" i="2"/>
  <c r="K1328" i="2"/>
  <c r="N1327" i="2"/>
  <c r="K1327" i="2"/>
  <c r="N1326" i="2"/>
  <c r="K1326" i="2"/>
  <c r="N1325" i="2"/>
  <c r="K1325" i="2"/>
  <c r="N1324" i="2"/>
  <c r="K1324" i="2"/>
  <c r="N1323" i="2"/>
  <c r="K1323" i="2"/>
  <c r="N1322" i="2"/>
  <c r="K1322" i="2"/>
  <c r="N1321" i="2"/>
  <c r="K1321" i="2"/>
  <c r="N1320" i="2"/>
  <c r="K1320" i="2"/>
  <c r="N1319" i="2"/>
  <c r="K1319" i="2"/>
  <c r="N1318" i="2"/>
  <c r="K1318" i="2"/>
  <c r="N1317" i="2"/>
  <c r="K1317" i="2"/>
  <c r="N1316" i="2"/>
  <c r="K1316" i="2"/>
  <c r="N1315" i="2"/>
  <c r="K1315" i="2"/>
  <c r="N1314" i="2"/>
  <c r="K1314" i="2"/>
  <c r="N1313" i="2"/>
  <c r="K1313" i="2"/>
  <c r="N1312" i="2"/>
  <c r="K1312" i="2"/>
  <c r="N1311" i="2"/>
  <c r="K1311" i="2"/>
  <c r="N1310" i="2"/>
  <c r="K1310" i="2"/>
  <c r="N1309" i="2"/>
  <c r="K1309" i="2"/>
  <c r="N1308" i="2"/>
  <c r="K1308" i="2"/>
  <c r="N1307" i="2"/>
  <c r="K1307" i="2"/>
  <c r="N1306" i="2"/>
  <c r="K1306" i="2"/>
  <c r="N1305" i="2"/>
  <c r="K1305" i="2"/>
  <c r="N1304" i="2"/>
  <c r="K1304" i="2"/>
  <c r="N1303" i="2"/>
  <c r="K1303" i="2"/>
  <c r="N1302" i="2"/>
  <c r="K1302" i="2"/>
  <c r="N1301" i="2"/>
  <c r="K1301" i="2"/>
  <c r="N1300" i="2"/>
  <c r="K1300" i="2"/>
  <c r="N1299" i="2"/>
  <c r="K1299" i="2"/>
  <c r="N1298" i="2"/>
  <c r="K1298" i="2"/>
  <c r="N1297" i="2"/>
  <c r="K1297" i="2"/>
  <c r="N1296" i="2"/>
  <c r="K1296" i="2"/>
  <c r="N1295" i="2"/>
  <c r="K1295" i="2"/>
  <c r="N1294" i="2"/>
  <c r="K1294" i="2"/>
  <c r="N1293" i="2"/>
  <c r="K1293" i="2"/>
  <c r="N1292" i="2"/>
  <c r="K1292" i="2"/>
  <c r="N1291" i="2"/>
  <c r="K1291" i="2"/>
  <c r="N1290" i="2"/>
  <c r="K1290" i="2"/>
  <c r="N1289" i="2"/>
  <c r="K1289" i="2"/>
  <c r="N1288" i="2"/>
  <c r="K1288" i="2"/>
  <c r="N1287" i="2"/>
  <c r="K1287" i="2"/>
  <c r="N1286" i="2"/>
  <c r="K1286" i="2"/>
  <c r="N1285" i="2"/>
  <c r="K1285" i="2"/>
  <c r="N1284" i="2"/>
  <c r="K1284" i="2"/>
  <c r="N1283" i="2"/>
  <c r="K1283" i="2"/>
  <c r="N1282" i="2"/>
  <c r="K1282" i="2"/>
  <c r="N1281" i="2"/>
  <c r="K1281" i="2"/>
  <c r="N1280" i="2"/>
  <c r="K1280" i="2"/>
  <c r="N1279" i="2"/>
  <c r="K1279" i="2"/>
  <c r="N1278" i="2"/>
  <c r="K1278" i="2"/>
  <c r="N1277" i="2"/>
  <c r="K1277" i="2"/>
  <c r="N1276" i="2"/>
  <c r="K1276" i="2"/>
  <c r="N1275" i="2"/>
  <c r="K1275" i="2"/>
  <c r="N1274" i="2"/>
  <c r="K1274" i="2"/>
  <c r="N1273" i="2"/>
  <c r="K1273" i="2"/>
  <c r="N1272" i="2"/>
  <c r="K1272" i="2"/>
  <c r="N1271" i="2"/>
  <c r="K1271" i="2"/>
  <c r="N1270" i="2"/>
  <c r="K1270" i="2"/>
  <c r="N1269" i="2"/>
  <c r="K1269" i="2"/>
  <c r="N1268" i="2"/>
  <c r="K1268" i="2"/>
  <c r="N1267" i="2"/>
  <c r="K1267" i="2"/>
  <c r="N1266" i="2"/>
  <c r="K1266" i="2"/>
  <c r="N1265" i="2"/>
  <c r="K1265" i="2"/>
  <c r="N1264" i="2"/>
  <c r="K1264" i="2"/>
  <c r="N1263" i="2"/>
  <c r="K1263" i="2"/>
  <c r="N1262" i="2"/>
  <c r="K1262" i="2"/>
  <c r="N1261" i="2"/>
  <c r="K1261" i="2"/>
  <c r="N1260" i="2"/>
  <c r="K1260" i="2"/>
  <c r="N1259" i="2"/>
  <c r="K1259" i="2"/>
  <c r="N1258" i="2"/>
  <c r="K1258" i="2"/>
  <c r="N1257" i="2"/>
  <c r="K1257" i="2"/>
  <c r="N1256" i="2"/>
  <c r="K1256" i="2"/>
  <c r="N1255" i="2"/>
  <c r="K1255" i="2"/>
  <c r="N1254" i="2"/>
  <c r="K1254" i="2"/>
  <c r="N1253" i="2"/>
  <c r="K1253" i="2"/>
  <c r="N1252" i="2"/>
  <c r="K1252" i="2"/>
  <c r="N1251" i="2"/>
  <c r="K1251" i="2"/>
  <c r="N1250" i="2"/>
  <c r="K1250" i="2"/>
  <c r="N1249" i="2"/>
  <c r="K1249" i="2"/>
  <c r="N1248" i="2"/>
  <c r="K1248" i="2"/>
  <c r="N1247" i="2"/>
  <c r="K1247" i="2"/>
  <c r="N1246" i="2"/>
  <c r="K1246" i="2"/>
  <c r="N1245" i="2"/>
  <c r="K1245" i="2"/>
  <c r="N1244" i="2"/>
  <c r="K1244" i="2"/>
  <c r="N1243" i="2"/>
  <c r="K1243" i="2"/>
  <c r="N1242" i="2"/>
  <c r="K1242" i="2"/>
  <c r="N1241" i="2"/>
  <c r="K1241" i="2"/>
  <c r="N1240" i="2"/>
  <c r="K1240" i="2"/>
  <c r="N1239" i="2"/>
  <c r="K1239" i="2"/>
  <c r="N1238" i="2"/>
  <c r="K1238" i="2"/>
  <c r="N1237" i="2"/>
  <c r="K1237" i="2"/>
  <c r="N1236" i="2"/>
  <c r="K1236" i="2"/>
  <c r="N1235" i="2"/>
  <c r="K1235" i="2"/>
  <c r="N1234" i="2"/>
  <c r="K1234" i="2"/>
  <c r="N1233" i="2"/>
  <c r="K1233" i="2"/>
  <c r="N1232" i="2"/>
  <c r="K1232" i="2"/>
  <c r="N1231" i="2"/>
  <c r="K1231" i="2"/>
  <c r="N1230" i="2"/>
  <c r="K1230" i="2"/>
  <c r="N1229" i="2"/>
  <c r="K1229" i="2"/>
  <c r="N1228" i="2"/>
  <c r="K1228" i="2"/>
  <c r="N1227" i="2"/>
  <c r="K1227" i="2"/>
  <c r="N1226" i="2"/>
  <c r="K1226" i="2"/>
  <c r="N1225" i="2"/>
  <c r="K1225" i="2"/>
  <c r="N1224" i="2"/>
  <c r="K1224" i="2"/>
  <c r="N1223" i="2"/>
  <c r="K1223" i="2"/>
  <c r="N1222" i="2"/>
  <c r="K1222" i="2"/>
  <c r="N1221" i="2"/>
  <c r="K1221" i="2"/>
  <c r="N1220" i="2"/>
  <c r="K1220" i="2"/>
  <c r="N1219" i="2"/>
  <c r="K1219" i="2"/>
  <c r="N1218" i="2"/>
  <c r="K1218" i="2"/>
  <c r="N1217" i="2"/>
  <c r="K1217" i="2"/>
  <c r="N1216" i="2"/>
  <c r="K1216" i="2"/>
  <c r="N1215" i="2"/>
  <c r="K1215" i="2"/>
  <c r="N1214" i="2"/>
  <c r="K1214" i="2"/>
  <c r="N1213" i="2"/>
  <c r="K1213" i="2"/>
  <c r="N1212" i="2"/>
  <c r="K1212" i="2"/>
  <c r="N1211" i="2"/>
  <c r="K1211" i="2"/>
  <c r="N1210" i="2"/>
  <c r="K1210" i="2"/>
  <c r="N1209" i="2"/>
  <c r="K1209" i="2"/>
  <c r="N1208" i="2"/>
  <c r="K1208" i="2"/>
  <c r="N1207" i="2"/>
  <c r="K1207" i="2"/>
  <c r="N1206" i="2"/>
  <c r="K1206" i="2"/>
  <c r="N1205" i="2"/>
  <c r="K1205" i="2"/>
  <c r="N1204" i="2"/>
  <c r="K1204" i="2"/>
  <c r="N1203" i="2"/>
  <c r="K1203" i="2"/>
  <c r="N1202" i="2"/>
  <c r="K1202" i="2"/>
  <c r="N1201" i="2"/>
  <c r="K1201" i="2"/>
  <c r="N1200" i="2"/>
  <c r="K1200" i="2"/>
  <c r="N1199" i="2"/>
  <c r="K1199" i="2"/>
  <c r="N1198" i="2"/>
  <c r="K1198" i="2"/>
  <c r="N1197" i="2"/>
  <c r="K1197" i="2"/>
  <c r="N1196" i="2"/>
  <c r="K1196" i="2"/>
  <c r="N1195" i="2"/>
  <c r="K1195" i="2"/>
  <c r="N1194" i="2"/>
  <c r="K1194" i="2"/>
  <c r="N1193" i="2"/>
  <c r="K1193" i="2"/>
  <c r="N1192" i="2"/>
  <c r="K1192" i="2"/>
  <c r="N1191" i="2"/>
  <c r="K1191" i="2"/>
  <c r="N1190" i="2"/>
  <c r="K1190" i="2"/>
  <c r="N1189" i="2"/>
  <c r="K1189" i="2"/>
  <c r="N1188" i="2"/>
  <c r="K1188" i="2"/>
  <c r="N1187" i="2"/>
  <c r="K1187" i="2"/>
  <c r="N1186" i="2"/>
  <c r="K1186" i="2"/>
  <c r="N1185" i="2"/>
  <c r="K1185" i="2"/>
  <c r="N1184" i="2"/>
  <c r="K1184" i="2"/>
  <c r="N1183" i="2"/>
  <c r="K1183" i="2"/>
  <c r="N1182" i="2"/>
  <c r="K1182" i="2"/>
  <c r="N1181" i="2"/>
  <c r="K1181" i="2"/>
  <c r="N1180" i="2"/>
  <c r="K1180" i="2"/>
  <c r="N1179" i="2"/>
  <c r="K1179" i="2"/>
  <c r="N1178" i="2"/>
  <c r="K1178" i="2"/>
  <c r="N1177" i="2"/>
  <c r="K1177" i="2"/>
  <c r="N1176" i="2"/>
  <c r="K1176" i="2"/>
  <c r="N1175" i="2"/>
  <c r="K1175" i="2"/>
  <c r="N1174" i="2"/>
  <c r="K1174" i="2"/>
  <c r="N1173" i="2"/>
  <c r="K1173" i="2"/>
  <c r="N1172" i="2"/>
  <c r="K1172" i="2"/>
  <c r="N1171" i="2"/>
  <c r="K1171" i="2"/>
  <c r="N1170" i="2"/>
  <c r="K1170" i="2"/>
  <c r="N1169" i="2"/>
  <c r="K1169" i="2"/>
  <c r="N1168" i="2"/>
  <c r="K1168" i="2"/>
  <c r="N1167" i="2"/>
  <c r="K1167" i="2"/>
  <c r="N1166" i="2"/>
  <c r="K1166" i="2"/>
  <c r="N1165" i="2"/>
  <c r="K1165" i="2"/>
  <c r="N1164" i="2"/>
  <c r="K1164" i="2"/>
  <c r="N1163" i="2"/>
  <c r="K1163" i="2"/>
  <c r="N1162" i="2"/>
  <c r="K1162" i="2"/>
  <c r="N1161" i="2"/>
  <c r="K1161" i="2"/>
  <c r="N1160" i="2"/>
  <c r="K1160" i="2"/>
  <c r="N1159" i="2"/>
  <c r="K1159" i="2"/>
  <c r="N1158" i="2"/>
  <c r="K1158" i="2"/>
  <c r="N1157" i="2"/>
  <c r="K1157" i="2"/>
  <c r="N1156" i="2"/>
  <c r="K1156" i="2"/>
  <c r="N1155" i="2"/>
  <c r="K1155" i="2"/>
  <c r="N1154" i="2"/>
  <c r="K1154" i="2"/>
  <c r="N1153" i="2"/>
  <c r="K1153" i="2"/>
  <c r="N1152" i="2"/>
  <c r="K1152" i="2"/>
  <c r="N1151" i="2"/>
  <c r="K1151" i="2"/>
  <c r="N1150" i="2"/>
  <c r="K1150" i="2"/>
  <c r="N1149" i="2"/>
  <c r="K1149" i="2"/>
  <c r="N1148" i="2"/>
  <c r="K1148" i="2"/>
  <c r="N1147" i="2"/>
  <c r="K1147" i="2"/>
  <c r="N1146" i="2"/>
  <c r="K1146" i="2"/>
  <c r="N1145" i="2"/>
  <c r="K1145" i="2"/>
  <c r="N1144" i="2"/>
  <c r="K1144" i="2"/>
  <c r="N1143" i="2"/>
  <c r="K1143" i="2"/>
  <c r="N1142" i="2"/>
  <c r="K1142" i="2"/>
  <c r="N1141" i="2"/>
  <c r="K1141" i="2"/>
  <c r="N1140" i="2"/>
  <c r="K1140" i="2"/>
  <c r="N1139" i="2"/>
  <c r="K1139" i="2"/>
  <c r="N1138" i="2"/>
  <c r="K1138" i="2"/>
  <c r="N1137" i="2"/>
  <c r="K1137" i="2"/>
  <c r="N1136" i="2"/>
  <c r="K1136" i="2"/>
  <c r="N1135" i="2"/>
  <c r="K1135" i="2"/>
  <c r="N1134" i="2"/>
  <c r="K1134" i="2"/>
  <c r="N1133" i="2"/>
  <c r="K1133" i="2"/>
  <c r="N1132" i="2"/>
  <c r="K1132" i="2"/>
  <c r="N1131" i="2"/>
  <c r="K1131" i="2"/>
  <c r="N1130" i="2"/>
  <c r="K1130" i="2"/>
  <c r="N1129" i="2"/>
  <c r="K1129" i="2"/>
  <c r="N1128" i="2"/>
  <c r="K1128" i="2"/>
  <c r="N1127" i="2"/>
  <c r="K1127" i="2"/>
  <c r="N1126" i="2"/>
  <c r="K1126" i="2"/>
  <c r="N1125" i="2"/>
  <c r="K1125" i="2"/>
  <c r="N1124" i="2"/>
  <c r="K1124" i="2"/>
  <c r="N1123" i="2"/>
  <c r="K1123" i="2"/>
  <c r="N1122" i="2"/>
  <c r="K1122" i="2"/>
  <c r="N1121" i="2"/>
  <c r="K1121" i="2"/>
  <c r="N1120" i="2"/>
  <c r="K1120" i="2"/>
  <c r="N1119" i="2"/>
  <c r="K1119" i="2"/>
  <c r="N1118" i="2"/>
  <c r="K1118" i="2"/>
  <c r="N1117" i="2"/>
  <c r="K1117" i="2"/>
  <c r="N1116" i="2"/>
  <c r="K1116" i="2"/>
  <c r="N1115" i="2"/>
  <c r="K1115" i="2"/>
  <c r="N1114" i="2"/>
  <c r="K1114" i="2"/>
  <c r="N1113" i="2"/>
  <c r="K1113" i="2"/>
  <c r="N1112" i="2"/>
  <c r="K1112" i="2"/>
  <c r="N1111" i="2"/>
  <c r="K1111" i="2"/>
  <c r="N1110" i="2"/>
  <c r="K1110" i="2"/>
  <c r="N1109" i="2"/>
  <c r="K1109" i="2"/>
  <c r="N1108" i="2"/>
  <c r="K1108" i="2"/>
  <c r="N1107" i="2"/>
  <c r="K1107" i="2"/>
  <c r="N1106" i="2"/>
  <c r="K1106" i="2"/>
  <c r="N1105" i="2"/>
  <c r="K1105" i="2"/>
  <c r="N1104" i="2"/>
  <c r="K1104" i="2"/>
  <c r="N1103" i="2"/>
  <c r="K1103" i="2"/>
  <c r="N1102" i="2"/>
  <c r="K1102" i="2"/>
  <c r="N1101" i="2"/>
  <c r="K1101" i="2"/>
  <c r="N1100" i="2"/>
  <c r="K1100" i="2"/>
  <c r="N1099" i="2"/>
  <c r="K1099" i="2"/>
  <c r="N1098" i="2"/>
  <c r="K1098" i="2"/>
  <c r="N1097" i="2"/>
  <c r="K1097" i="2"/>
  <c r="N1096" i="2"/>
  <c r="K1096" i="2"/>
  <c r="N1095" i="2"/>
  <c r="K1095" i="2"/>
  <c r="N1094" i="2"/>
  <c r="K1094" i="2"/>
  <c r="N1093" i="2"/>
  <c r="K1093" i="2"/>
  <c r="N1092" i="2"/>
  <c r="K1092" i="2"/>
  <c r="N1091" i="2"/>
  <c r="K1091" i="2"/>
  <c r="N1090" i="2"/>
  <c r="K1090" i="2"/>
  <c r="N1089" i="2"/>
  <c r="K1089" i="2"/>
  <c r="N1088" i="2"/>
  <c r="K1088" i="2"/>
  <c r="N1087" i="2"/>
  <c r="K1087" i="2"/>
  <c r="N1086" i="2"/>
  <c r="K1086" i="2"/>
  <c r="N1085" i="2"/>
  <c r="K1085" i="2"/>
  <c r="N1084" i="2"/>
  <c r="K1084" i="2"/>
  <c r="N1083" i="2"/>
  <c r="K1083" i="2"/>
  <c r="N1082" i="2"/>
  <c r="K1082" i="2"/>
  <c r="N1081" i="2"/>
  <c r="K1081" i="2"/>
  <c r="N1080" i="2"/>
  <c r="K1080" i="2"/>
  <c r="N1079" i="2"/>
  <c r="K1079" i="2"/>
  <c r="N1078" i="2"/>
  <c r="K1078" i="2"/>
  <c r="N1077" i="2"/>
  <c r="K1077" i="2"/>
  <c r="N1076" i="2"/>
  <c r="K1076" i="2"/>
  <c r="N1075" i="2"/>
  <c r="K1075" i="2"/>
  <c r="N1074" i="2"/>
  <c r="K1074" i="2"/>
  <c r="N1073" i="2"/>
  <c r="K1073" i="2"/>
  <c r="N1072" i="2"/>
  <c r="K1072" i="2"/>
  <c r="N1071" i="2"/>
  <c r="K1071" i="2"/>
  <c r="N1070" i="2"/>
  <c r="K1070" i="2"/>
  <c r="N1069" i="2"/>
  <c r="K1069" i="2"/>
  <c r="N1068" i="2"/>
  <c r="K1068" i="2"/>
  <c r="N1067" i="2"/>
  <c r="K1067" i="2"/>
  <c r="N1066" i="2"/>
  <c r="K1066" i="2"/>
  <c r="N1065" i="2"/>
  <c r="K1065" i="2"/>
  <c r="N1064" i="2"/>
  <c r="K1064" i="2"/>
  <c r="N1063" i="2"/>
  <c r="K1063" i="2"/>
  <c r="N1062" i="2"/>
  <c r="K1062" i="2"/>
  <c r="N1061" i="2"/>
  <c r="K1061" i="2"/>
  <c r="N1060" i="2"/>
  <c r="K1060" i="2"/>
  <c r="N1059" i="2"/>
  <c r="K1059" i="2"/>
  <c r="N1058" i="2"/>
  <c r="K1058" i="2"/>
  <c r="N1057" i="2"/>
  <c r="K1057" i="2"/>
  <c r="N1056" i="2"/>
  <c r="K1056" i="2"/>
  <c r="N1055" i="2"/>
  <c r="K1055" i="2"/>
  <c r="N1054" i="2"/>
  <c r="K1054" i="2"/>
  <c r="N1053" i="2"/>
  <c r="K1053" i="2"/>
  <c r="N1052" i="2"/>
  <c r="K1052" i="2"/>
  <c r="N1051" i="2"/>
  <c r="K1051" i="2"/>
  <c r="N1050" i="2"/>
  <c r="K1050" i="2"/>
  <c r="N1049" i="2"/>
  <c r="K1049" i="2"/>
  <c r="N1048" i="2"/>
  <c r="K1048" i="2"/>
  <c r="N1047" i="2"/>
  <c r="K1047" i="2"/>
  <c r="N1046" i="2"/>
  <c r="K1046" i="2"/>
  <c r="N1045" i="2"/>
  <c r="K1045" i="2"/>
  <c r="N1044" i="2"/>
  <c r="K1044" i="2"/>
  <c r="N1043" i="2"/>
  <c r="K1043" i="2"/>
  <c r="N1042" i="2"/>
  <c r="K1042" i="2"/>
  <c r="N1041" i="2"/>
  <c r="K1041" i="2"/>
  <c r="N1040" i="2"/>
  <c r="K1040" i="2"/>
  <c r="N1039" i="2"/>
  <c r="K1039" i="2"/>
  <c r="N1038" i="2"/>
  <c r="K1038" i="2"/>
  <c r="N1037" i="2"/>
  <c r="K1037" i="2"/>
  <c r="N1036" i="2"/>
  <c r="K1036" i="2"/>
  <c r="N1035" i="2"/>
  <c r="K1035" i="2"/>
  <c r="N1034" i="2"/>
  <c r="K1034" i="2"/>
  <c r="N1033" i="2"/>
  <c r="K1033" i="2"/>
  <c r="N1032" i="2"/>
  <c r="K1032" i="2"/>
  <c r="N1031" i="2"/>
  <c r="K1031" i="2"/>
  <c r="N1030" i="2"/>
  <c r="K1030" i="2"/>
  <c r="N1029" i="2"/>
  <c r="K1029" i="2"/>
  <c r="N1028" i="2"/>
  <c r="K1028" i="2"/>
  <c r="N1027" i="2"/>
  <c r="K1027" i="2"/>
  <c r="N1026" i="2"/>
  <c r="K1026" i="2"/>
  <c r="N1025" i="2"/>
  <c r="K1025" i="2"/>
  <c r="N1024" i="2"/>
  <c r="K1024" i="2"/>
  <c r="N1023" i="2"/>
  <c r="K1023" i="2"/>
  <c r="N1022" i="2"/>
  <c r="K1022" i="2"/>
  <c r="N1021" i="2"/>
  <c r="K1021" i="2"/>
  <c r="N1020" i="2"/>
  <c r="K1020" i="2"/>
  <c r="N1019" i="2"/>
  <c r="K1019" i="2"/>
  <c r="N1018" i="2"/>
  <c r="K1018" i="2"/>
  <c r="N1017" i="2"/>
  <c r="K1017" i="2"/>
  <c r="N1016" i="2"/>
  <c r="K1016" i="2"/>
  <c r="N1015" i="2"/>
  <c r="K1015" i="2"/>
  <c r="N1014" i="2"/>
  <c r="K1014" i="2"/>
  <c r="N1013" i="2"/>
  <c r="K1013" i="2"/>
  <c r="N1012" i="2"/>
  <c r="K1012" i="2"/>
  <c r="N1011" i="2"/>
  <c r="K1011" i="2"/>
  <c r="N1010" i="2"/>
  <c r="K1010" i="2"/>
  <c r="N1009" i="2"/>
  <c r="K1009" i="2"/>
  <c r="N1008" i="2"/>
  <c r="K1008" i="2"/>
  <c r="N1007" i="2"/>
  <c r="K1007" i="2"/>
  <c r="N1006" i="2"/>
  <c r="K1006" i="2"/>
  <c r="N1005" i="2"/>
  <c r="K1005" i="2"/>
  <c r="N1004" i="2"/>
  <c r="K1004" i="2"/>
  <c r="N1003" i="2"/>
  <c r="K1003" i="2"/>
  <c r="N1002" i="2"/>
  <c r="K1002" i="2"/>
  <c r="N1001" i="2"/>
  <c r="K1001" i="2"/>
  <c r="N1000" i="2"/>
  <c r="K1000" i="2"/>
  <c r="N999" i="2"/>
  <c r="K999" i="2"/>
  <c r="N998" i="2"/>
  <c r="K998" i="2"/>
  <c r="N997" i="2"/>
  <c r="K997" i="2"/>
  <c r="N996" i="2"/>
  <c r="K996" i="2"/>
  <c r="N995" i="2"/>
  <c r="K995" i="2"/>
  <c r="N994" i="2"/>
  <c r="K994" i="2"/>
  <c r="N993" i="2"/>
  <c r="K993" i="2"/>
  <c r="N992" i="2"/>
  <c r="K992" i="2"/>
  <c r="N991" i="2"/>
  <c r="K991" i="2"/>
  <c r="N990" i="2"/>
  <c r="K990" i="2"/>
  <c r="N989" i="2"/>
  <c r="K989" i="2"/>
  <c r="N988" i="2"/>
  <c r="K988" i="2"/>
  <c r="N987" i="2"/>
  <c r="K987" i="2"/>
  <c r="N986" i="2"/>
  <c r="K986" i="2"/>
  <c r="N985" i="2"/>
  <c r="K985" i="2"/>
  <c r="N984" i="2"/>
  <c r="K984" i="2"/>
  <c r="N983" i="2"/>
  <c r="K983" i="2"/>
  <c r="N982" i="2"/>
  <c r="K982" i="2"/>
  <c r="N981" i="2"/>
  <c r="K981" i="2"/>
  <c r="N980" i="2"/>
  <c r="K980" i="2"/>
  <c r="N979" i="2"/>
  <c r="K979" i="2"/>
  <c r="N978" i="2"/>
  <c r="K978" i="2"/>
  <c r="N977" i="2"/>
  <c r="K977" i="2"/>
  <c r="N976" i="2"/>
  <c r="K976" i="2"/>
  <c r="N975" i="2"/>
  <c r="K975" i="2"/>
  <c r="N974" i="2"/>
  <c r="K974" i="2"/>
  <c r="N973" i="2"/>
  <c r="K973" i="2"/>
  <c r="N972" i="2"/>
  <c r="K972" i="2"/>
  <c r="N971" i="2"/>
  <c r="K971" i="2"/>
  <c r="N970" i="2"/>
  <c r="K970" i="2"/>
  <c r="N969" i="2"/>
  <c r="K969" i="2"/>
  <c r="N968" i="2"/>
  <c r="K968" i="2"/>
  <c r="N967" i="2"/>
  <c r="K967" i="2"/>
  <c r="N966" i="2"/>
  <c r="K966" i="2"/>
  <c r="N965" i="2"/>
  <c r="K965" i="2"/>
  <c r="N964" i="2"/>
  <c r="K964" i="2"/>
  <c r="N963" i="2"/>
  <c r="K963" i="2"/>
  <c r="N962" i="2"/>
  <c r="K962" i="2"/>
  <c r="N961" i="2"/>
  <c r="K961" i="2"/>
  <c r="N960" i="2"/>
  <c r="K960" i="2"/>
  <c r="N959" i="2"/>
  <c r="K959" i="2"/>
  <c r="N958" i="2"/>
  <c r="K958" i="2"/>
  <c r="N957" i="2"/>
  <c r="K957" i="2"/>
  <c r="N956" i="2"/>
  <c r="K956" i="2"/>
  <c r="N955" i="2"/>
  <c r="K955" i="2"/>
  <c r="N954" i="2"/>
  <c r="K954" i="2"/>
  <c r="N953" i="2"/>
  <c r="K953" i="2"/>
  <c r="N952" i="2"/>
  <c r="K952" i="2"/>
  <c r="N951" i="2"/>
  <c r="K951" i="2"/>
  <c r="N950" i="2"/>
  <c r="K950" i="2"/>
  <c r="N949" i="2"/>
  <c r="K949" i="2"/>
  <c r="N948" i="2"/>
  <c r="K948" i="2"/>
  <c r="N947" i="2"/>
  <c r="K947" i="2"/>
  <c r="N946" i="2"/>
  <c r="K946" i="2"/>
  <c r="N945" i="2"/>
  <c r="K945" i="2"/>
  <c r="N944" i="2"/>
  <c r="K944" i="2"/>
  <c r="N943" i="2"/>
  <c r="K943" i="2"/>
  <c r="N942" i="2"/>
  <c r="K942" i="2"/>
  <c r="N941" i="2"/>
  <c r="K941" i="2"/>
  <c r="N940" i="2"/>
  <c r="K940" i="2"/>
  <c r="N939" i="2"/>
  <c r="K939" i="2"/>
  <c r="N938" i="2"/>
  <c r="K938" i="2"/>
  <c r="N937" i="2"/>
  <c r="K937" i="2"/>
  <c r="N936" i="2"/>
  <c r="K936" i="2"/>
  <c r="N935" i="2"/>
  <c r="K935" i="2"/>
  <c r="N934" i="2"/>
  <c r="K934" i="2"/>
  <c r="N933" i="2"/>
  <c r="K933" i="2"/>
  <c r="N932" i="2"/>
  <c r="K932" i="2"/>
  <c r="N931" i="2"/>
  <c r="K931" i="2"/>
  <c r="N930" i="2"/>
  <c r="K930" i="2"/>
  <c r="N929" i="2"/>
  <c r="K929" i="2"/>
  <c r="N928" i="2"/>
  <c r="K928" i="2"/>
  <c r="N927" i="2"/>
  <c r="K927" i="2"/>
  <c r="N926" i="2"/>
  <c r="K926" i="2"/>
  <c r="N925" i="2"/>
  <c r="K925" i="2"/>
  <c r="N924" i="2"/>
  <c r="K924" i="2"/>
  <c r="N923" i="2"/>
  <c r="K923" i="2"/>
  <c r="N922" i="2"/>
  <c r="K922" i="2"/>
  <c r="N921" i="2"/>
  <c r="K921" i="2"/>
  <c r="N920" i="2"/>
  <c r="K920" i="2"/>
  <c r="N919" i="2"/>
  <c r="K919" i="2"/>
  <c r="N918" i="2"/>
  <c r="K918" i="2"/>
  <c r="N917" i="2"/>
  <c r="K917" i="2"/>
  <c r="N916" i="2"/>
  <c r="K916" i="2"/>
  <c r="N915" i="2"/>
  <c r="K915" i="2"/>
  <c r="N914" i="2"/>
  <c r="K914" i="2"/>
  <c r="N913" i="2"/>
  <c r="K913" i="2"/>
  <c r="N912" i="2"/>
  <c r="K912" i="2"/>
  <c r="N911" i="2"/>
  <c r="K911" i="2"/>
  <c r="N910" i="2"/>
  <c r="K910" i="2"/>
  <c r="N909" i="2"/>
  <c r="K909" i="2"/>
  <c r="N908" i="2"/>
  <c r="K908" i="2"/>
  <c r="N907" i="2"/>
  <c r="K907" i="2"/>
  <c r="N906" i="2"/>
  <c r="K906" i="2"/>
  <c r="N905" i="2"/>
  <c r="K905" i="2"/>
  <c r="N904" i="2"/>
  <c r="K904" i="2"/>
  <c r="N903" i="2"/>
  <c r="K903" i="2"/>
  <c r="N902" i="2"/>
  <c r="K902" i="2"/>
  <c r="N901" i="2"/>
  <c r="K901" i="2"/>
  <c r="N900" i="2"/>
  <c r="K900" i="2"/>
  <c r="N899" i="2"/>
  <c r="K899" i="2"/>
  <c r="N898" i="2"/>
  <c r="K898" i="2"/>
  <c r="N897" i="2"/>
  <c r="K897" i="2"/>
  <c r="N896" i="2"/>
  <c r="K896" i="2"/>
  <c r="N895" i="2"/>
  <c r="K895" i="2"/>
  <c r="N894" i="2"/>
  <c r="K894" i="2"/>
  <c r="N893" i="2"/>
  <c r="K893" i="2"/>
  <c r="N892" i="2"/>
  <c r="K892" i="2"/>
  <c r="N891" i="2"/>
  <c r="K891" i="2"/>
  <c r="N890" i="2"/>
  <c r="K890" i="2"/>
  <c r="N889" i="2"/>
  <c r="K889" i="2"/>
  <c r="N888" i="2"/>
  <c r="K888" i="2"/>
  <c r="N887" i="2"/>
  <c r="K887" i="2"/>
  <c r="N886" i="2"/>
  <c r="K886" i="2"/>
  <c r="N885" i="2"/>
  <c r="K885" i="2"/>
  <c r="N884" i="2"/>
  <c r="K884" i="2"/>
  <c r="N883" i="2"/>
  <c r="K883" i="2"/>
  <c r="N882" i="2"/>
  <c r="K882" i="2"/>
  <c r="N881" i="2"/>
  <c r="K881" i="2"/>
  <c r="N880" i="2"/>
  <c r="K880" i="2"/>
  <c r="N879" i="2"/>
  <c r="K879" i="2"/>
  <c r="N878" i="2"/>
  <c r="K878" i="2"/>
  <c r="N877" i="2"/>
  <c r="K877" i="2"/>
  <c r="N876" i="2"/>
  <c r="K876" i="2"/>
  <c r="N875" i="2"/>
  <c r="K875" i="2"/>
  <c r="N874" i="2"/>
  <c r="K874" i="2"/>
  <c r="N873" i="2"/>
  <c r="K873" i="2"/>
  <c r="N872" i="2"/>
  <c r="K872" i="2"/>
  <c r="N871" i="2"/>
  <c r="K871" i="2"/>
  <c r="N870" i="2"/>
  <c r="K870" i="2"/>
  <c r="N869" i="2"/>
  <c r="K869" i="2"/>
  <c r="N868" i="2"/>
  <c r="K868" i="2"/>
  <c r="N867" i="2"/>
  <c r="K867" i="2"/>
  <c r="N866" i="2"/>
  <c r="K866" i="2"/>
  <c r="N865" i="2"/>
  <c r="K865" i="2"/>
  <c r="N864" i="2"/>
  <c r="K864" i="2"/>
  <c r="N863" i="2"/>
  <c r="K863" i="2"/>
  <c r="N862" i="2"/>
  <c r="K862" i="2"/>
  <c r="N861" i="2"/>
  <c r="K861" i="2"/>
  <c r="N860" i="2"/>
  <c r="K860" i="2"/>
  <c r="N859" i="2"/>
  <c r="K859" i="2"/>
  <c r="N858" i="2"/>
  <c r="K858" i="2"/>
  <c r="N857" i="2"/>
  <c r="K857" i="2"/>
  <c r="N856" i="2"/>
  <c r="K856" i="2"/>
  <c r="N855" i="2"/>
  <c r="K855" i="2"/>
  <c r="N854" i="2"/>
  <c r="K854" i="2"/>
  <c r="N853" i="2"/>
  <c r="K853" i="2"/>
  <c r="N852" i="2"/>
  <c r="K852" i="2"/>
  <c r="N851" i="2"/>
  <c r="K851" i="2"/>
  <c r="N850" i="2"/>
  <c r="K850" i="2"/>
  <c r="N849" i="2"/>
  <c r="K849" i="2"/>
  <c r="N848" i="2"/>
  <c r="K848" i="2"/>
  <c r="N847" i="2"/>
  <c r="K847" i="2"/>
  <c r="N846" i="2"/>
  <c r="K846" i="2"/>
  <c r="N845" i="2"/>
  <c r="K845" i="2"/>
  <c r="N844" i="2"/>
  <c r="K844" i="2"/>
  <c r="N843" i="2"/>
  <c r="K843" i="2"/>
  <c r="N842" i="2"/>
  <c r="K842" i="2"/>
  <c r="N841" i="2"/>
  <c r="K841" i="2"/>
  <c r="N840" i="2"/>
  <c r="K840" i="2"/>
  <c r="N839" i="2"/>
  <c r="K839" i="2"/>
  <c r="N838" i="2"/>
  <c r="K838" i="2"/>
  <c r="N837" i="2"/>
  <c r="K837" i="2"/>
  <c r="N836" i="2"/>
  <c r="K836" i="2"/>
  <c r="N835" i="2"/>
  <c r="K835" i="2"/>
  <c r="N834" i="2"/>
  <c r="K834" i="2"/>
  <c r="N833" i="2"/>
  <c r="K833" i="2"/>
  <c r="N832" i="2"/>
  <c r="K832" i="2"/>
  <c r="N831" i="2"/>
  <c r="K831" i="2"/>
  <c r="N830" i="2"/>
  <c r="K830" i="2"/>
  <c r="N829" i="2"/>
  <c r="K829" i="2"/>
  <c r="N828" i="2"/>
  <c r="K828" i="2"/>
  <c r="N827" i="2"/>
  <c r="K827" i="2"/>
  <c r="N826" i="2"/>
  <c r="K826" i="2"/>
  <c r="N825" i="2"/>
  <c r="K825" i="2"/>
  <c r="N824" i="2"/>
  <c r="K824" i="2"/>
  <c r="N823" i="2"/>
  <c r="K823" i="2"/>
  <c r="N822" i="2"/>
  <c r="K822" i="2"/>
  <c r="N821" i="2"/>
  <c r="K821" i="2"/>
  <c r="N820" i="2"/>
  <c r="K820" i="2"/>
  <c r="N819" i="2"/>
  <c r="K819" i="2"/>
  <c r="N818" i="2"/>
  <c r="K818" i="2"/>
  <c r="N817" i="2"/>
  <c r="K817" i="2"/>
  <c r="N816" i="2"/>
  <c r="K816" i="2"/>
  <c r="N815" i="2"/>
  <c r="K815" i="2"/>
  <c r="N814" i="2"/>
  <c r="K814" i="2"/>
  <c r="N813" i="2"/>
  <c r="K813" i="2"/>
  <c r="N812" i="2"/>
  <c r="K812" i="2"/>
  <c r="N811" i="2"/>
  <c r="K811" i="2"/>
  <c r="N810" i="2"/>
  <c r="K810" i="2"/>
  <c r="N809" i="2"/>
  <c r="K809" i="2"/>
  <c r="N808" i="2"/>
  <c r="K808" i="2"/>
  <c r="N807" i="2"/>
  <c r="K807" i="2"/>
  <c r="N806" i="2"/>
  <c r="K806" i="2"/>
  <c r="N805" i="2"/>
  <c r="K805" i="2"/>
  <c r="N804" i="2"/>
  <c r="K804" i="2"/>
  <c r="N803" i="2"/>
  <c r="K803" i="2"/>
  <c r="N802" i="2"/>
  <c r="K802" i="2"/>
  <c r="N801" i="2"/>
  <c r="K801" i="2"/>
  <c r="N800" i="2"/>
  <c r="K800" i="2"/>
  <c r="N799" i="2"/>
  <c r="K799" i="2"/>
  <c r="N798" i="2"/>
  <c r="K798" i="2"/>
  <c r="N797" i="2"/>
  <c r="K797" i="2"/>
  <c r="N796" i="2"/>
  <c r="K796" i="2"/>
  <c r="N795" i="2"/>
  <c r="K795" i="2"/>
  <c r="N794" i="2"/>
  <c r="K794" i="2"/>
  <c r="N793" i="2"/>
  <c r="K793" i="2"/>
  <c r="N792" i="2"/>
  <c r="K792" i="2"/>
  <c r="N791" i="2"/>
  <c r="K791" i="2"/>
  <c r="N790" i="2"/>
  <c r="K790" i="2"/>
  <c r="N789" i="2"/>
  <c r="K789" i="2"/>
  <c r="N788" i="2"/>
  <c r="K788" i="2"/>
  <c r="N787" i="2"/>
  <c r="K787" i="2"/>
  <c r="N786" i="2"/>
  <c r="K786" i="2"/>
  <c r="N785" i="2"/>
  <c r="K785" i="2"/>
  <c r="N784" i="2"/>
  <c r="K784" i="2"/>
  <c r="N783" i="2"/>
  <c r="K783" i="2"/>
  <c r="N782" i="2"/>
  <c r="K782" i="2"/>
  <c r="N781" i="2"/>
  <c r="K781" i="2"/>
  <c r="N780" i="2"/>
  <c r="K780" i="2"/>
  <c r="N779" i="2"/>
  <c r="K779" i="2"/>
  <c r="N778" i="2"/>
  <c r="K778" i="2"/>
  <c r="N777" i="2"/>
  <c r="K777" i="2"/>
  <c r="N776" i="2"/>
  <c r="K776" i="2"/>
  <c r="N775" i="2"/>
  <c r="K775" i="2"/>
  <c r="N774" i="2"/>
  <c r="K774" i="2"/>
  <c r="N773" i="2"/>
  <c r="K773" i="2"/>
  <c r="N772" i="2"/>
  <c r="K772" i="2"/>
  <c r="N771" i="2"/>
  <c r="K771" i="2"/>
  <c r="N770" i="2"/>
  <c r="K770" i="2"/>
  <c r="N769" i="2"/>
  <c r="K769" i="2"/>
  <c r="N768" i="2"/>
  <c r="K768" i="2"/>
  <c r="N767" i="2"/>
  <c r="K767" i="2"/>
  <c r="N766" i="2"/>
  <c r="K766" i="2"/>
  <c r="N765" i="2"/>
  <c r="K765" i="2"/>
  <c r="N764" i="2"/>
  <c r="K764" i="2"/>
  <c r="N763" i="2"/>
  <c r="K763" i="2"/>
  <c r="N762" i="2"/>
  <c r="K762" i="2"/>
  <c r="N761" i="2"/>
  <c r="K761" i="2"/>
  <c r="N760" i="2"/>
  <c r="K760" i="2"/>
  <c r="N759" i="2"/>
  <c r="K759" i="2"/>
  <c r="N758" i="2"/>
  <c r="K758" i="2"/>
  <c r="N757" i="2"/>
  <c r="K757" i="2"/>
  <c r="N756" i="2"/>
  <c r="K756" i="2"/>
  <c r="N755" i="2"/>
  <c r="K755" i="2"/>
  <c r="N754" i="2"/>
  <c r="K754" i="2"/>
  <c r="N753" i="2"/>
  <c r="K753" i="2"/>
  <c r="N752" i="2"/>
  <c r="K752" i="2"/>
  <c r="N751" i="2"/>
  <c r="K751" i="2"/>
  <c r="N750" i="2"/>
  <c r="K750" i="2"/>
  <c r="N749" i="2"/>
  <c r="K749" i="2"/>
  <c r="N748" i="2"/>
  <c r="K748" i="2"/>
  <c r="N747" i="2"/>
  <c r="K747" i="2"/>
  <c r="N746" i="2"/>
  <c r="K746" i="2"/>
  <c r="N745" i="2"/>
  <c r="K745" i="2"/>
  <c r="N744" i="2"/>
  <c r="K744" i="2"/>
  <c r="N743" i="2"/>
  <c r="K743" i="2"/>
  <c r="N742" i="2"/>
  <c r="K742" i="2"/>
  <c r="N741" i="2"/>
  <c r="K741" i="2"/>
  <c r="N740" i="2"/>
  <c r="K740" i="2"/>
  <c r="N739" i="2"/>
  <c r="K739" i="2"/>
  <c r="N738" i="2"/>
  <c r="K738" i="2"/>
  <c r="N737" i="2"/>
  <c r="K737" i="2"/>
  <c r="N736" i="2"/>
  <c r="K736" i="2"/>
  <c r="N735" i="2"/>
  <c r="K735" i="2"/>
  <c r="N734" i="2"/>
  <c r="K734" i="2"/>
  <c r="N733" i="2"/>
  <c r="K733" i="2"/>
  <c r="N732" i="2"/>
  <c r="K732" i="2"/>
  <c r="N731" i="2"/>
  <c r="K731" i="2"/>
  <c r="N730" i="2"/>
  <c r="K730" i="2"/>
  <c r="N729" i="2"/>
  <c r="K729" i="2"/>
  <c r="N728" i="2"/>
  <c r="K728" i="2"/>
  <c r="N727" i="2"/>
  <c r="K727" i="2"/>
  <c r="N726" i="2"/>
  <c r="K726" i="2"/>
  <c r="N725" i="2"/>
  <c r="K725" i="2"/>
  <c r="N724" i="2"/>
  <c r="K724" i="2"/>
  <c r="N723" i="2"/>
  <c r="K723" i="2"/>
  <c r="N722" i="2"/>
  <c r="K722" i="2"/>
  <c r="N721" i="2"/>
  <c r="K721" i="2"/>
  <c r="N720" i="2"/>
  <c r="K720" i="2"/>
  <c r="N719" i="2"/>
  <c r="K719" i="2"/>
  <c r="N718" i="2"/>
  <c r="K718" i="2"/>
  <c r="N717" i="2"/>
  <c r="K717" i="2"/>
  <c r="N716" i="2"/>
  <c r="K716" i="2"/>
  <c r="N715" i="2"/>
  <c r="K715" i="2"/>
  <c r="N714" i="2"/>
  <c r="K714" i="2"/>
  <c r="N713" i="2"/>
  <c r="K713" i="2"/>
  <c r="N712" i="2"/>
  <c r="K712" i="2"/>
  <c r="N711" i="2"/>
  <c r="K711" i="2"/>
  <c r="N710" i="2"/>
  <c r="K710" i="2"/>
  <c r="N709" i="2"/>
  <c r="K709" i="2"/>
  <c r="N708" i="2"/>
  <c r="K708" i="2"/>
  <c r="N707" i="2"/>
  <c r="K707" i="2"/>
  <c r="N706" i="2"/>
  <c r="K706" i="2"/>
  <c r="N705" i="2"/>
  <c r="K705" i="2"/>
  <c r="N704" i="2"/>
  <c r="K704" i="2"/>
  <c r="N703" i="2"/>
  <c r="K703" i="2"/>
  <c r="N702" i="2"/>
  <c r="K702" i="2"/>
  <c r="N701" i="2"/>
  <c r="K701" i="2"/>
  <c r="N700" i="2"/>
  <c r="K700" i="2"/>
  <c r="N699" i="2"/>
  <c r="K699" i="2"/>
  <c r="N698" i="2"/>
  <c r="K698" i="2"/>
  <c r="N697" i="2"/>
  <c r="K697" i="2"/>
  <c r="N696" i="2"/>
  <c r="K696" i="2"/>
  <c r="N695" i="2"/>
  <c r="K695" i="2"/>
  <c r="N694" i="2"/>
  <c r="K694" i="2"/>
  <c r="N693" i="2"/>
  <c r="K693" i="2"/>
  <c r="N692" i="2"/>
  <c r="K692" i="2"/>
  <c r="N691" i="2"/>
  <c r="K691" i="2"/>
  <c r="N690" i="2"/>
  <c r="K690" i="2"/>
  <c r="N689" i="2"/>
  <c r="K689" i="2"/>
  <c r="N688" i="2"/>
  <c r="K688" i="2"/>
  <c r="N687" i="2"/>
  <c r="K687" i="2"/>
  <c r="N686" i="2"/>
  <c r="K686" i="2"/>
  <c r="N685" i="2"/>
  <c r="K685" i="2"/>
  <c r="N684" i="2"/>
  <c r="K684" i="2"/>
  <c r="N683" i="2"/>
  <c r="K683" i="2"/>
  <c r="N682" i="2"/>
  <c r="K682" i="2"/>
  <c r="N681" i="2"/>
  <c r="K681" i="2"/>
  <c r="N680" i="2"/>
  <c r="K680" i="2"/>
  <c r="N679" i="2"/>
  <c r="K679" i="2"/>
  <c r="N678" i="2"/>
  <c r="K678" i="2"/>
  <c r="N677" i="2"/>
  <c r="K677" i="2"/>
  <c r="N676" i="2"/>
  <c r="K676" i="2"/>
  <c r="N675" i="2"/>
  <c r="K675" i="2"/>
  <c r="N674" i="2"/>
  <c r="K674" i="2"/>
  <c r="N673" i="2"/>
  <c r="K673" i="2"/>
  <c r="N672" i="2"/>
  <c r="K672" i="2"/>
  <c r="N671" i="2"/>
  <c r="K671" i="2"/>
  <c r="N670" i="2"/>
  <c r="K670" i="2"/>
  <c r="N669" i="2"/>
  <c r="K669" i="2"/>
  <c r="N668" i="2"/>
  <c r="K668" i="2"/>
  <c r="N667" i="2"/>
  <c r="K667" i="2"/>
  <c r="N666" i="2"/>
  <c r="K666" i="2"/>
  <c r="N665" i="2"/>
  <c r="K665" i="2"/>
  <c r="N664" i="2"/>
  <c r="K664" i="2"/>
  <c r="N663" i="2"/>
  <c r="K663" i="2"/>
  <c r="N662" i="2"/>
  <c r="K662" i="2"/>
  <c r="N661" i="2"/>
  <c r="K661" i="2"/>
  <c r="N660" i="2"/>
  <c r="K660" i="2"/>
  <c r="N659" i="2"/>
  <c r="K659" i="2"/>
  <c r="N658" i="2"/>
  <c r="K658" i="2"/>
  <c r="N657" i="2"/>
  <c r="K657" i="2"/>
  <c r="N656" i="2"/>
  <c r="K656" i="2"/>
  <c r="N655" i="2"/>
  <c r="K655" i="2"/>
  <c r="N654" i="2"/>
  <c r="K654" i="2"/>
  <c r="N653" i="2"/>
  <c r="K653" i="2"/>
  <c r="N652" i="2"/>
  <c r="K652" i="2"/>
  <c r="N651" i="2"/>
  <c r="K651" i="2"/>
  <c r="N650" i="2"/>
  <c r="K650" i="2"/>
  <c r="N649" i="2"/>
  <c r="K649" i="2"/>
  <c r="N648" i="2"/>
  <c r="K648" i="2"/>
  <c r="N647" i="2"/>
  <c r="K647" i="2"/>
  <c r="N646" i="2"/>
  <c r="K646" i="2"/>
  <c r="N645" i="2"/>
  <c r="K645" i="2"/>
  <c r="N644" i="2"/>
  <c r="K644" i="2"/>
  <c r="N643" i="2"/>
  <c r="K643" i="2"/>
  <c r="N642" i="2"/>
  <c r="K642" i="2"/>
  <c r="N641" i="2"/>
  <c r="K641" i="2"/>
  <c r="N640" i="2"/>
  <c r="K640" i="2"/>
  <c r="N639" i="2"/>
  <c r="K639" i="2"/>
  <c r="N638" i="2"/>
  <c r="K638" i="2"/>
  <c r="N637" i="2"/>
  <c r="K637" i="2"/>
  <c r="N636" i="2"/>
  <c r="K636" i="2"/>
  <c r="N635" i="2"/>
  <c r="K635" i="2"/>
  <c r="N634" i="2"/>
  <c r="K634" i="2"/>
  <c r="N633" i="2"/>
  <c r="K633" i="2"/>
  <c r="N632" i="2"/>
  <c r="K632" i="2"/>
  <c r="N631" i="2"/>
  <c r="K631" i="2"/>
  <c r="N630" i="2"/>
  <c r="K630" i="2"/>
  <c r="N629" i="2"/>
  <c r="K629" i="2"/>
  <c r="N628" i="2"/>
  <c r="K628" i="2"/>
  <c r="N627" i="2"/>
  <c r="K627" i="2"/>
  <c r="N626" i="2"/>
  <c r="K626" i="2"/>
  <c r="N625" i="2"/>
  <c r="K625" i="2"/>
  <c r="N624" i="2"/>
  <c r="K624" i="2"/>
  <c r="N623" i="2"/>
  <c r="K623" i="2"/>
  <c r="N622" i="2"/>
  <c r="K622" i="2"/>
  <c r="N621" i="2"/>
  <c r="K621" i="2"/>
  <c r="N620" i="2"/>
  <c r="K620" i="2"/>
  <c r="N619" i="2"/>
  <c r="K619" i="2"/>
  <c r="N618" i="2"/>
  <c r="K618" i="2"/>
  <c r="N617" i="2"/>
  <c r="K617" i="2"/>
  <c r="N616" i="2"/>
  <c r="K616" i="2"/>
  <c r="N615" i="2"/>
  <c r="K615" i="2"/>
  <c r="N614" i="2"/>
  <c r="K614" i="2"/>
  <c r="N613" i="2"/>
  <c r="K613" i="2"/>
  <c r="N612" i="2"/>
  <c r="K612" i="2"/>
  <c r="N611" i="2"/>
  <c r="K611" i="2"/>
  <c r="N610" i="2"/>
  <c r="K610" i="2"/>
  <c r="N609" i="2"/>
  <c r="K609" i="2"/>
  <c r="N608" i="2"/>
  <c r="K608" i="2"/>
  <c r="N607" i="2"/>
  <c r="K607" i="2"/>
  <c r="N606" i="2"/>
  <c r="K606" i="2"/>
  <c r="N605" i="2"/>
  <c r="K605" i="2"/>
  <c r="N604" i="2"/>
  <c r="K604" i="2"/>
  <c r="N603" i="2"/>
  <c r="K603" i="2"/>
  <c r="N602" i="2"/>
  <c r="K602" i="2"/>
  <c r="N601" i="2"/>
  <c r="K601" i="2"/>
  <c r="N600" i="2"/>
  <c r="K600" i="2"/>
  <c r="N599" i="2"/>
  <c r="K599" i="2"/>
  <c r="N598" i="2"/>
  <c r="K598" i="2"/>
  <c r="N597" i="2"/>
  <c r="K597" i="2"/>
  <c r="N596" i="2"/>
  <c r="K596" i="2"/>
  <c r="N595" i="2"/>
  <c r="K595" i="2"/>
  <c r="N594" i="2"/>
  <c r="K594" i="2"/>
  <c r="N593" i="2"/>
  <c r="K593" i="2"/>
  <c r="N592" i="2"/>
  <c r="K592" i="2"/>
  <c r="N591" i="2"/>
  <c r="K591" i="2"/>
  <c r="N590" i="2"/>
  <c r="K590" i="2"/>
  <c r="N589" i="2"/>
  <c r="K589" i="2"/>
  <c r="N588" i="2"/>
  <c r="K588" i="2"/>
  <c r="N587" i="2"/>
  <c r="K587" i="2"/>
  <c r="N586" i="2"/>
  <c r="K586" i="2"/>
  <c r="N585" i="2"/>
  <c r="K585" i="2"/>
  <c r="N584" i="2"/>
  <c r="K584" i="2"/>
  <c r="N583" i="2"/>
  <c r="K583" i="2"/>
  <c r="N582" i="2"/>
  <c r="K582" i="2"/>
  <c r="N581" i="2"/>
  <c r="K581" i="2"/>
  <c r="N580" i="2"/>
  <c r="K580" i="2"/>
  <c r="N579" i="2"/>
  <c r="K579" i="2"/>
  <c r="N578" i="2"/>
  <c r="K578" i="2"/>
  <c r="N577" i="2"/>
  <c r="K577" i="2"/>
  <c r="N576" i="2"/>
  <c r="K576" i="2"/>
  <c r="N575" i="2"/>
  <c r="K575" i="2"/>
  <c r="N574" i="2"/>
  <c r="K574" i="2"/>
  <c r="N573" i="2"/>
  <c r="K573" i="2"/>
  <c r="N572" i="2"/>
  <c r="K572" i="2"/>
  <c r="N571" i="2"/>
  <c r="K571" i="2"/>
  <c r="N570" i="2"/>
  <c r="K570" i="2"/>
  <c r="N569" i="2"/>
  <c r="K569" i="2"/>
  <c r="N568" i="2"/>
  <c r="K568" i="2"/>
  <c r="N567" i="2"/>
  <c r="K567" i="2"/>
  <c r="N566" i="2"/>
  <c r="K566" i="2"/>
  <c r="N565" i="2"/>
  <c r="K565" i="2"/>
  <c r="N564" i="2"/>
  <c r="K564" i="2"/>
  <c r="N563" i="2"/>
  <c r="K563" i="2"/>
  <c r="N562" i="2"/>
  <c r="K562" i="2"/>
  <c r="N561" i="2"/>
  <c r="K561" i="2"/>
  <c r="N560" i="2"/>
  <c r="K560" i="2"/>
  <c r="N559" i="2"/>
  <c r="K559" i="2"/>
  <c r="N558" i="2"/>
  <c r="K558" i="2"/>
  <c r="N557" i="2"/>
  <c r="K557" i="2"/>
  <c r="N556" i="2"/>
  <c r="K556" i="2"/>
  <c r="N555" i="2"/>
  <c r="K555" i="2"/>
  <c r="N554" i="2"/>
  <c r="K554" i="2"/>
  <c r="N553" i="2"/>
  <c r="K553" i="2"/>
  <c r="N552" i="2"/>
  <c r="K552" i="2"/>
  <c r="N551" i="2"/>
  <c r="K551" i="2"/>
  <c r="N550" i="2"/>
  <c r="K550" i="2"/>
  <c r="N549" i="2"/>
  <c r="K549" i="2"/>
  <c r="N548" i="2"/>
  <c r="K548" i="2"/>
  <c r="N547" i="2"/>
  <c r="K547" i="2"/>
  <c r="N546" i="2"/>
  <c r="K546" i="2"/>
  <c r="N545" i="2"/>
  <c r="K545" i="2"/>
  <c r="N544" i="2"/>
  <c r="K544" i="2"/>
  <c r="N543" i="2"/>
  <c r="K543" i="2"/>
  <c r="N542" i="2"/>
  <c r="K542" i="2"/>
  <c r="N541" i="2"/>
  <c r="K541" i="2"/>
  <c r="N540" i="2"/>
  <c r="K540" i="2"/>
  <c r="N539" i="2"/>
  <c r="K539" i="2"/>
  <c r="N538" i="2"/>
  <c r="K538" i="2"/>
  <c r="N537" i="2"/>
  <c r="K537" i="2"/>
  <c r="N536" i="2"/>
  <c r="K536" i="2"/>
  <c r="N535" i="2"/>
  <c r="K535" i="2"/>
  <c r="N534" i="2"/>
  <c r="K534" i="2"/>
  <c r="N533" i="2"/>
  <c r="K533" i="2"/>
  <c r="N532" i="2"/>
  <c r="K532" i="2"/>
  <c r="N531" i="2"/>
  <c r="K531" i="2"/>
  <c r="N530" i="2"/>
  <c r="K530" i="2"/>
  <c r="N529" i="2"/>
  <c r="K529" i="2"/>
  <c r="N528" i="2"/>
  <c r="K528" i="2"/>
  <c r="N527" i="2"/>
  <c r="K527" i="2"/>
  <c r="N526" i="2"/>
  <c r="K526" i="2"/>
  <c r="N525" i="2"/>
  <c r="K525" i="2"/>
  <c r="N524" i="2"/>
  <c r="K524" i="2"/>
  <c r="N523" i="2"/>
  <c r="K523" i="2"/>
  <c r="N522" i="2"/>
  <c r="K522" i="2"/>
  <c r="N521" i="2"/>
  <c r="K521" i="2"/>
  <c r="N520" i="2"/>
  <c r="K520" i="2"/>
  <c r="N519" i="2"/>
  <c r="K519" i="2"/>
  <c r="N518" i="2"/>
  <c r="K518" i="2"/>
  <c r="N517" i="2"/>
  <c r="K517" i="2"/>
  <c r="N516" i="2"/>
  <c r="K516" i="2"/>
  <c r="N515" i="2"/>
  <c r="K515" i="2"/>
  <c r="N514" i="2"/>
  <c r="K514" i="2"/>
  <c r="N513" i="2"/>
  <c r="K513" i="2"/>
  <c r="N512" i="2"/>
  <c r="K512" i="2"/>
  <c r="N511" i="2"/>
  <c r="K511" i="2"/>
  <c r="N510" i="2"/>
  <c r="K510" i="2"/>
  <c r="N509" i="2"/>
  <c r="K509" i="2"/>
  <c r="N508" i="2"/>
  <c r="K508" i="2"/>
  <c r="N507" i="2"/>
  <c r="K507" i="2"/>
  <c r="N506" i="2"/>
  <c r="K506" i="2"/>
  <c r="N505" i="2"/>
  <c r="K505" i="2"/>
  <c r="N504" i="2"/>
  <c r="K504" i="2"/>
  <c r="N503" i="2"/>
  <c r="K503" i="2"/>
  <c r="N502" i="2"/>
  <c r="K502" i="2"/>
  <c r="N501" i="2"/>
  <c r="K501" i="2"/>
  <c r="N500" i="2"/>
  <c r="K500" i="2"/>
  <c r="N499" i="2"/>
  <c r="K499" i="2"/>
  <c r="N498" i="2"/>
  <c r="K498" i="2"/>
  <c r="N497" i="2"/>
  <c r="K497" i="2"/>
  <c r="N496" i="2"/>
  <c r="K496" i="2"/>
  <c r="N495" i="2"/>
  <c r="K495" i="2"/>
  <c r="N494" i="2"/>
  <c r="K494" i="2"/>
  <c r="N493" i="2"/>
  <c r="K493" i="2"/>
  <c r="N492" i="2"/>
  <c r="K492" i="2"/>
  <c r="N491" i="2"/>
  <c r="K491" i="2"/>
  <c r="N490" i="2"/>
  <c r="K490" i="2"/>
  <c r="N489" i="2"/>
  <c r="K489" i="2"/>
  <c r="N488" i="2"/>
  <c r="K488" i="2"/>
  <c r="N487" i="2"/>
  <c r="K487" i="2"/>
  <c r="N486" i="2"/>
  <c r="K486" i="2"/>
  <c r="N485" i="2"/>
  <c r="K485" i="2"/>
  <c r="N484" i="2"/>
  <c r="K484" i="2"/>
  <c r="N483" i="2"/>
  <c r="K483" i="2"/>
  <c r="N482" i="2"/>
  <c r="K482" i="2"/>
  <c r="N481" i="2"/>
  <c r="K481" i="2"/>
  <c r="N480" i="2"/>
  <c r="K480" i="2"/>
  <c r="N479" i="2"/>
  <c r="K479" i="2"/>
  <c r="N478" i="2"/>
  <c r="K478" i="2"/>
  <c r="N477" i="2"/>
  <c r="K477" i="2"/>
  <c r="N476" i="2"/>
  <c r="K476" i="2"/>
  <c r="N475" i="2"/>
  <c r="K475" i="2"/>
  <c r="N474" i="2"/>
  <c r="K474" i="2"/>
  <c r="N473" i="2"/>
  <c r="K473" i="2"/>
  <c r="N472" i="2"/>
  <c r="K472" i="2"/>
  <c r="N471" i="2"/>
  <c r="K471" i="2"/>
  <c r="N470" i="2"/>
  <c r="K470" i="2"/>
  <c r="N469" i="2"/>
  <c r="K469" i="2"/>
  <c r="N468" i="2"/>
  <c r="K468" i="2"/>
  <c r="N467" i="2"/>
  <c r="K467" i="2"/>
  <c r="N466" i="2"/>
  <c r="K466" i="2"/>
  <c r="N465" i="2"/>
  <c r="K465" i="2"/>
  <c r="N464" i="2"/>
  <c r="K464" i="2"/>
  <c r="N463" i="2"/>
  <c r="K463" i="2"/>
  <c r="N462" i="2"/>
  <c r="K462" i="2"/>
  <c r="N461" i="2"/>
  <c r="K461" i="2"/>
  <c r="N460" i="2"/>
  <c r="K460" i="2"/>
  <c r="N459" i="2"/>
  <c r="K459" i="2"/>
  <c r="N458" i="2"/>
  <c r="K458" i="2"/>
  <c r="N457" i="2"/>
  <c r="K457" i="2"/>
  <c r="N456" i="2"/>
  <c r="K456" i="2"/>
  <c r="N455" i="2"/>
  <c r="K455" i="2"/>
  <c r="N454" i="2"/>
  <c r="K454" i="2"/>
  <c r="N453" i="2"/>
  <c r="K453" i="2"/>
  <c r="N452" i="2"/>
  <c r="K452" i="2"/>
  <c r="N451" i="2"/>
  <c r="K451" i="2"/>
  <c r="N450" i="2"/>
  <c r="K450" i="2"/>
  <c r="N449" i="2"/>
  <c r="K449" i="2"/>
  <c r="N448" i="2"/>
  <c r="K448" i="2"/>
  <c r="N447" i="2"/>
  <c r="K447" i="2"/>
  <c r="N446" i="2"/>
  <c r="K446" i="2"/>
  <c r="N445" i="2"/>
  <c r="K445" i="2"/>
  <c r="N444" i="2"/>
  <c r="K444" i="2"/>
  <c r="N443" i="2"/>
  <c r="K443" i="2"/>
  <c r="N442" i="2"/>
  <c r="K442" i="2"/>
  <c r="N441" i="2"/>
  <c r="K441" i="2"/>
  <c r="N440" i="2"/>
  <c r="K440" i="2"/>
  <c r="N439" i="2"/>
  <c r="K439" i="2"/>
  <c r="N438" i="2"/>
  <c r="K438" i="2"/>
  <c r="N437" i="2"/>
  <c r="K437" i="2"/>
  <c r="N436" i="2"/>
  <c r="K436" i="2"/>
  <c r="N435" i="2"/>
  <c r="K435" i="2"/>
  <c r="N434" i="2"/>
  <c r="K434" i="2"/>
  <c r="N433" i="2"/>
  <c r="K433" i="2"/>
  <c r="N432" i="2"/>
  <c r="K432" i="2"/>
  <c r="N431" i="2"/>
  <c r="K431" i="2"/>
  <c r="N430" i="2"/>
  <c r="K430" i="2"/>
  <c r="N429" i="2"/>
  <c r="K429" i="2"/>
  <c r="N428" i="2"/>
  <c r="K428" i="2"/>
  <c r="N427" i="2"/>
  <c r="K427" i="2"/>
  <c r="N426" i="2"/>
  <c r="K426" i="2"/>
  <c r="N425" i="2"/>
  <c r="K425" i="2"/>
  <c r="N424" i="2"/>
  <c r="K424" i="2"/>
  <c r="N423" i="2"/>
  <c r="K423" i="2"/>
  <c r="N422" i="2"/>
  <c r="K422" i="2"/>
  <c r="N421" i="2"/>
  <c r="K421" i="2"/>
  <c r="N420" i="2"/>
  <c r="K420" i="2"/>
  <c r="N419" i="2"/>
  <c r="K419" i="2"/>
  <c r="N418" i="2"/>
  <c r="K418" i="2"/>
  <c r="N417" i="2"/>
  <c r="K417" i="2"/>
  <c r="N416" i="2"/>
  <c r="K416" i="2"/>
  <c r="N415" i="2"/>
  <c r="K415" i="2"/>
  <c r="N414" i="2"/>
  <c r="K414" i="2"/>
  <c r="N413" i="2"/>
  <c r="K413" i="2"/>
  <c r="N412" i="2"/>
  <c r="K412" i="2"/>
  <c r="N411" i="2"/>
  <c r="K411" i="2"/>
  <c r="N410" i="2"/>
  <c r="K410" i="2"/>
  <c r="N409" i="2"/>
  <c r="K409" i="2"/>
  <c r="N408" i="2"/>
  <c r="K408" i="2"/>
  <c r="N407" i="2"/>
  <c r="K407" i="2"/>
  <c r="N406" i="2"/>
  <c r="K406" i="2"/>
  <c r="N405" i="2"/>
  <c r="K405" i="2"/>
  <c r="N404" i="2"/>
  <c r="K404" i="2"/>
  <c r="N403" i="2"/>
  <c r="K403" i="2"/>
  <c r="N402" i="2"/>
  <c r="K402" i="2"/>
  <c r="N401" i="2"/>
  <c r="K401" i="2"/>
  <c r="N400" i="2"/>
  <c r="K400" i="2"/>
  <c r="N399" i="2"/>
  <c r="K399" i="2"/>
  <c r="N398" i="2"/>
  <c r="K398" i="2"/>
  <c r="N397" i="2"/>
  <c r="K397" i="2"/>
  <c r="N396" i="2"/>
  <c r="K396" i="2"/>
  <c r="N395" i="2"/>
  <c r="K395" i="2"/>
  <c r="N394" i="2"/>
  <c r="K394" i="2"/>
  <c r="N393" i="2"/>
  <c r="K393" i="2"/>
  <c r="N392" i="2"/>
  <c r="K392" i="2"/>
  <c r="N391" i="2"/>
  <c r="K391" i="2"/>
  <c r="N390" i="2"/>
  <c r="K390" i="2"/>
  <c r="N389" i="2"/>
  <c r="K389" i="2"/>
  <c r="N388" i="2"/>
  <c r="K388" i="2"/>
  <c r="N387" i="2"/>
  <c r="K387" i="2"/>
  <c r="N386" i="2"/>
  <c r="K386" i="2"/>
  <c r="N385" i="2"/>
  <c r="K385" i="2"/>
  <c r="N384" i="2"/>
  <c r="K384" i="2"/>
  <c r="N383" i="2"/>
  <c r="K383" i="2"/>
  <c r="N382" i="2"/>
  <c r="K382" i="2"/>
  <c r="N381" i="2"/>
  <c r="K381" i="2"/>
  <c r="N380" i="2"/>
  <c r="K380" i="2"/>
  <c r="N379" i="2"/>
  <c r="K379" i="2"/>
  <c r="N378" i="2"/>
  <c r="K378" i="2"/>
  <c r="N377" i="2"/>
  <c r="K377" i="2"/>
  <c r="N376" i="2"/>
  <c r="K376" i="2"/>
  <c r="N375" i="2"/>
  <c r="K375" i="2"/>
  <c r="N374" i="2"/>
  <c r="K374" i="2"/>
  <c r="N373" i="2"/>
  <c r="K373" i="2"/>
  <c r="N372" i="2"/>
  <c r="K372" i="2"/>
  <c r="N371" i="2"/>
  <c r="K371" i="2"/>
  <c r="N370" i="2"/>
  <c r="K370" i="2"/>
  <c r="N369" i="2"/>
  <c r="K369" i="2"/>
  <c r="N368" i="2"/>
  <c r="K368" i="2"/>
  <c r="N367" i="2"/>
  <c r="K367" i="2"/>
  <c r="N366" i="2"/>
  <c r="K366" i="2"/>
  <c r="N365" i="2"/>
  <c r="K365" i="2"/>
  <c r="N364" i="2"/>
  <c r="K364" i="2"/>
  <c r="N363" i="2"/>
  <c r="K363" i="2"/>
  <c r="N362" i="2"/>
  <c r="K362" i="2"/>
  <c r="N361" i="2"/>
  <c r="K361" i="2"/>
  <c r="N360" i="2"/>
  <c r="K360" i="2"/>
  <c r="N359" i="2"/>
  <c r="K359" i="2"/>
  <c r="N358" i="2"/>
  <c r="K358" i="2"/>
  <c r="N357" i="2"/>
  <c r="K357" i="2"/>
  <c r="N356" i="2"/>
  <c r="K356" i="2"/>
  <c r="N355" i="2"/>
  <c r="K355" i="2"/>
  <c r="N354" i="2"/>
  <c r="K354" i="2"/>
  <c r="N353" i="2"/>
  <c r="K353" i="2"/>
  <c r="N352" i="2"/>
  <c r="K352" i="2"/>
  <c r="N351" i="2"/>
  <c r="K351" i="2"/>
  <c r="N350" i="2"/>
  <c r="K350" i="2"/>
  <c r="N349" i="2"/>
  <c r="K349" i="2"/>
  <c r="N348" i="2"/>
  <c r="K348" i="2"/>
  <c r="N347" i="2"/>
  <c r="K347" i="2"/>
  <c r="N346" i="2"/>
  <c r="K346" i="2"/>
  <c r="N345" i="2"/>
  <c r="K345" i="2"/>
  <c r="N344" i="2"/>
  <c r="K344" i="2"/>
  <c r="N343" i="2"/>
  <c r="K343" i="2"/>
  <c r="N342" i="2"/>
  <c r="K342" i="2"/>
  <c r="N341" i="2"/>
  <c r="K341" i="2"/>
  <c r="N340" i="2"/>
  <c r="K340" i="2"/>
  <c r="N339" i="2"/>
  <c r="K339" i="2"/>
  <c r="N338" i="2"/>
  <c r="K338" i="2"/>
  <c r="N337" i="2"/>
  <c r="K337" i="2"/>
  <c r="N336" i="2"/>
  <c r="K336" i="2"/>
  <c r="N335" i="2"/>
  <c r="K335" i="2"/>
  <c r="N334" i="2"/>
  <c r="K334" i="2"/>
  <c r="N333" i="2"/>
  <c r="K333" i="2"/>
  <c r="N332" i="2"/>
  <c r="K332" i="2"/>
  <c r="N331" i="2"/>
  <c r="K331" i="2"/>
  <c r="N330" i="2"/>
  <c r="K330" i="2"/>
  <c r="N329" i="2"/>
  <c r="K329" i="2"/>
  <c r="N328" i="2"/>
  <c r="K328" i="2"/>
  <c r="N327" i="2"/>
  <c r="K327" i="2"/>
  <c r="N326" i="2"/>
  <c r="K326" i="2"/>
  <c r="N325" i="2"/>
  <c r="K325" i="2"/>
  <c r="N324" i="2"/>
  <c r="K324" i="2"/>
  <c r="N323" i="2"/>
  <c r="K323" i="2"/>
  <c r="N322" i="2"/>
  <c r="K322" i="2"/>
  <c r="N321" i="2"/>
  <c r="K321" i="2"/>
  <c r="N320" i="2"/>
  <c r="K320" i="2"/>
  <c r="N319" i="2"/>
  <c r="K319" i="2"/>
  <c r="N318" i="2"/>
  <c r="K318" i="2"/>
  <c r="N317" i="2"/>
  <c r="K317" i="2"/>
  <c r="N316" i="2"/>
  <c r="K316" i="2"/>
  <c r="N315" i="2"/>
  <c r="K315" i="2"/>
  <c r="N314" i="2"/>
  <c r="K314" i="2"/>
  <c r="N313" i="2"/>
  <c r="K313" i="2"/>
  <c r="N312" i="2"/>
  <c r="K312" i="2"/>
  <c r="N311" i="2"/>
  <c r="K311" i="2"/>
  <c r="N310" i="2"/>
  <c r="K310" i="2"/>
  <c r="N309" i="2"/>
  <c r="K309" i="2"/>
  <c r="N308" i="2"/>
  <c r="K308" i="2"/>
  <c r="N307" i="2"/>
  <c r="K307" i="2"/>
  <c r="N306" i="2"/>
  <c r="K306" i="2"/>
  <c r="N305" i="2"/>
  <c r="K305" i="2"/>
  <c r="N304" i="2"/>
  <c r="K304" i="2"/>
  <c r="N303" i="2"/>
  <c r="K303" i="2"/>
  <c r="N302" i="2"/>
  <c r="K302" i="2"/>
  <c r="N301" i="2"/>
  <c r="K301" i="2"/>
  <c r="N300" i="2"/>
  <c r="K300" i="2"/>
  <c r="N299" i="2"/>
  <c r="K299" i="2"/>
  <c r="N298" i="2"/>
  <c r="K298" i="2"/>
  <c r="N297" i="2"/>
  <c r="K297" i="2"/>
  <c r="N296" i="2"/>
  <c r="K296" i="2"/>
  <c r="N295" i="2"/>
  <c r="K295" i="2"/>
  <c r="N294" i="2"/>
  <c r="K294" i="2"/>
  <c r="N293" i="2"/>
  <c r="K293" i="2"/>
  <c r="N292" i="2"/>
  <c r="K292" i="2"/>
  <c r="N291" i="2"/>
  <c r="K291" i="2"/>
  <c r="N290" i="2"/>
  <c r="K290" i="2"/>
  <c r="N289" i="2"/>
  <c r="K289" i="2"/>
  <c r="N288" i="2"/>
  <c r="K288" i="2"/>
  <c r="N287" i="2"/>
  <c r="K287" i="2"/>
  <c r="N286" i="2"/>
  <c r="K286" i="2"/>
  <c r="N285" i="2"/>
  <c r="K285" i="2"/>
  <c r="N284" i="2"/>
  <c r="K284" i="2"/>
  <c r="N283" i="2"/>
  <c r="K283" i="2"/>
  <c r="N282" i="2"/>
  <c r="K282" i="2"/>
  <c r="N281" i="2"/>
  <c r="K281" i="2"/>
  <c r="N280" i="2"/>
  <c r="K280" i="2"/>
  <c r="N279" i="2"/>
  <c r="K279" i="2"/>
  <c r="N278" i="2"/>
  <c r="K278" i="2"/>
  <c r="N277" i="2"/>
  <c r="K277" i="2"/>
  <c r="N276" i="2"/>
  <c r="K276" i="2"/>
  <c r="N275" i="2"/>
  <c r="K275" i="2"/>
  <c r="N274" i="2"/>
  <c r="K274" i="2"/>
  <c r="N273" i="2"/>
  <c r="K273" i="2"/>
  <c r="N272" i="2"/>
  <c r="K272" i="2"/>
  <c r="N271" i="2"/>
  <c r="K271" i="2"/>
  <c r="N270" i="2"/>
  <c r="K270" i="2"/>
  <c r="N269" i="2"/>
  <c r="K269" i="2"/>
  <c r="N268" i="2"/>
  <c r="K268" i="2"/>
  <c r="N267" i="2"/>
  <c r="K267" i="2"/>
  <c r="N266" i="2"/>
  <c r="K266" i="2"/>
  <c r="N265" i="2"/>
  <c r="K265" i="2"/>
  <c r="N264" i="2"/>
  <c r="K264" i="2"/>
  <c r="N263" i="2"/>
  <c r="K263" i="2"/>
  <c r="N262" i="2"/>
  <c r="K262" i="2"/>
  <c r="N261" i="2"/>
  <c r="K261" i="2"/>
  <c r="N260" i="2"/>
  <c r="K260" i="2"/>
  <c r="N259" i="2"/>
  <c r="K259" i="2"/>
  <c r="N258" i="2"/>
  <c r="K258" i="2"/>
  <c r="N257" i="2"/>
  <c r="K257" i="2"/>
  <c r="N256" i="2"/>
  <c r="K256" i="2"/>
  <c r="N255" i="2"/>
  <c r="K255" i="2"/>
  <c r="N254" i="2"/>
  <c r="K254" i="2"/>
  <c r="N253" i="2"/>
  <c r="K253" i="2"/>
  <c r="N252" i="2"/>
  <c r="K252" i="2"/>
  <c r="N251" i="2"/>
  <c r="K251" i="2"/>
  <c r="N250" i="2"/>
  <c r="K250" i="2"/>
  <c r="N249" i="2"/>
  <c r="K249" i="2"/>
  <c r="N248" i="2"/>
  <c r="K248" i="2"/>
  <c r="N247" i="2"/>
  <c r="K247" i="2"/>
  <c r="N246" i="2"/>
  <c r="K246" i="2"/>
  <c r="N245" i="2"/>
  <c r="K245" i="2"/>
  <c r="N244" i="2"/>
  <c r="K244" i="2"/>
  <c r="N243" i="2"/>
  <c r="K243" i="2"/>
  <c r="N242" i="2"/>
  <c r="K242" i="2"/>
  <c r="N241" i="2"/>
  <c r="K241" i="2"/>
  <c r="N240" i="2"/>
  <c r="K240" i="2"/>
  <c r="N239" i="2"/>
  <c r="K239" i="2"/>
  <c r="N238" i="2"/>
  <c r="K238" i="2"/>
  <c r="N237" i="2"/>
  <c r="K237" i="2"/>
  <c r="N236" i="2"/>
  <c r="K236" i="2"/>
  <c r="N235" i="2"/>
  <c r="K235" i="2"/>
  <c r="N234" i="2"/>
  <c r="K234" i="2"/>
  <c r="N233" i="2"/>
  <c r="K233" i="2"/>
  <c r="N232" i="2"/>
  <c r="K232" i="2"/>
  <c r="N231" i="2"/>
  <c r="K231" i="2"/>
  <c r="N230" i="2"/>
  <c r="K230" i="2"/>
  <c r="N229" i="2"/>
  <c r="K229" i="2"/>
  <c r="N228" i="2"/>
  <c r="K228" i="2"/>
  <c r="N227" i="2"/>
  <c r="K227" i="2"/>
  <c r="N226" i="2"/>
  <c r="K226" i="2"/>
  <c r="N225" i="2"/>
  <c r="K225" i="2"/>
  <c r="N224" i="2"/>
  <c r="K224" i="2"/>
  <c r="N223" i="2"/>
  <c r="K223" i="2"/>
  <c r="N222" i="2"/>
  <c r="K222" i="2"/>
  <c r="N221" i="2"/>
  <c r="K221" i="2"/>
  <c r="N220" i="2"/>
  <c r="K220" i="2"/>
  <c r="N219" i="2"/>
  <c r="K219" i="2"/>
  <c r="N218" i="2"/>
  <c r="K218" i="2"/>
  <c r="N217" i="2"/>
  <c r="K217" i="2"/>
  <c r="N216" i="2"/>
  <c r="K216" i="2"/>
  <c r="N215" i="2"/>
  <c r="K215" i="2"/>
  <c r="N214" i="2"/>
  <c r="K214" i="2"/>
  <c r="N213" i="2"/>
  <c r="K213" i="2"/>
  <c r="N212" i="2"/>
  <c r="K212" i="2"/>
  <c r="N211" i="2"/>
  <c r="K211" i="2"/>
  <c r="N210" i="2"/>
  <c r="K210" i="2"/>
  <c r="N209" i="2"/>
  <c r="K209" i="2"/>
  <c r="N208" i="2"/>
  <c r="K208" i="2"/>
  <c r="N207" i="2"/>
  <c r="K207" i="2"/>
  <c r="N206" i="2"/>
  <c r="K206" i="2"/>
  <c r="N205" i="2"/>
  <c r="K205" i="2"/>
  <c r="N204" i="2"/>
  <c r="K204" i="2"/>
  <c r="N203" i="2"/>
  <c r="K203" i="2"/>
  <c r="N202" i="2"/>
  <c r="K202" i="2"/>
  <c r="N201" i="2"/>
  <c r="K201" i="2"/>
  <c r="N200" i="2"/>
  <c r="K200" i="2"/>
  <c r="N199" i="2"/>
  <c r="K199" i="2"/>
  <c r="N198" i="2"/>
  <c r="K198" i="2"/>
  <c r="N197" i="2"/>
  <c r="K197" i="2"/>
  <c r="N196" i="2"/>
  <c r="K196" i="2"/>
  <c r="N195" i="2"/>
  <c r="K195" i="2"/>
  <c r="N194" i="2"/>
  <c r="K194" i="2"/>
  <c r="N193" i="2"/>
  <c r="K193" i="2"/>
  <c r="N192" i="2"/>
  <c r="K192" i="2"/>
  <c r="N191" i="2"/>
  <c r="K191" i="2"/>
  <c r="N190" i="2"/>
  <c r="K190" i="2"/>
  <c r="N189" i="2"/>
  <c r="K189" i="2"/>
  <c r="N188" i="2"/>
  <c r="K188" i="2"/>
  <c r="N187" i="2"/>
  <c r="K187" i="2"/>
  <c r="N186" i="2"/>
  <c r="K186" i="2"/>
  <c r="N185" i="2"/>
  <c r="K185" i="2"/>
  <c r="N184" i="2"/>
  <c r="K184" i="2"/>
  <c r="N183" i="2"/>
  <c r="K183" i="2"/>
  <c r="N182" i="2"/>
  <c r="K182" i="2"/>
  <c r="N181" i="2"/>
  <c r="K181" i="2"/>
  <c r="N180" i="2"/>
  <c r="K180" i="2"/>
  <c r="N179" i="2"/>
  <c r="K179" i="2"/>
  <c r="N178" i="2"/>
  <c r="K178" i="2"/>
  <c r="N177" i="2"/>
  <c r="K177" i="2"/>
  <c r="N176" i="2"/>
  <c r="K176" i="2"/>
  <c r="N175" i="2"/>
  <c r="K175" i="2"/>
  <c r="N174" i="2"/>
  <c r="K174" i="2"/>
  <c r="N173" i="2"/>
  <c r="K173" i="2"/>
  <c r="N172" i="2"/>
  <c r="K172" i="2"/>
  <c r="N171" i="2"/>
  <c r="K171" i="2"/>
  <c r="N170" i="2"/>
  <c r="K170" i="2"/>
  <c r="N169" i="2"/>
  <c r="K169" i="2"/>
  <c r="N168" i="2"/>
  <c r="K168" i="2"/>
  <c r="N167" i="2"/>
  <c r="K167" i="2"/>
  <c r="N166" i="2"/>
  <c r="K166" i="2"/>
  <c r="N165" i="2"/>
  <c r="K165" i="2"/>
  <c r="N164" i="2"/>
  <c r="K164" i="2"/>
  <c r="N163" i="2"/>
  <c r="K163" i="2"/>
  <c r="N162" i="2"/>
  <c r="K162" i="2"/>
  <c r="N161" i="2"/>
  <c r="K161" i="2"/>
  <c r="N160" i="2"/>
  <c r="K160" i="2"/>
  <c r="N159" i="2"/>
  <c r="K159" i="2"/>
  <c r="N158" i="2"/>
  <c r="K158" i="2"/>
  <c r="N157" i="2"/>
  <c r="K157" i="2"/>
  <c r="N156" i="2"/>
  <c r="K156" i="2"/>
  <c r="N155" i="2"/>
  <c r="K155" i="2"/>
  <c r="N154" i="2"/>
  <c r="K154" i="2"/>
  <c r="N153" i="2"/>
  <c r="K153" i="2"/>
  <c r="N152" i="2"/>
  <c r="K152" i="2"/>
  <c r="N151" i="2"/>
  <c r="K151" i="2"/>
  <c r="N150" i="2"/>
  <c r="K150" i="2"/>
  <c r="N149" i="2"/>
  <c r="K149" i="2"/>
  <c r="N148" i="2"/>
  <c r="K148" i="2"/>
  <c r="N147" i="2"/>
  <c r="K147" i="2"/>
  <c r="N146" i="2"/>
  <c r="K146" i="2"/>
  <c r="N145" i="2"/>
  <c r="K145" i="2"/>
  <c r="N144" i="2"/>
  <c r="K144" i="2"/>
  <c r="N143" i="2"/>
  <c r="K143" i="2"/>
  <c r="N142" i="2"/>
  <c r="K142" i="2"/>
  <c r="N141" i="2"/>
  <c r="K141" i="2"/>
  <c r="N140" i="2"/>
  <c r="K140" i="2"/>
  <c r="N139" i="2"/>
  <c r="K139" i="2"/>
  <c r="N138" i="2"/>
  <c r="K138" i="2"/>
  <c r="N137" i="2"/>
  <c r="K137" i="2"/>
  <c r="N136" i="2"/>
  <c r="K136" i="2"/>
  <c r="N135" i="2"/>
  <c r="K135" i="2"/>
  <c r="N134" i="2"/>
  <c r="K134" i="2"/>
  <c r="N133" i="2"/>
  <c r="K133" i="2"/>
  <c r="N132" i="2"/>
  <c r="K132" i="2"/>
  <c r="N131" i="2"/>
  <c r="K131" i="2"/>
  <c r="N130" i="2"/>
  <c r="K130" i="2"/>
  <c r="N129" i="2"/>
  <c r="K129" i="2"/>
  <c r="N128" i="2"/>
  <c r="K128" i="2"/>
  <c r="N127" i="2"/>
  <c r="K127" i="2"/>
  <c r="N126" i="2"/>
  <c r="K126" i="2"/>
  <c r="N125" i="2"/>
  <c r="K125" i="2"/>
  <c r="N124" i="2"/>
  <c r="K124" i="2"/>
  <c r="N123" i="2"/>
  <c r="K123" i="2"/>
  <c r="N122" i="2"/>
  <c r="K122" i="2"/>
  <c r="N121" i="2"/>
  <c r="K121" i="2"/>
  <c r="N120" i="2"/>
  <c r="K120" i="2"/>
  <c r="N119" i="2"/>
  <c r="K119" i="2"/>
  <c r="N118" i="2"/>
  <c r="K118" i="2"/>
  <c r="N117" i="2"/>
  <c r="K117" i="2"/>
  <c r="N116" i="2"/>
  <c r="K116" i="2"/>
  <c r="N115" i="2"/>
  <c r="K115" i="2"/>
  <c r="N114" i="2"/>
  <c r="K114" i="2"/>
  <c r="N113" i="2"/>
  <c r="K113" i="2"/>
  <c r="N112" i="2"/>
  <c r="K112" i="2"/>
  <c r="N111" i="2"/>
  <c r="K111" i="2"/>
  <c r="N110" i="2"/>
  <c r="K110" i="2"/>
  <c r="N109" i="2"/>
  <c r="K109" i="2"/>
  <c r="N108" i="2"/>
  <c r="K108" i="2"/>
  <c r="N107" i="2"/>
  <c r="K107" i="2"/>
  <c r="N106" i="2"/>
  <c r="K106" i="2"/>
  <c r="N105" i="2"/>
  <c r="K105" i="2"/>
  <c r="N104" i="2"/>
  <c r="K104" i="2"/>
  <c r="N103" i="2"/>
  <c r="K103" i="2"/>
  <c r="N102" i="2"/>
  <c r="K102" i="2"/>
  <c r="N101" i="2"/>
  <c r="K101" i="2"/>
  <c r="N100" i="2"/>
  <c r="K100" i="2"/>
  <c r="N99" i="2"/>
  <c r="K99" i="2"/>
  <c r="N98" i="2"/>
  <c r="K98" i="2"/>
  <c r="N97" i="2"/>
  <c r="K97" i="2"/>
  <c r="N96" i="2"/>
  <c r="K96" i="2"/>
  <c r="N95" i="2"/>
  <c r="K95" i="2"/>
  <c r="N94" i="2"/>
  <c r="K94" i="2"/>
  <c r="N93" i="2"/>
  <c r="K93" i="2"/>
  <c r="N92" i="2"/>
  <c r="K92" i="2"/>
  <c r="N91" i="2"/>
  <c r="K91" i="2"/>
  <c r="N90" i="2"/>
  <c r="K90" i="2"/>
  <c r="N89" i="2"/>
  <c r="K89" i="2"/>
  <c r="N88" i="2"/>
  <c r="K88" i="2"/>
  <c r="N87" i="2"/>
  <c r="K87" i="2"/>
  <c r="N86" i="2"/>
  <c r="K86" i="2"/>
  <c r="N85" i="2"/>
  <c r="K85" i="2"/>
  <c r="N84" i="2"/>
  <c r="K84" i="2"/>
  <c r="N83" i="2"/>
  <c r="K83" i="2"/>
  <c r="N82" i="2"/>
  <c r="K82" i="2"/>
  <c r="N81" i="2"/>
  <c r="K81" i="2"/>
  <c r="N80" i="2"/>
  <c r="K80" i="2"/>
  <c r="N79" i="2"/>
  <c r="K79" i="2"/>
  <c r="N78" i="2"/>
  <c r="K78" i="2"/>
  <c r="N77" i="2"/>
  <c r="K77" i="2"/>
  <c r="N76" i="2"/>
  <c r="K76" i="2"/>
  <c r="N75" i="2"/>
  <c r="K75" i="2"/>
  <c r="N74" i="2"/>
  <c r="K74" i="2"/>
  <c r="N73" i="2"/>
  <c r="K73" i="2"/>
  <c r="N72" i="2"/>
  <c r="K72" i="2"/>
  <c r="N71" i="2"/>
  <c r="K71" i="2"/>
  <c r="N70" i="2"/>
  <c r="K70" i="2"/>
  <c r="N69" i="2"/>
  <c r="K69" i="2"/>
  <c r="N68" i="2"/>
  <c r="K68" i="2"/>
  <c r="N67" i="2"/>
  <c r="K67" i="2"/>
  <c r="N66" i="2"/>
  <c r="K66" i="2"/>
  <c r="N65" i="2"/>
  <c r="K65" i="2"/>
  <c r="N64" i="2"/>
  <c r="K64" i="2"/>
  <c r="N63" i="2"/>
  <c r="K63" i="2"/>
  <c r="N62" i="2"/>
  <c r="K62" i="2"/>
  <c r="N61" i="2"/>
  <c r="K61" i="2"/>
  <c r="N60" i="2"/>
  <c r="K60" i="2"/>
  <c r="N59" i="2"/>
  <c r="K59" i="2"/>
  <c r="N58" i="2"/>
  <c r="K58" i="2"/>
  <c r="N57" i="2"/>
  <c r="K57" i="2"/>
  <c r="N56" i="2"/>
  <c r="K56" i="2"/>
  <c r="N55" i="2"/>
  <c r="K55" i="2"/>
  <c r="N54" i="2"/>
  <c r="K54" i="2"/>
  <c r="N53" i="2"/>
  <c r="K53" i="2"/>
  <c r="N52" i="2"/>
  <c r="K52" i="2"/>
  <c r="N51" i="2"/>
  <c r="K51" i="2"/>
  <c r="N50" i="2"/>
  <c r="K50" i="2"/>
  <c r="N49" i="2"/>
  <c r="K49" i="2"/>
  <c r="N48" i="2"/>
  <c r="K48" i="2"/>
  <c r="N47" i="2"/>
  <c r="K47" i="2"/>
  <c r="N46" i="2"/>
  <c r="K46" i="2"/>
  <c r="N45" i="2"/>
  <c r="K45" i="2"/>
  <c r="N44" i="2"/>
  <c r="K44" i="2"/>
  <c r="N43" i="2"/>
  <c r="K43" i="2"/>
  <c r="N42" i="2"/>
  <c r="K42" i="2"/>
  <c r="N41" i="2"/>
  <c r="K41" i="2"/>
  <c r="N40" i="2"/>
  <c r="K40" i="2"/>
  <c r="N39" i="2"/>
  <c r="K39" i="2"/>
  <c r="N38" i="2"/>
  <c r="K38" i="2"/>
  <c r="N37" i="2"/>
  <c r="K37" i="2"/>
  <c r="N36" i="2"/>
  <c r="K36" i="2"/>
  <c r="N35" i="2"/>
  <c r="K35" i="2"/>
  <c r="N34" i="2"/>
  <c r="K34" i="2"/>
  <c r="N33" i="2"/>
  <c r="K33" i="2"/>
  <c r="N32" i="2"/>
  <c r="K32" i="2"/>
  <c r="N31" i="2"/>
  <c r="K31" i="2"/>
  <c r="N30" i="2"/>
  <c r="K30" i="2"/>
  <c r="N29" i="2"/>
  <c r="K29" i="2"/>
  <c r="N28" i="2"/>
  <c r="K28" i="2"/>
  <c r="N27" i="2"/>
  <c r="K27" i="2"/>
  <c r="N26" i="2"/>
  <c r="K26" i="2"/>
  <c r="N25" i="2"/>
  <c r="K25" i="2"/>
  <c r="N24" i="2"/>
  <c r="K24" i="2"/>
  <c r="N23" i="2"/>
  <c r="K23" i="2"/>
  <c r="N22" i="2"/>
  <c r="K22" i="2"/>
  <c r="N21" i="2"/>
  <c r="K21" i="2"/>
  <c r="N20" i="2"/>
  <c r="K20" i="2"/>
  <c r="N19" i="2"/>
  <c r="K19" i="2"/>
  <c r="N18" i="2"/>
  <c r="K18" i="2"/>
  <c r="N17" i="2"/>
  <c r="K17" i="2"/>
  <c r="N16" i="2"/>
  <c r="K16" i="2"/>
  <c r="N15" i="2"/>
  <c r="K15" i="2"/>
  <c r="N14" i="2"/>
  <c r="K14" i="2"/>
  <c r="N13" i="2"/>
  <c r="K13" i="2"/>
  <c r="N12" i="2"/>
  <c r="K12" i="2"/>
  <c r="N11" i="2"/>
  <c r="K11" i="2"/>
  <c r="N10" i="2"/>
  <c r="K10" i="2"/>
  <c r="N9" i="2"/>
  <c r="K9" i="2"/>
  <c r="N8" i="2"/>
  <c r="K8" i="2"/>
  <c r="N7" i="2"/>
  <c r="K7" i="2"/>
  <c r="N6" i="2"/>
  <c r="K6" i="2"/>
  <c r="N5" i="2"/>
  <c r="K5" i="2"/>
  <c r="N4" i="2"/>
  <c r="K4" i="2"/>
  <c r="N3" i="2"/>
  <c r="K3" i="2"/>
  <c r="N2" i="2"/>
  <c r="K2"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B11" i="1" s="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B10"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2"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680"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1014" i="1"/>
  <c r="O1014" i="1" s="1"/>
  <c r="M1015" i="1"/>
  <c r="O1015" i="1" s="1"/>
  <c r="M1016" i="1"/>
  <c r="O1016" i="1" s="1"/>
  <c r="M1017" i="1"/>
  <c r="O1017" i="1" s="1"/>
  <c r="M1018" i="1"/>
  <c r="O1018" i="1" s="1"/>
  <c r="M1019" i="1"/>
  <c r="O1019" i="1" s="1"/>
  <c r="M1020" i="1"/>
  <c r="O1020" i="1" s="1"/>
  <c r="M1021" i="1"/>
  <c r="O1021" i="1" s="1"/>
  <c r="M1022" i="1"/>
  <c r="O1022" i="1" s="1"/>
  <c r="M1023" i="1"/>
  <c r="O1023" i="1" s="1"/>
  <c r="M1024" i="1"/>
  <c r="O1024" i="1" s="1"/>
  <c r="M1025" i="1"/>
  <c r="O1025" i="1" s="1"/>
  <c r="M1026" i="1"/>
  <c r="O1026" i="1" s="1"/>
  <c r="M1027" i="1"/>
  <c r="O1027" i="1" s="1"/>
  <c r="M1028" i="1"/>
  <c r="O1028" i="1" s="1"/>
  <c r="M1029" i="1"/>
  <c r="O1029" i="1" s="1"/>
  <c r="M1030" i="1"/>
  <c r="O1030" i="1" s="1"/>
  <c r="M1031" i="1"/>
  <c r="O1031" i="1" s="1"/>
  <c r="M1032" i="1"/>
  <c r="O1032" i="1" s="1"/>
  <c r="M1033" i="1"/>
  <c r="O1033" i="1" s="1"/>
  <c r="M1034" i="1"/>
  <c r="O1034" i="1" s="1"/>
  <c r="M1035" i="1"/>
  <c r="O1035" i="1" s="1"/>
  <c r="M1036" i="1"/>
  <c r="O1036" i="1" s="1"/>
  <c r="M1037" i="1"/>
  <c r="O1037" i="1" s="1"/>
  <c r="M1038" i="1"/>
  <c r="O1038" i="1" s="1"/>
  <c r="M1039" i="1"/>
  <c r="O1039" i="1" s="1"/>
  <c r="M1040" i="1"/>
  <c r="O1040" i="1" s="1"/>
  <c r="M1041" i="1"/>
  <c r="O1041" i="1" s="1"/>
  <c r="M1042" i="1"/>
  <c r="O1042" i="1" s="1"/>
  <c r="M1043" i="1"/>
  <c r="O1043" i="1" s="1"/>
  <c r="M1044" i="1"/>
  <c r="O1044" i="1" s="1"/>
  <c r="M1045" i="1"/>
  <c r="O1045" i="1" s="1"/>
  <c r="M1046" i="1"/>
  <c r="O1046" i="1" s="1"/>
  <c r="M1047" i="1"/>
  <c r="O1047" i="1" s="1"/>
  <c r="M1048" i="1"/>
  <c r="O1048" i="1" s="1"/>
  <c r="M1049" i="1"/>
  <c r="O1049" i="1" s="1"/>
  <c r="M1050" i="1"/>
  <c r="O1050" i="1" s="1"/>
  <c r="M1051" i="1"/>
  <c r="O1051" i="1" s="1"/>
  <c r="M1052" i="1"/>
  <c r="O1052" i="1" s="1"/>
  <c r="M1053" i="1"/>
  <c r="O1053" i="1" s="1"/>
  <c r="M1054" i="1"/>
  <c r="O1054" i="1" s="1"/>
  <c r="M1055" i="1"/>
  <c r="O1055" i="1" s="1"/>
  <c r="M1056" i="1"/>
  <c r="O1056" i="1" s="1"/>
  <c r="M1057" i="1"/>
  <c r="O1057" i="1" s="1"/>
  <c r="M1058" i="1"/>
  <c r="O1058" i="1" s="1"/>
  <c r="M1059" i="1"/>
  <c r="O1059" i="1" s="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44" i="1"/>
  <c r="M644" i="1" s="1"/>
  <c r="L645" i="1"/>
  <c r="M645" i="1" s="1"/>
  <c r="L646" i="1"/>
  <c r="M646" i="1" s="1"/>
  <c r="L647" i="1"/>
  <c r="M647" i="1" s="1"/>
  <c r="L648" i="1"/>
  <c r="M648" i="1" s="1"/>
  <c r="L649" i="1"/>
  <c r="M649" i="1" s="1"/>
  <c r="L650" i="1"/>
  <c r="M650"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L681" i="1"/>
  <c r="M681" i="1" s="1"/>
  <c r="L682" i="1"/>
  <c r="M682" i="1" s="1"/>
  <c r="L683" i="1"/>
  <c r="M683" i="1" s="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L860" i="1"/>
  <c r="M860" i="1" s="1"/>
  <c r="L861" i="1"/>
  <c r="M861" i="1" s="1"/>
  <c r="L862" i="1"/>
  <c r="M862" i="1" s="1"/>
  <c r="L863" i="1"/>
  <c r="M863" i="1" s="1"/>
  <c r="L864" i="1"/>
  <c r="M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L948" i="1"/>
  <c r="M948" i="1" s="1"/>
  <c r="L949" i="1"/>
  <c r="M949" i="1" s="1"/>
  <c r="L950" i="1"/>
  <c r="M950" i="1" s="1"/>
  <c r="L951" i="1"/>
  <c r="M951" i="1" s="1"/>
  <c r="L952" i="1"/>
  <c r="M952" i="1" s="1"/>
  <c r="L953" i="1"/>
  <c r="M953" i="1" s="1"/>
  <c r="L954" i="1"/>
  <c r="M954" i="1" s="1"/>
  <c r="L955" i="1"/>
  <c r="M955" i="1" s="1"/>
  <c r="L956" i="1"/>
  <c r="M956" i="1" s="1"/>
  <c r="L957" i="1"/>
  <c r="M957" i="1" s="1"/>
  <c r="L958" i="1"/>
  <c r="M958" i="1" s="1"/>
  <c r="L959" i="1"/>
  <c r="M959" i="1" s="1"/>
  <c r="L960" i="1"/>
  <c r="M960" i="1" s="1"/>
  <c r="L961" i="1"/>
  <c r="M961" i="1" s="1"/>
  <c r="L962" i="1"/>
  <c r="M962" i="1" s="1"/>
  <c r="L963" i="1"/>
  <c r="M963" i="1" s="1"/>
  <c r="L964" i="1"/>
  <c r="M964" i="1" s="1"/>
  <c r="L965" i="1"/>
  <c r="M965" i="1" s="1"/>
  <c r="L966" i="1"/>
  <c r="M966" i="1" s="1"/>
  <c r="L967" i="1"/>
  <c r="M967" i="1" s="1"/>
  <c r="L968" i="1"/>
  <c r="M968" i="1" s="1"/>
  <c r="L969" i="1"/>
  <c r="M969" i="1" s="1"/>
  <c r="L970" i="1"/>
  <c r="M970" i="1" s="1"/>
  <c r="L971" i="1"/>
  <c r="M971" i="1" s="1"/>
  <c r="L972" i="1"/>
  <c r="M972" i="1" s="1"/>
  <c r="L973" i="1"/>
  <c r="M973" i="1" s="1"/>
  <c r="L974" i="1"/>
  <c r="M974" i="1" s="1"/>
  <c r="L975" i="1"/>
  <c r="M975" i="1" s="1"/>
  <c r="L976" i="1"/>
  <c r="M976" i="1" s="1"/>
  <c r="L977" i="1"/>
  <c r="M977" i="1" s="1"/>
  <c r="L978" i="1"/>
  <c r="M978" i="1" s="1"/>
  <c r="L979" i="1"/>
  <c r="M979" i="1" s="1"/>
  <c r="L980" i="1"/>
  <c r="M980" i="1" s="1"/>
  <c r="L981" i="1"/>
  <c r="M981" i="1" s="1"/>
  <c r="L982" i="1"/>
  <c r="M982" i="1" s="1"/>
  <c r="L983" i="1"/>
  <c r="M983" i="1" s="1"/>
  <c r="L984" i="1"/>
  <c r="M984" i="1" s="1"/>
  <c r="L985" i="1"/>
  <c r="M985" i="1" s="1"/>
  <c r="L986" i="1"/>
  <c r="M986" i="1" s="1"/>
  <c r="L987" i="1"/>
  <c r="M987" i="1" s="1"/>
  <c r="L988" i="1"/>
  <c r="M988" i="1" s="1"/>
  <c r="L989" i="1"/>
  <c r="M989" i="1" s="1"/>
  <c r="L990" i="1"/>
  <c r="M990" i="1" s="1"/>
  <c r="L991" i="1"/>
  <c r="M991" i="1" s="1"/>
  <c r="L992" i="1"/>
  <c r="M992" i="1" s="1"/>
  <c r="L993" i="1"/>
  <c r="M993" i="1" s="1"/>
  <c r="L994" i="1"/>
  <c r="M994" i="1" s="1"/>
  <c r="L995" i="1"/>
  <c r="M995" i="1" s="1"/>
  <c r="L996" i="1"/>
  <c r="M996" i="1" s="1"/>
  <c r="L997" i="1"/>
  <c r="M997" i="1" s="1"/>
  <c r="L998" i="1"/>
  <c r="M998" i="1" s="1"/>
  <c r="L999" i="1"/>
  <c r="M999" i="1" s="1"/>
  <c r="L1000" i="1"/>
  <c r="M1000" i="1" s="1"/>
  <c r="L1001" i="1"/>
  <c r="M1001" i="1" s="1"/>
  <c r="L1002" i="1"/>
  <c r="M1002" i="1" s="1"/>
  <c r="L1003" i="1"/>
  <c r="M1003" i="1" s="1"/>
  <c r="L1004" i="1"/>
  <c r="M1004" i="1" s="1"/>
  <c r="L1005" i="1"/>
  <c r="M1005" i="1" s="1"/>
  <c r="L1006" i="1"/>
  <c r="M1006" i="1" s="1"/>
  <c r="L1007" i="1"/>
  <c r="M1007" i="1" s="1"/>
  <c r="L1008" i="1"/>
  <c r="M1008" i="1" s="1"/>
  <c r="L1009" i="1"/>
  <c r="M1009" i="1" s="1"/>
  <c r="L1010" i="1"/>
  <c r="M1010" i="1" s="1"/>
  <c r="L1011" i="1"/>
  <c r="M1011" i="1" s="1"/>
  <c r="L1012" i="1"/>
  <c r="M1012" i="1" s="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M1060" i="1" s="1"/>
  <c r="L1061" i="1"/>
  <c r="M1061" i="1" s="1"/>
  <c r="L1062" i="1"/>
  <c r="M1062" i="1" s="1"/>
  <c r="L1063" i="1"/>
  <c r="M1063" i="1" s="1"/>
  <c r="L1064" i="1"/>
  <c r="M1064" i="1" s="1"/>
  <c r="L1065" i="1"/>
  <c r="M1065" i="1" s="1"/>
  <c r="L1066" i="1"/>
  <c r="M1066" i="1" s="1"/>
  <c r="L1067" i="1"/>
  <c r="M1067" i="1" s="1"/>
  <c r="L1068" i="1"/>
  <c r="M1068" i="1" s="1"/>
  <c r="L1069" i="1"/>
  <c r="M1069" i="1" s="1"/>
  <c r="L1070" i="1"/>
  <c r="M1070" i="1" s="1"/>
  <c r="L1071" i="1"/>
  <c r="M1071" i="1" s="1"/>
  <c r="L1072" i="1"/>
  <c r="M1072" i="1" s="1"/>
  <c r="L1073" i="1"/>
  <c r="M1073" i="1" s="1"/>
  <c r="L1074" i="1"/>
  <c r="M1074" i="1" s="1"/>
  <c r="L1075" i="1"/>
  <c r="M1075" i="1" s="1"/>
  <c r="L1076" i="1"/>
  <c r="M1076" i="1" s="1"/>
  <c r="L1077" i="1"/>
  <c r="M1077" i="1" s="1"/>
  <c r="L1078" i="1"/>
  <c r="M1078" i="1" s="1"/>
  <c r="L1079" i="1"/>
  <c r="M1079" i="1" s="1"/>
  <c r="L1080" i="1"/>
  <c r="M1080" i="1" s="1"/>
  <c r="L1081" i="1"/>
  <c r="M1081" i="1" s="1"/>
  <c r="L1082" i="1"/>
  <c r="M1082" i="1" s="1"/>
  <c r="L1083" i="1"/>
  <c r="M1083" i="1" s="1"/>
  <c r="L1084" i="1"/>
  <c r="M1084" i="1" s="1"/>
  <c r="L1085" i="1"/>
  <c r="M1085" i="1" s="1"/>
  <c r="L1086" i="1"/>
  <c r="M1086" i="1" s="1"/>
  <c r="L1087" i="1"/>
  <c r="M1087" i="1" s="1"/>
  <c r="L1088" i="1"/>
  <c r="M1088" i="1" s="1"/>
  <c r="L1089" i="1"/>
  <c r="M1089" i="1" s="1"/>
  <c r="L1090" i="1"/>
  <c r="M1090" i="1" s="1"/>
  <c r="L1091" i="1"/>
  <c r="M1091" i="1" s="1"/>
  <c r="L1092" i="1"/>
  <c r="M1092" i="1" s="1"/>
  <c r="L1093" i="1"/>
  <c r="M1093" i="1" s="1"/>
  <c r="L1094" i="1"/>
  <c r="M1094" i="1" s="1"/>
  <c r="L1095" i="1"/>
  <c r="M1095" i="1" s="1"/>
  <c r="L1096" i="1"/>
  <c r="M1096" i="1" s="1"/>
  <c r="L1097" i="1"/>
  <c r="M1097" i="1" s="1"/>
  <c r="L1098" i="1"/>
  <c r="M1098" i="1" s="1"/>
  <c r="L1099" i="1"/>
  <c r="M1099" i="1" s="1"/>
  <c r="L1100" i="1"/>
  <c r="M1100" i="1" s="1"/>
  <c r="L1101" i="1"/>
  <c r="M1101" i="1" s="1"/>
  <c r="L1102" i="1"/>
  <c r="M1102" i="1" s="1"/>
  <c r="L1103" i="1"/>
  <c r="M1103" i="1" s="1"/>
  <c r="L1104" i="1"/>
  <c r="M1104" i="1" s="1"/>
  <c r="L1105" i="1"/>
  <c r="M1105" i="1" s="1"/>
  <c r="L1106" i="1"/>
  <c r="M1106" i="1" s="1"/>
  <c r="L1107" i="1"/>
  <c r="M1107" i="1" s="1"/>
  <c r="L1108" i="1"/>
  <c r="M1108" i="1" s="1"/>
  <c r="L1109" i="1"/>
  <c r="M1109" i="1" s="1"/>
  <c r="L1110" i="1"/>
  <c r="M1110" i="1" s="1"/>
  <c r="L1111" i="1"/>
  <c r="M1111" i="1" s="1"/>
  <c r="L1112" i="1"/>
  <c r="M1112" i="1" s="1"/>
  <c r="L1113" i="1"/>
  <c r="M1113" i="1" s="1"/>
  <c r="L1114" i="1"/>
  <c r="M1114" i="1" s="1"/>
  <c r="L1115" i="1"/>
  <c r="M1115" i="1" s="1"/>
  <c r="L1116" i="1"/>
  <c r="M1116" i="1" s="1"/>
  <c r="L1117" i="1"/>
  <c r="M1117" i="1" s="1"/>
  <c r="L1118" i="1"/>
  <c r="M1118" i="1" s="1"/>
  <c r="L1119" i="1"/>
  <c r="M1119" i="1" s="1"/>
  <c r="L1120" i="1"/>
  <c r="M1120" i="1" s="1"/>
  <c r="L1121" i="1"/>
  <c r="M1121" i="1" s="1"/>
  <c r="L1122" i="1"/>
  <c r="M1122" i="1" s="1"/>
  <c r="L1123" i="1"/>
  <c r="M1123" i="1" s="1"/>
  <c r="L1124" i="1"/>
  <c r="M1124" i="1" s="1"/>
  <c r="L1125" i="1"/>
  <c r="M1125" i="1" s="1"/>
  <c r="L1126" i="1"/>
  <c r="M1126" i="1" s="1"/>
  <c r="L1127" i="1"/>
  <c r="M1127" i="1" s="1"/>
  <c r="L1128" i="1"/>
  <c r="M1128" i="1" s="1"/>
  <c r="L1129" i="1"/>
  <c r="M1129" i="1" s="1"/>
  <c r="L1130" i="1"/>
  <c r="M1130" i="1" s="1"/>
  <c r="L1131" i="1"/>
  <c r="M1131" i="1" s="1"/>
  <c r="L1132" i="1"/>
  <c r="M1132" i="1" s="1"/>
  <c r="L1133" i="1"/>
  <c r="M1133" i="1" s="1"/>
  <c r="L1134" i="1"/>
  <c r="M1134" i="1" s="1"/>
  <c r="L1135" i="1"/>
  <c r="M1135" i="1" s="1"/>
  <c r="L1136" i="1"/>
  <c r="M1136" i="1" s="1"/>
  <c r="L1137" i="1"/>
  <c r="M1137" i="1" s="1"/>
  <c r="L1138" i="1"/>
  <c r="M1138" i="1" s="1"/>
  <c r="L1139" i="1"/>
  <c r="M1139" i="1" s="1"/>
  <c r="L1140" i="1"/>
  <c r="M1140" i="1" s="1"/>
  <c r="L1141" i="1"/>
  <c r="M1141" i="1" s="1"/>
  <c r="L1142" i="1"/>
  <c r="M1142" i="1" s="1"/>
  <c r="L1143" i="1"/>
  <c r="M1143" i="1" s="1"/>
  <c r="L1144" i="1"/>
  <c r="M1144" i="1" s="1"/>
  <c r="L1145" i="1"/>
  <c r="M1145" i="1" s="1"/>
  <c r="L1146" i="1"/>
  <c r="M1146" i="1" s="1"/>
  <c r="L1147" i="1"/>
  <c r="M1147" i="1" s="1"/>
  <c r="L1148" i="1"/>
  <c r="M1148" i="1" s="1"/>
  <c r="L1149" i="1"/>
  <c r="M1149" i="1" s="1"/>
  <c r="L1150" i="1"/>
  <c r="M1150" i="1" s="1"/>
  <c r="L1151" i="1"/>
  <c r="M1151" i="1" s="1"/>
  <c r="L1152" i="1"/>
  <c r="M1152" i="1" s="1"/>
  <c r="L1153" i="1"/>
  <c r="M1153" i="1" s="1"/>
  <c r="L1154" i="1"/>
  <c r="M1154" i="1" s="1"/>
  <c r="L1155" i="1"/>
  <c r="M1155" i="1" s="1"/>
  <c r="L1156" i="1"/>
  <c r="M1156" i="1" s="1"/>
  <c r="L1157" i="1"/>
  <c r="M1157" i="1" s="1"/>
  <c r="L1158" i="1"/>
  <c r="M1158" i="1" s="1"/>
  <c r="L1159" i="1"/>
  <c r="M1159" i="1" s="1"/>
  <c r="L1160" i="1"/>
  <c r="M1160" i="1" s="1"/>
  <c r="L1161" i="1"/>
  <c r="M1161" i="1" s="1"/>
  <c r="L1162" i="1"/>
  <c r="M1162" i="1" s="1"/>
  <c r="L1163" i="1"/>
  <c r="M1163" i="1" s="1"/>
  <c r="L1164" i="1"/>
  <c r="M1164" i="1" s="1"/>
  <c r="L1165" i="1"/>
  <c r="M1165" i="1" s="1"/>
  <c r="L1166" i="1"/>
  <c r="M1166" i="1" s="1"/>
  <c r="L1167" i="1"/>
  <c r="M1167" i="1" s="1"/>
  <c r="L1168" i="1"/>
  <c r="M1168" i="1" s="1"/>
  <c r="L1169" i="1"/>
  <c r="M1169" i="1" s="1"/>
  <c r="L1170" i="1"/>
  <c r="M1170" i="1" s="1"/>
  <c r="L1171" i="1"/>
  <c r="M1171" i="1" s="1"/>
  <c r="L1172" i="1"/>
  <c r="M1172" i="1" s="1"/>
  <c r="L1173" i="1"/>
  <c r="M1173" i="1" s="1"/>
  <c r="L1174" i="1"/>
  <c r="M1174" i="1" s="1"/>
  <c r="L1175" i="1"/>
  <c r="M1175" i="1" s="1"/>
  <c r="L1176" i="1"/>
  <c r="M1176" i="1" s="1"/>
  <c r="L1177" i="1"/>
  <c r="M1177" i="1" s="1"/>
  <c r="L1178" i="1"/>
  <c r="M1178" i="1" s="1"/>
  <c r="L1179" i="1"/>
  <c r="M1179" i="1" s="1"/>
  <c r="L1180" i="1"/>
  <c r="M1180" i="1" s="1"/>
  <c r="L1181" i="1"/>
  <c r="M1181" i="1" s="1"/>
  <c r="L1182" i="1"/>
  <c r="M1182" i="1" s="1"/>
  <c r="L1183" i="1"/>
  <c r="M1183" i="1" s="1"/>
  <c r="L1184" i="1"/>
  <c r="M1184" i="1" s="1"/>
  <c r="L1185" i="1"/>
  <c r="M1185" i="1" s="1"/>
  <c r="L1186" i="1"/>
  <c r="M1186" i="1" s="1"/>
  <c r="L1187" i="1"/>
  <c r="M1187" i="1" s="1"/>
  <c r="L1188" i="1"/>
  <c r="M1188" i="1" s="1"/>
  <c r="L1189" i="1"/>
  <c r="M1189" i="1" s="1"/>
  <c r="L1190" i="1"/>
  <c r="M1190" i="1" s="1"/>
  <c r="L1191" i="1"/>
  <c r="M1191" i="1" s="1"/>
  <c r="L1192" i="1"/>
  <c r="M1192" i="1" s="1"/>
  <c r="L1193" i="1"/>
  <c r="M1193" i="1" s="1"/>
  <c r="L1194" i="1"/>
  <c r="M1194" i="1" s="1"/>
  <c r="L1195" i="1"/>
  <c r="M1195" i="1" s="1"/>
  <c r="L1196" i="1"/>
  <c r="M1196" i="1" s="1"/>
  <c r="L1197" i="1"/>
  <c r="M1197" i="1" s="1"/>
  <c r="L1198" i="1"/>
  <c r="M1198" i="1" s="1"/>
  <c r="L1199" i="1"/>
  <c r="M1199" i="1" s="1"/>
  <c r="L1200" i="1"/>
  <c r="M1200" i="1" s="1"/>
  <c r="L1201" i="1"/>
  <c r="M1201" i="1" s="1"/>
  <c r="L1202" i="1"/>
  <c r="M1202" i="1" s="1"/>
  <c r="L1203" i="1"/>
  <c r="M1203" i="1" s="1"/>
  <c r="L1204" i="1"/>
  <c r="M1204" i="1" s="1"/>
  <c r="L1205" i="1"/>
  <c r="M1205" i="1" s="1"/>
  <c r="L1206" i="1"/>
  <c r="M1206" i="1" s="1"/>
  <c r="L1207" i="1"/>
  <c r="M1207" i="1" s="1"/>
  <c r="L1208" i="1"/>
  <c r="M1208" i="1" s="1"/>
  <c r="L1209" i="1"/>
  <c r="M1209" i="1" s="1"/>
  <c r="L1210" i="1"/>
  <c r="M1210" i="1" s="1"/>
  <c r="L1211" i="1"/>
  <c r="M1211" i="1" s="1"/>
  <c r="L1212" i="1"/>
  <c r="M1212" i="1" s="1"/>
  <c r="L1213" i="1"/>
  <c r="M1213" i="1" s="1"/>
  <c r="L1214" i="1"/>
  <c r="M1214" i="1" s="1"/>
  <c r="L1215" i="1"/>
  <c r="M1215" i="1" s="1"/>
  <c r="L1216" i="1"/>
  <c r="M1216" i="1" s="1"/>
  <c r="L1217" i="1"/>
  <c r="M1217" i="1" s="1"/>
  <c r="L1218" i="1"/>
  <c r="M1218" i="1" s="1"/>
  <c r="L1219" i="1"/>
  <c r="M1219" i="1" s="1"/>
  <c r="L1220" i="1"/>
  <c r="M1220" i="1" s="1"/>
  <c r="L1221" i="1"/>
  <c r="M1221" i="1" s="1"/>
  <c r="L1222" i="1"/>
  <c r="M1222" i="1" s="1"/>
  <c r="L1223" i="1"/>
  <c r="M1223" i="1" s="1"/>
  <c r="L1224" i="1"/>
  <c r="M1224" i="1" s="1"/>
  <c r="L1225" i="1"/>
  <c r="M1225" i="1" s="1"/>
  <c r="L1226" i="1"/>
  <c r="M1226" i="1" s="1"/>
  <c r="L1227" i="1"/>
  <c r="M1227" i="1" s="1"/>
  <c r="L1228" i="1"/>
  <c r="M1228" i="1" s="1"/>
  <c r="L1229" i="1"/>
  <c r="M1229" i="1" s="1"/>
  <c r="L1230" i="1"/>
  <c r="M1230" i="1" s="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M1347" i="1" s="1"/>
  <c r="L1348" i="1"/>
  <c r="M1348" i="1" s="1"/>
  <c r="L1349" i="1"/>
  <c r="M1349" i="1" s="1"/>
  <c r="L2" i="1"/>
  <c r="M2" i="1" s="1"/>
  <c r="K3" i="1"/>
  <c r="L3" i="1" s="1"/>
  <c r="M3" i="1" s="1"/>
  <c r="K4" i="1"/>
  <c r="L4" i="1" s="1"/>
  <c r="M4" i="1" s="1"/>
  <c r="K5" i="1"/>
  <c r="L5" i="1" s="1"/>
  <c r="M5" i="1" s="1"/>
  <c r="K6" i="1"/>
  <c r="L6" i="1" s="1"/>
  <c r="M6" i="1" s="1"/>
  <c r="K7" i="1"/>
  <c r="L7" i="1" s="1"/>
  <c r="M7" i="1" s="1"/>
  <c r="K8" i="1"/>
  <c r="L8" i="1" s="1"/>
  <c r="M8" i="1" s="1"/>
  <c r="K9" i="1"/>
  <c r="L9" i="1" s="1"/>
  <c r="M9" i="1" s="1"/>
  <c r="K10" i="1"/>
  <c r="L10" i="1" s="1"/>
  <c r="M10" i="1" s="1"/>
  <c r="K11" i="1"/>
  <c r="L11" i="1" s="1"/>
  <c r="M11" i="1" s="1"/>
  <c r="K12" i="1"/>
  <c r="L12" i="1" s="1"/>
  <c r="M12" i="1" s="1"/>
  <c r="K13" i="1"/>
  <c r="L13" i="1" s="1"/>
  <c r="M13" i="1" s="1"/>
  <c r="K14" i="1"/>
  <c r="L14" i="1" s="1"/>
  <c r="M14" i="1" s="1"/>
  <c r="K15" i="1"/>
  <c r="L15" i="1" s="1"/>
  <c r="M15" i="1" s="1"/>
  <c r="K16" i="1"/>
  <c r="L16" i="1" s="1"/>
  <c r="M16" i="1" s="1"/>
  <c r="K17" i="1"/>
  <c r="L17" i="1" s="1"/>
  <c r="M17" i="1" s="1"/>
  <c r="K18" i="1"/>
  <c r="L18" i="1" s="1"/>
  <c r="M18" i="1" s="1"/>
  <c r="K19" i="1"/>
  <c r="L19" i="1" s="1"/>
  <c r="M19" i="1" s="1"/>
  <c r="K20" i="1"/>
  <c r="L20" i="1" s="1"/>
  <c r="M20" i="1" s="1"/>
  <c r="K21" i="1"/>
  <c r="L21" i="1" s="1"/>
  <c r="M21" i="1" s="1"/>
  <c r="K22" i="1"/>
  <c r="L22" i="1" s="1"/>
  <c r="M22" i="1" s="1"/>
  <c r="K23" i="1"/>
  <c r="L23" i="1" s="1"/>
  <c r="M23" i="1" s="1"/>
  <c r="K24" i="1"/>
  <c r="L24" i="1" s="1"/>
  <c r="M24" i="1" s="1"/>
  <c r="K25" i="1"/>
  <c r="L25" i="1" s="1"/>
  <c r="M25" i="1" s="1"/>
  <c r="K26" i="1"/>
  <c r="L26" i="1" s="1"/>
  <c r="M26" i="1" s="1"/>
  <c r="K27" i="1"/>
  <c r="L27" i="1" s="1"/>
  <c r="M27" i="1" s="1"/>
  <c r="K28" i="1"/>
  <c r="L28" i="1" s="1"/>
  <c r="M28" i="1" s="1"/>
  <c r="K29" i="1"/>
  <c r="L29" i="1" s="1"/>
  <c r="M29" i="1" s="1"/>
  <c r="K30" i="1"/>
  <c r="L30" i="1" s="1"/>
  <c r="M30" i="1" s="1"/>
  <c r="K31" i="1"/>
  <c r="L31" i="1" s="1"/>
  <c r="M31" i="1" s="1"/>
  <c r="K32" i="1"/>
  <c r="L32" i="1" s="1"/>
  <c r="M32" i="1" s="1"/>
  <c r="K33" i="1"/>
  <c r="L33" i="1" s="1"/>
  <c r="M33" i="1" s="1"/>
  <c r="K34" i="1"/>
  <c r="L34" i="1" s="1"/>
  <c r="M34" i="1" s="1"/>
  <c r="K35" i="1"/>
  <c r="L35" i="1" s="1"/>
  <c r="M35" i="1" s="1"/>
  <c r="K36" i="1"/>
  <c r="L36" i="1" s="1"/>
  <c r="M36" i="1" s="1"/>
  <c r="K37" i="1"/>
  <c r="L37" i="1" s="1"/>
  <c r="M37" i="1" s="1"/>
  <c r="K38" i="1"/>
  <c r="L38" i="1" s="1"/>
  <c r="M38" i="1" s="1"/>
  <c r="K39" i="1"/>
  <c r="L39" i="1" s="1"/>
  <c r="M39" i="1" s="1"/>
  <c r="K40" i="1"/>
  <c r="L40" i="1" s="1"/>
  <c r="M40" i="1" s="1"/>
  <c r="K41" i="1"/>
  <c r="L41" i="1" s="1"/>
  <c r="M41" i="1" s="1"/>
  <c r="K42" i="1"/>
  <c r="L42" i="1" s="1"/>
  <c r="M42" i="1" s="1"/>
  <c r="K43" i="1"/>
  <c r="L43" i="1" s="1"/>
  <c r="M43" i="1" s="1"/>
  <c r="K44" i="1"/>
  <c r="L44" i="1" s="1"/>
  <c r="M44" i="1" s="1"/>
  <c r="K45" i="1"/>
  <c r="L45" i="1" s="1"/>
  <c r="M45" i="1" s="1"/>
  <c r="K46" i="1"/>
  <c r="L46" i="1" s="1"/>
  <c r="M46" i="1" s="1"/>
  <c r="K47" i="1"/>
  <c r="L47" i="1" s="1"/>
  <c r="M47" i="1" s="1"/>
  <c r="K48" i="1"/>
  <c r="L48" i="1" s="1"/>
  <c r="M48" i="1" s="1"/>
  <c r="K49" i="1"/>
  <c r="L49" i="1" s="1"/>
  <c r="M49" i="1" s="1"/>
  <c r="K50" i="1"/>
  <c r="L50" i="1" s="1"/>
  <c r="M50" i="1" s="1"/>
  <c r="K51" i="1"/>
  <c r="L51" i="1" s="1"/>
  <c r="M51" i="1" s="1"/>
  <c r="K52" i="1"/>
  <c r="L52" i="1" s="1"/>
  <c r="M52" i="1" s="1"/>
  <c r="K53" i="1"/>
  <c r="L53" i="1" s="1"/>
  <c r="M53" i="1" s="1"/>
  <c r="K54" i="1"/>
  <c r="L54" i="1" s="1"/>
  <c r="M54" i="1" s="1"/>
  <c r="K55" i="1"/>
  <c r="L55" i="1" s="1"/>
  <c r="M55" i="1" s="1"/>
  <c r="K56" i="1"/>
  <c r="L56" i="1" s="1"/>
  <c r="M56" i="1" s="1"/>
  <c r="K57" i="1"/>
  <c r="L57" i="1" s="1"/>
  <c r="M57" i="1" s="1"/>
  <c r="K58" i="1"/>
  <c r="L58" i="1" s="1"/>
  <c r="M58" i="1" s="1"/>
  <c r="K59" i="1"/>
  <c r="L59" i="1" s="1"/>
  <c r="M59" i="1" s="1"/>
  <c r="K60" i="1"/>
  <c r="L60" i="1" s="1"/>
  <c r="M60" i="1" s="1"/>
  <c r="K61" i="1"/>
  <c r="L61" i="1" s="1"/>
  <c r="M61" i="1" s="1"/>
  <c r="K62" i="1"/>
  <c r="L62" i="1" s="1"/>
  <c r="M62" i="1" s="1"/>
  <c r="K63" i="1"/>
  <c r="L63" i="1" s="1"/>
  <c r="M63" i="1" s="1"/>
  <c r="K64" i="1"/>
  <c r="L64" i="1" s="1"/>
  <c r="M64" i="1" s="1"/>
  <c r="K65" i="1"/>
  <c r="L65" i="1" s="1"/>
  <c r="M65" i="1" s="1"/>
  <c r="K66" i="1"/>
  <c r="L66" i="1" s="1"/>
  <c r="M66" i="1" s="1"/>
  <c r="K67" i="1"/>
  <c r="L67" i="1" s="1"/>
  <c r="M67" i="1" s="1"/>
  <c r="K68" i="1"/>
  <c r="L68" i="1" s="1"/>
  <c r="M68" i="1" s="1"/>
  <c r="K69" i="1"/>
  <c r="L69" i="1" s="1"/>
  <c r="M69" i="1" s="1"/>
  <c r="K70" i="1"/>
  <c r="L70" i="1" s="1"/>
  <c r="M70" i="1" s="1"/>
  <c r="K71" i="1"/>
  <c r="L71" i="1" s="1"/>
  <c r="M71" i="1" s="1"/>
  <c r="K72" i="1"/>
  <c r="L72" i="1" s="1"/>
  <c r="M72" i="1" s="1"/>
  <c r="K73" i="1"/>
  <c r="L73" i="1" s="1"/>
  <c r="M73" i="1" s="1"/>
  <c r="K74" i="1"/>
  <c r="L74" i="1" s="1"/>
  <c r="M74" i="1" s="1"/>
  <c r="K75" i="1"/>
  <c r="L75" i="1" s="1"/>
  <c r="M75" i="1" s="1"/>
  <c r="K76" i="1"/>
  <c r="L76" i="1" s="1"/>
  <c r="M76" i="1" s="1"/>
  <c r="K77" i="1"/>
  <c r="L77" i="1" s="1"/>
  <c r="M77" i="1" s="1"/>
  <c r="K78" i="1"/>
  <c r="L78" i="1" s="1"/>
  <c r="M78" i="1" s="1"/>
  <c r="K79" i="1"/>
  <c r="L79" i="1" s="1"/>
  <c r="M79" i="1" s="1"/>
  <c r="K80" i="1"/>
  <c r="L80" i="1" s="1"/>
  <c r="M80" i="1" s="1"/>
  <c r="K81" i="1"/>
  <c r="L81" i="1" s="1"/>
  <c r="M81" i="1" s="1"/>
  <c r="K82" i="1"/>
  <c r="L82" i="1" s="1"/>
  <c r="M82" i="1" s="1"/>
  <c r="K83" i="1"/>
  <c r="L83" i="1" s="1"/>
  <c r="M83" i="1" s="1"/>
  <c r="K84" i="1"/>
  <c r="L84" i="1" s="1"/>
  <c r="M84" i="1" s="1"/>
  <c r="K85" i="1"/>
  <c r="L85" i="1" s="1"/>
  <c r="M85" i="1" s="1"/>
  <c r="K86" i="1"/>
  <c r="L86" i="1" s="1"/>
  <c r="M86" i="1" s="1"/>
  <c r="K87" i="1"/>
  <c r="L87" i="1" s="1"/>
  <c r="M87" i="1" s="1"/>
  <c r="K88" i="1"/>
  <c r="L88" i="1" s="1"/>
  <c r="M88" i="1" s="1"/>
  <c r="K89" i="1"/>
  <c r="L89" i="1" s="1"/>
  <c r="M89" i="1" s="1"/>
  <c r="K90" i="1"/>
  <c r="L90" i="1" s="1"/>
  <c r="M90" i="1" s="1"/>
  <c r="K91" i="1"/>
  <c r="L91" i="1" s="1"/>
  <c r="M91" i="1" s="1"/>
  <c r="K92" i="1"/>
  <c r="L92" i="1" s="1"/>
  <c r="M92" i="1" s="1"/>
  <c r="K93" i="1"/>
  <c r="L93" i="1" s="1"/>
  <c r="M93" i="1" s="1"/>
  <c r="K94" i="1"/>
  <c r="L94" i="1" s="1"/>
  <c r="M94" i="1" s="1"/>
  <c r="K95" i="1"/>
  <c r="L95" i="1" s="1"/>
  <c r="M95" i="1" s="1"/>
  <c r="K96" i="1"/>
  <c r="L96" i="1" s="1"/>
  <c r="M96" i="1" s="1"/>
  <c r="K97" i="1"/>
  <c r="L97" i="1" s="1"/>
  <c r="M97" i="1" s="1"/>
  <c r="K98" i="1"/>
  <c r="L98" i="1" s="1"/>
  <c r="M98" i="1" s="1"/>
  <c r="K99" i="1"/>
  <c r="L99" i="1" s="1"/>
  <c r="M99" i="1" s="1"/>
  <c r="K100" i="1"/>
  <c r="L100" i="1" s="1"/>
  <c r="M100" i="1" s="1"/>
  <c r="K101" i="1"/>
  <c r="L101" i="1" s="1"/>
  <c r="M101" i="1" s="1"/>
  <c r="K102" i="1"/>
  <c r="L102" i="1" s="1"/>
  <c r="M102" i="1" s="1"/>
  <c r="K103" i="1"/>
  <c r="L103" i="1" s="1"/>
  <c r="M103" i="1" s="1"/>
  <c r="K104" i="1"/>
  <c r="L104" i="1" s="1"/>
  <c r="M104" i="1" s="1"/>
  <c r="K105" i="1"/>
  <c r="L105" i="1" s="1"/>
  <c r="M105" i="1" s="1"/>
  <c r="K106" i="1"/>
  <c r="L106" i="1" s="1"/>
  <c r="M106" i="1" s="1"/>
  <c r="K107" i="1"/>
  <c r="L107" i="1" s="1"/>
  <c r="M107" i="1" s="1"/>
  <c r="K108" i="1"/>
  <c r="L108" i="1" s="1"/>
  <c r="M108" i="1" s="1"/>
  <c r="K109" i="1"/>
  <c r="L109" i="1" s="1"/>
  <c r="M109" i="1" s="1"/>
  <c r="K110" i="1"/>
  <c r="L110" i="1" s="1"/>
  <c r="M110" i="1" s="1"/>
  <c r="K111" i="1"/>
  <c r="L111" i="1" s="1"/>
  <c r="M111" i="1" s="1"/>
  <c r="K112" i="1"/>
  <c r="L112" i="1" s="1"/>
  <c r="M112" i="1" s="1"/>
  <c r="K113" i="1"/>
  <c r="L113" i="1" s="1"/>
  <c r="M113" i="1" s="1"/>
  <c r="K114" i="1"/>
  <c r="L114" i="1" s="1"/>
  <c r="M114" i="1" s="1"/>
  <c r="K115" i="1"/>
  <c r="L115" i="1" s="1"/>
  <c r="M115" i="1" s="1"/>
  <c r="K116" i="1"/>
  <c r="L116" i="1" s="1"/>
  <c r="M116" i="1" s="1"/>
  <c r="K117" i="1"/>
  <c r="L117" i="1" s="1"/>
  <c r="M117" i="1" s="1"/>
  <c r="K118" i="1"/>
  <c r="L118" i="1" s="1"/>
  <c r="M118" i="1" s="1"/>
  <c r="K119" i="1"/>
  <c r="L119" i="1" s="1"/>
  <c r="M119" i="1" s="1"/>
  <c r="K120" i="1"/>
  <c r="L120" i="1" s="1"/>
  <c r="M120" i="1" s="1"/>
  <c r="K121" i="1"/>
  <c r="L121" i="1" s="1"/>
  <c r="M121" i="1" s="1"/>
  <c r="K122" i="1"/>
  <c r="L122" i="1" s="1"/>
  <c r="M122" i="1" s="1"/>
  <c r="K123" i="1"/>
  <c r="L123" i="1" s="1"/>
  <c r="M123" i="1" s="1"/>
  <c r="K124" i="1"/>
  <c r="L124" i="1" s="1"/>
  <c r="M124" i="1" s="1"/>
  <c r="K125" i="1"/>
  <c r="L125" i="1" s="1"/>
  <c r="M125" i="1" s="1"/>
  <c r="K126" i="1"/>
  <c r="L126" i="1" s="1"/>
  <c r="M126" i="1" s="1"/>
  <c r="K127" i="1"/>
  <c r="L127" i="1" s="1"/>
  <c r="M127" i="1" s="1"/>
  <c r="K128" i="1"/>
  <c r="L128" i="1" s="1"/>
  <c r="M128" i="1" s="1"/>
  <c r="K129" i="1"/>
  <c r="L129" i="1" s="1"/>
  <c r="M129" i="1" s="1"/>
  <c r="K130" i="1"/>
  <c r="L130" i="1" s="1"/>
  <c r="M130" i="1" s="1"/>
  <c r="K131" i="1"/>
  <c r="L131" i="1" s="1"/>
  <c r="M131" i="1" s="1"/>
  <c r="K132" i="1"/>
  <c r="L132" i="1" s="1"/>
  <c r="M132" i="1" s="1"/>
  <c r="K133" i="1"/>
  <c r="L133" i="1" s="1"/>
  <c r="M133" i="1" s="1"/>
  <c r="K134" i="1"/>
  <c r="L134" i="1" s="1"/>
  <c r="M134" i="1" s="1"/>
  <c r="K135" i="1"/>
  <c r="L135" i="1" s="1"/>
  <c r="M135" i="1" s="1"/>
  <c r="K136" i="1"/>
  <c r="L136" i="1" s="1"/>
  <c r="M136" i="1" s="1"/>
  <c r="K137" i="1"/>
  <c r="L137" i="1" s="1"/>
  <c r="M137" i="1" s="1"/>
  <c r="K138" i="1"/>
  <c r="L138" i="1" s="1"/>
  <c r="M138" i="1" s="1"/>
  <c r="K139" i="1"/>
  <c r="L139" i="1" s="1"/>
  <c r="M139" i="1" s="1"/>
  <c r="K140" i="1"/>
  <c r="L140" i="1" s="1"/>
  <c r="M140" i="1" s="1"/>
  <c r="K141" i="1"/>
  <c r="L141" i="1" s="1"/>
  <c r="M141" i="1" s="1"/>
  <c r="K142" i="1"/>
  <c r="L142" i="1" s="1"/>
  <c r="M142" i="1" s="1"/>
  <c r="K143" i="1"/>
  <c r="L143" i="1" s="1"/>
  <c r="M143" i="1" s="1"/>
  <c r="K144" i="1"/>
  <c r="L144" i="1" s="1"/>
  <c r="M144" i="1" s="1"/>
  <c r="K145" i="1"/>
  <c r="L145" i="1" s="1"/>
  <c r="M145" i="1" s="1"/>
  <c r="K146" i="1"/>
  <c r="L146" i="1" s="1"/>
  <c r="M146" i="1" s="1"/>
  <c r="K147" i="1"/>
  <c r="L147" i="1" s="1"/>
  <c r="M147" i="1" s="1"/>
  <c r="K148" i="1"/>
  <c r="L148" i="1" s="1"/>
  <c r="M148" i="1" s="1"/>
  <c r="K149" i="1"/>
  <c r="L149" i="1" s="1"/>
  <c r="M149" i="1" s="1"/>
  <c r="K150" i="1"/>
  <c r="L150" i="1" s="1"/>
  <c r="M150" i="1" s="1"/>
  <c r="K151" i="1"/>
  <c r="L151" i="1" s="1"/>
  <c r="M151" i="1" s="1"/>
  <c r="K152" i="1"/>
  <c r="L152" i="1" s="1"/>
  <c r="M152" i="1" s="1"/>
  <c r="K153" i="1"/>
  <c r="L153" i="1" s="1"/>
  <c r="M153" i="1" s="1"/>
  <c r="K154" i="1"/>
  <c r="L154" i="1" s="1"/>
  <c r="M154" i="1" s="1"/>
  <c r="K155" i="1"/>
  <c r="L155" i="1" s="1"/>
  <c r="M155" i="1" s="1"/>
  <c r="K156" i="1"/>
  <c r="L156" i="1" s="1"/>
  <c r="M156" i="1" s="1"/>
  <c r="K157" i="1"/>
  <c r="L157" i="1" s="1"/>
  <c r="M157" i="1" s="1"/>
  <c r="K158" i="1"/>
  <c r="L158" i="1" s="1"/>
  <c r="M158" i="1" s="1"/>
  <c r="K159" i="1"/>
  <c r="L159" i="1" s="1"/>
  <c r="M159" i="1" s="1"/>
  <c r="K160" i="1"/>
  <c r="L160" i="1" s="1"/>
  <c r="M160" i="1" s="1"/>
  <c r="K161" i="1"/>
  <c r="L161" i="1" s="1"/>
  <c r="M161" i="1" s="1"/>
  <c r="K162" i="1"/>
  <c r="L162" i="1" s="1"/>
  <c r="M162" i="1" s="1"/>
  <c r="K163" i="1"/>
  <c r="L163" i="1" s="1"/>
  <c r="M163" i="1" s="1"/>
  <c r="K164" i="1"/>
  <c r="L164" i="1" s="1"/>
  <c r="M164" i="1" s="1"/>
  <c r="K165" i="1"/>
  <c r="L165" i="1" s="1"/>
  <c r="M165" i="1" s="1"/>
  <c r="K166" i="1"/>
  <c r="L166" i="1" s="1"/>
  <c r="M166" i="1" s="1"/>
  <c r="K167" i="1"/>
  <c r="L167" i="1" s="1"/>
  <c r="M167" i="1" s="1"/>
  <c r="K168" i="1"/>
  <c r="L168" i="1" s="1"/>
  <c r="M168" i="1" s="1"/>
  <c r="K169" i="1"/>
  <c r="L169" i="1" s="1"/>
  <c r="M169" i="1" s="1"/>
  <c r="K170" i="1"/>
  <c r="L170" i="1" s="1"/>
  <c r="M170" i="1" s="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L508" i="1" s="1"/>
  <c r="M508" i="1" s="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L1013" i="1" s="1"/>
  <c r="M1013" i="1" s="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2" i="1"/>
  <c r="L1070" i="2" l="1"/>
  <c r="O1070" i="2"/>
  <c r="P1070" i="2" s="1"/>
  <c r="L1069" i="2"/>
  <c r="O1069" i="2"/>
  <c r="P1069" i="2" s="1"/>
  <c r="L1068" i="2"/>
  <c r="O1068" i="2"/>
  <c r="P1068" i="2" s="1"/>
  <c r="L1067" i="2"/>
  <c r="O1067" i="2"/>
  <c r="P1067" i="2" s="1"/>
  <c r="L1066" i="2"/>
  <c r="O1066" i="2"/>
  <c r="P1066" i="2" s="1"/>
  <c r="L1065" i="2"/>
  <c r="O1065" i="2"/>
  <c r="P1065" i="2" s="1"/>
  <c r="L907" i="2"/>
  <c r="O907" i="2"/>
  <c r="P907" i="2" s="1"/>
  <c r="L906" i="2"/>
  <c r="O906" i="2"/>
  <c r="P906" i="2" s="1"/>
  <c r="L905" i="2"/>
  <c r="O905" i="2"/>
  <c r="P905" i="2" s="1"/>
  <c r="L904" i="2"/>
  <c r="O904" i="2"/>
  <c r="P904" i="2" s="1"/>
  <c r="L903" i="2"/>
  <c r="O903" i="2"/>
  <c r="P903" i="2" s="1"/>
  <c r="L902" i="2"/>
  <c r="O902" i="2"/>
  <c r="P902" i="2" s="1"/>
  <c r="L901" i="2"/>
  <c r="O901" i="2"/>
  <c r="P901" i="2" s="1"/>
  <c r="L900" i="2"/>
  <c r="O900" i="2"/>
  <c r="P900" i="2" s="1"/>
  <c r="L899" i="2"/>
  <c r="O899" i="2"/>
  <c r="P899" i="2" s="1"/>
  <c r="L898" i="2"/>
  <c r="O898" i="2"/>
  <c r="P898" i="2" s="1"/>
  <c r="L897" i="2"/>
  <c r="O897" i="2"/>
  <c r="P897" i="2" s="1"/>
  <c r="L896" i="2"/>
  <c r="O896" i="2"/>
  <c r="P896" i="2" s="1"/>
  <c r="L895" i="2"/>
  <c r="O895" i="2"/>
  <c r="P895" i="2" s="1"/>
  <c r="L894" i="2"/>
  <c r="O894" i="2"/>
  <c r="P894" i="2" s="1"/>
  <c r="L893" i="2"/>
  <c r="O893" i="2"/>
  <c r="P893" i="2" s="1"/>
  <c r="L892" i="2"/>
  <c r="O892" i="2"/>
  <c r="P892" i="2" s="1"/>
  <c r="L891" i="2"/>
  <c r="O891" i="2"/>
  <c r="P891" i="2" s="1"/>
  <c r="L890" i="2"/>
  <c r="O890" i="2"/>
  <c r="P890" i="2" s="1"/>
  <c r="L889" i="2"/>
  <c r="O889" i="2"/>
  <c r="P889" i="2" s="1"/>
  <c r="L888" i="2"/>
  <c r="O888" i="2"/>
  <c r="P888" i="2" s="1"/>
  <c r="L887" i="2"/>
  <c r="O887" i="2"/>
  <c r="P887" i="2" s="1"/>
  <c r="L886" i="2"/>
  <c r="O886" i="2"/>
  <c r="P886" i="2" s="1"/>
  <c r="L885" i="2"/>
  <c r="O885" i="2"/>
  <c r="P885" i="2" s="1"/>
  <c r="L884" i="2"/>
  <c r="O884" i="2"/>
  <c r="P884" i="2" s="1"/>
  <c r="L883" i="2"/>
  <c r="O883" i="2"/>
  <c r="P883" i="2" s="1"/>
  <c r="L642" i="2"/>
  <c r="O642" i="2"/>
  <c r="P642" i="2" s="1"/>
  <c r="L641" i="2"/>
  <c r="O641" i="2"/>
  <c r="P641" i="2" s="1"/>
  <c r="L640" i="2"/>
  <c r="O640" i="2"/>
  <c r="P640" i="2" s="1"/>
  <c r="L639" i="2"/>
  <c r="O639" i="2"/>
  <c r="P639" i="2" s="1"/>
  <c r="L638" i="2"/>
  <c r="O638" i="2"/>
  <c r="P638" i="2" s="1"/>
  <c r="L637" i="2"/>
  <c r="O637" i="2"/>
  <c r="P637" i="2" s="1"/>
  <c r="L636" i="2"/>
  <c r="O636" i="2"/>
  <c r="P636" i="2" s="1"/>
  <c r="L635" i="2"/>
  <c r="O635" i="2"/>
  <c r="P635" i="2" s="1"/>
  <c r="L634" i="2"/>
  <c r="O634" i="2"/>
  <c r="P634" i="2" s="1"/>
  <c r="L633" i="2"/>
  <c r="O633" i="2"/>
  <c r="P633" i="2" s="1"/>
  <c r="L632" i="2"/>
  <c r="O632" i="2"/>
  <c r="P632" i="2" s="1"/>
  <c r="L631" i="2"/>
  <c r="O631" i="2"/>
  <c r="P631" i="2" s="1"/>
  <c r="L630" i="2"/>
  <c r="O630" i="2"/>
  <c r="P630" i="2" s="1"/>
  <c r="L629" i="2"/>
  <c r="O629" i="2"/>
  <c r="P629" i="2" s="1"/>
  <c r="L628" i="2"/>
  <c r="O628" i="2"/>
  <c r="P628" i="2" s="1"/>
  <c r="L627" i="2"/>
  <c r="O627" i="2"/>
  <c r="P627" i="2" s="1"/>
  <c r="L626" i="2"/>
  <c r="O626" i="2"/>
  <c r="P626" i="2" s="1"/>
  <c r="L625" i="2"/>
  <c r="O625" i="2"/>
  <c r="P625" i="2" s="1"/>
  <c r="L624" i="2"/>
  <c r="O624" i="2"/>
  <c r="P624" i="2" s="1"/>
  <c r="L623" i="2"/>
  <c r="O623" i="2"/>
  <c r="P623" i="2" s="1"/>
  <c r="L622" i="2"/>
  <c r="O622" i="2"/>
  <c r="P622" i="2" s="1"/>
  <c r="L621" i="2"/>
  <c r="O621" i="2"/>
  <c r="P621" i="2" s="1"/>
  <c r="L620" i="2"/>
  <c r="O620" i="2"/>
  <c r="P620" i="2" s="1"/>
  <c r="L619" i="2"/>
  <c r="O619" i="2"/>
  <c r="P619" i="2" s="1"/>
  <c r="L618" i="2"/>
  <c r="O618" i="2"/>
  <c r="P618" i="2" s="1"/>
  <c r="L617" i="2"/>
  <c r="O617" i="2"/>
  <c r="P617" i="2" s="1"/>
  <c r="L616" i="2"/>
  <c r="O616" i="2"/>
  <c r="P616" i="2" s="1"/>
  <c r="L615" i="2"/>
  <c r="O615" i="2"/>
  <c r="P615" i="2" s="1"/>
  <c r="L614" i="2"/>
  <c r="O614" i="2"/>
  <c r="P614" i="2" s="1"/>
  <c r="L613" i="2"/>
  <c r="O613" i="2"/>
  <c r="P613" i="2" s="1"/>
  <c r="L612" i="2"/>
  <c r="O612" i="2"/>
  <c r="P612" i="2" s="1"/>
  <c r="L611" i="2"/>
  <c r="O611" i="2"/>
  <c r="P611" i="2" s="1"/>
  <c r="L610" i="2"/>
  <c r="O610" i="2"/>
  <c r="P610" i="2" s="1"/>
  <c r="L609" i="2"/>
  <c r="O609" i="2"/>
  <c r="P609" i="2" s="1"/>
  <c r="L608" i="2"/>
  <c r="O608" i="2"/>
  <c r="P608" i="2" s="1"/>
  <c r="L607" i="2"/>
  <c r="O607" i="2"/>
  <c r="P607" i="2" s="1"/>
  <c r="L606" i="2"/>
  <c r="O606" i="2"/>
  <c r="P606" i="2" s="1"/>
  <c r="L605" i="2"/>
  <c r="O605" i="2"/>
  <c r="P605" i="2" s="1"/>
  <c r="L604" i="2"/>
  <c r="O604" i="2"/>
  <c r="P604" i="2" s="1"/>
  <c r="L603" i="2"/>
  <c r="O603" i="2"/>
  <c r="P603" i="2" s="1"/>
  <c r="L602" i="2"/>
  <c r="O602" i="2"/>
  <c r="P602" i="2" s="1"/>
  <c r="L601" i="2"/>
  <c r="O601" i="2"/>
  <c r="P601" i="2" s="1"/>
  <c r="L600" i="2"/>
  <c r="O600" i="2"/>
  <c r="P600" i="2" s="1"/>
  <c r="O435" i="2"/>
  <c r="P435" i="2" s="1"/>
  <c r="L435" i="2"/>
  <c r="O433" i="2"/>
  <c r="P433" i="2" s="1"/>
  <c r="L433" i="2"/>
  <c r="L377" i="2"/>
  <c r="O377" i="2"/>
  <c r="P377" i="2" s="1"/>
  <c r="L376" i="2"/>
  <c r="O376" i="2"/>
  <c r="P376" i="2" s="1"/>
  <c r="L375" i="2"/>
  <c r="O375" i="2"/>
  <c r="P375" i="2" s="1"/>
  <c r="L374" i="2"/>
  <c r="O374" i="2"/>
  <c r="P374" i="2" s="1"/>
  <c r="L373" i="2"/>
  <c r="O373" i="2"/>
  <c r="P373" i="2" s="1"/>
  <c r="L372" i="2"/>
  <c r="O372" i="2"/>
  <c r="P372" i="2" s="1"/>
  <c r="L371" i="2"/>
  <c r="O371" i="2"/>
  <c r="P371" i="2" s="1"/>
  <c r="L370" i="2"/>
  <c r="O370" i="2"/>
  <c r="P370" i="2" s="1"/>
  <c r="L369" i="2"/>
  <c r="O369" i="2"/>
  <c r="P369" i="2" s="1"/>
  <c r="L368" i="2"/>
  <c r="O368" i="2"/>
  <c r="P368" i="2" s="1"/>
  <c r="L367" i="2"/>
  <c r="O367" i="2"/>
  <c r="P367" i="2" s="1"/>
  <c r="L366" i="2"/>
  <c r="O366" i="2"/>
  <c r="P366" i="2" s="1"/>
  <c r="L365" i="2"/>
  <c r="O365" i="2"/>
  <c r="P365" i="2" s="1"/>
  <c r="L364" i="2"/>
  <c r="O364" i="2"/>
  <c r="P364" i="2" s="1"/>
  <c r="L363" i="2"/>
  <c r="O363" i="2"/>
  <c r="P363" i="2" s="1"/>
  <c r="L362" i="2"/>
  <c r="O362" i="2"/>
  <c r="P362" i="2" s="1"/>
  <c r="L361" i="2"/>
  <c r="O361" i="2"/>
  <c r="P361" i="2" s="1"/>
  <c r="L360" i="2"/>
  <c r="O360" i="2"/>
  <c r="P360" i="2" s="1"/>
  <c r="L359" i="2"/>
  <c r="O359" i="2"/>
  <c r="P359" i="2" s="1"/>
  <c r="L358" i="2"/>
  <c r="O358" i="2"/>
  <c r="P358" i="2" s="1"/>
  <c r="L357" i="2"/>
  <c r="O357" i="2"/>
  <c r="P357" i="2" s="1"/>
  <c r="L356" i="2"/>
  <c r="O356" i="2"/>
  <c r="P356" i="2" s="1"/>
  <c r="L355" i="2"/>
  <c r="O355" i="2"/>
  <c r="P355" i="2" s="1"/>
  <c r="L354" i="2"/>
  <c r="O354" i="2"/>
  <c r="P354" i="2" s="1"/>
  <c r="L353" i="2"/>
  <c r="O353" i="2"/>
  <c r="P353" i="2" s="1"/>
  <c r="L352" i="2"/>
  <c r="O352" i="2"/>
  <c r="P352" i="2" s="1"/>
  <c r="L351" i="2"/>
  <c r="O351" i="2"/>
  <c r="P351" i="2" s="1"/>
  <c r="L350" i="2"/>
  <c r="O350" i="2"/>
  <c r="P350" i="2" s="1"/>
  <c r="L349" i="2"/>
  <c r="O349" i="2"/>
  <c r="P349" i="2" s="1"/>
  <c r="L348" i="2"/>
  <c r="O348" i="2"/>
  <c r="P348" i="2" s="1"/>
  <c r="L347" i="2"/>
  <c r="O347" i="2"/>
  <c r="P347" i="2" s="1"/>
  <c r="L346" i="2"/>
  <c r="O346" i="2"/>
  <c r="P346" i="2" s="1"/>
  <c r="L345" i="2"/>
  <c r="O345" i="2"/>
  <c r="P345" i="2" s="1"/>
  <c r="L344" i="2"/>
  <c r="O344" i="2"/>
  <c r="P344" i="2" s="1"/>
  <c r="L343" i="2"/>
  <c r="O343" i="2"/>
  <c r="P343" i="2" s="1"/>
  <c r="L342" i="2"/>
  <c r="O342" i="2"/>
  <c r="P342" i="2" s="1"/>
  <c r="L341" i="2"/>
  <c r="O341" i="2"/>
  <c r="P341" i="2" s="1"/>
  <c r="L340" i="2"/>
  <c r="O340" i="2"/>
  <c r="P340" i="2" s="1"/>
  <c r="L338" i="2"/>
  <c r="O338" i="2"/>
  <c r="P338" i="2" s="1"/>
  <c r="L111" i="2"/>
  <c r="O111" i="2"/>
  <c r="P111" i="2" s="1"/>
  <c r="L110" i="2"/>
  <c r="O110" i="2"/>
  <c r="P110" i="2" s="1"/>
  <c r="L109" i="2"/>
  <c r="O109" i="2"/>
  <c r="P109" i="2" s="1"/>
  <c r="L108" i="2"/>
  <c r="O108" i="2"/>
  <c r="P108" i="2" s="1"/>
  <c r="L107" i="2"/>
  <c r="O107" i="2"/>
  <c r="P107" i="2" s="1"/>
  <c r="L106" i="2"/>
  <c r="O106" i="2"/>
  <c r="P106" i="2" s="1"/>
  <c r="L105" i="2"/>
  <c r="O105" i="2"/>
  <c r="P105" i="2" s="1"/>
  <c r="L104" i="2"/>
  <c r="O104" i="2"/>
  <c r="P104" i="2" s="1"/>
  <c r="L103" i="2"/>
  <c r="O103" i="2"/>
  <c r="P103" i="2" s="1"/>
  <c r="L1064" i="2"/>
  <c r="O1064" i="2"/>
  <c r="P1064" i="2" s="1"/>
  <c r="L1063" i="2"/>
  <c r="O1063" i="2"/>
  <c r="P1063" i="2" s="1"/>
  <c r="L1062" i="2"/>
  <c r="O1062" i="2"/>
  <c r="P1062" i="2" s="1"/>
  <c r="L1061" i="2"/>
  <c r="O1061" i="2"/>
  <c r="P1061" i="2" s="1"/>
  <c r="L1060" i="2"/>
  <c r="O1060" i="2"/>
  <c r="P1060" i="2" s="1"/>
  <c r="L1059" i="2"/>
  <c r="O1059" i="2"/>
  <c r="P1059" i="2" s="1"/>
  <c r="L1058" i="2"/>
  <c r="O1058" i="2"/>
  <c r="P1058" i="2" s="1"/>
  <c r="L1057" i="2"/>
  <c r="O1057" i="2"/>
  <c r="P1057" i="2" s="1"/>
  <c r="L1056" i="2"/>
  <c r="O1056" i="2"/>
  <c r="P1056" i="2" s="1"/>
  <c r="L1055" i="2"/>
  <c r="O1055" i="2"/>
  <c r="P1055" i="2" s="1"/>
  <c r="L1054" i="2"/>
  <c r="O1054" i="2"/>
  <c r="P1054" i="2" s="1"/>
  <c r="L1053" i="2"/>
  <c r="O1053" i="2"/>
  <c r="P1053" i="2" s="1"/>
  <c r="L1052" i="2"/>
  <c r="O1052" i="2"/>
  <c r="P1052" i="2" s="1"/>
  <c r="L1051" i="2"/>
  <c r="O1051" i="2"/>
  <c r="P1051" i="2" s="1"/>
  <c r="L1050" i="2"/>
  <c r="O1050" i="2"/>
  <c r="P1050" i="2" s="1"/>
  <c r="L1049" i="2"/>
  <c r="O1049" i="2"/>
  <c r="P1049" i="2" s="1"/>
  <c r="L1048" i="2"/>
  <c r="O1048" i="2"/>
  <c r="P1048" i="2" s="1"/>
  <c r="L1047" i="2"/>
  <c r="O1047" i="2"/>
  <c r="P1047" i="2" s="1"/>
  <c r="L1046" i="2"/>
  <c r="O1046" i="2"/>
  <c r="P1046" i="2" s="1"/>
  <c r="L1045" i="2"/>
  <c r="O1045" i="2"/>
  <c r="P1045" i="2" s="1"/>
  <c r="L1044" i="2"/>
  <c r="O1044" i="2"/>
  <c r="P1044" i="2" s="1"/>
  <c r="L1043" i="2"/>
  <c r="O1043" i="2"/>
  <c r="P1043" i="2" s="1"/>
  <c r="L1042" i="2"/>
  <c r="O1042" i="2"/>
  <c r="P1042" i="2" s="1"/>
  <c r="L1041" i="2"/>
  <c r="O1041" i="2"/>
  <c r="P1041" i="2" s="1"/>
  <c r="L1040" i="2"/>
  <c r="O1040" i="2"/>
  <c r="P1040" i="2" s="1"/>
  <c r="L1039" i="2"/>
  <c r="O1039" i="2"/>
  <c r="P1039" i="2" s="1"/>
  <c r="L1038" i="2"/>
  <c r="O1038" i="2"/>
  <c r="P1038" i="2" s="1"/>
  <c r="L1037" i="2"/>
  <c r="O1037" i="2"/>
  <c r="P1037" i="2" s="1"/>
  <c r="L1036" i="2"/>
  <c r="O1036" i="2"/>
  <c r="P1036" i="2" s="1"/>
  <c r="L1035" i="2"/>
  <c r="O1035" i="2"/>
  <c r="P1035" i="2" s="1"/>
  <c r="L1034" i="2"/>
  <c r="O1034" i="2"/>
  <c r="P1034" i="2" s="1"/>
  <c r="L1033" i="2"/>
  <c r="O1033" i="2"/>
  <c r="P1033" i="2" s="1"/>
  <c r="L1032" i="2"/>
  <c r="O1032" i="2"/>
  <c r="P1032" i="2" s="1"/>
  <c r="L1031" i="2"/>
  <c r="O1031" i="2"/>
  <c r="P1031" i="2" s="1"/>
  <c r="L1030" i="2"/>
  <c r="O1030" i="2"/>
  <c r="P1030" i="2" s="1"/>
  <c r="L1029" i="2"/>
  <c r="O1029" i="2"/>
  <c r="P1029" i="2" s="1"/>
  <c r="L1028" i="2"/>
  <c r="O1028" i="2"/>
  <c r="P1028" i="2" s="1"/>
  <c r="L1027" i="2"/>
  <c r="O1027" i="2"/>
  <c r="P1027" i="2" s="1"/>
  <c r="L1026" i="2"/>
  <c r="O1026" i="2"/>
  <c r="P1026" i="2" s="1"/>
  <c r="L1025" i="2"/>
  <c r="O1025" i="2"/>
  <c r="P1025" i="2" s="1"/>
  <c r="L1024" i="2"/>
  <c r="O1024" i="2"/>
  <c r="P1024" i="2" s="1"/>
  <c r="L1023" i="2"/>
  <c r="O1023" i="2"/>
  <c r="P1023" i="2" s="1"/>
  <c r="L1022" i="2"/>
  <c r="O1022" i="2"/>
  <c r="P1022" i="2" s="1"/>
  <c r="L1021" i="2"/>
  <c r="O1021" i="2"/>
  <c r="P1021" i="2" s="1"/>
  <c r="L1020" i="2"/>
  <c r="O1020" i="2"/>
  <c r="P1020" i="2" s="1"/>
  <c r="L1019" i="2"/>
  <c r="O1019" i="2"/>
  <c r="P1019" i="2" s="1"/>
  <c r="L1018" i="2"/>
  <c r="O1018" i="2"/>
  <c r="P1018" i="2" s="1"/>
  <c r="L1017" i="2"/>
  <c r="O1017" i="2"/>
  <c r="P1017" i="2" s="1"/>
  <c r="L1016" i="2"/>
  <c r="O1016" i="2"/>
  <c r="P1016" i="2" s="1"/>
  <c r="L1015" i="2"/>
  <c r="O1015" i="2"/>
  <c r="P1015" i="2" s="1"/>
  <c r="L1014" i="2"/>
  <c r="O1014" i="2"/>
  <c r="P1014" i="2" s="1"/>
  <c r="L1013" i="2"/>
  <c r="O1013" i="2"/>
  <c r="P1013" i="2" s="1"/>
  <c r="L1012" i="2"/>
  <c r="O1012" i="2"/>
  <c r="P1012" i="2" s="1"/>
  <c r="L1011" i="2"/>
  <c r="O1011" i="2"/>
  <c r="P1011" i="2" s="1"/>
  <c r="L1010" i="2"/>
  <c r="O1010" i="2"/>
  <c r="P1010" i="2" s="1"/>
  <c r="L1009" i="2"/>
  <c r="O1009" i="2"/>
  <c r="P1009" i="2" s="1"/>
  <c r="L1008" i="2"/>
  <c r="O1008" i="2"/>
  <c r="P1008" i="2" s="1"/>
  <c r="L1007" i="2"/>
  <c r="O1007" i="2"/>
  <c r="P1007" i="2" s="1"/>
  <c r="L1006" i="2"/>
  <c r="O1006" i="2"/>
  <c r="P1006" i="2" s="1"/>
  <c r="L1005" i="2"/>
  <c r="O1005" i="2"/>
  <c r="P1005" i="2" s="1"/>
  <c r="L1004" i="2"/>
  <c r="O1004" i="2"/>
  <c r="P1004" i="2" s="1"/>
  <c r="L1003" i="2"/>
  <c r="O1003" i="2"/>
  <c r="P1003" i="2" s="1"/>
  <c r="L1002" i="2"/>
  <c r="O1002" i="2"/>
  <c r="P1002" i="2" s="1"/>
  <c r="L1001" i="2"/>
  <c r="O1001" i="2"/>
  <c r="P1001" i="2" s="1"/>
  <c r="L1000" i="2"/>
  <c r="O1000" i="2"/>
  <c r="P1000" i="2" s="1"/>
  <c r="L999" i="2"/>
  <c r="O999" i="2"/>
  <c r="P999" i="2" s="1"/>
  <c r="L998" i="2"/>
  <c r="O998" i="2"/>
  <c r="P998" i="2" s="1"/>
  <c r="L997" i="2"/>
  <c r="O997" i="2"/>
  <c r="P997" i="2" s="1"/>
  <c r="L996" i="2"/>
  <c r="O996" i="2"/>
  <c r="P996" i="2" s="1"/>
  <c r="L995" i="2"/>
  <c r="O995" i="2"/>
  <c r="P995" i="2" s="1"/>
  <c r="L994" i="2"/>
  <c r="O994" i="2"/>
  <c r="P994" i="2" s="1"/>
  <c r="L993" i="2"/>
  <c r="O993" i="2"/>
  <c r="P993" i="2" s="1"/>
  <c r="L992" i="2"/>
  <c r="O992" i="2"/>
  <c r="P992" i="2" s="1"/>
  <c r="L991" i="2"/>
  <c r="O991" i="2"/>
  <c r="P991" i="2" s="1"/>
  <c r="L990" i="2"/>
  <c r="O990" i="2"/>
  <c r="P990" i="2" s="1"/>
  <c r="L989" i="2"/>
  <c r="O989" i="2"/>
  <c r="P989" i="2" s="1"/>
  <c r="L988" i="2"/>
  <c r="O988" i="2"/>
  <c r="P988" i="2" s="1"/>
  <c r="L987" i="2"/>
  <c r="O987" i="2"/>
  <c r="P987" i="2" s="1"/>
  <c r="L986" i="2"/>
  <c r="O986" i="2"/>
  <c r="P986" i="2" s="1"/>
  <c r="L985" i="2"/>
  <c r="O985" i="2"/>
  <c r="P985" i="2" s="1"/>
  <c r="L984" i="2"/>
  <c r="O984" i="2"/>
  <c r="P984" i="2" s="1"/>
  <c r="L983" i="2"/>
  <c r="O983" i="2"/>
  <c r="P983" i="2" s="1"/>
  <c r="L982" i="2"/>
  <c r="O982" i="2"/>
  <c r="P982" i="2" s="1"/>
  <c r="L981" i="2"/>
  <c r="O981" i="2"/>
  <c r="P981" i="2" s="1"/>
  <c r="L980" i="2"/>
  <c r="O980" i="2"/>
  <c r="P980" i="2" s="1"/>
  <c r="L979" i="2"/>
  <c r="O979" i="2"/>
  <c r="P979" i="2" s="1"/>
  <c r="L978" i="2"/>
  <c r="O978" i="2"/>
  <c r="P978" i="2" s="1"/>
  <c r="L977" i="2"/>
  <c r="O977" i="2"/>
  <c r="P977" i="2" s="1"/>
  <c r="L976" i="2"/>
  <c r="O976" i="2"/>
  <c r="P976" i="2" s="1"/>
  <c r="L975" i="2"/>
  <c r="O975" i="2"/>
  <c r="P975" i="2" s="1"/>
  <c r="L974" i="2"/>
  <c r="O974" i="2"/>
  <c r="P974" i="2" s="1"/>
  <c r="L973" i="2"/>
  <c r="O973" i="2"/>
  <c r="P973" i="2" s="1"/>
  <c r="L972" i="2"/>
  <c r="O972" i="2"/>
  <c r="P972" i="2" s="1"/>
  <c r="L971" i="2"/>
  <c r="O971" i="2"/>
  <c r="P971" i="2" s="1"/>
  <c r="L970" i="2"/>
  <c r="O970" i="2"/>
  <c r="P970" i="2" s="1"/>
  <c r="L969" i="2"/>
  <c r="O969" i="2"/>
  <c r="P969" i="2" s="1"/>
  <c r="L968" i="2"/>
  <c r="O968" i="2"/>
  <c r="P968" i="2" s="1"/>
  <c r="L967" i="2"/>
  <c r="O967" i="2"/>
  <c r="P967" i="2" s="1"/>
  <c r="L966" i="2"/>
  <c r="O966" i="2"/>
  <c r="P966" i="2" s="1"/>
  <c r="L965" i="2"/>
  <c r="O965" i="2"/>
  <c r="P965" i="2" s="1"/>
  <c r="L964" i="2"/>
  <c r="O964" i="2"/>
  <c r="P964" i="2" s="1"/>
  <c r="L963" i="2"/>
  <c r="O963" i="2"/>
  <c r="P963" i="2" s="1"/>
  <c r="L962" i="2"/>
  <c r="O962" i="2"/>
  <c r="P962" i="2" s="1"/>
  <c r="L961" i="2"/>
  <c r="O961" i="2"/>
  <c r="P961" i="2" s="1"/>
  <c r="L960" i="2"/>
  <c r="O960" i="2"/>
  <c r="P960" i="2" s="1"/>
  <c r="L959" i="2"/>
  <c r="O959" i="2"/>
  <c r="P959" i="2" s="1"/>
  <c r="L958" i="2"/>
  <c r="O958" i="2"/>
  <c r="P958" i="2" s="1"/>
  <c r="L957" i="2"/>
  <c r="O957" i="2"/>
  <c r="P957" i="2" s="1"/>
  <c r="L956" i="2"/>
  <c r="O956" i="2"/>
  <c r="P956" i="2" s="1"/>
  <c r="L955" i="2"/>
  <c r="O955" i="2"/>
  <c r="P955" i="2" s="1"/>
  <c r="L954" i="2"/>
  <c r="O954" i="2"/>
  <c r="P954" i="2" s="1"/>
  <c r="L953" i="2"/>
  <c r="O953" i="2"/>
  <c r="P953" i="2" s="1"/>
  <c r="L952" i="2"/>
  <c r="O952" i="2"/>
  <c r="P952" i="2" s="1"/>
  <c r="L951" i="2"/>
  <c r="O951" i="2"/>
  <c r="P951" i="2" s="1"/>
  <c r="L950" i="2"/>
  <c r="O950" i="2"/>
  <c r="P950" i="2" s="1"/>
  <c r="L949" i="2"/>
  <c r="O949" i="2"/>
  <c r="P949" i="2" s="1"/>
  <c r="L948" i="2"/>
  <c r="O948" i="2"/>
  <c r="P948" i="2" s="1"/>
  <c r="L947" i="2"/>
  <c r="O947" i="2"/>
  <c r="P947" i="2" s="1"/>
  <c r="L946" i="2"/>
  <c r="O946" i="2"/>
  <c r="P946" i="2" s="1"/>
  <c r="L945" i="2"/>
  <c r="O945" i="2"/>
  <c r="P945" i="2" s="1"/>
  <c r="L944" i="2"/>
  <c r="O944" i="2"/>
  <c r="P944" i="2" s="1"/>
  <c r="L943" i="2"/>
  <c r="O943" i="2"/>
  <c r="P943" i="2" s="1"/>
  <c r="L942" i="2"/>
  <c r="O942" i="2"/>
  <c r="P942" i="2" s="1"/>
  <c r="L941" i="2"/>
  <c r="O941" i="2"/>
  <c r="P941" i="2" s="1"/>
  <c r="L940" i="2"/>
  <c r="O940" i="2"/>
  <c r="P940" i="2" s="1"/>
  <c r="L939" i="2"/>
  <c r="O939" i="2"/>
  <c r="P939" i="2" s="1"/>
  <c r="L938" i="2"/>
  <c r="O938" i="2"/>
  <c r="P938" i="2" s="1"/>
  <c r="L937" i="2"/>
  <c r="O937" i="2"/>
  <c r="P937" i="2" s="1"/>
  <c r="L936" i="2"/>
  <c r="O936" i="2"/>
  <c r="P936" i="2" s="1"/>
  <c r="L935" i="2"/>
  <c r="O935" i="2"/>
  <c r="P935" i="2" s="1"/>
  <c r="L934" i="2"/>
  <c r="O934" i="2"/>
  <c r="P934" i="2" s="1"/>
  <c r="L933" i="2"/>
  <c r="O933" i="2"/>
  <c r="P933" i="2" s="1"/>
  <c r="L932" i="2"/>
  <c r="O932" i="2"/>
  <c r="P932" i="2" s="1"/>
  <c r="L931" i="2"/>
  <c r="O931" i="2"/>
  <c r="P931" i="2" s="1"/>
  <c r="L930" i="2"/>
  <c r="O930" i="2"/>
  <c r="P930" i="2" s="1"/>
  <c r="L929" i="2"/>
  <c r="O929" i="2"/>
  <c r="P929" i="2" s="1"/>
  <c r="L928" i="2"/>
  <c r="O928" i="2"/>
  <c r="P928" i="2" s="1"/>
  <c r="L927" i="2"/>
  <c r="O927" i="2"/>
  <c r="P927" i="2" s="1"/>
  <c r="L926" i="2"/>
  <c r="O926" i="2"/>
  <c r="P926" i="2" s="1"/>
  <c r="L925" i="2"/>
  <c r="O925" i="2"/>
  <c r="P925" i="2" s="1"/>
  <c r="L924" i="2"/>
  <c r="O924" i="2"/>
  <c r="P924" i="2" s="1"/>
  <c r="L923" i="2"/>
  <c r="O923" i="2"/>
  <c r="P923" i="2" s="1"/>
  <c r="L922" i="2"/>
  <c r="O922" i="2"/>
  <c r="P922" i="2" s="1"/>
  <c r="L921" i="2"/>
  <c r="O921" i="2"/>
  <c r="P921" i="2" s="1"/>
  <c r="L920" i="2"/>
  <c r="O920" i="2"/>
  <c r="P920" i="2" s="1"/>
  <c r="L919" i="2"/>
  <c r="O919" i="2"/>
  <c r="P919" i="2" s="1"/>
  <c r="L918" i="2"/>
  <c r="O918" i="2"/>
  <c r="P918" i="2" s="1"/>
  <c r="L917" i="2"/>
  <c r="O917" i="2"/>
  <c r="P917" i="2" s="1"/>
  <c r="L916" i="2"/>
  <c r="O916" i="2"/>
  <c r="P916" i="2" s="1"/>
  <c r="L915" i="2"/>
  <c r="O915" i="2"/>
  <c r="P915" i="2" s="1"/>
  <c r="L914" i="2"/>
  <c r="O914" i="2"/>
  <c r="P914" i="2" s="1"/>
  <c r="L913" i="2"/>
  <c r="O913" i="2"/>
  <c r="P913" i="2" s="1"/>
  <c r="L912" i="2"/>
  <c r="O912" i="2"/>
  <c r="P912" i="2" s="1"/>
  <c r="L911" i="2"/>
  <c r="O911" i="2"/>
  <c r="P911" i="2" s="1"/>
  <c r="L910" i="2"/>
  <c r="O910" i="2"/>
  <c r="P910" i="2" s="1"/>
  <c r="L909" i="2"/>
  <c r="O909" i="2"/>
  <c r="P909" i="2" s="1"/>
  <c r="L908" i="2"/>
  <c r="O908" i="2"/>
  <c r="P908" i="2" s="1"/>
  <c r="L882" i="2"/>
  <c r="O882" i="2"/>
  <c r="P882" i="2" s="1"/>
  <c r="L881" i="2"/>
  <c r="O881" i="2"/>
  <c r="P881" i="2" s="1"/>
  <c r="L880" i="2"/>
  <c r="O880" i="2"/>
  <c r="P880" i="2" s="1"/>
  <c r="L879" i="2"/>
  <c r="O879" i="2"/>
  <c r="P879" i="2" s="1"/>
  <c r="L878" i="2"/>
  <c r="O878" i="2"/>
  <c r="P878" i="2" s="1"/>
  <c r="AF878" i="2" s="1"/>
  <c r="L877" i="2"/>
  <c r="O877" i="2"/>
  <c r="P877" i="2" s="1"/>
  <c r="L876" i="2"/>
  <c r="O876" i="2"/>
  <c r="P876" i="2" s="1"/>
  <c r="L875" i="2"/>
  <c r="O875" i="2"/>
  <c r="P875" i="2" s="1"/>
  <c r="L874" i="2"/>
  <c r="O874" i="2"/>
  <c r="P874" i="2" s="1"/>
  <c r="L873" i="2"/>
  <c r="O873" i="2"/>
  <c r="P873" i="2" s="1"/>
  <c r="L872" i="2"/>
  <c r="O872" i="2"/>
  <c r="P872" i="2" s="1"/>
  <c r="L871" i="2"/>
  <c r="O871" i="2"/>
  <c r="P871" i="2" s="1"/>
  <c r="L870" i="2"/>
  <c r="O870" i="2"/>
  <c r="P870" i="2" s="1"/>
  <c r="L869" i="2"/>
  <c r="O869" i="2"/>
  <c r="P869" i="2" s="1"/>
  <c r="L868" i="2"/>
  <c r="O868" i="2"/>
  <c r="P868" i="2" s="1"/>
  <c r="L867" i="2"/>
  <c r="O867" i="2"/>
  <c r="P867" i="2" s="1"/>
  <c r="L866" i="2"/>
  <c r="O866" i="2"/>
  <c r="P866" i="2" s="1"/>
  <c r="L865" i="2"/>
  <c r="O865" i="2"/>
  <c r="P865" i="2" s="1"/>
  <c r="L864" i="2"/>
  <c r="O864" i="2"/>
  <c r="P864" i="2" s="1"/>
  <c r="L863" i="2"/>
  <c r="O863" i="2"/>
  <c r="P863" i="2" s="1"/>
  <c r="L862" i="2"/>
  <c r="O862" i="2"/>
  <c r="P862" i="2" s="1"/>
  <c r="L861" i="2"/>
  <c r="O861" i="2"/>
  <c r="P861" i="2" s="1"/>
  <c r="L860" i="2"/>
  <c r="O860" i="2"/>
  <c r="P860" i="2" s="1"/>
  <c r="L859" i="2"/>
  <c r="O859" i="2"/>
  <c r="P859" i="2" s="1"/>
  <c r="L858" i="2"/>
  <c r="O858" i="2"/>
  <c r="P858" i="2" s="1"/>
  <c r="L857" i="2"/>
  <c r="O857" i="2"/>
  <c r="P857" i="2" s="1"/>
  <c r="L856" i="2"/>
  <c r="O856" i="2"/>
  <c r="P856" i="2" s="1"/>
  <c r="L855" i="2"/>
  <c r="O855" i="2"/>
  <c r="P855" i="2" s="1"/>
  <c r="L854" i="2"/>
  <c r="O854" i="2"/>
  <c r="P854" i="2" s="1"/>
  <c r="L853" i="2"/>
  <c r="O853" i="2"/>
  <c r="P853" i="2" s="1"/>
  <c r="L852" i="2"/>
  <c r="O852" i="2"/>
  <c r="P852" i="2" s="1"/>
  <c r="L851" i="2"/>
  <c r="O851" i="2"/>
  <c r="P851" i="2" s="1"/>
  <c r="L850" i="2"/>
  <c r="O850" i="2"/>
  <c r="P850" i="2" s="1"/>
  <c r="L849" i="2"/>
  <c r="O849" i="2"/>
  <c r="P849" i="2" s="1"/>
  <c r="L848" i="2"/>
  <c r="O848" i="2"/>
  <c r="P848" i="2" s="1"/>
  <c r="L847" i="2"/>
  <c r="O847" i="2"/>
  <c r="P847" i="2" s="1"/>
  <c r="L846" i="2"/>
  <c r="O846" i="2"/>
  <c r="P846" i="2" s="1"/>
  <c r="L845" i="2"/>
  <c r="O845" i="2"/>
  <c r="P845" i="2" s="1"/>
  <c r="L844" i="2"/>
  <c r="O844" i="2"/>
  <c r="P844" i="2" s="1"/>
  <c r="L843" i="2"/>
  <c r="O843" i="2"/>
  <c r="P843" i="2" s="1"/>
  <c r="L842" i="2"/>
  <c r="O842" i="2"/>
  <c r="P842" i="2" s="1"/>
  <c r="L841" i="2"/>
  <c r="O841" i="2"/>
  <c r="P841" i="2" s="1"/>
  <c r="L840" i="2"/>
  <c r="O840" i="2"/>
  <c r="P840" i="2" s="1"/>
  <c r="L839" i="2"/>
  <c r="O839" i="2"/>
  <c r="P839" i="2" s="1"/>
  <c r="L838" i="2"/>
  <c r="O838" i="2"/>
  <c r="P838" i="2" s="1"/>
  <c r="L837" i="2"/>
  <c r="O837" i="2"/>
  <c r="P837" i="2" s="1"/>
  <c r="L836" i="2"/>
  <c r="O836" i="2"/>
  <c r="P836" i="2" s="1"/>
  <c r="L835" i="2"/>
  <c r="O835" i="2"/>
  <c r="P835" i="2" s="1"/>
  <c r="L834" i="2"/>
  <c r="O834" i="2"/>
  <c r="P834" i="2" s="1"/>
  <c r="L833" i="2"/>
  <c r="O833" i="2"/>
  <c r="P833" i="2" s="1"/>
  <c r="L832" i="2"/>
  <c r="O832" i="2"/>
  <c r="P832" i="2" s="1"/>
  <c r="L831" i="2"/>
  <c r="O831" i="2"/>
  <c r="P831" i="2" s="1"/>
  <c r="L830" i="2"/>
  <c r="O830" i="2"/>
  <c r="P830" i="2" s="1"/>
  <c r="L829" i="2"/>
  <c r="O829" i="2"/>
  <c r="P829" i="2" s="1"/>
  <c r="L828" i="2"/>
  <c r="O828" i="2"/>
  <c r="P828" i="2" s="1"/>
  <c r="L827" i="2"/>
  <c r="O827" i="2"/>
  <c r="P827" i="2" s="1"/>
  <c r="L826" i="2"/>
  <c r="O826" i="2"/>
  <c r="P826" i="2" s="1"/>
  <c r="L825" i="2"/>
  <c r="O825" i="2"/>
  <c r="P825" i="2" s="1"/>
  <c r="L824" i="2"/>
  <c r="O824" i="2"/>
  <c r="P824" i="2" s="1"/>
  <c r="L823" i="2"/>
  <c r="O823" i="2"/>
  <c r="P823" i="2" s="1"/>
  <c r="L822" i="2"/>
  <c r="O822" i="2"/>
  <c r="P822" i="2" s="1"/>
  <c r="L821" i="2"/>
  <c r="O821" i="2"/>
  <c r="P821" i="2" s="1"/>
  <c r="L820" i="2"/>
  <c r="O820" i="2"/>
  <c r="P820" i="2" s="1"/>
  <c r="L819" i="2"/>
  <c r="O819" i="2"/>
  <c r="P819" i="2" s="1"/>
  <c r="L818" i="2"/>
  <c r="O818" i="2"/>
  <c r="P818" i="2" s="1"/>
  <c r="L817" i="2"/>
  <c r="O817" i="2"/>
  <c r="P817" i="2" s="1"/>
  <c r="L816" i="2"/>
  <c r="O816" i="2"/>
  <c r="P816" i="2" s="1"/>
  <c r="L815" i="2"/>
  <c r="O815" i="2"/>
  <c r="P815" i="2" s="1"/>
  <c r="L814" i="2"/>
  <c r="O814" i="2"/>
  <c r="P814" i="2" s="1"/>
  <c r="L813" i="2"/>
  <c r="O813" i="2"/>
  <c r="P813" i="2" s="1"/>
  <c r="L812" i="2"/>
  <c r="O812" i="2"/>
  <c r="P812" i="2" s="1"/>
  <c r="L811" i="2"/>
  <c r="O811" i="2"/>
  <c r="P811" i="2" s="1"/>
  <c r="L810" i="2"/>
  <c r="O810" i="2"/>
  <c r="P810" i="2" s="1"/>
  <c r="L809" i="2"/>
  <c r="O809" i="2"/>
  <c r="P809" i="2" s="1"/>
  <c r="L808" i="2"/>
  <c r="O808" i="2"/>
  <c r="P808" i="2" s="1"/>
  <c r="L807" i="2"/>
  <c r="O807" i="2"/>
  <c r="P807" i="2" s="1"/>
  <c r="L806" i="2"/>
  <c r="O806" i="2"/>
  <c r="P806" i="2" s="1"/>
  <c r="L805" i="2"/>
  <c r="O805" i="2"/>
  <c r="P805" i="2" s="1"/>
  <c r="L804" i="2"/>
  <c r="O804" i="2"/>
  <c r="P804" i="2" s="1"/>
  <c r="L803" i="2"/>
  <c r="O803" i="2"/>
  <c r="P803" i="2" s="1"/>
  <c r="L802" i="2"/>
  <c r="O802" i="2"/>
  <c r="P802" i="2" s="1"/>
  <c r="L801" i="2"/>
  <c r="O801" i="2"/>
  <c r="P801" i="2" s="1"/>
  <c r="L800" i="2"/>
  <c r="O800" i="2"/>
  <c r="P800" i="2" s="1"/>
  <c r="L799" i="2"/>
  <c r="O799" i="2"/>
  <c r="P799" i="2" s="1"/>
  <c r="L798" i="2"/>
  <c r="O798" i="2"/>
  <c r="P798" i="2" s="1"/>
  <c r="L797" i="2"/>
  <c r="O797" i="2"/>
  <c r="P797" i="2" s="1"/>
  <c r="L796" i="2"/>
  <c r="O796" i="2"/>
  <c r="P796" i="2" s="1"/>
  <c r="L795" i="2"/>
  <c r="O795" i="2"/>
  <c r="P795" i="2" s="1"/>
  <c r="L794" i="2"/>
  <c r="O794" i="2"/>
  <c r="P794" i="2" s="1"/>
  <c r="L793" i="2"/>
  <c r="O793" i="2"/>
  <c r="P793" i="2" s="1"/>
  <c r="L792" i="2"/>
  <c r="O792" i="2"/>
  <c r="P792" i="2" s="1"/>
  <c r="L791" i="2"/>
  <c r="O791" i="2"/>
  <c r="P791" i="2" s="1"/>
  <c r="L790" i="2"/>
  <c r="O790" i="2"/>
  <c r="P790" i="2" s="1"/>
  <c r="L789" i="2"/>
  <c r="O789" i="2"/>
  <c r="P789" i="2" s="1"/>
  <c r="L788" i="2"/>
  <c r="O788" i="2"/>
  <c r="P788" i="2" s="1"/>
  <c r="L787" i="2"/>
  <c r="O787" i="2"/>
  <c r="P787" i="2" s="1"/>
  <c r="L786" i="2"/>
  <c r="O786" i="2"/>
  <c r="P786" i="2" s="1"/>
  <c r="L785" i="2"/>
  <c r="O785" i="2"/>
  <c r="P785" i="2" s="1"/>
  <c r="L784" i="2"/>
  <c r="O784" i="2"/>
  <c r="P784" i="2" s="1"/>
  <c r="L783" i="2"/>
  <c r="O783" i="2"/>
  <c r="P783" i="2" s="1"/>
  <c r="L782" i="2"/>
  <c r="O782" i="2"/>
  <c r="P782" i="2" s="1"/>
  <c r="L781" i="2"/>
  <c r="O781" i="2"/>
  <c r="P781" i="2" s="1"/>
  <c r="L780" i="2"/>
  <c r="O780" i="2"/>
  <c r="P780" i="2" s="1"/>
  <c r="L779" i="2"/>
  <c r="O779" i="2"/>
  <c r="P779" i="2" s="1"/>
  <c r="L778" i="2"/>
  <c r="O778" i="2"/>
  <c r="P778" i="2" s="1"/>
  <c r="L777" i="2"/>
  <c r="O777" i="2"/>
  <c r="P777" i="2" s="1"/>
  <c r="L776" i="2"/>
  <c r="O776" i="2"/>
  <c r="P776" i="2" s="1"/>
  <c r="L775" i="2"/>
  <c r="O775" i="2"/>
  <c r="P775" i="2" s="1"/>
  <c r="L774" i="2"/>
  <c r="O774" i="2"/>
  <c r="P774" i="2" s="1"/>
  <c r="L773" i="2"/>
  <c r="O773" i="2"/>
  <c r="P773" i="2" s="1"/>
  <c r="L772" i="2"/>
  <c r="O772" i="2"/>
  <c r="P772" i="2" s="1"/>
  <c r="L771" i="2"/>
  <c r="O771" i="2"/>
  <c r="P771" i="2" s="1"/>
  <c r="L770" i="2"/>
  <c r="O770" i="2"/>
  <c r="P770" i="2" s="1"/>
  <c r="L769" i="2"/>
  <c r="O769" i="2"/>
  <c r="P769" i="2" s="1"/>
  <c r="L768" i="2"/>
  <c r="O768" i="2"/>
  <c r="P768" i="2" s="1"/>
  <c r="L767" i="2"/>
  <c r="O767" i="2"/>
  <c r="P767" i="2" s="1"/>
  <c r="L766" i="2"/>
  <c r="O766" i="2"/>
  <c r="P766" i="2" s="1"/>
  <c r="L765" i="2"/>
  <c r="O765" i="2"/>
  <c r="P765" i="2" s="1"/>
  <c r="L764" i="2"/>
  <c r="O764" i="2"/>
  <c r="P764" i="2" s="1"/>
  <c r="L763" i="2"/>
  <c r="O763" i="2"/>
  <c r="P763" i="2" s="1"/>
  <c r="L762" i="2"/>
  <c r="O762" i="2"/>
  <c r="P762" i="2" s="1"/>
  <c r="L761" i="2"/>
  <c r="O761" i="2"/>
  <c r="P761" i="2" s="1"/>
  <c r="L760" i="2"/>
  <c r="O760" i="2"/>
  <c r="P760" i="2" s="1"/>
  <c r="L759" i="2"/>
  <c r="O759" i="2"/>
  <c r="P759" i="2" s="1"/>
  <c r="L758" i="2"/>
  <c r="O758" i="2"/>
  <c r="P758" i="2" s="1"/>
  <c r="L757" i="2"/>
  <c r="O757" i="2"/>
  <c r="P757" i="2" s="1"/>
  <c r="L756" i="2"/>
  <c r="O756" i="2"/>
  <c r="P756" i="2" s="1"/>
  <c r="L755" i="2"/>
  <c r="O755" i="2"/>
  <c r="P755" i="2" s="1"/>
  <c r="L754" i="2"/>
  <c r="O754" i="2"/>
  <c r="P754" i="2" s="1"/>
  <c r="L753" i="2"/>
  <c r="O753" i="2"/>
  <c r="P753" i="2" s="1"/>
  <c r="L752" i="2"/>
  <c r="O752" i="2"/>
  <c r="P752" i="2" s="1"/>
  <c r="L751" i="2"/>
  <c r="O751" i="2"/>
  <c r="P751" i="2" s="1"/>
  <c r="L750" i="2"/>
  <c r="O750" i="2"/>
  <c r="P750" i="2" s="1"/>
  <c r="L749" i="2"/>
  <c r="O749" i="2"/>
  <c r="P749" i="2" s="1"/>
  <c r="L748" i="2"/>
  <c r="O748" i="2"/>
  <c r="P748" i="2" s="1"/>
  <c r="L747" i="2"/>
  <c r="O747" i="2"/>
  <c r="P747" i="2" s="1"/>
  <c r="L746" i="2"/>
  <c r="O746" i="2"/>
  <c r="P746" i="2" s="1"/>
  <c r="AF746" i="2" s="1"/>
  <c r="L745" i="2"/>
  <c r="O745" i="2"/>
  <c r="P745" i="2" s="1"/>
  <c r="L744" i="2"/>
  <c r="O744" i="2"/>
  <c r="P744" i="2" s="1"/>
  <c r="L743" i="2"/>
  <c r="O743" i="2"/>
  <c r="P743" i="2" s="1"/>
  <c r="L742" i="2"/>
  <c r="O742" i="2"/>
  <c r="P742" i="2" s="1"/>
  <c r="L741" i="2"/>
  <c r="O741" i="2"/>
  <c r="P741" i="2" s="1"/>
  <c r="L740" i="2"/>
  <c r="O740" i="2"/>
  <c r="P740" i="2" s="1"/>
  <c r="L739" i="2"/>
  <c r="O739" i="2"/>
  <c r="P739" i="2" s="1"/>
  <c r="L738" i="2"/>
  <c r="O738" i="2"/>
  <c r="P738" i="2" s="1"/>
  <c r="L737" i="2"/>
  <c r="O737" i="2"/>
  <c r="P737" i="2" s="1"/>
  <c r="L736" i="2"/>
  <c r="O736" i="2"/>
  <c r="P736" i="2" s="1"/>
  <c r="L735" i="2"/>
  <c r="O735" i="2"/>
  <c r="P735" i="2" s="1"/>
  <c r="L734" i="2"/>
  <c r="O734" i="2"/>
  <c r="P734" i="2" s="1"/>
  <c r="L733" i="2"/>
  <c r="O733" i="2"/>
  <c r="P733" i="2" s="1"/>
  <c r="L732" i="2"/>
  <c r="O732" i="2"/>
  <c r="P732" i="2" s="1"/>
  <c r="L731" i="2"/>
  <c r="O731" i="2"/>
  <c r="P731" i="2" s="1"/>
  <c r="L730" i="2"/>
  <c r="O730" i="2"/>
  <c r="P730" i="2" s="1"/>
  <c r="L729" i="2"/>
  <c r="O729" i="2"/>
  <c r="P729" i="2" s="1"/>
  <c r="L728" i="2"/>
  <c r="O728" i="2"/>
  <c r="P728" i="2" s="1"/>
  <c r="L727" i="2"/>
  <c r="O727" i="2"/>
  <c r="P727" i="2" s="1"/>
  <c r="L726" i="2"/>
  <c r="O726" i="2"/>
  <c r="P726" i="2" s="1"/>
  <c r="L725" i="2"/>
  <c r="O725" i="2"/>
  <c r="P725" i="2" s="1"/>
  <c r="L724" i="2"/>
  <c r="O724" i="2"/>
  <c r="P724" i="2" s="1"/>
  <c r="L723" i="2"/>
  <c r="O723" i="2"/>
  <c r="P723" i="2" s="1"/>
  <c r="L722" i="2"/>
  <c r="O722" i="2"/>
  <c r="P722" i="2" s="1"/>
  <c r="L721" i="2"/>
  <c r="O721" i="2"/>
  <c r="P721" i="2" s="1"/>
  <c r="L720" i="2"/>
  <c r="O720" i="2"/>
  <c r="P720" i="2" s="1"/>
  <c r="L719" i="2"/>
  <c r="O719" i="2"/>
  <c r="P719" i="2" s="1"/>
  <c r="L718" i="2"/>
  <c r="O718" i="2"/>
  <c r="P718" i="2" s="1"/>
  <c r="L717" i="2"/>
  <c r="O717" i="2"/>
  <c r="P717" i="2" s="1"/>
  <c r="L716" i="2"/>
  <c r="O716" i="2"/>
  <c r="P716" i="2" s="1"/>
  <c r="L715" i="2"/>
  <c r="O715" i="2"/>
  <c r="P715" i="2" s="1"/>
  <c r="L714" i="2"/>
  <c r="O714" i="2"/>
  <c r="P714" i="2" s="1"/>
  <c r="L713" i="2"/>
  <c r="O713" i="2"/>
  <c r="P713" i="2" s="1"/>
  <c r="L712" i="2"/>
  <c r="O712" i="2"/>
  <c r="P712" i="2" s="1"/>
  <c r="L711" i="2"/>
  <c r="O711" i="2"/>
  <c r="P711" i="2" s="1"/>
  <c r="L710" i="2"/>
  <c r="O710" i="2"/>
  <c r="P710" i="2" s="1"/>
  <c r="L709" i="2"/>
  <c r="O709" i="2"/>
  <c r="P709" i="2" s="1"/>
  <c r="L708" i="2"/>
  <c r="O708" i="2"/>
  <c r="P708" i="2" s="1"/>
  <c r="L707" i="2"/>
  <c r="O707" i="2"/>
  <c r="P707" i="2" s="1"/>
  <c r="L706" i="2"/>
  <c r="O706" i="2"/>
  <c r="P706" i="2" s="1"/>
  <c r="L705" i="2"/>
  <c r="O705" i="2"/>
  <c r="P705" i="2" s="1"/>
  <c r="L704" i="2"/>
  <c r="O704" i="2"/>
  <c r="P704" i="2" s="1"/>
  <c r="L703" i="2"/>
  <c r="O703" i="2"/>
  <c r="P703" i="2" s="1"/>
  <c r="L702" i="2"/>
  <c r="O702" i="2"/>
  <c r="P702" i="2" s="1"/>
  <c r="L701" i="2"/>
  <c r="O701" i="2"/>
  <c r="P701" i="2" s="1"/>
  <c r="L700" i="2"/>
  <c r="O700" i="2"/>
  <c r="P700" i="2" s="1"/>
  <c r="L699" i="2"/>
  <c r="O699" i="2"/>
  <c r="P699" i="2" s="1"/>
  <c r="L698" i="2"/>
  <c r="O698" i="2"/>
  <c r="P698" i="2" s="1"/>
  <c r="L697" i="2"/>
  <c r="O697" i="2"/>
  <c r="P697" i="2" s="1"/>
  <c r="L696" i="2"/>
  <c r="O696" i="2"/>
  <c r="P696" i="2" s="1"/>
  <c r="L695" i="2"/>
  <c r="O695" i="2"/>
  <c r="P695" i="2" s="1"/>
  <c r="L694" i="2"/>
  <c r="O694" i="2"/>
  <c r="P694" i="2" s="1"/>
  <c r="L693" i="2"/>
  <c r="O693" i="2"/>
  <c r="P693" i="2" s="1"/>
  <c r="L692" i="2"/>
  <c r="O692" i="2"/>
  <c r="P692" i="2" s="1"/>
  <c r="L691" i="2"/>
  <c r="O691" i="2"/>
  <c r="P691" i="2" s="1"/>
  <c r="L690" i="2"/>
  <c r="O690" i="2"/>
  <c r="P690" i="2" s="1"/>
  <c r="L689" i="2"/>
  <c r="O689" i="2"/>
  <c r="P689" i="2" s="1"/>
  <c r="L688" i="2"/>
  <c r="O688" i="2"/>
  <c r="P688" i="2" s="1"/>
  <c r="L687" i="2"/>
  <c r="O687" i="2"/>
  <c r="P687" i="2" s="1"/>
  <c r="L686" i="2"/>
  <c r="O686" i="2"/>
  <c r="P686" i="2" s="1"/>
  <c r="L685" i="2"/>
  <c r="O685" i="2"/>
  <c r="P685" i="2" s="1"/>
  <c r="L684" i="2"/>
  <c r="O684" i="2"/>
  <c r="P684" i="2" s="1"/>
  <c r="L683" i="2"/>
  <c r="O683" i="2"/>
  <c r="P683" i="2" s="1"/>
  <c r="L682" i="2"/>
  <c r="O682" i="2"/>
  <c r="P682" i="2" s="1"/>
  <c r="L681" i="2"/>
  <c r="O681" i="2"/>
  <c r="P681" i="2" s="1"/>
  <c r="L680" i="2"/>
  <c r="O680" i="2"/>
  <c r="P680" i="2" s="1"/>
  <c r="L679" i="2"/>
  <c r="O679" i="2"/>
  <c r="P679" i="2" s="1"/>
  <c r="L678" i="2"/>
  <c r="O678" i="2"/>
  <c r="P678" i="2" s="1"/>
  <c r="L677" i="2"/>
  <c r="O677" i="2"/>
  <c r="P677" i="2" s="1"/>
  <c r="L676" i="2"/>
  <c r="O676" i="2"/>
  <c r="P676" i="2" s="1"/>
  <c r="L675" i="2"/>
  <c r="O675" i="2"/>
  <c r="P675" i="2" s="1"/>
  <c r="L674" i="2"/>
  <c r="O674" i="2"/>
  <c r="P674" i="2" s="1"/>
  <c r="L673" i="2"/>
  <c r="O673" i="2"/>
  <c r="P673" i="2" s="1"/>
  <c r="L672" i="2"/>
  <c r="O672" i="2"/>
  <c r="P672" i="2" s="1"/>
  <c r="L671" i="2"/>
  <c r="O671" i="2"/>
  <c r="P671" i="2" s="1"/>
  <c r="L670" i="2"/>
  <c r="O670" i="2"/>
  <c r="P670" i="2" s="1"/>
  <c r="L669" i="2"/>
  <c r="O669" i="2"/>
  <c r="P669" i="2" s="1"/>
  <c r="L668" i="2"/>
  <c r="O668" i="2"/>
  <c r="P668" i="2" s="1"/>
  <c r="L667" i="2"/>
  <c r="O667" i="2"/>
  <c r="P667" i="2" s="1"/>
  <c r="L666" i="2"/>
  <c r="O666" i="2"/>
  <c r="P666" i="2" s="1"/>
  <c r="L665" i="2"/>
  <c r="O665" i="2"/>
  <c r="P665" i="2" s="1"/>
  <c r="L664" i="2"/>
  <c r="O664" i="2"/>
  <c r="P664" i="2" s="1"/>
  <c r="L663" i="2"/>
  <c r="O663" i="2"/>
  <c r="P663" i="2" s="1"/>
  <c r="L662" i="2"/>
  <c r="O662" i="2"/>
  <c r="P662" i="2" s="1"/>
  <c r="L661" i="2"/>
  <c r="O661" i="2"/>
  <c r="P661" i="2" s="1"/>
  <c r="L660" i="2"/>
  <c r="O660" i="2"/>
  <c r="P660" i="2" s="1"/>
  <c r="L659" i="2"/>
  <c r="O659" i="2"/>
  <c r="P659" i="2" s="1"/>
  <c r="L658" i="2"/>
  <c r="O658" i="2"/>
  <c r="P658" i="2" s="1"/>
  <c r="L657" i="2"/>
  <c r="O657" i="2"/>
  <c r="P657" i="2" s="1"/>
  <c r="L656" i="2"/>
  <c r="O656" i="2"/>
  <c r="P656" i="2" s="1"/>
  <c r="L655" i="2"/>
  <c r="O655" i="2"/>
  <c r="P655" i="2" s="1"/>
  <c r="L654" i="2"/>
  <c r="O654" i="2"/>
  <c r="P654" i="2" s="1"/>
  <c r="L653" i="2"/>
  <c r="O653" i="2"/>
  <c r="P653" i="2" s="1"/>
  <c r="L652" i="2"/>
  <c r="O652" i="2"/>
  <c r="P652" i="2" s="1"/>
  <c r="L651" i="2"/>
  <c r="O651" i="2"/>
  <c r="P651" i="2" s="1"/>
  <c r="L650" i="2"/>
  <c r="O650" i="2"/>
  <c r="P650" i="2" s="1"/>
  <c r="L649" i="2"/>
  <c r="O649" i="2"/>
  <c r="P649" i="2" s="1"/>
  <c r="L648" i="2"/>
  <c r="O648" i="2"/>
  <c r="P648" i="2" s="1"/>
  <c r="L647" i="2"/>
  <c r="O647" i="2"/>
  <c r="P647" i="2" s="1"/>
  <c r="L646" i="2"/>
  <c r="O646" i="2"/>
  <c r="P646" i="2" s="1"/>
  <c r="L645" i="2"/>
  <c r="O645" i="2"/>
  <c r="P645" i="2" s="1"/>
  <c r="L644" i="2"/>
  <c r="O644" i="2"/>
  <c r="P644" i="2" s="1"/>
  <c r="L643" i="2"/>
  <c r="O643" i="2"/>
  <c r="P643" i="2" s="1"/>
  <c r="Q643" i="2" s="1"/>
  <c r="L599" i="2"/>
  <c r="O599" i="2"/>
  <c r="P599" i="2" s="1"/>
  <c r="L598" i="2"/>
  <c r="O598" i="2"/>
  <c r="P598" i="2" s="1"/>
  <c r="L597" i="2"/>
  <c r="O597" i="2"/>
  <c r="P597" i="2" s="1"/>
  <c r="L596" i="2"/>
  <c r="O596" i="2"/>
  <c r="P596" i="2" s="1"/>
  <c r="L595" i="2"/>
  <c r="O595" i="2"/>
  <c r="P595" i="2" s="1"/>
  <c r="L594" i="2"/>
  <c r="O594" i="2"/>
  <c r="P594" i="2" s="1"/>
  <c r="L593" i="2"/>
  <c r="O593" i="2"/>
  <c r="P593" i="2" s="1"/>
  <c r="L592" i="2"/>
  <c r="O592" i="2"/>
  <c r="P592" i="2" s="1"/>
  <c r="L591" i="2"/>
  <c r="O591" i="2"/>
  <c r="P591" i="2" s="1"/>
  <c r="L590" i="2"/>
  <c r="O590" i="2"/>
  <c r="P590" i="2" s="1"/>
  <c r="L589" i="2"/>
  <c r="O589" i="2"/>
  <c r="P589" i="2" s="1"/>
  <c r="L588" i="2"/>
  <c r="O588" i="2"/>
  <c r="P588" i="2" s="1"/>
  <c r="L587" i="2"/>
  <c r="O587" i="2"/>
  <c r="P587" i="2" s="1"/>
  <c r="L586" i="2"/>
  <c r="O586" i="2"/>
  <c r="P586" i="2" s="1"/>
  <c r="L585" i="2"/>
  <c r="O585" i="2"/>
  <c r="P585" i="2" s="1"/>
  <c r="L584" i="2"/>
  <c r="O584" i="2"/>
  <c r="P584" i="2" s="1"/>
  <c r="L583" i="2"/>
  <c r="O583" i="2"/>
  <c r="P583" i="2" s="1"/>
  <c r="L582" i="2"/>
  <c r="O582" i="2"/>
  <c r="P582" i="2" s="1"/>
  <c r="L581" i="2"/>
  <c r="O581" i="2"/>
  <c r="P581" i="2" s="1"/>
  <c r="L580" i="2"/>
  <c r="O580" i="2"/>
  <c r="P580" i="2" s="1"/>
  <c r="L579" i="2"/>
  <c r="O579" i="2"/>
  <c r="P579" i="2" s="1"/>
  <c r="L578" i="2"/>
  <c r="O578" i="2"/>
  <c r="P578" i="2" s="1"/>
  <c r="L577" i="2"/>
  <c r="O577" i="2"/>
  <c r="P577" i="2" s="1"/>
  <c r="L576" i="2"/>
  <c r="O576" i="2"/>
  <c r="P576" i="2" s="1"/>
  <c r="L575" i="2"/>
  <c r="O575" i="2"/>
  <c r="P575" i="2" s="1"/>
  <c r="L574" i="2"/>
  <c r="O574" i="2"/>
  <c r="P574" i="2" s="1"/>
  <c r="L573" i="2"/>
  <c r="O573" i="2"/>
  <c r="P573" i="2" s="1"/>
  <c r="L572" i="2"/>
  <c r="O572" i="2"/>
  <c r="P572" i="2" s="1"/>
  <c r="L571" i="2"/>
  <c r="O571" i="2"/>
  <c r="P571" i="2" s="1"/>
  <c r="L570" i="2"/>
  <c r="O570" i="2"/>
  <c r="P570" i="2" s="1"/>
  <c r="L569" i="2"/>
  <c r="O569" i="2"/>
  <c r="P569" i="2" s="1"/>
  <c r="L568" i="2"/>
  <c r="O568" i="2"/>
  <c r="P568" i="2" s="1"/>
  <c r="L567" i="2"/>
  <c r="O567" i="2"/>
  <c r="P567" i="2" s="1"/>
  <c r="L566" i="2"/>
  <c r="O566" i="2"/>
  <c r="P566" i="2" s="1"/>
  <c r="L565" i="2"/>
  <c r="O565" i="2"/>
  <c r="P565" i="2" s="1"/>
  <c r="L564" i="2"/>
  <c r="O564" i="2"/>
  <c r="P564" i="2" s="1"/>
  <c r="L563" i="2"/>
  <c r="O563" i="2"/>
  <c r="P563" i="2" s="1"/>
  <c r="L562" i="2"/>
  <c r="O562" i="2"/>
  <c r="P562" i="2" s="1"/>
  <c r="L561" i="2"/>
  <c r="O561" i="2"/>
  <c r="P561" i="2" s="1"/>
  <c r="L560" i="2"/>
  <c r="O560" i="2"/>
  <c r="P560" i="2" s="1"/>
  <c r="L559" i="2"/>
  <c r="O559" i="2"/>
  <c r="P559" i="2" s="1"/>
  <c r="L558" i="2"/>
  <c r="O558" i="2"/>
  <c r="P558" i="2" s="1"/>
  <c r="L557" i="2"/>
  <c r="O557" i="2"/>
  <c r="P557" i="2" s="1"/>
  <c r="L556" i="2"/>
  <c r="O556" i="2"/>
  <c r="P556" i="2" s="1"/>
  <c r="L555" i="2"/>
  <c r="O555" i="2"/>
  <c r="P555" i="2" s="1"/>
  <c r="L554" i="2"/>
  <c r="O554" i="2"/>
  <c r="P554" i="2" s="1"/>
  <c r="L553" i="2"/>
  <c r="O553" i="2"/>
  <c r="P553" i="2" s="1"/>
  <c r="L552" i="2"/>
  <c r="O552" i="2"/>
  <c r="P552" i="2" s="1"/>
  <c r="L551" i="2"/>
  <c r="O551" i="2"/>
  <c r="P551" i="2" s="1"/>
  <c r="L550" i="2"/>
  <c r="O550" i="2"/>
  <c r="P550" i="2" s="1"/>
  <c r="L549" i="2"/>
  <c r="O549" i="2"/>
  <c r="P549" i="2" s="1"/>
  <c r="L548" i="2"/>
  <c r="O548" i="2"/>
  <c r="P548" i="2" s="1"/>
  <c r="L547" i="2"/>
  <c r="O547" i="2"/>
  <c r="P547" i="2" s="1"/>
  <c r="L546" i="2"/>
  <c r="O546" i="2"/>
  <c r="P546" i="2" s="1"/>
  <c r="L545" i="2"/>
  <c r="O545" i="2"/>
  <c r="P545" i="2" s="1"/>
  <c r="L544" i="2"/>
  <c r="O544" i="2"/>
  <c r="P544" i="2" s="1"/>
  <c r="L543" i="2"/>
  <c r="O543" i="2"/>
  <c r="P543" i="2" s="1"/>
  <c r="L542" i="2"/>
  <c r="O542" i="2"/>
  <c r="P542" i="2" s="1"/>
  <c r="L541" i="2"/>
  <c r="O541" i="2"/>
  <c r="P541" i="2" s="1"/>
  <c r="L540" i="2"/>
  <c r="O540" i="2"/>
  <c r="P540" i="2" s="1"/>
  <c r="L539" i="2"/>
  <c r="O539" i="2"/>
  <c r="P539" i="2" s="1"/>
  <c r="L538" i="2"/>
  <c r="O538" i="2"/>
  <c r="P538" i="2" s="1"/>
  <c r="L537" i="2"/>
  <c r="O537" i="2"/>
  <c r="P537" i="2" s="1"/>
  <c r="L536" i="2"/>
  <c r="O536" i="2"/>
  <c r="P536" i="2" s="1"/>
  <c r="L535" i="2"/>
  <c r="O535" i="2"/>
  <c r="P535" i="2" s="1"/>
  <c r="L534" i="2"/>
  <c r="O534" i="2"/>
  <c r="P534" i="2" s="1"/>
  <c r="L533" i="2"/>
  <c r="O533" i="2"/>
  <c r="P533" i="2" s="1"/>
  <c r="L532" i="2"/>
  <c r="O532" i="2"/>
  <c r="P532" i="2" s="1"/>
  <c r="L531" i="2"/>
  <c r="O531" i="2"/>
  <c r="P531" i="2" s="1"/>
  <c r="L530" i="2"/>
  <c r="O530" i="2"/>
  <c r="P530" i="2" s="1"/>
  <c r="L529" i="2"/>
  <c r="O529" i="2"/>
  <c r="P529" i="2" s="1"/>
  <c r="L528" i="2"/>
  <c r="O528" i="2"/>
  <c r="P528" i="2" s="1"/>
  <c r="L527" i="2"/>
  <c r="O527" i="2"/>
  <c r="P527" i="2" s="1"/>
  <c r="L526" i="2"/>
  <c r="O526" i="2"/>
  <c r="P526" i="2" s="1"/>
  <c r="L525" i="2"/>
  <c r="O525" i="2"/>
  <c r="P525" i="2" s="1"/>
  <c r="L524" i="2"/>
  <c r="O524" i="2"/>
  <c r="P524" i="2" s="1"/>
  <c r="L523" i="2"/>
  <c r="O523" i="2"/>
  <c r="P523" i="2" s="1"/>
  <c r="L522" i="2"/>
  <c r="O522" i="2"/>
  <c r="P522" i="2" s="1"/>
  <c r="L521" i="2"/>
  <c r="O521" i="2"/>
  <c r="P521" i="2" s="1"/>
  <c r="L520" i="2"/>
  <c r="O520" i="2"/>
  <c r="P520" i="2" s="1"/>
  <c r="L519" i="2"/>
  <c r="O519" i="2"/>
  <c r="P519" i="2" s="1"/>
  <c r="L518" i="2"/>
  <c r="O518" i="2"/>
  <c r="P518" i="2" s="1"/>
  <c r="L517" i="2"/>
  <c r="O517" i="2"/>
  <c r="P517" i="2" s="1"/>
  <c r="L516" i="2"/>
  <c r="O516" i="2"/>
  <c r="P516" i="2" s="1"/>
  <c r="L515" i="2"/>
  <c r="O515" i="2"/>
  <c r="P515" i="2" s="1"/>
  <c r="L514" i="2"/>
  <c r="O514" i="2"/>
  <c r="P514" i="2" s="1"/>
  <c r="L513" i="2"/>
  <c r="O513" i="2"/>
  <c r="P513" i="2" s="1"/>
  <c r="L512" i="2"/>
  <c r="O512" i="2"/>
  <c r="P512" i="2" s="1"/>
  <c r="L511" i="2"/>
  <c r="O511" i="2"/>
  <c r="P511" i="2" s="1"/>
  <c r="L510" i="2"/>
  <c r="O510" i="2"/>
  <c r="P510" i="2" s="1"/>
  <c r="L509" i="2"/>
  <c r="O509" i="2"/>
  <c r="P509" i="2" s="1"/>
  <c r="L508" i="2"/>
  <c r="O508" i="2"/>
  <c r="P508" i="2" s="1"/>
  <c r="L507" i="2"/>
  <c r="O507" i="2"/>
  <c r="P507" i="2" s="1"/>
  <c r="L506" i="2"/>
  <c r="O506" i="2"/>
  <c r="P506" i="2" s="1"/>
  <c r="L505" i="2"/>
  <c r="O505" i="2"/>
  <c r="P505" i="2" s="1"/>
  <c r="L504" i="2"/>
  <c r="O504" i="2"/>
  <c r="P504" i="2" s="1"/>
  <c r="L503" i="2"/>
  <c r="O503" i="2"/>
  <c r="P503" i="2" s="1"/>
  <c r="L502" i="2"/>
  <c r="O502" i="2"/>
  <c r="P502" i="2" s="1"/>
  <c r="L501" i="2"/>
  <c r="O501" i="2"/>
  <c r="P501" i="2" s="1"/>
  <c r="L500" i="2"/>
  <c r="O500" i="2"/>
  <c r="P500" i="2" s="1"/>
  <c r="L499" i="2"/>
  <c r="O499" i="2"/>
  <c r="P499" i="2" s="1"/>
  <c r="L498" i="2"/>
  <c r="O498" i="2"/>
  <c r="P498" i="2" s="1"/>
  <c r="L497" i="2"/>
  <c r="O497" i="2"/>
  <c r="P497" i="2" s="1"/>
  <c r="L496" i="2"/>
  <c r="O496" i="2"/>
  <c r="P496" i="2" s="1"/>
  <c r="L495" i="2"/>
  <c r="O495" i="2"/>
  <c r="P495" i="2" s="1"/>
  <c r="L494" i="2"/>
  <c r="O494" i="2"/>
  <c r="P494" i="2" s="1"/>
  <c r="L493" i="2"/>
  <c r="O493" i="2"/>
  <c r="P493" i="2" s="1"/>
  <c r="L492" i="2"/>
  <c r="O492" i="2"/>
  <c r="P492" i="2" s="1"/>
  <c r="L491" i="2"/>
  <c r="O491" i="2"/>
  <c r="P491" i="2" s="1"/>
  <c r="L490" i="2"/>
  <c r="O490" i="2"/>
  <c r="P490" i="2" s="1"/>
  <c r="L489" i="2"/>
  <c r="O489" i="2"/>
  <c r="P489" i="2" s="1"/>
  <c r="L488" i="2"/>
  <c r="O488" i="2"/>
  <c r="P488" i="2" s="1"/>
  <c r="L487" i="2"/>
  <c r="O487" i="2"/>
  <c r="P487" i="2" s="1"/>
  <c r="L486" i="2"/>
  <c r="O486" i="2"/>
  <c r="P486" i="2" s="1"/>
  <c r="L485" i="2"/>
  <c r="O485" i="2"/>
  <c r="P485" i="2" s="1"/>
  <c r="L484" i="2"/>
  <c r="O484" i="2"/>
  <c r="P484" i="2" s="1"/>
  <c r="L483" i="2"/>
  <c r="O483" i="2"/>
  <c r="P483" i="2" s="1"/>
  <c r="L482" i="2"/>
  <c r="O482" i="2"/>
  <c r="P482" i="2" s="1"/>
  <c r="L481" i="2"/>
  <c r="O481" i="2"/>
  <c r="P481" i="2" s="1"/>
  <c r="L480" i="2"/>
  <c r="O480" i="2"/>
  <c r="P480" i="2" s="1"/>
  <c r="L479" i="2"/>
  <c r="O479" i="2"/>
  <c r="P479" i="2" s="1"/>
  <c r="L478" i="2"/>
  <c r="O478" i="2"/>
  <c r="P478" i="2" s="1"/>
  <c r="L477" i="2"/>
  <c r="O477" i="2"/>
  <c r="P477" i="2" s="1"/>
  <c r="L476" i="2"/>
  <c r="O476" i="2"/>
  <c r="P476" i="2" s="1"/>
  <c r="L475" i="2"/>
  <c r="O475" i="2"/>
  <c r="P475" i="2" s="1"/>
  <c r="L474" i="2"/>
  <c r="O474" i="2"/>
  <c r="P474" i="2" s="1"/>
  <c r="L473" i="2"/>
  <c r="O473" i="2"/>
  <c r="P473" i="2" s="1"/>
  <c r="L472" i="2"/>
  <c r="O472" i="2"/>
  <c r="P472" i="2" s="1"/>
  <c r="L471" i="2"/>
  <c r="O471" i="2"/>
  <c r="P471" i="2" s="1"/>
  <c r="L470" i="2"/>
  <c r="O470" i="2"/>
  <c r="P470" i="2" s="1"/>
  <c r="L469" i="2"/>
  <c r="O469" i="2"/>
  <c r="P469" i="2" s="1"/>
  <c r="L468" i="2"/>
  <c r="O468" i="2"/>
  <c r="P468" i="2" s="1"/>
  <c r="L467" i="2"/>
  <c r="O467" i="2"/>
  <c r="P467" i="2" s="1"/>
  <c r="L466" i="2"/>
  <c r="O466" i="2"/>
  <c r="P466" i="2" s="1"/>
  <c r="L465" i="2"/>
  <c r="O465" i="2"/>
  <c r="P465" i="2" s="1"/>
  <c r="L464" i="2"/>
  <c r="O464" i="2"/>
  <c r="P464" i="2" s="1"/>
  <c r="L463" i="2"/>
  <c r="O463" i="2"/>
  <c r="P463" i="2" s="1"/>
  <c r="O462" i="2"/>
  <c r="P462" i="2" s="1"/>
  <c r="L462" i="2"/>
  <c r="L461" i="2"/>
  <c r="O461" i="2"/>
  <c r="P461" i="2" s="1"/>
  <c r="L460" i="2"/>
  <c r="O460" i="2"/>
  <c r="P460" i="2" s="1"/>
  <c r="L459" i="2"/>
  <c r="O459" i="2"/>
  <c r="P459" i="2" s="1"/>
  <c r="L458" i="2"/>
  <c r="O458" i="2"/>
  <c r="P458" i="2" s="1"/>
  <c r="L457" i="2"/>
  <c r="O457" i="2"/>
  <c r="P457" i="2" s="1"/>
  <c r="L456" i="2"/>
  <c r="O456" i="2"/>
  <c r="P456" i="2" s="1"/>
  <c r="L455" i="2"/>
  <c r="O455" i="2"/>
  <c r="P455" i="2" s="1"/>
  <c r="L454" i="2"/>
  <c r="O454" i="2"/>
  <c r="P454" i="2" s="1"/>
  <c r="L453" i="2"/>
  <c r="O453" i="2"/>
  <c r="P453" i="2" s="1"/>
  <c r="L452" i="2"/>
  <c r="O452" i="2"/>
  <c r="P452" i="2" s="1"/>
  <c r="L451" i="2"/>
  <c r="O451" i="2"/>
  <c r="P451" i="2" s="1"/>
  <c r="L450" i="2"/>
  <c r="O450" i="2"/>
  <c r="P450" i="2" s="1"/>
  <c r="L449" i="2"/>
  <c r="O449" i="2"/>
  <c r="P449" i="2" s="1"/>
  <c r="L448" i="2"/>
  <c r="O448" i="2"/>
  <c r="P448" i="2" s="1"/>
  <c r="L447" i="2"/>
  <c r="O447" i="2"/>
  <c r="P447" i="2" s="1"/>
  <c r="L446" i="2"/>
  <c r="O446" i="2"/>
  <c r="P446" i="2" s="1"/>
  <c r="L445" i="2"/>
  <c r="O445" i="2"/>
  <c r="P445" i="2" s="1"/>
  <c r="L444" i="2"/>
  <c r="O444" i="2"/>
  <c r="P444" i="2" s="1"/>
  <c r="L443" i="2"/>
  <c r="O443" i="2"/>
  <c r="P443" i="2" s="1"/>
  <c r="L442" i="2"/>
  <c r="O442" i="2"/>
  <c r="P442" i="2" s="1"/>
  <c r="L441" i="2"/>
  <c r="O441" i="2"/>
  <c r="P441" i="2" s="1"/>
  <c r="L440" i="2"/>
  <c r="O440" i="2"/>
  <c r="P440" i="2" s="1"/>
  <c r="L439" i="2"/>
  <c r="O439" i="2"/>
  <c r="P439" i="2" s="1"/>
  <c r="L438" i="2"/>
  <c r="O438" i="2"/>
  <c r="P438" i="2" s="1"/>
  <c r="L437" i="2"/>
  <c r="O437" i="2"/>
  <c r="P437" i="2" s="1"/>
  <c r="L436" i="2"/>
  <c r="O436" i="2"/>
  <c r="P436" i="2" s="1"/>
  <c r="L434" i="2"/>
  <c r="O434" i="2"/>
  <c r="P434" i="2" s="1"/>
  <c r="L432" i="2"/>
  <c r="O432" i="2"/>
  <c r="P432" i="2" s="1"/>
  <c r="L431" i="2"/>
  <c r="O431" i="2"/>
  <c r="P431" i="2" s="1"/>
  <c r="L430" i="2"/>
  <c r="O430" i="2"/>
  <c r="P430" i="2" s="1"/>
  <c r="L429" i="2"/>
  <c r="O429" i="2"/>
  <c r="P429" i="2" s="1"/>
  <c r="L428" i="2"/>
  <c r="O428" i="2"/>
  <c r="P428" i="2" s="1"/>
  <c r="L427" i="2"/>
  <c r="O427" i="2"/>
  <c r="P427" i="2" s="1"/>
  <c r="L426" i="2"/>
  <c r="O426" i="2"/>
  <c r="P426" i="2" s="1"/>
  <c r="L425" i="2"/>
  <c r="O425" i="2"/>
  <c r="P425" i="2" s="1"/>
  <c r="L424" i="2"/>
  <c r="O424" i="2"/>
  <c r="P424" i="2" s="1"/>
  <c r="L423" i="2"/>
  <c r="O423" i="2"/>
  <c r="P423" i="2" s="1"/>
  <c r="L422" i="2"/>
  <c r="O422" i="2"/>
  <c r="P422" i="2" s="1"/>
  <c r="L421" i="2"/>
  <c r="O421" i="2"/>
  <c r="P421" i="2" s="1"/>
  <c r="L420" i="2"/>
  <c r="O420" i="2"/>
  <c r="P420" i="2" s="1"/>
  <c r="L419" i="2"/>
  <c r="O419" i="2"/>
  <c r="P419" i="2" s="1"/>
  <c r="L418" i="2"/>
  <c r="O418" i="2"/>
  <c r="P418" i="2" s="1"/>
  <c r="L417" i="2"/>
  <c r="O417" i="2"/>
  <c r="P417" i="2" s="1"/>
  <c r="L416" i="2"/>
  <c r="O416" i="2"/>
  <c r="P416" i="2" s="1"/>
  <c r="L415" i="2"/>
  <c r="O415" i="2"/>
  <c r="P415" i="2" s="1"/>
  <c r="L414" i="2"/>
  <c r="O414" i="2"/>
  <c r="P414" i="2" s="1"/>
  <c r="L413" i="2"/>
  <c r="O413" i="2"/>
  <c r="P413" i="2" s="1"/>
  <c r="L412" i="2"/>
  <c r="O412" i="2"/>
  <c r="P412" i="2" s="1"/>
  <c r="L411" i="2"/>
  <c r="O411" i="2"/>
  <c r="P411" i="2" s="1"/>
  <c r="L410" i="2"/>
  <c r="O410" i="2"/>
  <c r="P410" i="2" s="1"/>
  <c r="L409" i="2"/>
  <c r="O409" i="2"/>
  <c r="P409" i="2" s="1"/>
  <c r="L408" i="2"/>
  <c r="O408" i="2"/>
  <c r="P408" i="2" s="1"/>
  <c r="L407" i="2"/>
  <c r="O407" i="2"/>
  <c r="P407" i="2" s="1"/>
  <c r="L406" i="2"/>
  <c r="O406" i="2"/>
  <c r="P406" i="2" s="1"/>
  <c r="L405" i="2"/>
  <c r="O405" i="2"/>
  <c r="P405" i="2" s="1"/>
  <c r="L404" i="2"/>
  <c r="O404" i="2"/>
  <c r="P404" i="2" s="1"/>
  <c r="L403" i="2"/>
  <c r="O403" i="2"/>
  <c r="P403" i="2" s="1"/>
  <c r="L402" i="2"/>
  <c r="O402" i="2"/>
  <c r="P402" i="2" s="1"/>
  <c r="L401" i="2"/>
  <c r="O401" i="2"/>
  <c r="P401" i="2" s="1"/>
  <c r="L400" i="2"/>
  <c r="O400" i="2"/>
  <c r="P400" i="2" s="1"/>
  <c r="L399" i="2"/>
  <c r="O399" i="2"/>
  <c r="P399" i="2" s="1"/>
  <c r="L398" i="2"/>
  <c r="O398" i="2"/>
  <c r="P398" i="2" s="1"/>
  <c r="L397" i="2"/>
  <c r="O397" i="2"/>
  <c r="P397" i="2" s="1"/>
  <c r="L396" i="2"/>
  <c r="O396" i="2"/>
  <c r="P396" i="2" s="1"/>
  <c r="L395" i="2"/>
  <c r="O395" i="2"/>
  <c r="P395" i="2" s="1"/>
  <c r="L394" i="2"/>
  <c r="O394" i="2"/>
  <c r="P394" i="2" s="1"/>
  <c r="L393" i="2"/>
  <c r="O393" i="2"/>
  <c r="P393" i="2" s="1"/>
  <c r="L392" i="2"/>
  <c r="O392" i="2"/>
  <c r="P392" i="2" s="1"/>
  <c r="L391" i="2"/>
  <c r="O391" i="2"/>
  <c r="P391" i="2" s="1"/>
  <c r="L390" i="2"/>
  <c r="O390" i="2"/>
  <c r="P390" i="2" s="1"/>
  <c r="L389" i="2"/>
  <c r="O389" i="2"/>
  <c r="P389" i="2" s="1"/>
  <c r="L388" i="2"/>
  <c r="O388" i="2"/>
  <c r="P388" i="2" s="1"/>
  <c r="L387" i="2"/>
  <c r="O387" i="2"/>
  <c r="P387" i="2" s="1"/>
  <c r="L386" i="2"/>
  <c r="O386" i="2"/>
  <c r="P386" i="2" s="1"/>
  <c r="L385" i="2"/>
  <c r="O385" i="2"/>
  <c r="P385" i="2" s="1"/>
  <c r="L384" i="2"/>
  <c r="O384" i="2"/>
  <c r="P384" i="2" s="1"/>
  <c r="L383" i="2"/>
  <c r="O383" i="2"/>
  <c r="P383" i="2" s="1"/>
  <c r="L382" i="2"/>
  <c r="O382" i="2"/>
  <c r="P382" i="2" s="1"/>
  <c r="L381" i="2"/>
  <c r="O381" i="2"/>
  <c r="P381" i="2" s="1"/>
  <c r="L380" i="2"/>
  <c r="O380" i="2"/>
  <c r="P380" i="2" s="1"/>
  <c r="L379" i="2"/>
  <c r="O379" i="2"/>
  <c r="P379" i="2" s="1"/>
  <c r="L378" i="2"/>
  <c r="O378" i="2"/>
  <c r="P378" i="2" s="1"/>
  <c r="O339" i="2"/>
  <c r="P339" i="2" s="1"/>
  <c r="L339" i="2"/>
  <c r="L337" i="2"/>
  <c r="O337" i="2"/>
  <c r="P337" i="2" s="1"/>
  <c r="L336" i="2"/>
  <c r="O336" i="2"/>
  <c r="P336" i="2" s="1"/>
  <c r="L335" i="2"/>
  <c r="O335" i="2"/>
  <c r="P335" i="2" s="1"/>
  <c r="L334" i="2"/>
  <c r="O334" i="2"/>
  <c r="P334" i="2" s="1"/>
  <c r="L333" i="2"/>
  <c r="O333" i="2"/>
  <c r="P333" i="2" s="1"/>
  <c r="L332" i="2"/>
  <c r="O332" i="2"/>
  <c r="P332" i="2" s="1"/>
  <c r="L331" i="2"/>
  <c r="O331" i="2"/>
  <c r="P331" i="2" s="1"/>
  <c r="L330" i="2"/>
  <c r="O330" i="2"/>
  <c r="P330" i="2" s="1"/>
  <c r="L329" i="2"/>
  <c r="O329" i="2"/>
  <c r="P329" i="2" s="1"/>
  <c r="L328" i="2"/>
  <c r="O328" i="2"/>
  <c r="P328" i="2" s="1"/>
  <c r="L327" i="2"/>
  <c r="O327" i="2"/>
  <c r="P327" i="2" s="1"/>
  <c r="L326" i="2"/>
  <c r="O326" i="2"/>
  <c r="P326" i="2" s="1"/>
  <c r="L325" i="2"/>
  <c r="O325" i="2"/>
  <c r="P325" i="2" s="1"/>
  <c r="L324" i="2"/>
  <c r="O324" i="2"/>
  <c r="P324" i="2" s="1"/>
  <c r="L323" i="2"/>
  <c r="O323" i="2"/>
  <c r="P323" i="2" s="1"/>
  <c r="L322" i="2"/>
  <c r="O322" i="2"/>
  <c r="P322" i="2" s="1"/>
  <c r="L321" i="2"/>
  <c r="O321" i="2"/>
  <c r="P321" i="2" s="1"/>
  <c r="L320" i="2"/>
  <c r="O320" i="2"/>
  <c r="P320" i="2" s="1"/>
  <c r="L319" i="2"/>
  <c r="O319" i="2"/>
  <c r="P319" i="2" s="1"/>
  <c r="L318" i="2"/>
  <c r="O318" i="2"/>
  <c r="P318" i="2" s="1"/>
  <c r="L317" i="2"/>
  <c r="O317" i="2"/>
  <c r="P317" i="2" s="1"/>
  <c r="L316" i="2"/>
  <c r="O316" i="2"/>
  <c r="P316" i="2" s="1"/>
  <c r="L315" i="2"/>
  <c r="O315" i="2"/>
  <c r="P315" i="2" s="1"/>
  <c r="L314" i="2"/>
  <c r="O314" i="2"/>
  <c r="P314" i="2" s="1"/>
  <c r="L313" i="2"/>
  <c r="O313" i="2"/>
  <c r="P313" i="2" s="1"/>
  <c r="L312" i="2"/>
  <c r="O312" i="2"/>
  <c r="P312" i="2" s="1"/>
  <c r="AF312" i="2" s="1"/>
  <c r="L311" i="2"/>
  <c r="O311" i="2"/>
  <c r="P311" i="2" s="1"/>
  <c r="L310" i="2"/>
  <c r="O310" i="2"/>
  <c r="P310" i="2" s="1"/>
  <c r="L309" i="2"/>
  <c r="O309" i="2"/>
  <c r="P309" i="2" s="1"/>
  <c r="L308" i="2"/>
  <c r="O308" i="2"/>
  <c r="P308" i="2" s="1"/>
  <c r="L307" i="2"/>
  <c r="O307" i="2"/>
  <c r="P307" i="2" s="1"/>
  <c r="L306" i="2"/>
  <c r="O306" i="2"/>
  <c r="P306" i="2" s="1"/>
  <c r="L305" i="2"/>
  <c r="O305" i="2"/>
  <c r="P305" i="2" s="1"/>
  <c r="L304" i="2"/>
  <c r="O304" i="2"/>
  <c r="P304" i="2" s="1"/>
  <c r="L303" i="2"/>
  <c r="O303" i="2"/>
  <c r="P303" i="2" s="1"/>
  <c r="L302" i="2"/>
  <c r="O302" i="2"/>
  <c r="P302" i="2" s="1"/>
  <c r="L301" i="2"/>
  <c r="O301" i="2"/>
  <c r="P301" i="2" s="1"/>
  <c r="L300" i="2"/>
  <c r="O300" i="2"/>
  <c r="P300" i="2" s="1"/>
  <c r="L299" i="2"/>
  <c r="O299" i="2"/>
  <c r="P299" i="2" s="1"/>
  <c r="L298" i="2"/>
  <c r="O298" i="2"/>
  <c r="P298" i="2" s="1"/>
  <c r="L297" i="2"/>
  <c r="O297" i="2"/>
  <c r="P297" i="2" s="1"/>
  <c r="L296" i="2"/>
  <c r="O296" i="2"/>
  <c r="P296" i="2" s="1"/>
  <c r="L295" i="2"/>
  <c r="O295" i="2"/>
  <c r="P295" i="2" s="1"/>
  <c r="L294" i="2"/>
  <c r="O294" i="2"/>
  <c r="P294" i="2" s="1"/>
  <c r="L293" i="2"/>
  <c r="O293" i="2"/>
  <c r="P293" i="2" s="1"/>
  <c r="L292" i="2"/>
  <c r="O292" i="2"/>
  <c r="P292" i="2" s="1"/>
  <c r="L291" i="2"/>
  <c r="O291" i="2"/>
  <c r="P291" i="2" s="1"/>
  <c r="L290" i="2"/>
  <c r="O290" i="2"/>
  <c r="P290" i="2" s="1"/>
  <c r="L289" i="2"/>
  <c r="O289" i="2"/>
  <c r="P289" i="2" s="1"/>
  <c r="L288" i="2"/>
  <c r="O288" i="2"/>
  <c r="P288" i="2" s="1"/>
  <c r="L287" i="2"/>
  <c r="O287" i="2"/>
  <c r="P287" i="2" s="1"/>
  <c r="L286" i="2"/>
  <c r="O286" i="2"/>
  <c r="P286" i="2" s="1"/>
  <c r="L285" i="2"/>
  <c r="O285" i="2"/>
  <c r="P285" i="2" s="1"/>
  <c r="L284" i="2"/>
  <c r="O284" i="2"/>
  <c r="P284" i="2" s="1"/>
  <c r="L283" i="2"/>
  <c r="O283" i="2"/>
  <c r="P283" i="2" s="1"/>
  <c r="L282" i="2"/>
  <c r="O282" i="2"/>
  <c r="P282" i="2" s="1"/>
  <c r="L281" i="2"/>
  <c r="O281" i="2"/>
  <c r="P281" i="2" s="1"/>
  <c r="L280" i="2"/>
  <c r="O280" i="2"/>
  <c r="P280" i="2" s="1"/>
  <c r="L279" i="2"/>
  <c r="O279" i="2"/>
  <c r="P279" i="2" s="1"/>
  <c r="L278" i="2"/>
  <c r="O278" i="2"/>
  <c r="P278" i="2" s="1"/>
  <c r="L277" i="2"/>
  <c r="O277" i="2"/>
  <c r="P277" i="2" s="1"/>
  <c r="L276" i="2"/>
  <c r="O276" i="2"/>
  <c r="P276" i="2" s="1"/>
  <c r="L275" i="2"/>
  <c r="O275" i="2"/>
  <c r="P275" i="2" s="1"/>
  <c r="L274" i="2"/>
  <c r="O274" i="2"/>
  <c r="P274" i="2" s="1"/>
  <c r="L273" i="2"/>
  <c r="O273" i="2"/>
  <c r="P273" i="2" s="1"/>
  <c r="L272" i="2"/>
  <c r="O272" i="2"/>
  <c r="P272" i="2" s="1"/>
  <c r="L271" i="2"/>
  <c r="O271" i="2"/>
  <c r="P271" i="2" s="1"/>
  <c r="L270" i="2"/>
  <c r="O270" i="2"/>
  <c r="P270" i="2" s="1"/>
  <c r="L269" i="2"/>
  <c r="O269" i="2"/>
  <c r="P269" i="2" s="1"/>
  <c r="L268" i="2"/>
  <c r="O268" i="2"/>
  <c r="P268" i="2" s="1"/>
  <c r="L267" i="2"/>
  <c r="O267" i="2"/>
  <c r="P267" i="2" s="1"/>
  <c r="L266" i="2"/>
  <c r="O266" i="2"/>
  <c r="P266" i="2" s="1"/>
  <c r="L265" i="2"/>
  <c r="O265" i="2"/>
  <c r="P265" i="2" s="1"/>
  <c r="L264" i="2"/>
  <c r="O264" i="2"/>
  <c r="P264" i="2" s="1"/>
  <c r="L263" i="2"/>
  <c r="O263" i="2"/>
  <c r="P263" i="2" s="1"/>
  <c r="L262" i="2"/>
  <c r="O262" i="2"/>
  <c r="P262" i="2" s="1"/>
  <c r="L261" i="2"/>
  <c r="O261" i="2"/>
  <c r="P261" i="2" s="1"/>
  <c r="L260" i="2"/>
  <c r="O260" i="2"/>
  <c r="P260" i="2" s="1"/>
  <c r="L259" i="2"/>
  <c r="O259" i="2"/>
  <c r="P259" i="2" s="1"/>
  <c r="L258" i="2"/>
  <c r="O258" i="2"/>
  <c r="P258" i="2" s="1"/>
  <c r="L257" i="2"/>
  <c r="O257" i="2"/>
  <c r="P257" i="2" s="1"/>
  <c r="L256" i="2"/>
  <c r="O256" i="2"/>
  <c r="P256" i="2" s="1"/>
  <c r="L255" i="2"/>
  <c r="O255" i="2"/>
  <c r="P255" i="2" s="1"/>
  <c r="L254" i="2"/>
  <c r="O254" i="2"/>
  <c r="P254" i="2" s="1"/>
  <c r="L253" i="2"/>
  <c r="O253" i="2"/>
  <c r="P253" i="2" s="1"/>
  <c r="L252" i="2"/>
  <c r="O252" i="2"/>
  <c r="P252" i="2" s="1"/>
  <c r="L251" i="2"/>
  <c r="O251" i="2"/>
  <c r="P251" i="2" s="1"/>
  <c r="L250" i="2"/>
  <c r="O250" i="2"/>
  <c r="P250" i="2" s="1"/>
  <c r="L249" i="2"/>
  <c r="O249" i="2"/>
  <c r="P249" i="2" s="1"/>
  <c r="L248" i="2"/>
  <c r="O248" i="2"/>
  <c r="P248" i="2" s="1"/>
  <c r="L247" i="2"/>
  <c r="O247" i="2"/>
  <c r="P247" i="2" s="1"/>
  <c r="L246" i="2"/>
  <c r="O246" i="2"/>
  <c r="P246" i="2" s="1"/>
  <c r="L245" i="2"/>
  <c r="O245" i="2"/>
  <c r="P245" i="2" s="1"/>
  <c r="L244" i="2"/>
  <c r="O244" i="2"/>
  <c r="P244" i="2" s="1"/>
  <c r="L243" i="2"/>
  <c r="O243" i="2"/>
  <c r="P243" i="2" s="1"/>
  <c r="L242" i="2"/>
  <c r="O242" i="2"/>
  <c r="P242" i="2" s="1"/>
  <c r="L241" i="2"/>
  <c r="O241" i="2"/>
  <c r="P241" i="2" s="1"/>
  <c r="L240" i="2"/>
  <c r="O240" i="2"/>
  <c r="P240" i="2" s="1"/>
  <c r="L239" i="2"/>
  <c r="O239" i="2"/>
  <c r="P239" i="2" s="1"/>
  <c r="L238" i="2"/>
  <c r="O238" i="2"/>
  <c r="P238" i="2" s="1"/>
  <c r="L237" i="2"/>
  <c r="O237" i="2"/>
  <c r="P237" i="2" s="1"/>
  <c r="L236" i="2"/>
  <c r="O236" i="2"/>
  <c r="P236" i="2" s="1"/>
  <c r="L235" i="2"/>
  <c r="O235" i="2"/>
  <c r="P235" i="2" s="1"/>
  <c r="L234" i="2"/>
  <c r="O234" i="2"/>
  <c r="P234" i="2" s="1"/>
  <c r="L233" i="2"/>
  <c r="O233" i="2"/>
  <c r="P233" i="2" s="1"/>
  <c r="L232" i="2"/>
  <c r="O232" i="2"/>
  <c r="P232" i="2" s="1"/>
  <c r="L231" i="2"/>
  <c r="O231" i="2"/>
  <c r="P231" i="2" s="1"/>
  <c r="L230" i="2"/>
  <c r="O230" i="2"/>
  <c r="P230" i="2" s="1"/>
  <c r="L229" i="2"/>
  <c r="O229" i="2"/>
  <c r="P229" i="2" s="1"/>
  <c r="L228" i="2"/>
  <c r="O228" i="2"/>
  <c r="P228" i="2" s="1"/>
  <c r="L227" i="2"/>
  <c r="O227" i="2"/>
  <c r="P227" i="2" s="1"/>
  <c r="L226" i="2"/>
  <c r="O226" i="2"/>
  <c r="P226" i="2" s="1"/>
  <c r="L225" i="2"/>
  <c r="O225" i="2"/>
  <c r="P225" i="2" s="1"/>
  <c r="L224" i="2"/>
  <c r="O224" i="2"/>
  <c r="P224" i="2" s="1"/>
  <c r="L223" i="2"/>
  <c r="O223" i="2"/>
  <c r="P223" i="2" s="1"/>
  <c r="L222" i="2"/>
  <c r="O222" i="2"/>
  <c r="P222" i="2" s="1"/>
  <c r="AF222" i="2" s="1"/>
  <c r="L221" i="2"/>
  <c r="O221" i="2"/>
  <c r="P221" i="2" s="1"/>
  <c r="L220" i="2"/>
  <c r="O220" i="2"/>
  <c r="P220" i="2" s="1"/>
  <c r="L219" i="2"/>
  <c r="O219" i="2"/>
  <c r="P219" i="2" s="1"/>
  <c r="L218" i="2"/>
  <c r="O218" i="2"/>
  <c r="P218" i="2" s="1"/>
  <c r="L217" i="2"/>
  <c r="O217" i="2"/>
  <c r="P217" i="2" s="1"/>
  <c r="L216" i="2"/>
  <c r="O216" i="2"/>
  <c r="P216" i="2" s="1"/>
  <c r="L215" i="2"/>
  <c r="O215" i="2"/>
  <c r="P215" i="2" s="1"/>
  <c r="L214" i="2"/>
  <c r="O214" i="2"/>
  <c r="P214" i="2" s="1"/>
  <c r="L213" i="2"/>
  <c r="O213" i="2"/>
  <c r="P213" i="2" s="1"/>
  <c r="L212" i="2"/>
  <c r="O212" i="2"/>
  <c r="P212" i="2" s="1"/>
  <c r="L211" i="2"/>
  <c r="O211" i="2"/>
  <c r="P211" i="2" s="1"/>
  <c r="L210" i="2"/>
  <c r="O210" i="2"/>
  <c r="P210" i="2" s="1"/>
  <c r="L209" i="2"/>
  <c r="O209" i="2"/>
  <c r="P209" i="2" s="1"/>
  <c r="L208" i="2"/>
  <c r="O208" i="2"/>
  <c r="P208" i="2" s="1"/>
  <c r="L207" i="2"/>
  <c r="O207" i="2"/>
  <c r="P207" i="2" s="1"/>
  <c r="L206" i="2"/>
  <c r="O206" i="2"/>
  <c r="P206" i="2" s="1"/>
  <c r="L205" i="2"/>
  <c r="O205" i="2"/>
  <c r="P205" i="2" s="1"/>
  <c r="L204" i="2"/>
  <c r="O204" i="2"/>
  <c r="P204" i="2" s="1"/>
  <c r="L203" i="2"/>
  <c r="O203" i="2"/>
  <c r="P203" i="2" s="1"/>
  <c r="L202" i="2"/>
  <c r="O202" i="2"/>
  <c r="P202" i="2" s="1"/>
  <c r="L201" i="2"/>
  <c r="O201" i="2"/>
  <c r="P201" i="2" s="1"/>
  <c r="L200" i="2"/>
  <c r="O200" i="2"/>
  <c r="P200" i="2" s="1"/>
  <c r="L199" i="2"/>
  <c r="O199" i="2"/>
  <c r="P199" i="2" s="1"/>
  <c r="L198" i="2"/>
  <c r="O198" i="2"/>
  <c r="P198" i="2" s="1"/>
  <c r="L197" i="2"/>
  <c r="O197" i="2"/>
  <c r="P197" i="2" s="1"/>
  <c r="L196" i="2"/>
  <c r="O196" i="2"/>
  <c r="P196" i="2" s="1"/>
  <c r="L195" i="2"/>
  <c r="O195" i="2"/>
  <c r="P195" i="2" s="1"/>
  <c r="L194" i="2"/>
  <c r="O194" i="2"/>
  <c r="P194" i="2" s="1"/>
  <c r="L193" i="2"/>
  <c r="O193" i="2"/>
  <c r="P193" i="2" s="1"/>
  <c r="L192" i="2"/>
  <c r="O192" i="2"/>
  <c r="P192" i="2" s="1"/>
  <c r="L191" i="2"/>
  <c r="O191" i="2"/>
  <c r="P191" i="2" s="1"/>
  <c r="L190" i="2"/>
  <c r="O190" i="2"/>
  <c r="P190" i="2" s="1"/>
  <c r="L189" i="2"/>
  <c r="O189" i="2"/>
  <c r="P189" i="2" s="1"/>
  <c r="L188" i="2"/>
  <c r="O188" i="2"/>
  <c r="P188" i="2" s="1"/>
  <c r="L187" i="2"/>
  <c r="O187" i="2"/>
  <c r="P187" i="2" s="1"/>
  <c r="L186" i="2"/>
  <c r="O186" i="2"/>
  <c r="P186" i="2" s="1"/>
  <c r="L185" i="2"/>
  <c r="O185" i="2"/>
  <c r="P185" i="2" s="1"/>
  <c r="L184" i="2"/>
  <c r="O184" i="2"/>
  <c r="P184" i="2" s="1"/>
  <c r="L183" i="2"/>
  <c r="O183" i="2"/>
  <c r="P183" i="2" s="1"/>
  <c r="L182" i="2"/>
  <c r="O182" i="2"/>
  <c r="P182" i="2" s="1"/>
  <c r="L181" i="2"/>
  <c r="O181" i="2"/>
  <c r="P181" i="2" s="1"/>
  <c r="L180" i="2"/>
  <c r="O180" i="2"/>
  <c r="P180" i="2" s="1"/>
  <c r="L179" i="2"/>
  <c r="O179" i="2"/>
  <c r="P179" i="2" s="1"/>
  <c r="L178" i="2"/>
  <c r="O178" i="2"/>
  <c r="P178" i="2" s="1"/>
  <c r="L177" i="2"/>
  <c r="O177" i="2"/>
  <c r="P177" i="2" s="1"/>
  <c r="L176" i="2"/>
  <c r="O176" i="2"/>
  <c r="P176" i="2" s="1"/>
  <c r="L175" i="2"/>
  <c r="O175" i="2"/>
  <c r="P175" i="2" s="1"/>
  <c r="L174" i="2"/>
  <c r="O174" i="2"/>
  <c r="P174" i="2" s="1"/>
  <c r="L173" i="2"/>
  <c r="O173" i="2"/>
  <c r="P173" i="2" s="1"/>
  <c r="L172" i="2"/>
  <c r="O172" i="2"/>
  <c r="P172" i="2" s="1"/>
  <c r="L171" i="2"/>
  <c r="O171" i="2"/>
  <c r="P171" i="2" s="1"/>
  <c r="L170" i="2"/>
  <c r="O170" i="2"/>
  <c r="P170" i="2" s="1"/>
  <c r="L169" i="2"/>
  <c r="O169" i="2"/>
  <c r="P169" i="2" s="1"/>
  <c r="L168" i="2"/>
  <c r="O168" i="2"/>
  <c r="P168" i="2" s="1"/>
  <c r="L167" i="2"/>
  <c r="O167" i="2"/>
  <c r="P167" i="2" s="1"/>
  <c r="L166" i="2"/>
  <c r="O166" i="2"/>
  <c r="P166" i="2" s="1"/>
  <c r="L165" i="2"/>
  <c r="O165" i="2"/>
  <c r="P165" i="2" s="1"/>
  <c r="L164" i="2"/>
  <c r="O164" i="2"/>
  <c r="P164" i="2" s="1"/>
  <c r="L163" i="2"/>
  <c r="O163" i="2"/>
  <c r="P163" i="2" s="1"/>
  <c r="L162" i="2"/>
  <c r="O162" i="2"/>
  <c r="P162" i="2" s="1"/>
  <c r="L161" i="2"/>
  <c r="O161" i="2"/>
  <c r="P161" i="2" s="1"/>
  <c r="L160" i="2"/>
  <c r="O160" i="2"/>
  <c r="P160" i="2" s="1"/>
  <c r="L159" i="2"/>
  <c r="O159" i="2"/>
  <c r="P159" i="2" s="1"/>
  <c r="L158" i="2"/>
  <c r="O158" i="2"/>
  <c r="P158" i="2" s="1"/>
  <c r="L157" i="2"/>
  <c r="O157" i="2"/>
  <c r="P157" i="2" s="1"/>
  <c r="L156" i="2"/>
  <c r="O156" i="2"/>
  <c r="P156" i="2" s="1"/>
  <c r="L155" i="2"/>
  <c r="O155" i="2"/>
  <c r="P155" i="2" s="1"/>
  <c r="L154" i="2"/>
  <c r="O154" i="2"/>
  <c r="P154" i="2" s="1"/>
  <c r="L153" i="2"/>
  <c r="O153" i="2"/>
  <c r="P153" i="2" s="1"/>
  <c r="L152" i="2"/>
  <c r="O152" i="2"/>
  <c r="P152" i="2" s="1"/>
  <c r="L151" i="2"/>
  <c r="O151" i="2"/>
  <c r="P151" i="2" s="1"/>
  <c r="L150" i="2"/>
  <c r="O150" i="2"/>
  <c r="P150" i="2" s="1"/>
  <c r="L149" i="2"/>
  <c r="O149" i="2"/>
  <c r="P149" i="2" s="1"/>
  <c r="L148" i="2"/>
  <c r="O148" i="2"/>
  <c r="P148" i="2" s="1"/>
  <c r="L147" i="2"/>
  <c r="O147" i="2"/>
  <c r="P147" i="2" s="1"/>
  <c r="L146" i="2"/>
  <c r="O146" i="2"/>
  <c r="P146" i="2" s="1"/>
  <c r="L145" i="2"/>
  <c r="O145" i="2"/>
  <c r="P145" i="2" s="1"/>
  <c r="L144" i="2"/>
  <c r="O144" i="2"/>
  <c r="P144" i="2" s="1"/>
  <c r="L143" i="2"/>
  <c r="O143" i="2"/>
  <c r="P143" i="2" s="1"/>
  <c r="L142" i="2"/>
  <c r="O142" i="2"/>
  <c r="P142" i="2" s="1"/>
  <c r="L141" i="2"/>
  <c r="O141" i="2"/>
  <c r="P141" i="2" s="1"/>
  <c r="L140" i="2"/>
  <c r="O140" i="2"/>
  <c r="P140" i="2" s="1"/>
  <c r="L139" i="2"/>
  <c r="O139" i="2"/>
  <c r="P139" i="2" s="1"/>
  <c r="L138" i="2"/>
  <c r="O138" i="2"/>
  <c r="P138" i="2" s="1"/>
  <c r="L137" i="2"/>
  <c r="O137" i="2"/>
  <c r="P137" i="2" s="1"/>
  <c r="L136" i="2"/>
  <c r="O136" i="2"/>
  <c r="P136" i="2" s="1"/>
  <c r="L135" i="2"/>
  <c r="O135" i="2"/>
  <c r="P135" i="2" s="1"/>
  <c r="L134" i="2"/>
  <c r="O134" i="2"/>
  <c r="P134" i="2" s="1"/>
  <c r="L133" i="2"/>
  <c r="O133" i="2"/>
  <c r="P133" i="2" s="1"/>
  <c r="L132" i="2"/>
  <c r="O132" i="2"/>
  <c r="P132" i="2" s="1"/>
  <c r="L131" i="2"/>
  <c r="O131" i="2"/>
  <c r="P131" i="2" s="1"/>
  <c r="L130" i="2"/>
  <c r="O130" i="2"/>
  <c r="P130" i="2" s="1"/>
  <c r="L129" i="2"/>
  <c r="O129" i="2"/>
  <c r="P129" i="2" s="1"/>
  <c r="L128" i="2"/>
  <c r="O128" i="2"/>
  <c r="P128" i="2" s="1"/>
  <c r="L127" i="2"/>
  <c r="O127" i="2"/>
  <c r="P127" i="2" s="1"/>
  <c r="L126" i="2"/>
  <c r="O126" i="2"/>
  <c r="P126" i="2" s="1"/>
  <c r="L125" i="2"/>
  <c r="O125" i="2"/>
  <c r="P125" i="2" s="1"/>
  <c r="L124" i="2"/>
  <c r="O124" i="2"/>
  <c r="P124" i="2" s="1"/>
  <c r="L123" i="2"/>
  <c r="O123" i="2"/>
  <c r="P123" i="2" s="1"/>
  <c r="L122" i="2"/>
  <c r="O122" i="2"/>
  <c r="P122" i="2" s="1"/>
  <c r="L121" i="2"/>
  <c r="O121" i="2"/>
  <c r="P121" i="2" s="1"/>
  <c r="L120" i="2"/>
  <c r="O120" i="2"/>
  <c r="P120" i="2" s="1"/>
  <c r="L119" i="2"/>
  <c r="O119" i="2"/>
  <c r="P119" i="2" s="1"/>
  <c r="L118" i="2"/>
  <c r="O118" i="2"/>
  <c r="P118" i="2" s="1"/>
  <c r="L117" i="2"/>
  <c r="O117" i="2"/>
  <c r="P117" i="2" s="1"/>
  <c r="L116" i="2"/>
  <c r="O116" i="2"/>
  <c r="P116" i="2" s="1"/>
  <c r="L115" i="2"/>
  <c r="O115" i="2"/>
  <c r="P115" i="2" s="1"/>
  <c r="L114" i="2"/>
  <c r="O114" i="2"/>
  <c r="P114" i="2" s="1"/>
  <c r="L113" i="2"/>
  <c r="O113" i="2"/>
  <c r="P113" i="2" s="1"/>
  <c r="L112" i="2"/>
  <c r="O112" i="2"/>
  <c r="P112" i="2" s="1"/>
  <c r="L102" i="2"/>
  <c r="O102" i="2"/>
  <c r="P102" i="2" s="1"/>
  <c r="L101" i="2"/>
  <c r="O101" i="2"/>
  <c r="P101" i="2" s="1"/>
  <c r="L100" i="2"/>
  <c r="O100" i="2"/>
  <c r="P100" i="2" s="1"/>
  <c r="L99" i="2"/>
  <c r="O99" i="2"/>
  <c r="P99" i="2" s="1"/>
  <c r="L98" i="2"/>
  <c r="O98" i="2"/>
  <c r="P98" i="2" s="1"/>
  <c r="L97" i="2"/>
  <c r="O97" i="2"/>
  <c r="P97" i="2" s="1"/>
  <c r="L96" i="2"/>
  <c r="O96" i="2"/>
  <c r="P96" i="2" s="1"/>
  <c r="L95" i="2"/>
  <c r="O95" i="2"/>
  <c r="P95" i="2" s="1"/>
  <c r="L94" i="2"/>
  <c r="O94" i="2"/>
  <c r="P94" i="2" s="1"/>
  <c r="L93" i="2"/>
  <c r="O93" i="2"/>
  <c r="P93" i="2" s="1"/>
  <c r="L92" i="2"/>
  <c r="O92" i="2"/>
  <c r="P92" i="2" s="1"/>
  <c r="L91" i="2"/>
  <c r="O91" i="2"/>
  <c r="P91" i="2" s="1"/>
  <c r="L90" i="2"/>
  <c r="O90" i="2"/>
  <c r="P90" i="2" s="1"/>
  <c r="L89" i="2"/>
  <c r="O89" i="2"/>
  <c r="P89" i="2" s="1"/>
  <c r="L88" i="2"/>
  <c r="O88" i="2"/>
  <c r="P88" i="2" s="1"/>
  <c r="L87" i="2"/>
  <c r="O87" i="2"/>
  <c r="P87" i="2" s="1"/>
  <c r="L86" i="2"/>
  <c r="O86" i="2"/>
  <c r="P86" i="2" s="1"/>
  <c r="L85" i="2"/>
  <c r="O85" i="2"/>
  <c r="P85" i="2" s="1"/>
  <c r="L84" i="2"/>
  <c r="O84" i="2"/>
  <c r="P84" i="2" s="1"/>
  <c r="L83" i="2"/>
  <c r="O83" i="2"/>
  <c r="P83" i="2" s="1"/>
  <c r="L82" i="2"/>
  <c r="O82" i="2"/>
  <c r="P82" i="2" s="1"/>
  <c r="L81" i="2"/>
  <c r="O81" i="2"/>
  <c r="P81" i="2" s="1"/>
  <c r="L80" i="2"/>
  <c r="O80" i="2"/>
  <c r="P80" i="2" s="1"/>
  <c r="L79" i="2"/>
  <c r="O79" i="2"/>
  <c r="P79" i="2" s="1"/>
  <c r="L78" i="2"/>
  <c r="O78" i="2"/>
  <c r="P78" i="2" s="1"/>
  <c r="L77" i="2"/>
  <c r="O77" i="2"/>
  <c r="P77" i="2" s="1"/>
  <c r="L76" i="2"/>
  <c r="O76" i="2"/>
  <c r="P76" i="2" s="1"/>
  <c r="L75" i="2"/>
  <c r="O75" i="2"/>
  <c r="P75" i="2" s="1"/>
  <c r="L74" i="2"/>
  <c r="O74" i="2"/>
  <c r="P74" i="2" s="1"/>
  <c r="L73" i="2"/>
  <c r="O73" i="2"/>
  <c r="P73" i="2" s="1"/>
  <c r="L72" i="2"/>
  <c r="O72" i="2"/>
  <c r="P72" i="2" s="1"/>
  <c r="L71" i="2"/>
  <c r="O71" i="2"/>
  <c r="P71" i="2" s="1"/>
  <c r="L70" i="2"/>
  <c r="O70" i="2"/>
  <c r="P70" i="2" s="1"/>
  <c r="L69" i="2"/>
  <c r="O69" i="2"/>
  <c r="P69" i="2" s="1"/>
  <c r="L68" i="2"/>
  <c r="O68" i="2"/>
  <c r="P68" i="2" s="1"/>
  <c r="L67" i="2"/>
  <c r="O67" i="2"/>
  <c r="P67" i="2" s="1"/>
  <c r="L66" i="2"/>
  <c r="O66" i="2"/>
  <c r="P66" i="2" s="1"/>
  <c r="L65" i="2"/>
  <c r="O65" i="2"/>
  <c r="P65" i="2" s="1"/>
  <c r="L64" i="2"/>
  <c r="O64" i="2"/>
  <c r="P64" i="2" s="1"/>
  <c r="L63" i="2"/>
  <c r="O63" i="2"/>
  <c r="P63" i="2" s="1"/>
  <c r="L62" i="2"/>
  <c r="O62" i="2"/>
  <c r="P62" i="2" s="1"/>
  <c r="L61" i="2"/>
  <c r="O61" i="2"/>
  <c r="P61" i="2" s="1"/>
  <c r="L60" i="2"/>
  <c r="O60" i="2"/>
  <c r="P60" i="2" s="1"/>
  <c r="L59" i="2"/>
  <c r="O59" i="2"/>
  <c r="P59" i="2" s="1"/>
  <c r="L58" i="2"/>
  <c r="O58" i="2"/>
  <c r="P58" i="2" s="1"/>
  <c r="L57" i="2"/>
  <c r="O57" i="2"/>
  <c r="P57" i="2" s="1"/>
  <c r="L56" i="2"/>
  <c r="O56" i="2"/>
  <c r="P56" i="2" s="1"/>
  <c r="L55" i="2"/>
  <c r="O55" i="2"/>
  <c r="P55" i="2" s="1"/>
  <c r="L54" i="2"/>
  <c r="O54" i="2"/>
  <c r="P54" i="2" s="1"/>
  <c r="L53" i="2"/>
  <c r="O53" i="2"/>
  <c r="P53" i="2" s="1"/>
  <c r="L52" i="2"/>
  <c r="O52" i="2"/>
  <c r="P52" i="2" s="1"/>
  <c r="L51" i="2"/>
  <c r="O51" i="2"/>
  <c r="P51" i="2" s="1"/>
  <c r="L50" i="2"/>
  <c r="O50" i="2"/>
  <c r="P50" i="2" s="1"/>
  <c r="L49" i="2"/>
  <c r="O49" i="2"/>
  <c r="P49" i="2" s="1"/>
  <c r="L48" i="2"/>
  <c r="O48" i="2"/>
  <c r="P48" i="2" s="1"/>
  <c r="L47" i="2"/>
  <c r="O47" i="2"/>
  <c r="P47" i="2" s="1"/>
  <c r="L46" i="2"/>
  <c r="O46" i="2"/>
  <c r="P46" i="2" s="1"/>
  <c r="L45" i="2"/>
  <c r="O45" i="2"/>
  <c r="P45" i="2" s="1"/>
  <c r="L44" i="2"/>
  <c r="O44" i="2"/>
  <c r="P44" i="2" s="1"/>
  <c r="L43" i="2"/>
  <c r="O43" i="2"/>
  <c r="P43" i="2" s="1"/>
  <c r="L42" i="2"/>
  <c r="O42" i="2"/>
  <c r="P42" i="2" s="1"/>
  <c r="L41" i="2"/>
  <c r="O41" i="2"/>
  <c r="P41" i="2" s="1"/>
  <c r="L40" i="2"/>
  <c r="O40" i="2"/>
  <c r="P40" i="2" s="1"/>
  <c r="L39" i="2"/>
  <c r="O39" i="2"/>
  <c r="P39" i="2" s="1"/>
  <c r="L38" i="2"/>
  <c r="O38" i="2"/>
  <c r="P38" i="2" s="1"/>
  <c r="L37" i="2"/>
  <c r="O37" i="2"/>
  <c r="P37" i="2" s="1"/>
  <c r="L36" i="2"/>
  <c r="O36" i="2"/>
  <c r="P36" i="2" s="1"/>
  <c r="L35" i="2"/>
  <c r="O35" i="2"/>
  <c r="P35" i="2" s="1"/>
  <c r="L34" i="2"/>
  <c r="O34" i="2"/>
  <c r="P34" i="2" s="1"/>
  <c r="L33" i="2"/>
  <c r="O33" i="2"/>
  <c r="P33" i="2" s="1"/>
  <c r="L32" i="2"/>
  <c r="O32" i="2"/>
  <c r="P32" i="2" s="1"/>
  <c r="L31" i="2"/>
  <c r="O31" i="2"/>
  <c r="P31" i="2" s="1"/>
  <c r="L30" i="2"/>
  <c r="O30" i="2"/>
  <c r="P30" i="2" s="1"/>
  <c r="L29" i="2"/>
  <c r="O29" i="2"/>
  <c r="P29" i="2" s="1"/>
  <c r="L28" i="2"/>
  <c r="O28" i="2"/>
  <c r="P28" i="2" s="1"/>
  <c r="L27" i="2"/>
  <c r="O27" i="2"/>
  <c r="P27" i="2" s="1"/>
  <c r="L26" i="2"/>
  <c r="O26" i="2"/>
  <c r="P26" i="2" s="1"/>
  <c r="L25" i="2"/>
  <c r="O25" i="2"/>
  <c r="P25" i="2" s="1"/>
  <c r="L24" i="2"/>
  <c r="O24" i="2"/>
  <c r="P24" i="2" s="1"/>
  <c r="L23" i="2"/>
  <c r="O23" i="2"/>
  <c r="P23" i="2" s="1"/>
  <c r="L22" i="2"/>
  <c r="O22" i="2"/>
  <c r="P22" i="2" s="1"/>
  <c r="L21" i="2"/>
  <c r="O21" i="2"/>
  <c r="P21" i="2" s="1"/>
  <c r="L20" i="2"/>
  <c r="O20" i="2"/>
  <c r="P20" i="2" s="1"/>
  <c r="L19" i="2"/>
  <c r="O19" i="2"/>
  <c r="P19" i="2" s="1"/>
  <c r="L18" i="2"/>
  <c r="O18" i="2"/>
  <c r="P18" i="2" s="1"/>
  <c r="L17" i="2"/>
  <c r="O17" i="2"/>
  <c r="P17" i="2" s="1"/>
  <c r="L16" i="2"/>
  <c r="O16" i="2"/>
  <c r="P16" i="2" s="1"/>
  <c r="L15" i="2"/>
  <c r="O15" i="2"/>
  <c r="P15" i="2" s="1"/>
  <c r="L14" i="2"/>
  <c r="O14" i="2"/>
  <c r="P14" i="2" s="1"/>
  <c r="L13" i="2"/>
  <c r="O13" i="2"/>
  <c r="P13" i="2" s="1"/>
  <c r="L12" i="2"/>
  <c r="O12" i="2"/>
  <c r="P12" i="2" s="1"/>
  <c r="L11" i="2"/>
  <c r="O11" i="2"/>
  <c r="P11" i="2" s="1"/>
  <c r="L10" i="2"/>
  <c r="O10" i="2"/>
  <c r="P10" i="2" s="1"/>
  <c r="L9" i="2"/>
  <c r="O9" i="2"/>
  <c r="P9" i="2" s="1"/>
  <c r="L8" i="2"/>
  <c r="O8" i="2"/>
  <c r="P8" i="2" s="1"/>
  <c r="L7" i="2"/>
  <c r="O7" i="2"/>
  <c r="P7" i="2" s="1"/>
  <c r="L6" i="2"/>
  <c r="O6" i="2"/>
  <c r="P6" i="2" s="1"/>
  <c r="L5" i="2"/>
  <c r="O5" i="2"/>
  <c r="P5" i="2" s="1"/>
  <c r="L4" i="2"/>
  <c r="O4" i="2"/>
  <c r="P4" i="2" s="1"/>
  <c r="L3" i="2"/>
  <c r="O3" i="2"/>
  <c r="P3" i="2" s="1"/>
  <c r="L2" i="2"/>
  <c r="B54" i="2" s="1"/>
  <c r="O2" i="2"/>
  <c r="P2" i="2" s="1"/>
  <c r="AF2" i="2" s="1"/>
  <c r="Q3" i="2"/>
  <c r="T3" i="2"/>
  <c r="W3" i="2"/>
  <c r="AC3" i="2"/>
  <c r="Q639" i="2"/>
  <c r="T639" i="2"/>
  <c r="W639" i="2"/>
  <c r="Z639" i="2"/>
  <c r="AC639" i="2"/>
  <c r="AF639" i="2"/>
  <c r="Q640" i="2"/>
  <c r="T640" i="2"/>
  <c r="W640" i="2"/>
  <c r="Z640" i="2"/>
  <c r="AC640" i="2"/>
  <c r="AF640" i="2"/>
  <c r="Q641" i="2"/>
  <c r="T641" i="2"/>
  <c r="W641" i="2"/>
  <c r="Z641" i="2"/>
  <c r="AC641" i="2"/>
  <c r="AF641" i="2"/>
  <c r="Q642" i="2"/>
  <c r="T642" i="2"/>
  <c r="W642" i="2"/>
  <c r="Z642" i="2"/>
  <c r="AC642" i="2"/>
  <c r="AF642" i="2"/>
  <c r="Q883" i="2"/>
  <c r="T883" i="2"/>
  <c r="W883" i="2"/>
  <c r="Z883" i="2"/>
  <c r="AC883" i="2"/>
  <c r="AF883" i="2"/>
  <c r="Q884" i="2"/>
  <c r="T884" i="2"/>
  <c r="W884" i="2"/>
  <c r="Z884" i="2"/>
  <c r="AC884" i="2"/>
  <c r="AF884" i="2"/>
  <c r="Q885" i="2"/>
  <c r="T885" i="2"/>
  <c r="W885" i="2"/>
  <c r="Z885" i="2"/>
  <c r="AC885" i="2"/>
  <c r="AF885" i="2"/>
  <c r="Q886" i="2"/>
  <c r="T886" i="2"/>
  <c r="W886" i="2"/>
  <c r="Z886" i="2"/>
  <c r="AC886" i="2"/>
  <c r="AF886" i="2"/>
  <c r="Q887" i="2"/>
  <c r="T887" i="2"/>
  <c r="W887" i="2"/>
  <c r="Z887" i="2"/>
  <c r="AC887" i="2"/>
  <c r="AF887" i="2"/>
  <c r="Q888" i="2"/>
  <c r="T888" i="2"/>
  <c r="W888" i="2"/>
  <c r="Z888" i="2"/>
  <c r="AC888" i="2"/>
  <c r="AF888" i="2"/>
  <c r="Q889" i="2"/>
  <c r="T889" i="2"/>
  <c r="W889" i="2"/>
  <c r="Z889" i="2"/>
  <c r="AC889" i="2"/>
  <c r="AF889" i="2"/>
  <c r="Q890" i="2"/>
  <c r="T890" i="2"/>
  <c r="W890" i="2"/>
  <c r="Z890" i="2"/>
  <c r="AC890" i="2"/>
  <c r="AF890" i="2"/>
  <c r="Q891" i="2"/>
  <c r="T891" i="2"/>
  <c r="W891" i="2"/>
  <c r="Z891" i="2"/>
  <c r="AC891" i="2"/>
  <c r="AF891" i="2"/>
  <c r="Q892" i="2"/>
  <c r="T892" i="2"/>
  <c r="W892" i="2"/>
  <c r="Z892" i="2"/>
  <c r="AC892" i="2"/>
  <c r="AF892" i="2"/>
  <c r="Q893" i="2"/>
  <c r="T893" i="2"/>
  <c r="W893" i="2"/>
  <c r="Z893" i="2"/>
  <c r="AC893" i="2"/>
  <c r="AF893" i="2"/>
  <c r="Q894" i="2"/>
  <c r="T894" i="2"/>
  <c r="W894" i="2"/>
  <c r="Z894" i="2"/>
  <c r="AC894" i="2"/>
  <c r="AF894" i="2"/>
  <c r="Q895" i="2"/>
  <c r="T895" i="2"/>
  <c r="W895" i="2"/>
  <c r="Z895" i="2"/>
  <c r="AC895" i="2"/>
  <c r="AF895" i="2"/>
  <c r="Q896" i="2"/>
  <c r="T896" i="2"/>
  <c r="W896" i="2"/>
  <c r="Z896" i="2"/>
  <c r="AC896" i="2"/>
  <c r="AF896" i="2"/>
  <c r="Q897" i="2"/>
  <c r="T897" i="2"/>
  <c r="W897" i="2"/>
  <c r="Z897" i="2"/>
  <c r="AC897" i="2"/>
  <c r="AF897" i="2"/>
  <c r="Q898" i="2"/>
  <c r="T898" i="2"/>
  <c r="W898" i="2"/>
  <c r="Z898" i="2"/>
  <c r="AC898" i="2"/>
  <c r="AF898" i="2"/>
  <c r="Q899" i="2"/>
  <c r="T899" i="2"/>
  <c r="W899" i="2"/>
  <c r="Z899" i="2"/>
  <c r="AC899" i="2"/>
  <c r="AF899" i="2"/>
  <c r="Q900" i="2"/>
  <c r="T900" i="2"/>
  <c r="W900" i="2"/>
  <c r="Z900" i="2"/>
  <c r="AC900" i="2"/>
  <c r="AF900" i="2"/>
  <c r="Q901" i="2"/>
  <c r="T901" i="2"/>
  <c r="W901" i="2"/>
  <c r="Z901" i="2"/>
  <c r="AC901" i="2"/>
  <c r="AF901" i="2"/>
  <c r="Q902" i="2"/>
  <c r="T902" i="2"/>
  <c r="W902" i="2"/>
  <c r="Z902" i="2"/>
  <c r="AC902" i="2"/>
  <c r="AF902" i="2"/>
  <c r="Q903" i="2"/>
  <c r="T903" i="2"/>
  <c r="W903" i="2"/>
  <c r="Z903" i="2"/>
  <c r="AC903" i="2"/>
  <c r="AF903" i="2"/>
  <c r="Q904" i="2"/>
  <c r="T904" i="2"/>
  <c r="W904" i="2"/>
  <c r="Z904" i="2"/>
  <c r="AC904" i="2"/>
  <c r="AF904" i="2"/>
  <c r="Q905" i="2"/>
  <c r="T905" i="2"/>
  <c r="W905" i="2"/>
  <c r="Z905" i="2"/>
  <c r="AC905" i="2"/>
  <c r="AF905" i="2"/>
  <c r="Q906" i="2"/>
  <c r="T906" i="2"/>
  <c r="W906" i="2"/>
  <c r="Z906" i="2"/>
  <c r="AC906" i="2"/>
  <c r="AF906" i="2"/>
  <c r="Q907" i="2"/>
  <c r="T907" i="2"/>
  <c r="W907" i="2"/>
  <c r="Z907" i="2"/>
  <c r="AC907" i="2"/>
  <c r="AF907" i="2"/>
  <c r="Q908" i="2"/>
  <c r="T908" i="2"/>
  <c r="W908" i="2"/>
  <c r="Z908" i="2"/>
  <c r="AC908" i="2"/>
  <c r="AF908" i="2"/>
  <c r="Q909" i="2"/>
  <c r="T909" i="2"/>
  <c r="W909" i="2"/>
  <c r="Z909" i="2"/>
  <c r="AC909" i="2"/>
  <c r="AF909" i="2"/>
  <c r="Q910" i="2"/>
  <c r="T910" i="2"/>
  <c r="W910" i="2"/>
  <c r="Z910" i="2"/>
  <c r="AC910" i="2"/>
  <c r="AF910" i="2"/>
  <c r="Q911" i="2"/>
  <c r="T911" i="2"/>
  <c r="W911" i="2"/>
  <c r="Z911" i="2"/>
  <c r="AC911" i="2"/>
  <c r="AF911" i="2"/>
  <c r="Q912" i="2"/>
  <c r="T912" i="2"/>
  <c r="W912" i="2"/>
  <c r="Z912" i="2"/>
  <c r="AC912" i="2"/>
  <c r="AF912" i="2"/>
  <c r="Q913" i="2"/>
  <c r="T913" i="2"/>
  <c r="W913" i="2"/>
  <c r="Z913" i="2"/>
  <c r="AC913" i="2"/>
  <c r="AF913" i="2"/>
  <c r="Q914" i="2"/>
  <c r="T914" i="2"/>
  <c r="W914" i="2"/>
  <c r="Z914" i="2"/>
  <c r="AC914" i="2"/>
  <c r="AF914" i="2"/>
  <c r="Q915" i="2"/>
  <c r="T915" i="2"/>
  <c r="W915" i="2"/>
  <c r="Z915" i="2"/>
  <c r="AC915" i="2"/>
  <c r="AF915" i="2"/>
  <c r="Q916" i="2"/>
  <c r="T916" i="2"/>
  <c r="AC916" i="2"/>
  <c r="AF916" i="2"/>
  <c r="Q917" i="2"/>
  <c r="T917" i="2"/>
  <c r="W917" i="2"/>
  <c r="Z917" i="2"/>
  <c r="AC917" i="2"/>
  <c r="AF917" i="2"/>
  <c r="Q918" i="2"/>
  <c r="T918" i="2"/>
  <c r="Q978" i="2"/>
  <c r="T978" i="2"/>
  <c r="W978" i="2"/>
  <c r="Z978" i="2"/>
  <c r="AC978" i="2"/>
  <c r="AF978" i="2"/>
  <c r="Q979" i="2"/>
  <c r="T979" i="2"/>
  <c r="W979" i="2"/>
  <c r="Z979" i="2"/>
  <c r="AC979" i="2"/>
  <c r="AF979" i="2"/>
  <c r="Q980" i="2"/>
  <c r="T980" i="2"/>
  <c r="W980" i="2"/>
  <c r="Z980" i="2"/>
  <c r="AC980" i="2"/>
  <c r="AF980" i="2"/>
  <c r="Q981" i="2"/>
  <c r="T981" i="2"/>
  <c r="W981" i="2"/>
  <c r="Z981" i="2"/>
  <c r="AC981" i="2"/>
  <c r="AF981" i="2"/>
  <c r="Q982" i="2"/>
  <c r="T982" i="2"/>
  <c r="W982" i="2"/>
  <c r="Z982" i="2"/>
  <c r="AC982" i="2"/>
  <c r="AF982" i="2"/>
  <c r="Q983" i="2"/>
  <c r="T983" i="2"/>
  <c r="W983" i="2"/>
  <c r="Z983" i="2"/>
  <c r="AC983" i="2"/>
  <c r="AF983" i="2"/>
  <c r="Q984" i="2"/>
  <c r="T984" i="2"/>
  <c r="W984" i="2"/>
  <c r="Z984" i="2"/>
  <c r="AC984" i="2"/>
  <c r="AF984" i="2"/>
  <c r="Q985" i="2"/>
  <c r="T985" i="2"/>
  <c r="W985" i="2"/>
  <c r="Z985" i="2"/>
  <c r="AC985" i="2"/>
  <c r="AF985" i="2"/>
  <c r="Q986" i="2"/>
  <c r="T986" i="2"/>
  <c r="W986" i="2"/>
  <c r="Z986" i="2"/>
  <c r="AC986" i="2"/>
  <c r="AF986" i="2"/>
  <c r="Q1065" i="2"/>
  <c r="T1065" i="2"/>
  <c r="W1065" i="2"/>
  <c r="Z1065" i="2"/>
  <c r="AC1065" i="2"/>
  <c r="AF1065" i="2"/>
  <c r="Q1066" i="2"/>
  <c r="T1066" i="2"/>
  <c r="W1066" i="2"/>
  <c r="Z1066" i="2"/>
  <c r="AC1066" i="2"/>
  <c r="AF1066" i="2"/>
  <c r="Q1067" i="2"/>
  <c r="T1067" i="2"/>
  <c r="W1067" i="2"/>
  <c r="Z1067" i="2"/>
  <c r="AC1067" i="2"/>
  <c r="AF1067" i="2"/>
  <c r="Q1068" i="2"/>
  <c r="T1068" i="2"/>
  <c r="W1068" i="2"/>
  <c r="Z1068" i="2"/>
  <c r="AC1068" i="2"/>
  <c r="AF1068" i="2"/>
  <c r="Q1069" i="2"/>
  <c r="T1069" i="2"/>
  <c r="W1069" i="2"/>
  <c r="Z1069" i="2"/>
  <c r="AC1069" i="2"/>
  <c r="AF1069" i="2"/>
  <c r="Q1070" i="2"/>
  <c r="T1070" i="2"/>
  <c r="W1070" i="2"/>
  <c r="Z1070" i="2"/>
  <c r="AC1070" i="2"/>
  <c r="AF1070" i="2"/>
  <c r="L1349" i="2"/>
  <c r="O1349" i="2"/>
  <c r="P1349" i="2" s="1"/>
  <c r="L1348" i="2"/>
  <c r="O1348" i="2"/>
  <c r="P1348" i="2" s="1"/>
  <c r="L1347" i="2"/>
  <c r="O1347" i="2"/>
  <c r="P1347" i="2" s="1"/>
  <c r="L1346" i="2"/>
  <c r="O1346" i="2"/>
  <c r="P1346" i="2" s="1"/>
  <c r="L1345" i="2"/>
  <c r="O1345" i="2"/>
  <c r="P1345" i="2" s="1"/>
  <c r="L1344" i="2"/>
  <c r="O1344" i="2"/>
  <c r="P1344" i="2" s="1"/>
  <c r="L1343" i="2"/>
  <c r="O1343" i="2"/>
  <c r="P1343" i="2" s="1"/>
  <c r="L1342" i="2"/>
  <c r="O1342" i="2"/>
  <c r="P1342" i="2" s="1"/>
  <c r="L1341" i="2"/>
  <c r="O1341" i="2"/>
  <c r="P1341" i="2" s="1"/>
  <c r="L1340" i="2"/>
  <c r="O1340" i="2"/>
  <c r="P1340" i="2" s="1"/>
  <c r="L1339" i="2"/>
  <c r="O1339" i="2"/>
  <c r="P1339" i="2" s="1"/>
  <c r="L1338" i="2"/>
  <c r="O1338" i="2"/>
  <c r="P1338" i="2" s="1"/>
  <c r="L1337" i="2"/>
  <c r="O1337" i="2"/>
  <c r="P1337" i="2" s="1"/>
  <c r="L1336" i="2"/>
  <c r="O1336" i="2"/>
  <c r="P1336" i="2" s="1"/>
  <c r="L1335" i="2"/>
  <c r="O1335" i="2"/>
  <c r="P1335" i="2" s="1"/>
  <c r="L1334" i="2"/>
  <c r="O1334" i="2"/>
  <c r="P1334" i="2" s="1"/>
  <c r="L1333" i="2"/>
  <c r="O1333" i="2"/>
  <c r="P1333" i="2" s="1"/>
  <c r="L1332" i="2"/>
  <c r="O1332" i="2"/>
  <c r="P1332" i="2" s="1"/>
  <c r="L1331" i="2"/>
  <c r="O1331" i="2"/>
  <c r="P1331" i="2" s="1"/>
  <c r="L1330" i="2"/>
  <c r="O1330" i="2"/>
  <c r="P1330" i="2" s="1"/>
  <c r="L1329" i="2"/>
  <c r="O1329" i="2"/>
  <c r="P1329" i="2" s="1"/>
  <c r="L1328" i="2"/>
  <c r="O1328" i="2"/>
  <c r="P1328" i="2" s="1"/>
  <c r="L1327" i="2"/>
  <c r="O1327" i="2"/>
  <c r="P1327" i="2" s="1"/>
  <c r="L1326" i="2"/>
  <c r="O1326" i="2"/>
  <c r="P1326" i="2" s="1"/>
  <c r="L1325" i="2"/>
  <c r="O1325" i="2"/>
  <c r="P1325" i="2" s="1"/>
  <c r="L1324" i="2"/>
  <c r="O1324" i="2"/>
  <c r="P1324" i="2" s="1"/>
  <c r="L1323" i="2"/>
  <c r="O1323" i="2"/>
  <c r="P1323" i="2" s="1"/>
  <c r="L1322" i="2"/>
  <c r="O1322" i="2"/>
  <c r="P1322" i="2" s="1"/>
  <c r="L1321" i="2"/>
  <c r="O1321" i="2"/>
  <c r="P1321" i="2" s="1"/>
  <c r="L1320" i="2"/>
  <c r="O1320" i="2"/>
  <c r="P1320" i="2" s="1"/>
  <c r="L1319" i="2"/>
  <c r="O1319" i="2"/>
  <c r="P1319" i="2" s="1"/>
  <c r="L1318" i="2"/>
  <c r="O1318" i="2"/>
  <c r="P1318" i="2" s="1"/>
  <c r="L1317" i="2"/>
  <c r="O1317" i="2"/>
  <c r="P1317" i="2" s="1"/>
  <c r="L1316" i="2"/>
  <c r="O1316" i="2"/>
  <c r="P1316" i="2" s="1"/>
  <c r="L1315" i="2"/>
  <c r="O1315" i="2"/>
  <c r="P1315" i="2" s="1"/>
  <c r="L1314" i="2"/>
  <c r="O1314" i="2"/>
  <c r="P1314" i="2" s="1"/>
  <c r="L1313" i="2"/>
  <c r="O1313" i="2"/>
  <c r="P1313" i="2" s="1"/>
  <c r="L1312" i="2"/>
  <c r="O1312" i="2"/>
  <c r="P1312" i="2" s="1"/>
  <c r="L1311" i="2"/>
  <c r="O1311" i="2"/>
  <c r="P1311" i="2" s="1"/>
  <c r="L1310" i="2"/>
  <c r="O1310" i="2"/>
  <c r="P1310" i="2" s="1"/>
  <c r="L1309" i="2"/>
  <c r="O1309" i="2"/>
  <c r="P1309" i="2" s="1"/>
  <c r="L1308" i="2"/>
  <c r="O1308" i="2"/>
  <c r="P1308" i="2" s="1"/>
  <c r="L1307" i="2"/>
  <c r="O1307" i="2"/>
  <c r="P1307" i="2" s="1"/>
  <c r="L1306" i="2"/>
  <c r="O1306" i="2"/>
  <c r="P1306" i="2" s="1"/>
  <c r="L1305" i="2"/>
  <c r="O1305" i="2"/>
  <c r="P1305" i="2" s="1"/>
  <c r="L1304" i="2"/>
  <c r="O1304" i="2"/>
  <c r="P1304" i="2" s="1"/>
  <c r="L1303" i="2"/>
  <c r="O1303" i="2"/>
  <c r="P1303" i="2" s="1"/>
  <c r="L1302" i="2"/>
  <c r="O1302" i="2"/>
  <c r="P1302" i="2" s="1"/>
  <c r="L1301" i="2"/>
  <c r="O1301" i="2"/>
  <c r="P1301" i="2" s="1"/>
  <c r="L1300" i="2"/>
  <c r="O1300" i="2"/>
  <c r="P1300" i="2" s="1"/>
  <c r="L1299" i="2"/>
  <c r="O1299" i="2"/>
  <c r="P1299" i="2" s="1"/>
  <c r="L1298" i="2"/>
  <c r="O1298" i="2"/>
  <c r="P1298" i="2" s="1"/>
  <c r="L1297" i="2"/>
  <c r="O1297" i="2"/>
  <c r="P1297" i="2" s="1"/>
  <c r="L1296" i="2"/>
  <c r="O1296" i="2"/>
  <c r="P1296" i="2" s="1"/>
  <c r="L1295" i="2"/>
  <c r="O1295" i="2"/>
  <c r="P1295" i="2" s="1"/>
  <c r="L1294" i="2"/>
  <c r="O1294" i="2"/>
  <c r="P1294" i="2" s="1"/>
  <c r="L1293" i="2"/>
  <c r="O1293" i="2"/>
  <c r="P1293" i="2" s="1"/>
  <c r="L1292" i="2"/>
  <c r="O1292" i="2"/>
  <c r="P1292" i="2" s="1"/>
  <c r="L1291" i="2"/>
  <c r="O1291" i="2"/>
  <c r="P1291" i="2" s="1"/>
  <c r="L1290" i="2"/>
  <c r="O1290" i="2"/>
  <c r="P1290" i="2" s="1"/>
  <c r="L1289" i="2"/>
  <c r="O1289" i="2"/>
  <c r="P1289" i="2" s="1"/>
  <c r="O1288" i="2"/>
  <c r="P1288" i="2" s="1"/>
  <c r="L1288" i="2"/>
  <c r="L1287" i="2"/>
  <c r="O1287" i="2"/>
  <c r="P1287" i="2" s="1"/>
  <c r="L1286" i="2"/>
  <c r="O1286" i="2"/>
  <c r="P1286" i="2" s="1"/>
  <c r="L1285" i="2"/>
  <c r="O1285" i="2"/>
  <c r="P1285" i="2" s="1"/>
  <c r="L1284" i="2"/>
  <c r="O1284" i="2"/>
  <c r="P1284" i="2" s="1"/>
  <c r="L1283" i="2"/>
  <c r="O1283" i="2"/>
  <c r="P1283" i="2" s="1"/>
  <c r="L1282" i="2"/>
  <c r="O1282" i="2"/>
  <c r="P1282" i="2" s="1"/>
  <c r="L1281" i="2"/>
  <c r="O1281" i="2"/>
  <c r="P1281" i="2" s="1"/>
  <c r="L1280" i="2"/>
  <c r="O1280" i="2"/>
  <c r="P1280" i="2" s="1"/>
  <c r="L1279" i="2"/>
  <c r="O1279" i="2"/>
  <c r="P1279" i="2" s="1"/>
  <c r="L1278" i="2"/>
  <c r="O1278" i="2"/>
  <c r="P1278" i="2" s="1"/>
  <c r="L1277" i="2"/>
  <c r="O1277" i="2"/>
  <c r="P1277" i="2" s="1"/>
  <c r="L1276" i="2"/>
  <c r="O1276" i="2"/>
  <c r="P1276" i="2" s="1"/>
  <c r="L1275" i="2"/>
  <c r="O1275" i="2"/>
  <c r="P1275" i="2" s="1"/>
  <c r="L1274" i="2"/>
  <c r="O1274" i="2"/>
  <c r="P1274" i="2" s="1"/>
  <c r="L1273" i="2"/>
  <c r="O1273" i="2"/>
  <c r="P1273" i="2" s="1"/>
  <c r="L1272" i="2"/>
  <c r="O1272" i="2"/>
  <c r="P1272" i="2" s="1"/>
  <c r="L1271" i="2"/>
  <c r="O1271" i="2"/>
  <c r="P1271" i="2" s="1"/>
  <c r="L1270" i="2"/>
  <c r="O1270" i="2"/>
  <c r="P1270" i="2" s="1"/>
  <c r="L1269" i="2"/>
  <c r="O1269" i="2"/>
  <c r="P1269" i="2" s="1"/>
  <c r="O1268" i="2"/>
  <c r="P1268" i="2" s="1"/>
  <c r="L1268" i="2"/>
  <c r="L1267" i="2"/>
  <c r="O1267" i="2"/>
  <c r="P1267" i="2" s="1"/>
  <c r="L1266" i="2"/>
  <c r="O1266" i="2"/>
  <c r="P1266" i="2" s="1"/>
  <c r="L1265" i="2"/>
  <c r="O1265" i="2"/>
  <c r="P1265" i="2" s="1"/>
  <c r="L1264" i="2"/>
  <c r="O1264" i="2"/>
  <c r="P1264" i="2" s="1"/>
  <c r="L1263" i="2"/>
  <c r="O1263" i="2"/>
  <c r="P1263" i="2" s="1"/>
  <c r="L1262" i="2"/>
  <c r="O1262" i="2"/>
  <c r="P1262" i="2" s="1"/>
  <c r="L1261" i="2"/>
  <c r="O1261" i="2"/>
  <c r="P1261" i="2" s="1"/>
  <c r="L1260" i="2"/>
  <c r="O1260" i="2"/>
  <c r="P1260" i="2" s="1"/>
  <c r="L1259" i="2"/>
  <c r="O1259" i="2"/>
  <c r="P1259" i="2" s="1"/>
  <c r="O1258" i="2"/>
  <c r="P1258" i="2" s="1"/>
  <c r="L1258" i="2"/>
  <c r="L1257" i="2"/>
  <c r="O1257" i="2"/>
  <c r="P1257" i="2" s="1"/>
  <c r="L1256" i="2"/>
  <c r="O1256" i="2"/>
  <c r="P1256" i="2" s="1"/>
  <c r="L1255" i="2"/>
  <c r="O1255" i="2"/>
  <c r="P1255" i="2" s="1"/>
  <c r="L1254" i="2"/>
  <c r="O1254" i="2"/>
  <c r="P1254" i="2" s="1"/>
  <c r="O1253" i="2"/>
  <c r="P1253" i="2" s="1"/>
  <c r="L1253" i="2"/>
  <c r="L1252" i="2"/>
  <c r="O1252" i="2"/>
  <c r="P1252" i="2" s="1"/>
  <c r="L1251" i="2"/>
  <c r="O1251" i="2"/>
  <c r="P1251" i="2" s="1"/>
  <c r="L1250" i="2"/>
  <c r="O1250" i="2"/>
  <c r="P1250" i="2" s="1"/>
  <c r="L1249" i="2"/>
  <c r="O1249" i="2"/>
  <c r="P1249" i="2" s="1"/>
  <c r="L1248" i="2"/>
  <c r="O1248" i="2"/>
  <c r="P1248" i="2" s="1"/>
  <c r="L1247" i="2"/>
  <c r="O1247" i="2"/>
  <c r="P1247" i="2" s="1"/>
  <c r="L1246" i="2"/>
  <c r="O1246" i="2"/>
  <c r="P1246" i="2" s="1"/>
  <c r="L1245" i="2"/>
  <c r="O1245" i="2"/>
  <c r="P1245" i="2" s="1"/>
  <c r="L1244" i="2"/>
  <c r="O1244" i="2"/>
  <c r="P1244" i="2" s="1"/>
  <c r="L1243" i="2"/>
  <c r="O1243" i="2"/>
  <c r="P1243" i="2" s="1"/>
  <c r="L1242" i="2"/>
  <c r="O1242" i="2"/>
  <c r="P1242" i="2" s="1"/>
  <c r="L1241" i="2"/>
  <c r="O1241" i="2"/>
  <c r="P1241" i="2" s="1"/>
  <c r="L1240" i="2"/>
  <c r="O1240" i="2"/>
  <c r="P1240" i="2" s="1"/>
  <c r="L1239" i="2"/>
  <c r="O1239" i="2"/>
  <c r="P1239" i="2" s="1"/>
  <c r="L1238" i="2"/>
  <c r="O1238" i="2"/>
  <c r="P1238" i="2" s="1"/>
  <c r="L1237" i="2"/>
  <c r="O1237" i="2"/>
  <c r="P1237" i="2" s="1"/>
  <c r="L1236" i="2"/>
  <c r="O1236" i="2"/>
  <c r="P1236" i="2" s="1"/>
  <c r="L1235" i="2"/>
  <c r="O1235" i="2"/>
  <c r="P1235" i="2" s="1"/>
  <c r="L1234" i="2"/>
  <c r="O1234" i="2"/>
  <c r="P1234" i="2" s="1"/>
  <c r="L1233" i="2"/>
  <c r="O1233" i="2"/>
  <c r="P1233" i="2" s="1"/>
  <c r="L1232" i="2"/>
  <c r="O1232" i="2"/>
  <c r="P1232" i="2" s="1"/>
  <c r="L1231" i="2"/>
  <c r="O1231" i="2"/>
  <c r="P1231" i="2" s="1"/>
  <c r="L1230" i="2"/>
  <c r="O1230" i="2"/>
  <c r="P1230" i="2" s="1"/>
  <c r="L1229" i="2"/>
  <c r="O1229" i="2"/>
  <c r="P1229" i="2" s="1"/>
  <c r="O1228" i="2"/>
  <c r="P1228" i="2" s="1"/>
  <c r="L1228" i="2"/>
  <c r="L1227" i="2"/>
  <c r="O1227" i="2"/>
  <c r="P1227" i="2" s="1"/>
  <c r="L1226" i="2"/>
  <c r="O1226" i="2"/>
  <c r="P1226" i="2" s="1"/>
  <c r="L1225" i="2"/>
  <c r="O1225" i="2"/>
  <c r="P1225" i="2" s="1"/>
  <c r="L1224" i="2"/>
  <c r="O1224" i="2"/>
  <c r="P1224" i="2" s="1"/>
  <c r="L1223" i="2"/>
  <c r="O1223" i="2"/>
  <c r="P1223" i="2" s="1"/>
  <c r="L1222" i="2"/>
  <c r="O1222" i="2"/>
  <c r="P1222" i="2" s="1"/>
  <c r="L1221" i="2"/>
  <c r="O1221" i="2"/>
  <c r="P1221" i="2" s="1"/>
  <c r="L1220" i="2"/>
  <c r="O1220" i="2"/>
  <c r="P1220" i="2" s="1"/>
  <c r="L1219" i="2"/>
  <c r="O1219" i="2"/>
  <c r="P1219" i="2" s="1"/>
  <c r="L1218" i="2"/>
  <c r="O1218" i="2"/>
  <c r="P1218" i="2" s="1"/>
  <c r="L1217" i="2"/>
  <c r="O1217" i="2"/>
  <c r="P1217" i="2" s="1"/>
  <c r="L1216" i="2"/>
  <c r="O1216" i="2"/>
  <c r="P1216" i="2" s="1"/>
  <c r="L1215" i="2"/>
  <c r="O1215" i="2"/>
  <c r="P1215" i="2" s="1"/>
  <c r="L1214" i="2"/>
  <c r="O1214" i="2"/>
  <c r="P1214" i="2" s="1"/>
  <c r="L1213" i="2"/>
  <c r="O1213" i="2"/>
  <c r="P1213" i="2" s="1"/>
  <c r="L1212" i="2"/>
  <c r="O1212" i="2"/>
  <c r="P1212" i="2" s="1"/>
  <c r="L1211" i="2"/>
  <c r="O1211" i="2"/>
  <c r="P1211" i="2" s="1"/>
  <c r="L1210" i="2"/>
  <c r="O1210" i="2"/>
  <c r="P1210" i="2" s="1"/>
  <c r="L1209" i="2"/>
  <c r="O1209" i="2"/>
  <c r="P1209" i="2" s="1"/>
  <c r="L1208" i="2"/>
  <c r="O1208" i="2"/>
  <c r="P1208" i="2" s="1"/>
  <c r="L1207" i="2"/>
  <c r="O1207" i="2"/>
  <c r="P1207" i="2" s="1"/>
  <c r="L1206" i="2"/>
  <c r="O1206" i="2"/>
  <c r="P1206" i="2" s="1"/>
  <c r="L1205" i="2"/>
  <c r="O1205" i="2"/>
  <c r="P1205" i="2" s="1"/>
  <c r="L1204" i="2"/>
  <c r="O1204" i="2"/>
  <c r="P1204" i="2" s="1"/>
  <c r="L1203" i="2"/>
  <c r="O1203" i="2"/>
  <c r="P1203" i="2" s="1"/>
  <c r="L1202" i="2"/>
  <c r="O1202" i="2"/>
  <c r="P1202" i="2" s="1"/>
  <c r="L1201" i="2"/>
  <c r="O1201" i="2"/>
  <c r="P1201" i="2" s="1"/>
  <c r="O1200" i="2"/>
  <c r="P1200" i="2" s="1"/>
  <c r="L1200" i="2"/>
  <c r="L1199" i="2"/>
  <c r="O1199" i="2"/>
  <c r="P1199" i="2" s="1"/>
  <c r="L1198" i="2"/>
  <c r="O1198" i="2"/>
  <c r="P1198" i="2" s="1"/>
  <c r="L1197" i="2"/>
  <c r="O1197" i="2"/>
  <c r="P1197" i="2" s="1"/>
  <c r="L1196" i="2"/>
  <c r="O1196" i="2"/>
  <c r="P1196" i="2" s="1"/>
  <c r="L1195" i="2"/>
  <c r="O1195" i="2"/>
  <c r="P1195" i="2" s="1"/>
  <c r="L1194" i="2"/>
  <c r="O1194" i="2"/>
  <c r="P1194" i="2" s="1"/>
  <c r="L1193" i="2"/>
  <c r="O1193" i="2"/>
  <c r="P1193" i="2" s="1"/>
  <c r="L1192" i="2"/>
  <c r="O1192" i="2"/>
  <c r="P1192" i="2" s="1"/>
  <c r="L1191" i="2"/>
  <c r="O1191" i="2"/>
  <c r="P1191" i="2" s="1"/>
  <c r="L1190" i="2"/>
  <c r="O1190" i="2"/>
  <c r="P1190" i="2" s="1"/>
  <c r="L1189" i="2"/>
  <c r="O1189" i="2"/>
  <c r="P1189" i="2" s="1"/>
  <c r="L1188" i="2"/>
  <c r="O1188" i="2"/>
  <c r="P1188" i="2" s="1"/>
  <c r="L1187" i="2"/>
  <c r="O1187" i="2"/>
  <c r="P1187" i="2" s="1"/>
  <c r="L1186" i="2"/>
  <c r="O1186" i="2"/>
  <c r="P1186" i="2" s="1"/>
  <c r="L1185" i="2"/>
  <c r="O1185" i="2"/>
  <c r="P1185" i="2" s="1"/>
  <c r="L1184" i="2"/>
  <c r="O1184" i="2"/>
  <c r="P1184" i="2" s="1"/>
  <c r="L1183" i="2"/>
  <c r="O1183" i="2"/>
  <c r="P1183" i="2" s="1"/>
  <c r="L1182" i="2"/>
  <c r="O1182" i="2"/>
  <c r="P1182" i="2" s="1"/>
  <c r="L1181" i="2"/>
  <c r="O1181" i="2"/>
  <c r="P1181" i="2" s="1"/>
  <c r="L1180" i="2"/>
  <c r="O1180" i="2"/>
  <c r="P1180" i="2" s="1"/>
  <c r="L1179" i="2"/>
  <c r="O1179" i="2"/>
  <c r="P1179" i="2" s="1"/>
  <c r="L1178" i="2"/>
  <c r="O1178" i="2"/>
  <c r="P1178" i="2" s="1"/>
  <c r="L1177" i="2"/>
  <c r="O1177" i="2"/>
  <c r="P1177" i="2" s="1"/>
  <c r="L1176" i="2"/>
  <c r="O1176" i="2"/>
  <c r="P1176" i="2" s="1"/>
  <c r="L1175" i="2"/>
  <c r="O1175" i="2"/>
  <c r="P1175" i="2" s="1"/>
  <c r="L1174" i="2"/>
  <c r="O1174" i="2"/>
  <c r="P1174" i="2" s="1"/>
  <c r="L1173" i="2"/>
  <c r="O1173" i="2"/>
  <c r="P1173" i="2" s="1"/>
  <c r="O1172" i="2"/>
  <c r="P1172" i="2" s="1"/>
  <c r="L1172" i="2"/>
  <c r="L1171" i="2"/>
  <c r="O1171" i="2"/>
  <c r="P1171" i="2" s="1"/>
  <c r="L1170" i="2"/>
  <c r="O1170" i="2"/>
  <c r="P1170" i="2" s="1"/>
  <c r="L1169" i="2"/>
  <c r="O1169" i="2"/>
  <c r="P1169" i="2" s="1"/>
  <c r="L1168" i="2"/>
  <c r="O1168" i="2"/>
  <c r="P1168" i="2" s="1"/>
  <c r="L1167" i="2"/>
  <c r="O1167" i="2"/>
  <c r="P1167" i="2" s="1"/>
  <c r="L1166" i="2"/>
  <c r="O1166" i="2"/>
  <c r="P1166" i="2" s="1"/>
  <c r="L1165" i="2"/>
  <c r="O1165" i="2"/>
  <c r="P1165" i="2" s="1"/>
  <c r="L1164" i="2"/>
  <c r="O1164" i="2"/>
  <c r="P1164" i="2" s="1"/>
  <c r="L1163" i="2"/>
  <c r="O1163" i="2"/>
  <c r="P1163" i="2" s="1"/>
  <c r="L1162" i="2"/>
  <c r="O1162" i="2"/>
  <c r="P1162" i="2" s="1"/>
  <c r="L1161" i="2"/>
  <c r="O1161" i="2"/>
  <c r="P1161" i="2" s="1"/>
  <c r="L1160" i="2"/>
  <c r="O1160" i="2"/>
  <c r="P1160" i="2" s="1"/>
  <c r="L1159" i="2"/>
  <c r="O1159" i="2"/>
  <c r="P1159" i="2" s="1"/>
  <c r="L1158" i="2"/>
  <c r="O1158" i="2"/>
  <c r="P1158" i="2" s="1"/>
  <c r="L1157" i="2"/>
  <c r="O1157" i="2"/>
  <c r="P1157" i="2" s="1"/>
  <c r="L1156" i="2"/>
  <c r="O1156" i="2"/>
  <c r="P1156" i="2" s="1"/>
  <c r="L1155" i="2"/>
  <c r="O1155" i="2"/>
  <c r="P1155" i="2" s="1"/>
  <c r="L1154" i="2"/>
  <c r="O1154" i="2"/>
  <c r="P1154" i="2" s="1"/>
  <c r="L1153" i="2"/>
  <c r="O1153" i="2"/>
  <c r="P1153" i="2" s="1"/>
  <c r="L1152" i="2"/>
  <c r="O1152" i="2"/>
  <c r="P1152" i="2" s="1"/>
  <c r="L1151" i="2"/>
  <c r="O1151" i="2"/>
  <c r="P1151" i="2" s="1"/>
  <c r="L1150" i="2"/>
  <c r="O1150" i="2"/>
  <c r="P1150" i="2" s="1"/>
  <c r="L1149" i="2"/>
  <c r="O1149" i="2"/>
  <c r="P1149" i="2" s="1"/>
  <c r="O1148" i="2"/>
  <c r="P1148" i="2" s="1"/>
  <c r="L1148" i="2"/>
  <c r="L1147" i="2"/>
  <c r="O1147" i="2"/>
  <c r="P1147" i="2" s="1"/>
  <c r="L1146" i="2"/>
  <c r="O1146" i="2"/>
  <c r="P1146" i="2" s="1"/>
  <c r="L1145" i="2"/>
  <c r="O1145" i="2"/>
  <c r="P1145" i="2" s="1"/>
  <c r="L1144" i="2"/>
  <c r="O1144" i="2"/>
  <c r="P1144" i="2" s="1"/>
  <c r="L1143" i="2"/>
  <c r="O1143" i="2"/>
  <c r="P1143" i="2" s="1"/>
  <c r="L1142" i="2"/>
  <c r="O1142" i="2"/>
  <c r="P1142" i="2" s="1"/>
  <c r="L1141" i="2"/>
  <c r="O1141" i="2"/>
  <c r="P1141" i="2" s="1"/>
  <c r="L1140" i="2"/>
  <c r="O1140" i="2"/>
  <c r="P1140" i="2" s="1"/>
  <c r="L1139" i="2"/>
  <c r="O1139" i="2"/>
  <c r="P1139" i="2" s="1"/>
  <c r="L1138" i="2"/>
  <c r="O1138" i="2"/>
  <c r="P1138" i="2" s="1"/>
  <c r="L1137" i="2"/>
  <c r="O1137" i="2"/>
  <c r="P1137" i="2" s="1"/>
  <c r="L1136" i="2"/>
  <c r="O1136" i="2"/>
  <c r="P1136" i="2" s="1"/>
  <c r="L1135" i="2"/>
  <c r="O1135" i="2"/>
  <c r="P1135" i="2" s="1"/>
  <c r="L1134" i="2"/>
  <c r="O1134" i="2"/>
  <c r="P1134" i="2" s="1"/>
  <c r="L1133" i="2"/>
  <c r="O1133" i="2"/>
  <c r="P1133" i="2" s="1"/>
  <c r="L1132" i="2"/>
  <c r="O1132" i="2"/>
  <c r="P1132" i="2" s="1"/>
  <c r="L1131" i="2"/>
  <c r="O1131" i="2"/>
  <c r="P1131" i="2" s="1"/>
  <c r="L1130" i="2"/>
  <c r="O1130" i="2"/>
  <c r="P1130" i="2" s="1"/>
  <c r="L1129" i="2"/>
  <c r="O1129" i="2"/>
  <c r="P1129" i="2" s="1"/>
  <c r="L1128" i="2"/>
  <c r="O1128" i="2"/>
  <c r="P1128" i="2" s="1"/>
  <c r="L1127" i="2"/>
  <c r="O1127" i="2"/>
  <c r="P1127" i="2" s="1"/>
  <c r="L1126" i="2"/>
  <c r="O1126" i="2"/>
  <c r="P1126" i="2" s="1"/>
  <c r="L1125" i="2"/>
  <c r="O1125" i="2"/>
  <c r="P1125" i="2" s="1"/>
  <c r="L1124" i="2"/>
  <c r="O1124" i="2"/>
  <c r="P1124" i="2" s="1"/>
  <c r="L1123" i="2"/>
  <c r="O1123" i="2"/>
  <c r="P1123" i="2" s="1"/>
  <c r="L1122" i="2"/>
  <c r="O1122" i="2"/>
  <c r="P1122" i="2" s="1"/>
  <c r="L1121" i="2"/>
  <c r="O1121" i="2"/>
  <c r="P1121" i="2" s="1"/>
  <c r="L1120" i="2"/>
  <c r="O1120" i="2"/>
  <c r="P1120" i="2" s="1"/>
  <c r="L1119" i="2"/>
  <c r="O1119" i="2"/>
  <c r="P1119" i="2" s="1"/>
  <c r="L1118" i="2"/>
  <c r="O1118" i="2"/>
  <c r="P1118" i="2" s="1"/>
  <c r="L1117" i="2"/>
  <c r="O1117" i="2"/>
  <c r="P1117" i="2" s="1"/>
  <c r="L1116" i="2"/>
  <c r="O1116" i="2"/>
  <c r="P1116" i="2" s="1"/>
  <c r="L1115" i="2"/>
  <c r="O1115" i="2"/>
  <c r="P1115" i="2" s="1"/>
  <c r="L1114" i="2"/>
  <c r="O1114" i="2"/>
  <c r="P1114" i="2" s="1"/>
  <c r="L1113" i="2"/>
  <c r="O1113" i="2"/>
  <c r="P1113" i="2" s="1"/>
  <c r="L1112" i="2"/>
  <c r="O1112" i="2"/>
  <c r="P1112" i="2" s="1"/>
  <c r="L1111" i="2"/>
  <c r="O1111" i="2"/>
  <c r="P1111" i="2" s="1"/>
  <c r="L1110" i="2"/>
  <c r="O1110" i="2"/>
  <c r="P1110" i="2" s="1"/>
  <c r="L1109" i="2"/>
  <c r="O1109" i="2"/>
  <c r="P1109" i="2" s="1"/>
  <c r="L1108" i="2"/>
  <c r="O1108" i="2"/>
  <c r="P1108" i="2" s="1"/>
  <c r="L1107" i="2"/>
  <c r="O1107" i="2"/>
  <c r="P1107" i="2" s="1"/>
  <c r="L1106" i="2"/>
  <c r="O1106" i="2"/>
  <c r="P1106" i="2" s="1"/>
  <c r="L1105" i="2"/>
  <c r="O1105" i="2"/>
  <c r="P1105" i="2" s="1"/>
  <c r="L1104" i="2"/>
  <c r="O1104" i="2"/>
  <c r="P1104" i="2" s="1"/>
  <c r="L1103" i="2"/>
  <c r="O1103" i="2"/>
  <c r="P1103" i="2" s="1"/>
  <c r="L1102" i="2"/>
  <c r="O1102" i="2"/>
  <c r="P1102" i="2" s="1"/>
  <c r="L1101" i="2"/>
  <c r="O1101" i="2"/>
  <c r="P1101" i="2" s="1"/>
  <c r="L1100" i="2"/>
  <c r="O1100" i="2"/>
  <c r="P1100" i="2" s="1"/>
  <c r="L1099" i="2"/>
  <c r="O1099" i="2"/>
  <c r="P1099" i="2" s="1"/>
  <c r="L1098" i="2"/>
  <c r="O1098" i="2"/>
  <c r="P1098" i="2" s="1"/>
  <c r="L1097" i="2"/>
  <c r="O1097" i="2"/>
  <c r="P1097" i="2" s="1"/>
  <c r="L1096" i="2"/>
  <c r="O1096" i="2"/>
  <c r="P1096" i="2" s="1"/>
  <c r="L1095" i="2"/>
  <c r="O1095" i="2"/>
  <c r="P1095" i="2" s="1"/>
  <c r="L1094" i="2"/>
  <c r="O1094" i="2"/>
  <c r="P1094" i="2" s="1"/>
  <c r="L1093" i="2"/>
  <c r="O1093" i="2"/>
  <c r="P1093" i="2" s="1"/>
  <c r="L1092" i="2"/>
  <c r="O1092" i="2"/>
  <c r="P1092" i="2" s="1"/>
  <c r="L1091" i="2"/>
  <c r="O1091" i="2"/>
  <c r="P1091" i="2" s="1"/>
  <c r="L1090" i="2"/>
  <c r="O1090" i="2"/>
  <c r="P1090" i="2" s="1"/>
  <c r="L1089" i="2"/>
  <c r="O1089" i="2"/>
  <c r="P1089" i="2" s="1"/>
  <c r="L1088" i="2"/>
  <c r="O1088" i="2"/>
  <c r="P1088" i="2" s="1"/>
  <c r="L1087" i="2"/>
  <c r="O1087" i="2"/>
  <c r="P1087" i="2" s="1"/>
  <c r="L1086" i="2"/>
  <c r="O1086" i="2"/>
  <c r="P1086" i="2" s="1"/>
  <c r="L1085" i="2"/>
  <c r="O1085" i="2"/>
  <c r="P1085" i="2" s="1"/>
  <c r="L1084" i="2"/>
  <c r="O1084" i="2"/>
  <c r="P1084" i="2" s="1"/>
  <c r="L1083" i="2"/>
  <c r="O1083" i="2"/>
  <c r="P1083" i="2" s="1"/>
  <c r="L1082" i="2"/>
  <c r="O1082" i="2"/>
  <c r="P1082" i="2" s="1"/>
  <c r="L1081" i="2"/>
  <c r="O1081" i="2"/>
  <c r="P1081" i="2" s="1"/>
  <c r="L1080" i="2"/>
  <c r="O1080" i="2"/>
  <c r="P1080" i="2" s="1"/>
  <c r="L1079" i="2"/>
  <c r="O1079" i="2"/>
  <c r="P1079" i="2" s="1"/>
  <c r="L1078" i="2"/>
  <c r="O1078" i="2"/>
  <c r="P1078" i="2" s="1"/>
  <c r="L1077" i="2"/>
  <c r="O1077" i="2"/>
  <c r="P1077" i="2" s="1"/>
  <c r="L1076" i="2"/>
  <c r="O1076" i="2"/>
  <c r="P1076" i="2" s="1"/>
  <c r="L1075" i="2"/>
  <c r="O1075" i="2"/>
  <c r="P1075" i="2" s="1"/>
  <c r="L1074" i="2"/>
  <c r="O1074" i="2"/>
  <c r="P1074" i="2" s="1"/>
  <c r="L1073" i="2"/>
  <c r="O1073" i="2"/>
  <c r="P1073" i="2" s="1"/>
  <c r="L1072" i="2"/>
  <c r="O1072" i="2"/>
  <c r="P1072" i="2" s="1"/>
  <c r="L1071" i="2"/>
  <c r="O1071" i="2"/>
  <c r="P1071" i="2" s="1"/>
  <c r="N171" i="1"/>
  <c r="O171" i="1"/>
  <c r="O172" i="1"/>
  <c r="N172" i="1"/>
  <c r="N173" i="1"/>
  <c r="O173" i="1"/>
  <c r="O174" i="1"/>
  <c r="N174" i="1"/>
  <c r="O175" i="1"/>
  <c r="N175" i="1"/>
  <c r="O176" i="1"/>
  <c r="N176" i="1"/>
  <c r="O177" i="1"/>
  <c r="N177" i="1"/>
  <c r="N178" i="1"/>
  <c r="O178" i="1"/>
  <c r="O179" i="1"/>
  <c r="N179" i="1"/>
  <c r="O180" i="1"/>
  <c r="N180" i="1"/>
  <c r="O181" i="1"/>
  <c r="N181" i="1"/>
  <c r="N182" i="1"/>
  <c r="O182" i="1"/>
  <c r="O183" i="1"/>
  <c r="N183" i="1"/>
  <c r="N184" i="1"/>
  <c r="O184" i="1"/>
  <c r="N185" i="1"/>
  <c r="O185" i="1"/>
  <c r="N186" i="1"/>
  <c r="O186" i="1"/>
  <c r="O187" i="1"/>
  <c r="N187" i="1"/>
  <c r="N188" i="1"/>
  <c r="O188" i="1"/>
  <c r="O189" i="1"/>
  <c r="N189" i="1"/>
  <c r="O190" i="1"/>
  <c r="N190" i="1"/>
  <c r="N191" i="1"/>
  <c r="O191" i="1"/>
  <c r="N192" i="1"/>
  <c r="O192" i="1"/>
  <c r="O193" i="1"/>
  <c r="N193" i="1"/>
  <c r="O194" i="1"/>
  <c r="N194" i="1"/>
  <c r="O195" i="1"/>
  <c r="N195" i="1"/>
  <c r="N196" i="1"/>
  <c r="O196" i="1"/>
  <c r="O197" i="1"/>
  <c r="N197" i="1"/>
  <c r="N198" i="1"/>
  <c r="O198" i="1"/>
  <c r="O199" i="1"/>
  <c r="N199" i="1"/>
  <c r="N200" i="1"/>
  <c r="O200" i="1"/>
  <c r="N201" i="1"/>
  <c r="O201" i="1"/>
  <c r="N202" i="1"/>
  <c r="O202" i="1"/>
  <c r="O203" i="1"/>
  <c r="N203" i="1"/>
  <c r="O204" i="1"/>
  <c r="N204" i="1"/>
  <c r="O205" i="1"/>
  <c r="N205" i="1"/>
  <c r="O206" i="1"/>
  <c r="N206" i="1"/>
  <c r="O207" i="1"/>
  <c r="N207" i="1"/>
  <c r="N208" i="1"/>
  <c r="O208" i="1"/>
  <c r="O209" i="1"/>
  <c r="N209" i="1"/>
  <c r="N210" i="1"/>
  <c r="O210" i="1"/>
  <c r="N211" i="1"/>
  <c r="O211" i="1"/>
  <c r="O212" i="1"/>
  <c r="N212" i="1"/>
  <c r="N213" i="1"/>
  <c r="O213" i="1"/>
  <c r="O214" i="1"/>
  <c r="N214" i="1"/>
  <c r="N215" i="1"/>
  <c r="O215" i="1"/>
  <c r="N216" i="1"/>
  <c r="O216" i="1"/>
  <c r="O217" i="1"/>
  <c r="N217" i="1"/>
  <c r="N218" i="1"/>
  <c r="O218" i="1"/>
  <c r="O219" i="1"/>
  <c r="N219" i="1"/>
  <c r="O220" i="1"/>
  <c r="N220" i="1"/>
  <c r="O221" i="1"/>
  <c r="N221" i="1"/>
  <c r="N222" i="1"/>
  <c r="O222" i="1"/>
  <c r="O223" i="1"/>
  <c r="N223" i="1"/>
  <c r="N224" i="1"/>
  <c r="O224" i="1"/>
  <c r="O225" i="1"/>
  <c r="N225" i="1"/>
  <c r="N226" i="1"/>
  <c r="O226" i="1"/>
  <c r="N227" i="1"/>
  <c r="O227" i="1"/>
  <c r="N228" i="1"/>
  <c r="O228" i="1"/>
  <c r="O229" i="1"/>
  <c r="N229" i="1"/>
  <c r="O230" i="1"/>
  <c r="N230" i="1"/>
  <c r="N231" i="1"/>
  <c r="O231" i="1"/>
  <c r="O232" i="1"/>
  <c r="N232" i="1"/>
  <c r="O233" i="1"/>
  <c r="N233" i="1"/>
  <c r="O234" i="1"/>
  <c r="N234" i="1"/>
  <c r="O235" i="1"/>
  <c r="N235" i="1"/>
  <c r="N236" i="1"/>
  <c r="O236" i="1"/>
  <c r="N237" i="1"/>
  <c r="O237" i="1"/>
  <c r="O238" i="1"/>
  <c r="N238" i="1"/>
  <c r="N239" i="1"/>
  <c r="O239" i="1"/>
  <c r="O240" i="1"/>
  <c r="N240" i="1"/>
  <c r="O241" i="1"/>
  <c r="N241" i="1"/>
  <c r="N242" i="1"/>
  <c r="O242" i="1"/>
  <c r="N243" i="1"/>
  <c r="O243" i="1"/>
  <c r="N244" i="1"/>
  <c r="O244" i="1"/>
  <c r="O245" i="1"/>
  <c r="N245" i="1"/>
  <c r="N246" i="1"/>
  <c r="O246" i="1"/>
  <c r="N247" i="1"/>
  <c r="O247" i="1"/>
  <c r="N248" i="1"/>
  <c r="O248" i="1"/>
  <c r="O249" i="1"/>
  <c r="N249" i="1"/>
  <c r="O250" i="1"/>
  <c r="N250" i="1"/>
  <c r="O251" i="1"/>
  <c r="N251" i="1"/>
  <c r="O252" i="1"/>
  <c r="N252" i="1"/>
  <c r="O253" i="1"/>
  <c r="N253" i="1"/>
  <c r="N254" i="1"/>
  <c r="O254" i="1"/>
  <c r="O255" i="1"/>
  <c r="N255" i="1"/>
  <c r="O256" i="1"/>
  <c r="N256" i="1"/>
  <c r="O257" i="1"/>
  <c r="N257" i="1"/>
  <c r="N258" i="1"/>
  <c r="O258" i="1"/>
  <c r="O259" i="1"/>
  <c r="N259" i="1"/>
  <c r="N260" i="1"/>
  <c r="O260" i="1"/>
  <c r="O261" i="1"/>
  <c r="N261" i="1"/>
  <c r="N262" i="1"/>
  <c r="O262" i="1"/>
  <c r="N263" i="1"/>
  <c r="O263" i="1"/>
  <c r="N264" i="1"/>
  <c r="O264" i="1"/>
  <c r="N265" i="1"/>
  <c r="O265" i="1"/>
  <c r="O266" i="1"/>
  <c r="N266" i="1"/>
  <c r="O267" i="1"/>
  <c r="N267" i="1"/>
  <c r="O268" i="1"/>
  <c r="N268" i="1"/>
  <c r="N269" i="1"/>
  <c r="O269" i="1"/>
  <c r="O270" i="1"/>
  <c r="N270" i="1"/>
  <c r="N271" i="1"/>
  <c r="O271" i="1"/>
  <c r="O272" i="1"/>
  <c r="N272" i="1"/>
  <c r="O273" i="1"/>
  <c r="N273" i="1"/>
  <c r="O274" i="1"/>
  <c r="N274" i="1"/>
  <c r="O275" i="1"/>
  <c r="N275" i="1"/>
  <c r="O276" i="1"/>
  <c r="N276" i="1"/>
  <c r="N277" i="1"/>
  <c r="O277" i="1"/>
  <c r="O278" i="1"/>
  <c r="N278" i="1"/>
  <c r="N279" i="1"/>
  <c r="O279" i="1"/>
  <c r="N280" i="1"/>
  <c r="O280" i="1"/>
  <c r="N281" i="1"/>
  <c r="O281" i="1"/>
  <c r="N282" i="1"/>
  <c r="O282" i="1"/>
  <c r="N283" i="1"/>
  <c r="O283" i="1"/>
  <c r="O284" i="1"/>
  <c r="N284" i="1"/>
  <c r="N285" i="1"/>
  <c r="O285" i="1"/>
  <c r="O286" i="1"/>
  <c r="N286" i="1"/>
  <c r="O287" i="1"/>
  <c r="N287" i="1"/>
  <c r="O288" i="1"/>
  <c r="N288" i="1"/>
  <c r="N289" i="1"/>
  <c r="O289" i="1"/>
  <c r="O290" i="1"/>
  <c r="N290" i="1"/>
  <c r="N291" i="1"/>
  <c r="O291" i="1"/>
  <c r="O292" i="1"/>
  <c r="N292" i="1"/>
  <c r="O293" i="1"/>
  <c r="N293" i="1"/>
  <c r="O294" i="1"/>
  <c r="N294" i="1"/>
  <c r="O295" i="1"/>
  <c r="N295" i="1"/>
  <c r="O296" i="1"/>
  <c r="N296" i="1"/>
  <c r="O297" i="1"/>
  <c r="N297" i="1"/>
  <c r="N298" i="1"/>
  <c r="O298" i="1"/>
  <c r="O299" i="1"/>
  <c r="N299" i="1"/>
  <c r="O300" i="1"/>
  <c r="N300" i="1"/>
  <c r="N301" i="1"/>
  <c r="O301" i="1"/>
  <c r="O302" i="1"/>
  <c r="N302" i="1"/>
  <c r="O303" i="1"/>
  <c r="N303" i="1"/>
  <c r="O304" i="1"/>
  <c r="N304" i="1"/>
  <c r="O305" i="1"/>
  <c r="N305" i="1"/>
  <c r="N306" i="1"/>
  <c r="O306" i="1"/>
  <c r="O307" i="1"/>
  <c r="N307" i="1"/>
  <c r="O308" i="1"/>
  <c r="N308" i="1"/>
  <c r="N309" i="1"/>
  <c r="O309" i="1"/>
  <c r="O310" i="1"/>
  <c r="N310" i="1"/>
  <c r="O311" i="1"/>
  <c r="N311" i="1"/>
  <c r="N312" i="1"/>
  <c r="O312" i="1"/>
  <c r="O313" i="1"/>
  <c r="N313" i="1"/>
  <c r="O314" i="1"/>
  <c r="N314" i="1"/>
  <c r="O315" i="1"/>
  <c r="N315" i="1"/>
  <c r="O316" i="1"/>
  <c r="N316" i="1"/>
  <c r="O317" i="1"/>
  <c r="N317" i="1"/>
  <c r="N318" i="1"/>
  <c r="O318" i="1"/>
  <c r="O319" i="1"/>
  <c r="N319" i="1"/>
  <c r="N320" i="1"/>
  <c r="O320" i="1"/>
  <c r="N321" i="1"/>
  <c r="O321" i="1"/>
  <c r="N322" i="1"/>
  <c r="O322" i="1"/>
  <c r="N323" i="1"/>
  <c r="O323" i="1"/>
  <c r="N324" i="1"/>
  <c r="O324" i="1"/>
  <c r="N325" i="1"/>
  <c r="O325" i="1"/>
  <c r="O326" i="1"/>
  <c r="N326" i="1"/>
  <c r="O327" i="1"/>
  <c r="N327" i="1"/>
  <c r="N328" i="1"/>
  <c r="O328" i="1"/>
  <c r="O329" i="1"/>
  <c r="N329" i="1"/>
  <c r="O330" i="1"/>
  <c r="N330" i="1"/>
  <c r="O331" i="1"/>
  <c r="N331" i="1"/>
  <c r="N332" i="1"/>
  <c r="O332" i="1"/>
  <c r="N333" i="1"/>
  <c r="O333" i="1"/>
  <c r="O334" i="1"/>
  <c r="N334" i="1"/>
  <c r="N335" i="1"/>
  <c r="O335" i="1"/>
  <c r="O336" i="1"/>
  <c r="N336" i="1"/>
  <c r="O337" i="1"/>
  <c r="N337" i="1"/>
  <c r="N338" i="1"/>
  <c r="O338" i="1"/>
  <c r="O680" i="1"/>
  <c r="N680" i="1"/>
  <c r="O684" i="1"/>
  <c r="N684" i="1"/>
  <c r="O685" i="1"/>
  <c r="N685" i="1"/>
  <c r="O686" i="1"/>
  <c r="N686" i="1"/>
  <c r="O687" i="1"/>
  <c r="N687" i="1"/>
  <c r="O688" i="1"/>
  <c r="N688" i="1"/>
  <c r="O689" i="1"/>
  <c r="N689" i="1"/>
  <c r="O690" i="1"/>
  <c r="N690" i="1"/>
  <c r="O691" i="1"/>
  <c r="N691" i="1"/>
  <c r="O692" i="1"/>
  <c r="N692" i="1"/>
  <c r="O693" i="1"/>
  <c r="N693" i="1"/>
  <c r="N694" i="1"/>
  <c r="O694" i="1"/>
  <c r="N695" i="1"/>
  <c r="O695" i="1"/>
  <c r="O696" i="1"/>
  <c r="N696" i="1"/>
  <c r="N697" i="1"/>
  <c r="O697" i="1"/>
  <c r="N698" i="1"/>
  <c r="O698" i="1"/>
  <c r="N699" i="1"/>
  <c r="O699" i="1"/>
  <c r="N700" i="1"/>
  <c r="O700" i="1"/>
  <c r="N701" i="1"/>
  <c r="O701" i="1"/>
  <c r="N702" i="1"/>
  <c r="O702" i="1"/>
  <c r="N703" i="1"/>
  <c r="O703" i="1"/>
  <c r="N704" i="1"/>
  <c r="O704" i="1"/>
  <c r="N705" i="1"/>
  <c r="O705" i="1"/>
  <c r="N706" i="1"/>
  <c r="O706" i="1"/>
  <c r="N707" i="1"/>
  <c r="O707" i="1"/>
  <c r="N708" i="1"/>
  <c r="O708" i="1"/>
  <c r="O709" i="1"/>
  <c r="N709" i="1"/>
  <c r="N710" i="1"/>
  <c r="O710" i="1"/>
  <c r="O711" i="1"/>
  <c r="N711" i="1"/>
  <c r="N712" i="1"/>
  <c r="O712" i="1"/>
  <c r="N713" i="1"/>
  <c r="O713" i="1"/>
  <c r="N714" i="1"/>
  <c r="O714" i="1"/>
  <c r="N715" i="1"/>
  <c r="O715" i="1"/>
  <c r="O716" i="1"/>
  <c r="N716" i="1"/>
  <c r="N717" i="1"/>
  <c r="O717" i="1"/>
  <c r="O718" i="1"/>
  <c r="N718" i="1"/>
  <c r="O719" i="1"/>
  <c r="N719" i="1"/>
  <c r="O720" i="1"/>
  <c r="N720" i="1"/>
  <c r="O721" i="1"/>
  <c r="N721" i="1"/>
  <c r="O722" i="1"/>
  <c r="N722" i="1"/>
  <c r="O723" i="1"/>
  <c r="N723" i="1"/>
  <c r="O724" i="1"/>
  <c r="N724" i="1"/>
  <c r="N725" i="1"/>
  <c r="O725" i="1"/>
  <c r="N726" i="1"/>
  <c r="O726" i="1"/>
  <c r="N727" i="1"/>
  <c r="O727" i="1"/>
  <c r="O728" i="1"/>
  <c r="N728" i="1"/>
  <c r="N729" i="1"/>
  <c r="O729" i="1"/>
  <c r="N730" i="1"/>
  <c r="O730" i="1"/>
  <c r="N731" i="1"/>
  <c r="O731" i="1"/>
  <c r="N732" i="1"/>
  <c r="O732" i="1"/>
  <c r="N733" i="1"/>
  <c r="O733" i="1"/>
  <c r="N734" i="1"/>
  <c r="O734" i="1"/>
  <c r="N735" i="1"/>
  <c r="O735" i="1"/>
  <c r="O736" i="1"/>
  <c r="N736" i="1"/>
  <c r="N737" i="1"/>
  <c r="O737" i="1"/>
  <c r="O738" i="1"/>
  <c r="N738" i="1"/>
  <c r="O739" i="1"/>
  <c r="N739" i="1"/>
  <c r="O740" i="1"/>
  <c r="N740" i="1"/>
  <c r="O741" i="1"/>
  <c r="N741" i="1"/>
  <c r="O742" i="1"/>
  <c r="N742" i="1"/>
  <c r="O743" i="1"/>
  <c r="N743" i="1"/>
  <c r="O744" i="1"/>
  <c r="N744" i="1"/>
  <c r="O745" i="1"/>
  <c r="N745" i="1"/>
  <c r="O746" i="1"/>
  <c r="N746" i="1"/>
  <c r="N747" i="1"/>
  <c r="O747" i="1"/>
  <c r="O748" i="1"/>
  <c r="N748" i="1"/>
  <c r="N749" i="1"/>
  <c r="O749" i="1"/>
  <c r="O750" i="1"/>
  <c r="N750" i="1"/>
  <c r="N751" i="1"/>
  <c r="O751" i="1"/>
  <c r="O752" i="1"/>
  <c r="N752" i="1"/>
  <c r="O753" i="1"/>
  <c r="N753" i="1"/>
  <c r="O754" i="1"/>
  <c r="N754" i="1"/>
  <c r="O755" i="1"/>
  <c r="N755" i="1"/>
  <c r="O756" i="1"/>
  <c r="N756" i="1"/>
  <c r="O757" i="1"/>
  <c r="N757" i="1"/>
  <c r="O758" i="1"/>
  <c r="N758" i="1"/>
  <c r="N759" i="1"/>
  <c r="O759" i="1"/>
  <c r="N760" i="1"/>
  <c r="O760" i="1"/>
  <c r="N761" i="1"/>
  <c r="O761" i="1"/>
  <c r="N762" i="1"/>
  <c r="O762" i="1"/>
  <c r="N763" i="1"/>
  <c r="O763" i="1"/>
  <c r="N764" i="1"/>
  <c r="O764" i="1"/>
  <c r="O765" i="1"/>
  <c r="N765" i="1"/>
  <c r="O766" i="1"/>
  <c r="N766" i="1"/>
  <c r="O767" i="1"/>
  <c r="N767" i="1"/>
  <c r="O768" i="1"/>
  <c r="N768" i="1"/>
  <c r="O769" i="1"/>
  <c r="N769" i="1"/>
  <c r="O770" i="1"/>
  <c r="N770" i="1"/>
  <c r="O771" i="1"/>
  <c r="N771" i="1"/>
  <c r="O772" i="1"/>
  <c r="N772" i="1"/>
  <c r="O773" i="1"/>
  <c r="N773" i="1"/>
  <c r="O774" i="1"/>
  <c r="N774" i="1"/>
  <c r="O775" i="1"/>
  <c r="N775" i="1"/>
  <c r="N776" i="1"/>
  <c r="O776" i="1"/>
  <c r="N777" i="1"/>
  <c r="O777" i="1"/>
  <c r="O778" i="1"/>
  <c r="N778" i="1"/>
  <c r="O779" i="1"/>
  <c r="N779" i="1"/>
  <c r="O780" i="1"/>
  <c r="N780" i="1"/>
  <c r="N781" i="1"/>
  <c r="O781" i="1"/>
  <c r="N782" i="1"/>
  <c r="O782" i="1"/>
  <c r="N783" i="1"/>
  <c r="O783" i="1"/>
  <c r="N784" i="1"/>
  <c r="O784" i="1"/>
  <c r="N785" i="1"/>
  <c r="O785" i="1"/>
  <c r="N786" i="1"/>
  <c r="O786" i="1"/>
  <c r="N787" i="1"/>
  <c r="O787" i="1"/>
  <c r="N788" i="1"/>
  <c r="O788" i="1"/>
  <c r="N789" i="1"/>
  <c r="O789" i="1"/>
  <c r="N790" i="1"/>
  <c r="O790" i="1"/>
  <c r="N791" i="1"/>
  <c r="O791" i="1"/>
  <c r="N792" i="1"/>
  <c r="O792" i="1"/>
  <c r="N793" i="1"/>
  <c r="O793" i="1"/>
  <c r="N794" i="1"/>
  <c r="O794" i="1"/>
  <c r="N795" i="1"/>
  <c r="O795" i="1"/>
  <c r="N796" i="1"/>
  <c r="O796" i="1"/>
  <c r="N797" i="1"/>
  <c r="O797" i="1"/>
  <c r="O798" i="1"/>
  <c r="N798" i="1"/>
  <c r="O799" i="1"/>
  <c r="N799" i="1"/>
  <c r="N800" i="1"/>
  <c r="O800" i="1"/>
  <c r="N801" i="1"/>
  <c r="O801" i="1"/>
  <c r="N802" i="1"/>
  <c r="O802" i="1"/>
  <c r="N803" i="1"/>
  <c r="O803" i="1"/>
  <c r="N804" i="1"/>
  <c r="O804" i="1"/>
  <c r="N805" i="1"/>
  <c r="O805" i="1"/>
  <c r="N806" i="1"/>
  <c r="O806" i="1"/>
  <c r="O807" i="1"/>
  <c r="N807" i="1"/>
  <c r="N808" i="1"/>
  <c r="O808" i="1"/>
  <c r="O809" i="1"/>
  <c r="N809" i="1"/>
  <c r="N810" i="1"/>
  <c r="O810" i="1"/>
  <c r="N811" i="1"/>
  <c r="O811" i="1"/>
  <c r="N812" i="1"/>
  <c r="O812" i="1"/>
  <c r="N813" i="1"/>
  <c r="O813" i="1"/>
  <c r="O814" i="1"/>
  <c r="N814" i="1"/>
  <c r="N815" i="1"/>
  <c r="O815" i="1"/>
  <c r="N816" i="1"/>
  <c r="O816" i="1"/>
  <c r="N817" i="1"/>
  <c r="O817" i="1"/>
  <c r="N818" i="1"/>
  <c r="O818" i="1"/>
  <c r="N819" i="1"/>
  <c r="O819" i="1"/>
  <c r="N820" i="1"/>
  <c r="O820" i="1"/>
  <c r="N821" i="1"/>
  <c r="O821" i="1"/>
  <c r="N822" i="1"/>
  <c r="O822" i="1"/>
  <c r="N823" i="1"/>
  <c r="O823" i="1"/>
  <c r="N824" i="1"/>
  <c r="O824" i="1"/>
  <c r="O825" i="1"/>
  <c r="N825" i="1"/>
  <c r="N826" i="1"/>
  <c r="O826" i="1"/>
  <c r="O827" i="1"/>
  <c r="N827" i="1"/>
  <c r="O828" i="1"/>
  <c r="N828" i="1"/>
  <c r="O829" i="1"/>
  <c r="N829" i="1"/>
  <c r="O830" i="1"/>
  <c r="N830" i="1"/>
  <c r="O831" i="1"/>
  <c r="N831" i="1"/>
  <c r="O832" i="1"/>
  <c r="N832" i="1"/>
  <c r="N833" i="1"/>
  <c r="O833" i="1"/>
  <c r="N834" i="1"/>
  <c r="O834" i="1"/>
  <c r="N835" i="1"/>
  <c r="O835" i="1"/>
  <c r="N836" i="1"/>
  <c r="O836" i="1"/>
  <c r="N837" i="1"/>
  <c r="O837" i="1"/>
  <c r="O838" i="1"/>
  <c r="N838" i="1"/>
  <c r="O839" i="1"/>
  <c r="N839" i="1"/>
  <c r="O840" i="1"/>
  <c r="N840" i="1"/>
  <c r="O841" i="1"/>
  <c r="N841" i="1"/>
  <c r="N842" i="1"/>
  <c r="O842" i="1"/>
  <c r="O843" i="1"/>
  <c r="N843" i="1"/>
  <c r="N1231" i="1"/>
  <c r="O1231" i="1"/>
  <c r="N1232" i="1"/>
  <c r="O1232" i="1"/>
  <c r="N1233" i="1"/>
  <c r="O1233" i="1"/>
  <c r="N1234" i="1"/>
  <c r="O1234" i="1"/>
  <c r="O1235" i="1"/>
  <c r="N1235" i="1"/>
  <c r="O1236" i="1"/>
  <c r="N1236" i="1"/>
  <c r="O1237" i="1"/>
  <c r="N1237" i="1"/>
  <c r="N1238" i="1"/>
  <c r="O1238" i="1"/>
  <c r="O1239" i="1"/>
  <c r="N1239" i="1"/>
  <c r="O1240" i="1"/>
  <c r="N1240" i="1"/>
  <c r="N1241" i="1"/>
  <c r="O1241" i="1"/>
  <c r="N1242" i="1"/>
  <c r="O1242" i="1"/>
  <c r="N1243" i="1"/>
  <c r="O1243" i="1"/>
  <c r="N1244" i="1"/>
  <c r="O1244" i="1"/>
  <c r="N1245" i="1"/>
  <c r="O1245" i="1"/>
  <c r="N1246" i="1"/>
  <c r="O1246" i="1"/>
  <c r="N1247" i="1"/>
  <c r="O1247" i="1"/>
  <c r="N1248" i="1"/>
  <c r="O1248" i="1"/>
  <c r="O1249" i="1"/>
  <c r="N1249" i="1"/>
  <c r="N1250" i="1"/>
  <c r="O1250" i="1"/>
  <c r="N1251" i="1"/>
  <c r="O1251" i="1"/>
  <c r="N1252" i="1"/>
  <c r="O1252" i="1"/>
  <c r="N1253" i="1"/>
  <c r="O1253" i="1"/>
  <c r="N1254" i="1"/>
  <c r="O1254" i="1"/>
  <c r="O1255" i="1"/>
  <c r="N1255" i="1"/>
  <c r="O1256" i="1"/>
  <c r="N1256" i="1"/>
  <c r="O1257" i="1"/>
  <c r="N1257" i="1"/>
  <c r="O1258" i="1"/>
  <c r="N1258" i="1"/>
  <c r="O1259" i="1"/>
  <c r="N1259" i="1"/>
  <c r="O1260" i="1"/>
  <c r="N1260" i="1"/>
  <c r="N1261" i="1"/>
  <c r="O1261" i="1"/>
  <c r="N1262" i="1"/>
  <c r="O1262" i="1"/>
  <c r="O1263" i="1"/>
  <c r="N1263" i="1"/>
  <c r="O1264" i="1"/>
  <c r="N1264" i="1"/>
  <c r="O1265" i="1"/>
  <c r="N1265" i="1"/>
  <c r="O1266" i="1"/>
  <c r="N1266" i="1"/>
  <c r="N1267" i="1"/>
  <c r="O1267" i="1"/>
  <c r="N1268" i="1"/>
  <c r="O1268" i="1"/>
  <c r="N1269" i="1"/>
  <c r="O1269" i="1"/>
  <c r="O1270" i="1"/>
  <c r="N1270" i="1"/>
  <c r="O1271" i="1"/>
  <c r="N1271" i="1"/>
  <c r="O1272" i="1"/>
  <c r="N1272" i="1"/>
  <c r="O1273" i="1"/>
  <c r="N1273" i="1"/>
  <c r="N1274" i="1"/>
  <c r="O1274" i="1"/>
  <c r="N1275" i="1"/>
  <c r="O1275" i="1"/>
  <c r="N1276" i="1"/>
  <c r="O1276" i="1"/>
  <c r="N1277" i="1"/>
  <c r="O1277" i="1"/>
  <c r="N1278" i="1"/>
  <c r="O1278" i="1"/>
  <c r="N1279" i="1"/>
  <c r="O1279" i="1"/>
  <c r="N1280" i="1"/>
  <c r="O1280" i="1"/>
  <c r="O1281" i="1"/>
  <c r="N1281" i="1"/>
  <c r="O1282" i="1"/>
  <c r="N1282" i="1"/>
  <c r="O1283" i="1"/>
  <c r="N1283" i="1"/>
  <c r="O1284" i="1"/>
  <c r="N1284" i="1"/>
  <c r="O1285" i="1"/>
  <c r="N1285" i="1"/>
  <c r="O1286" i="1"/>
  <c r="N1286" i="1"/>
  <c r="N1287" i="1"/>
  <c r="O1287" i="1"/>
  <c r="N1288" i="1"/>
  <c r="O1288" i="1"/>
  <c r="N1289" i="1"/>
  <c r="O1289" i="1"/>
  <c r="O1290" i="1"/>
  <c r="N1290" i="1"/>
  <c r="O1291" i="1"/>
  <c r="N1291" i="1"/>
  <c r="O1292" i="1"/>
  <c r="N1292" i="1"/>
  <c r="N1293" i="1"/>
  <c r="O1293" i="1"/>
  <c r="N1294" i="1"/>
  <c r="O1294" i="1"/>
  <c r="O1295" i="1"/>
  <c r="N1295" i="1"/>
  <c r="O1296" i="1"/>
  <c r="N1296" i="1"/>
  <c r="O1297" i="1"/>
  <c r="N1297" i="1"/>
  <c r="N1298" i="1"/>
  <c r="O1298" i="1"/>
  <c r="N1299" i="1"/>
  <c r="O1299" i="1"/>
  <c r="O1300" i="1"/>
  <c r="N1300" i="1"/>
  <c r="N1301" i="1"/>
  <c r="O1301" i="1"/>
  <c r="O1302" i="1"/>
  <c r="N1302" i="1"/>
  <c r="O1303" i="1"/>
  <c r="N1303" i="1"/>
  <c r="O1304" i="1"/>
  <c r="N1304" i="1"/>
  <c r="O1305" i="1"/>
  <c r="N1305" i="1"/>
  <c r="O1306" i="1"/>
  <c r="N1306" i="1"/>
  <c r="O1307" i="1"/>
  <c r="N1307" i="1"/>
  <c r="O1308" i="1"/>
  <c r="N1308" i="1"/>
  <c r="O1309" i="1"/>
  <c r="N1309" i="1"/>
  <c r="N1310" i="1"/>
  <c r="O1310" i="1"/>
  <c r="N1311" i="1"/>
  <c r="O1311" i="1"/>
  <c r="N1312" i="1"/>
  <c r="O1312" i="1"/>
  <c r="N1313" i="1"/>
  <c r="O1313" i="1"/>
  <c r="N1314" i="1"/>
  <c r="O1314" i="1"/>
  <c r="N1315" i="1"/>
  <c r="O1315" i="1"/>
  <c r="N1316" i="1"/>
  <c r="O1316" i="1"/>
  <c r="N1317" i="1"/>
  <c r="O1317" i="1"/>
  <c r="N1318" i="1"/>
  <c r="O1318" i="1"/>
  <c r="N1319" i="1"/>
  <c r="O1319" i="1"/>
  <c r="N1320" i="1"/>
  <c r="O1320" i="1"/>
  <c r="O1321" i="1"/>
  <c r="N1321" i="1"/>
  <c r="O1322" i="1"/>
  <c r="N1322" i="1"/>
  <c r="O1323" i="1"/>
  <c r="N1323" i="1"/>
  <c r="O1324" i="1"/>
  <c r="N1324" i="1"/>
  <c r="O1325" i="1"/>
  <c r="N1325" i="1"/>
  <c r="N1326" i="1"/>
  <c r="O1326" i="1"/>
  <c r="O1327" i="1"/>
  <c r="N1327" i="1"/>
  <c r="O1328" i="1"/>
  <c r="N1328" i="1"/>
  <c r="N1329" i="1"/>
  <c r="O1329" i="1"/>
  <c r="N1330" i="1"/>
  <c r="O1330" i="1"/>
  <c r="N1331" i="1"/>
  <c r="O1331" i="1"/>
  <c r="O1332" i="1"/>
  <c r="N1332" i="1"/>
  <c r="N1333" i="1"/>
  <c r="O1333" i="1"/>
  <c r="O1334" i="1"/>
  <c r="N1334" i="1"/>
  <c r="O1335" i="1"/>
  <c r="N1335" i="1"/>
  <c r="O1336" i="1"/>
  <c r="N1336" i="1"/>
  <c r="N1337" i="1"/>
  <c r="O1337" i="1"/>
  <c r="O1338" i="1"/>
  <c r="N1338" i="1"/>
  <c r="N1339" i="1"/>
  <c r="O1339" i="1"/>
  <c r="N1340" i="1"/>
  <c r="O1340" i="1"/>
  <c r="O1341" i="1"/>
  <c r="N1341" i="1"/>
  <c r="O1342" i="1"/>
  <c r="N1342" i="1"/>
  <c r="O1343" i="1"/>
  <c r="N1343" i="1"/>
  <c r="O1344" i="1"/>
  <c r="N1344" i="1"/>
  <c r="N1345" i="1"/>
  <c r="O1345" i="1"/>
  <c r="N1346" i="1"/>
  <c r="O1346" i="1"/>
  <c r="N339" i="1"/>
  <c r="O339" i="1"/>
  <c r="N340" i="1"/>
  <c r="O340" i="1"/>
  <c r="N341" i="1"/>
  <c r="O341" i="1"/>
  <c r="N342" i="1"/>
  <c r="O342" i="1"/>
  <c r="N343" i="1"/>
  <c r="O343" i="1"/>
  <c r="N344" i="1"/>
  <c r="O344" i="1"/>
  <c r="N345" i="1"/>
  <c r="O345" i="1"/>
  <c r="N346" i="1"/>
  <c r="O346" i="1"/>
  <c r="N347" i="1"/>
  <c r="O347" i="1"/>
  <c r="N348" i="1"/>
  <c r="O348" i="1"/>
  <c r="N349" i="1"/>
  <c r="O349" i="1"/>
  <c r="N350" i="1"/>
  <c r="O350" i="1"/>
  <c r="N351" i="1"/>
  <c r="O351" i="1"/>
  <c r="N352" i="1"/>
  <c r="O352" i="1"/>
  <c r="N353" i="1"/>
  <c r="O353" i="1"/>
  <c r="N354" i="1"/>
  <c r="O354" i="1"/>
  <c r="N355" i="1"/>
  <c r="O355" i="1"/>
  <c r="N356" i="1"/>
  <c r="O356" i="1"/>
  <c r="N357" i="1"/>
  <c r="O357" i="1"/>
  <c r="N358" i="1"/>
  <c r="O358" i="1"/>
  <c r="N359" i="1"/>
  <c r="O359" i="1"/>
  <c r="N360" i="1"/>
  <c r="O360" i="1"/>
  <c r="N361" i="1"/>
  <c r="O361" i="1"/>
  <c r="N362" i="1"/>
  <c r="O362" i="1"/>
  <c r="N363" i="1"/>
  <c r="O363" i="1"/>
  <c r="N364" i="1"/>
  <c r="O364" i="1"/>
  <c r="N365" i="1"/>
  <c r="O365" i="1"/>
  <c r="N366" i="1"/>
  <c r="O366" i="1"/>
  <c r="N367" i="1"/>
  <c r="O367" i="1"/>
  <c r="N368" i="1"/>
  <c r="O368" i="1"/>
  <c r="N369" i="1"/>
  <c r="O369" i="1"/>
  <c r="N370" i="1"/>
  <c r="O370" i="1"/>
  <c r="N371" i="1"/>
  <c r="O371" i="1"/>
  <c r="N372" i="1"/>
  <c r="O372" i="1"/>
  <c r="N373" i="1"/>
  <c r="O373" i="1"/>
  <c r="N374" i="1"/>
  <c r="O374" i="1"/>
  <c r="N375" i="1"/>
  <c r="O375" i="1"/>
  <c r="N376" i="1"/>
  <c r="O376" i="1"/>
  <c r="N377" i="1"/>
  <c r="O377" i="1"/>
  <c r="N378" i="1"/>
  <c r="O378" i="1"/>
  <c r="N379" i="1"/>
  <c r="O379" i="1"/>
  <c r="N380" i="1"/>
  <c r="O380" i="1"/>
  <c r="N381" i="1"/>
  <c r="O381" i="1"/>
  <c r="N382" i="1"/>
  <c r="O382" i="1"/>
  <c r="N383" i="1"/>
  <c r="O383" i="1"/>
  <c r="N384" i="1"/>
  <c r="O384" i="1"/>
  <c r="N385" i="1"/>
  <c r="O385" i="1"/>
  <c r="N386" i="1"/>
  <c r="O386" i="1"/>
  <c r="N387" i="1"/>
  <c r="O387" i="1"/>
  <c r="N388" i="1"/>
  <c r="O388" i="1"/>
  <c r="N389" i="1"/>
  <c r="O389" i="1"/>
  <c r="N390" i="1"/>
  <c r="O390" i="1"/>
  <c r="N391" i="1"/>
  <c r="O391" i="1"/>
  <c r="N392" i="1"/>
  <c r="O392" i="1"/>
  <c r="N393" i="1"/>
  <c r="O393" i="1"/>
  <c r="N394" i="1"/>
  <c r="O394" i="1"/>
  <c r="N395" i="1"/>
  <c r="O395" i="1"/>
  <c r="N396" i="1"/>
  <c r="O396" i="1"/>
  <c r="N397" i="1"/>
  <c r="O397" i="1"/>
  <c r="N398" i="1"/>
  <c r="O398" i="1"/>
  <c r="N399" i="1"/>
  <c r="O399" i="1"/>
  <c r="N400" i="1"/>
  <c r="O400" i="1"/>
  <c r="N401" i="1"/>
  <c r="O401" i="1"/>
  <c r="N402" i="1"/>
  <c r="O402" i="1"/>
  <c r="N403" i="1"/>
  <c r="O403" i="1"/>
  <c r="N404" i="1"/>
  <c r="O404" i="1"/>
  <c r="N405" i="1"/>
  <c r="O405" i="1"/>
  <c r="N406" i="1"/>
  <c r="O406" i="1"/>
  <c r="N407" i="1"/>
  <c r="O407" i="1"/>
  <c r="N408" i="1"/>
  <c r="O408" i="1"/>
  <c r="N409" i="1"/>
  <c r="O409" i="1"/>
  <c r="N410" i="1"/>
  <c r="O410" i="1"/>
  <c r="N411" i="1"/>
  <c r="O411" i="1"/>
  <c r="N412" i="1"/>
  <c r="O412" i="1"/>
  <c r="N413" i="1"/>
  <c r="O413" i="1"/>
  <c r="N414" i="1"/>
  <c r="O414" i="1"/>
  <c r="N415" i="1"/>
  <c r="O415" i="1"/>
  <c r="N416" i="1"/>
  <c r="O416" i="1"/>
  <c r="N417" i="1"/>
  <c r="O417" i="1"/>
  <c r="N418" i="1"/>
  <c r="O418" i="1"/>
  <c r="N419" i="1"/>
  <c r="O419" i="1"/>
  <c r="N420" i="1"/>
  <c r="O420" i="1"/>
  <c r="N421" i="1"/>
  <c r="O421" i="1"/>
  <c r="N422" i="1"/>
  <c r="O422" i="1"/>
  <c r="N423" i="1"/>
  <c r="O423" i="1"/>
  <c r="N424" i="1"/>
  <c r="O424" i="1"/>
  <c r="N425" i="1"/>
  <c r="O425" i="1"/>
  <c r="N426" i="1"/>
  <c r="O426" i="1"/>
  <c r="N427" i="1"/>
  <c r="O427" i="1"/>
  <c r="N428" i="1"/>
  <c r="O428" i="1"/>
  <c r="N429" i="1"/>
  <c r="O429" i="1"/>
  <c r="N430" i="1"/>
  <c r="O430" i="1"/>
  <c r="N431" i="1"/>
  <c r="O431" i="1"/>
  <c r="N432" i="1"/>
  <c r="O432" i="1"/>
  <c r="N433" i="1"/>
  <c r="O433" i="1"/>
  <c r="N434" i="1"/>
  <c r="O434" i="1"/>
  <c r="N435" i="1"/>
  <c r="O435" i="1"/>
  <c r="N436" i="1"/>
  <c r="O436" i="1"/>
  <c r="N437" i="1"/>
  <c r="O437" i="1"/>
  <c r="N438" i="1"/>
  <c r="O438" i="1"/>
  <c r="N439" i="1"/>
  <c r="O439" i="1"/>
  <c r="N440" i="1"/>
  <c r="O440" i="1"/>
  <c r="N441" i="1"/>
  <c r="O441" i="1"/>
  <c r="N442" i="1"/>
  <c r="O442" i="1"/>
  <c r="N443" i="1"/>
  <c r="O443" i="1"/>
  <c r="N444" i="1"/>
  <c r="O444" i="1"/>
  <c r="N445" i="1"/>
  <c r="O445" i="1"/>
  <c r="N446" i="1"/>
  <c r="O446" i="1"/>
  <c r="N447" i="1"/>
  <c r="O447" i="1"/>
  <c r="N448" i="1"/>
  <c r="O448" i="1"/>
  <c r="N449" i="1"/>
  <c r="O449" i="1"/>
  <c r="N450" i="1"/>
  <c r="O450" i="1"/>
  <c r="N451" i="1"/>
  <c r="O451" i="1"/>
  <c r="N452" i="1"/>
  <c r="O452" i="1"/>
  <c r="N453" i="1"/>
  <c r="O453" i="1"/>
  <c r="N454" i="1"/>
  <c r="O454" i="1"/>
  <c r="N455" i="1"/>
  <c r="O455" i="1"/>
  <c r="N456" i="1"/>
  <c r="O456" i="1"/>
  <c r="N457" i="1"/>
  <c r="O457" i="1"/>
  <c r="N458" i="1"/>
  <c r="O458" i="1"/>
  <c r="N459" i="1"/>
  <c r="O459" i="1"/>
  <c r="N460" i="1"/>
  <c r="O460" i="1"/>
  <c r="N461" i="1"/>
  <c r="O461" i="1"/>
  <c r="N462" i="1"/>
  <c r="O462" i="1"/>
  <c r="N463" i="1"/>
  <c r="O463" i="1"/>
  <c r="N464" i="1"/>
  <c r="O464" i="1"/>
  <c r="N465" i="1"/>
  <c r="O465" i="1"/>
  <c r="N466" i="1"/>
  <c r="O466" i="1"/>
  <c r="N467" i="1"/>
  <c r="O467" i="1"/>
  <c r="N468" i="1"/>
  <c r="O468" i="1"/>
  <c r="N469" i="1"/>
  <c r="O469" i="1"/>
  <c r="N470" i="1"/>
  <c r="O470" i="1"/>
  <c r="N471" i="1"/>
  <c r="O471" i="1"/>
  <c r="N472" i="1"/>
  <c r="O472" i="1"/>
  <c r="N473" i="1"/>
  <c r="O473" i="1"/>
  <c r="N474" i="1"/>
  <c r="O474" i="1"/>
  <c r="N475" i="1"/>
  <c r="O475" i="1"/>
  <c r="N476" i="1"/>
  <c r="O476" i="1"/>
  <c r="N477" i="1"/>
  <c r="O477" i="1"/>
  <c r="N478" i="1"/>
  <c r="O478" i="1"/>
  <c r="N479" i="1"/>
  <c r="O479" i="1"/>
  <c r="N480" i="1"/>
  <c r="O480" i="1"/>
  <c r="N481" i="1"/>
  <c r="O481" i="1"/>
  <c r="N482" i="1"/>
  <c r="O482" i="1"/>
  <c r="N483" i="1"/>
  <c r="O483" i="1"/>
  <c r="N484" i="1"/>
  <c r="O484" i="1"/>
  <c r="N485" i="1"/>
  <c r="O485" i="1"/>
  <c r="N486" i="1"/>
  <c r="O486" i="1"/>
  <c r="N487" i="1"/>
  <c r="O487" i="1"/>
  <c r="N488" i="1"/>
  <c r="O488" i="1"/>
  <c r="N489" i="1"/>
  <c r="O489" i="1"/>
  <c r="N490" i="1"/>
  <c r="O490" i="1"/>
  <c r="N491" i="1"/>
  <c r="O491" i="1"/>
  <c r="N492" i="1"/>
  <c r="O492" i="1"/>
  <c r="N493" i="1"/>
  <c r="O493" i="1"/>
  <c r="N494" i="1"/>
  <c r="O494" i="1"/>
  <c r="N495" i="1"/>
  <c r="O495" i="1"/>
  <c r="N496" i="1"/>
  <c r="O496" i="1"/>
  <c r="N497" i="1"/>
  <c r="O497" i="1"/>
  <c r="N498" i="1"/>
  <c r="O498" i="1"/>
  <c r="N499" i="1"/>
  <c r="O499" i="1"/>
  <c r="N500" i="1"/>
  <c r="O500" i="1"/>
  <c r="N501" i="1"/>
  <c r="O501" i="1"/>
  <c r="N502" i="1"/>
  <c r="O502" i="1"/>
  <c r="N503" i="1"/>
  <c r="O503" i="1"/>
  <c r="N504" i="1"/>
  <c r="O504" i="1"/>
  <c r="N505" i="1"/>
  <c r="O505" i="1"/>
  <c r="N506" i="1"/>
  <c r="O506" i="1"/>
  <c r="N507" i="1"/>
  <c r="O507" i="1"/>
  <c r="N509" i="1"/>
  <c r="O509" i="1"/>
  <c r="N510" i="1"/>
  <c r="O510" i="1"/>
  <c r="N511" i="1"/>
  <c r="O511" i="1"/>
  <c r="N512" i="1"/>
  <c r="O512" i="1"/>
  <c r="N513" i="1"/>
  <c r="O513" i="1"/>
  <c r="N514" i="1"/>
  <c r="O514" i="1"/>
  <c r="N515" i="1"/>
  <c r="O515" i="1"/>
  <c r="N516" i="1"/>
  <c r="O516" i="1"/>
  <c r="N517" i="1"/>
  <c r="O517" i="1"/>
  <c r="N518" i="1"/>
  <c r="O518" i="1"/>
  <c r="N519" i="1"/>
  <c r="O519" i="1"/>
  <c r="N520" i="1"/>
  <c r="O520" i="1"/>
  <c r="N521" i="1"/>
  <c r="O521" i="1"/>
  <c r="N522" i="1"/>
  <c r="O522" i="1"/>
  <c r="N523" i="1"/>
  <c r="O523" i="1"/>
  <c r="N524" i="1"/>
  <c r="O524" i="1"/>
  <c r="N525" i="1"/>
  <c r="O525" i="1"/>
  <c r="N526" i="1"/>
  <c r="O526" i="1"/>
  <c r="N527" i="1"/>
  <c r="O527" i="1"/>
  <c r="N528" i="1"/>
  <c r="O528" i="1"/>
  <c r="N529" i="1"/>
  <c r="O529" i="1"/>
  <c r="N530" i="1"/>
  <c r="O530" i="1"/>
  <c r="N531" i="1"/>
  <c r="O531" i="1"/>
  <c r="N532" i="1"/>
  <c r="O532" i="1"/>
  <c r="N533" i="1"/>
  <c r="O533" i="1"/>
  <c r="N534" i="1"/>
  <c r="O534" i="1"/>
  <c r="N535" i="1"/>
  <c r="O535" i="1"/>
  <c r="N536" i="1"/>
  <c r="O536" i="1"/>
  <c r="N537" i="1"/>
  <c r="O537" i="1"/>
  <c r="N538" i="1"/>
  <c r="O538" i="1"/>
  <c r="N539" i="1"/>
  <c r="O539" i="1"/>
  <c r="N540" i="1"/>
  <c r="O540" i="1"/>
  <c r="N541" i="1"/>
  <c r="O541" i="1"/>
  <c r="N542" i="1"/>
  <c r="O542" i="1"/>
  <c r="N543" i="1"/>
  <c r="O543" i="1"/>
  <c r="N544" i="1"/>
  <c r="O544" i="1"/>
  <c r="N545" i="1"/>
  <c r="O545" i="1"/>
  <c r="N546" i="1"/>
  <c r="O546" i="1"/>
  <c r="N547" i="1"/>
  <c r="O547" i="1"/>
  <c r="N548" i="1"/>
  <c r="O548" i="1"/>
  <c r="N549" i="1"/>
  <c r="O549" i="1"/>
  <c r="N550" i="1"/>
  <c r="O550" i="1"/>
  <c r="N551" i="1"/>
  <c r="O551" i="1"/>
  <c r="N552" i="1"/>
  <c r="O552" i="1"/>
  <c r="N553" i="1"/>
  <c r="O553" i="1"/>
  <c r="N554" i="1"/>
  <c r="O554" i="1"/>
  <c r="N555" i="1"/>
  <c r="O555" i="1"/>
  <c r="N556" i="1"/>
  <c r="O556" i="1"/>
  <c r="N557" i="1"/>
  <c r="O557" i="1"/>
  <c r="N558" i="1"/>
  <c r="O558" i="1"/>
  <c r="N559" i="1"/>
  <c r="O559" i="1"/>
  <c r="N560" i="1"/>
  <c r="O560" i="1"/>
  <c r="N561" i="1"/>
  <c r="O561" i="1"/>
  <c r="N562" i="1"/>
  <c r="O562" i="1"/>
  <c r="N563" i="1"/>
  <c r="O563" i="1"/>
  <c r="N564" i="1"/>
  <c r="O564" i="1"/>
  <c r="N565" i="1"/>
  <c r="O565" i="1"/>
  <c r="N566" i="1"/>
  <c r="O566" i="1"/>
  <c r="N567" i="1"/>
  <c r="O567" i="1"/>
  <c r="N568" i="1"/>
  <c r="O568" i="1"/>
  <c r="N569" i="1"/>
  <c r="O569" i="1"/>
  <c r="N570" i="1"/>
  <c r="O570" i="1"/>
  <c r="N571" i="1"/>
  <c r="O571" i="1"/>
  <c r="N572" i="1"/>
  <c r="O572" i="1"/>
  <c r="N573" i="1"/>
  <c r="O573" i="1"/>
  <c r="N574" i="1"/>
  <c r="O574" i="1"/>
  <c r="N575" i="1"/>
  <c r="O575" i="1"/>
  <c r="N576" i="1"/>
  <c r="O576" i="1"/>
  <c r="N577" i="1"/>
  <c r="O577" i="1"/>
  <c r="N578" i="1"/>
  <c r="O578" i="1"/>
  <c r="N579" i="1"/>
  <c r="O579" i="1"/>
  <c r="N580" i="1"/>
  <c r="O580" i="1"/>
  <c r="N581" i="1"/>
  <c r="O581" i="1"/>
  <c r="N582" i="1"/>
  <c r="O582" i="1"/>
  <c r="N583" i="1"/>
  <c r="O583" i="1"/>
  <c r="N584" i="1"/>
  <c r="O584" i="1"/>
  <c r="N585" i="1"/>
  <c r="O585" i="1"/>
  <c r="N586" i="1"/>
  <c r="O586" i="1"/>
  <c r="N587" i="1"/>
  <c r="O587" i="1"/>
  <c r="N588" i="1"/>
  <c r="O588" i="1"/>
  <c r="N589" i="1"/>
  <c r="O589" i="1"/>
  <c r="N590" i="1"/>
  <c r="O590" i="1"/>
  <c r="N591" i="1"/>
  <c r="O591" i="1"/>
  <c r="N592" i="1"/>
  <c r="O592" i="1"/>
  <c r="N593" i="1"/>
  <c r="O593" i="1"/>
  <c r="N594" i="1"/>
  <c r="O594" i="1"/>
  <c r="N595" i="1"/>
  <c r="O595" i="1"/>
  <c r="N596" i="1"/>
  <c r="O596" i="1"/>
  <c r="N597" i="1"/>
  <c r="O597" i="1"/>
  <c r="N598" i="1"/>
  <c r="O598" i="1"/>
  <c r="N599" i="1"/>
  <c r="O599" i="1"/>
  <c r="N600" i="1"/>
  <c r="O600" i="1"/>
  <c r="N601" i="1"/>
  <c r="O601" i="1"/>
  <c r="N602" i="1"/>
  <c r="O602" i="1"/>
  <c r="N603" i="1"/>
  <c r="O603" i="1"/>
  <c r="N604" i="1"/>
  <c r="O604" i="1"/>
  <c r="N605" i="1"/>
  <c r="O605" i="1"/>
  <c r="N606" i="1"/>
  <c r="O606" i="1"/>
  <c r="N607" i="1"/>
  <c r="O607" i="1"/>
  <c r="N608" i="1"/>
  <c r="O608" i="1"/>
  <c r="N609" i="1"/>
  <c r="O609" i="1"/>
  <c r="N610" i="1"/>
  <c r="O610" i="1"/>
  <c r="N611" i="1"/>
  <c r="O611" i="1"/>
  <c r="N612" i="1"/>
  <c r="O612" i="1"/>
  <c r="N613" i="1"/>
  <c r="O613" i="1"/>
  <c r="N614" i="1"/>
  <c r="O614" i="1"/>
  <c r="N615" i="1"/>
  <c r="O615" i="1"/>
  <c r="N616" i="1"/>
  <c r="O616" i="1"/>
  <c r="N617" i="1"/>
  <c r="O617" i="1"/>
  <c r="N618" i="1"/>
  <c r="O618" i="1"/>
  <c r="N619" i="1"/>
  <c r="O619" i="1"/>
  <c r="N620" i="1"/>
  <c r="O620" i="1"/>
  <c r="N621" i="1"/>
  <c r="O621" i="1"/>
  <c r="N622" i="1"/>
  <c r="O622" i="1"/>
  <c r="N623" i="1"/>
  <c r="O623" i="1"/>
  <c r="N624" i="1"/>
  <c r="O624" i="1"/>
  <c r="N625" i="1"/>
  <c r="O625" i="1"/>
  <c r="N626" i="1"/>
  <c r="O626" i="1"/>
  <c r="N627" i="1"/>
  <c r="O627" i="1"/>
  <c r="N628" i="1"/>
  <c r="O628" i="1"/>
  <c r="N629" i="1"/>
  <c r="O629" i="1"/>
  <c r="N630" i="1"/>
  <c r="O630" i="1"/>
  <c r="N631" i="1"/>
  <c r="O631" i="1"/>
  <c r="N632" i="1"/>
  <c r="O632" i="1"/>
  <c r="N633" i="1"/>
  <c r="O633" i="1"/>
  <c r="N634" i="1"/>
  <c r="O634" i="1"/>
  <c r="N635" i="1"/>
  <c r="O635" i="1"/>
  <c r="N636" i="1"/>
  <c r="O636" i="1"/>
  <c r="N637" i="1"/>
  <c r="O637" i="1"/>
  <c r="N638" i="1"/>
  <c r="O638" i="1"/>
  <c r="N639" i="1"/>
  <c r="O639" i="1"/>
  <c r="N640" i="1"/>
  <c r="O640" i="1"/>
  <c r="N641" i="1"/>
  <c r="O641" i="1"/>
  <c r="N642" i="1"/>
  <c r="O642" i="1"/>
  <c r="N643" i="1"/>
  <c r="O643" i="1"/>
  <c r="N644" i="1"/>
  <c r="O644" i="1"/>
  <c r="N645" i="1"/>
  <c r="O645" i="1"/>
  <c r="N646" i="1"/>
  <c r="O646" i="1"/>
  <c r="N647" i="1"/>
  <c r="O647" i="1"/>
  <c r="N648" i="1"/>
  <c r="O648" i="1"/>
  <c r="N649" i="1"/>
  <c r="O649" i="1"/>
  <c r="N650" i="1"/>
  <c r="O650" i="1"/>
  <c r="N651" i="1"/>
  <c r="O651" i="1"/>
  <c r="N652" i="1"/>
  <c r="O652" i="1"/>
  <c r="N653" i="1"/>
  <c r="O653" i="1"/>
  <c r="N654" i="1"/>
  <c r="O654" i="1"/>
  <c r="N655" i="1"/>
  <c r="O655" i="1"/>
  <c r="N656" i="1"/>
  <c r="O656" i="1"/>
  <c r="N657" i="1"/>
  <c r="O657" i="1"/>
  <c r="N658" i="1"/>
  <c r="O658" i="1"/>
  <c r="N659" i="1"/>
  <c r="O659" i="1"/>
  <c r="N660" i="1"/>
  <c r="O660" i="1"/>
  <c r="N661" i="1"/>
  <c r="O661" i="1"/>
  <c r="N662" i="1"/>
  <c r="O662" i="1"/>
  <c r="N663" i="1"/>
  <c r="O663" i="1"/>
  <c r="N664" i="1"/>
  <c r="O664" i="1"/>
  <c r="N665" i="1"/>
  <c r="O665" i="1"/>
  <c r="N666" i="1"/>
  <c r="O666" i="1"/>
  <c r="N667" i="1"/>
  <c r="O667" i="1"/>
  <c r="N668" i="1"/>
  <c r="O668" i="1"/>
  <c r="N669" i="1"/>
  <c r="O669" i="1"/>
  <c r="N670" i="1"/>
  <c r="O670" i="1"/>
  <c r="N671" i="1"/>
  <c r="O671" i="1"/>
  <c r="N672" i="1"/>
  <c r="O672" i="1"/>
  <c r="N673" i="1"/>
  <c r="O673" i="1"/>
  <c r="N674" i="1"/>
  <c r="O674" i="1"/>
  <c r="N675" i="1"/>
  <c r="O675" i="1"/>
  <c r="N676" i="1"/>
  <c r="O676" i="1"/>
  <c r="N677" i="1"/>
  <c r="O677" i="1"/>
  <c r="N678" i="1"/>
  <c r="O678" i="1"/>
  <c r="N679" i="1"/>
  <c r="O679" i="1"/>
  <c r="N681" i="1"/>
  <c r="O681" i="1"/>
  <c r="N682" i="1"/>
  <c r="O682" i="1"/>
  <c r="N683" i="1"/>
  <c r="O683" i="1"/>
  <c r="N844" i="1"/>
  <c r="O844" i="1"/>
  <c r="N845" i="1"/>
  <c r="O845" i="1"/>
  <c r="N846" i="1"/>
  <c r="O846" i="1"/>
  <c r="N847" i="1"/>
  <c r="O847" i="1"/>
  <c r="N848" i="1"/>
  <c r="O848" i="1"/>
  <c r="N849" i="1"/>
  <c r="O849" i="1"/>
  <c r="N850" i="1"/>
  <c r="O850" i="1"/>
  <c r="N851" i="1"/>
  <c r="O851" i="1"/>
  <c r="N852" i="1"/>
  <c r="O852" i="1"/>
  <c r="N853" i="1"/>
  <c r="O853" i="1"/>
  <c r="N854" i="1"/>
  <c r="O854" i="1"/>
  <c r="N855" i="1"/>
  <c r="O855" i="1"/>
  <c r="N856" i="1"/>
  <c r="O856" i="1"/>
  <c r="N857" i="1"/>
  <c r="O857" i="1"/>
  <c r="N858" i="1"/>
  <c r="O858" i="1"/>
  <c r="N859" i="1"/>
  <c r="O859" i="1"/>
  <c r="N860" i="1"/>
  <c r="O860" i="1"/>
  <c r="N861" i="1"/>
  <c r="O861" i="1"/>
  <c r="N862" i="1"/>
  <c r="O862" i="1"/>
  <c r="N863" i="1"/>
  <c r="O863" i="1"/>
  <c r="N864" i="1"/>
  <c r="O864" i="1"/>
  <c r="N865" i="1"/>
  <c r="O865" i="1"/>
  <c r="N866" i="1"/>
  <c r="O866" i="1"/>
  <c r="N867" i="1"/>
  <c r="O867" i="1"/>
  <c r="N868" i="1"/>
  <c r="O868" i="1"/>
  <c r="N869" i="1"/>
  <c r="O869" i="1"/>
  <c r="N870" i="1"/>
  <c r="O870" i="1"/>
  <c r="N871" i="1"/>
  <c r="O871" i="1"/>
  <c r="N872" i="1"/>
  <c r="O872" i="1"/>
  <c r="N873" i="1"/>
  <c r="O873" i="1"/>
  <c r="N874" i="1"/>
  <c r="O874" i="1"/>
  <c r="N875" i="1"/>
  <c r="O875" i="1"/>
  <c r="N876" i="1"/>
  <c r="O876" i="1"/>
  <c r="N877" i="1"/>
  <c r="O877" i="1"/>
  <c r="N878" i="1"/>
  <c r="O878" i="1"/>
  <c r="N879" i="1"/>
  <c r="O879" i="1"/>
  <c r="N880" i="1"/>
  <c r="O880" i="1"/>
  <c r="N881" i="1"/>
  <c r="O881" i="1"/>
  <c r="N882" i="1"/>
  <c r="O882" i="1"/>
  <c r="N883" i="1"/>
  <c r="O883" i="1"/>
  <c r="N884" i="1"/>
  <c r="O884" i="1"/>
  <c r="N885" i="1"/>
  <c r="O885" i="1"/>
  <c r="N886" i="1"/>
  <c r="O886" i="1"/>
  <c r="N887" i="1"/>
  <c r="O887" i="1"/>
  <c r="N888" i="1"/>
  <c r="O888" i="1"/>
  <c r="N889" i="1"/>
  <c r="O889" i="1"/>
  <c r="N890" i="1"/>
  <c r="O890" i="1"/>
  <c r="N891" i="1"/>
  <c r="O891" i="1"/>
  <c r="N892" i="1"/>
  <c r="O892" i="1"/>
  <c r="N893" i="1"/>
  <c r="O893" i="1"/>
  <c r="N894" i="1"/>
  <c r="O894" i="1"/>
  <c r="N895" i="1"/>
  <c r="O895" i="1"/>
  <c r="N896" i="1"/>
  <c r="O896" i="1"/>
  <c r="N897" i="1"/>
  <c r="O897" i="1"/>
  <c r="N898" i="1"/>
  <c r="O898" i="1"/>
  <c r="N899" i="1"/>
  <c r="O899" i="1"/>
  <c r="N900" i="1"/>
  <c r="O900" i="1"/>
  <c r="N901" i="1"/>
  <c r="O901" i="1"/>
  <c r="N902" i="1"/>
  <c r="O902" i="1"/>
  <c r="N903" i="1"/>
  <c r="O903" i="1"/>
  <c r="N904" i="1"/>
  <c r="O904" i="1"/>
  <c r="N905" i="1"/>
  <c r="O905" i="1"/>
  <c r="N906" i="1"/>
  <c r="O906" i="1"/>
  <c r="N907" i="1"/>
  <c r="O907" i="1"/>
  <c r="N908" i="1"/>
  <c r="O908" i="1"/>
  <c r="N909" i="1"/>
  <c r="O909" i="1"/>
  <c r="N910" i="1"/>
  <c r="O910" i="1"/>
  <c r="N911" i="1"/>
  <c r="O911" i="1"/>
  <c r="N912" i="1"/>
  <c r="O912" i="1"/>
  <c r="N913" i="1"/>
  <c r="O913" i="1"/>
  <c r="N914" i="1"/>
  <c r="O914" i="1"/>
  <c r="N915" i="1"/>
  <c r="O915" i="1"/>
  <c r="N916" i="1"/>
  <c r="O916" i="1"/>
  <c r="N917" i="1"/>
  <c r="O917" i="1"/>
  <c r="N918" i="1"/>
  <c r="O918" i="1"/>
  <c r="N919" i="1"/>
  <c r="O919" i="1"/>
  <c r="N920" i="1"/>
  <c r="O920" i="1"/>
  <c r="N921" i="1"/>
  <c r="O921" i="1"/>
  <c r="N922" i="1"/>
  <c r="O922" i="1"/>
  <c r="N923" i="1"/>
  <c r="O923" i="1"/>
  <c r="N924" i="1"/>
  <c r="O924" i="1"/>
  <c r="N925" i="1"/>
  <c r="O925" i="1"/>
  <c r="N926" i="1"/>
  <c r="O926" i="1"/>
  <c r="N927" i="1"/>
  <c r="O927" i="1"/>
  <c r="N928" i="1"/>
  <c r="O928" i="1"/>
  <c r="N929" i="1"/>
  <c r="O929" i="1"/>
  <c r="N930" i="1"/>
  <c r="O930" i="1"/>
  <c r="N931" i="1"/>
  <c r="O931" i="1"/>
  <c r="N932" i="1"/>
  <c r="O932" i="1"/>
  <c r="N933" i="1"/>
  <c r="O933" i="1"/>
  <c r="N934" i="1"/>
  <c r="O934" i="1"/>
  <c r="N935" i="1"/>
  <c r="O935" i="1"/>
  <c r="N936" i="1"/>
  <c r="O936" i="1"/>
  <c r="N937" i="1"/>
  <c r="O937" i="1"/>
  <c r="N938" i="1"/>
  <c r="O938" i="1"/>
  <c r="N939" i="1"/>
  <c r="O939" i="1"/>
  <c r="N940" i="1"/>
  <c r="O940" i="1"/>
  <c r="N941" i="1"/>
  <c r="O941" i="1"/>
  <c r="N942" i="1"/>
  <c r="O942" i="1"/>
  <c r="N943" i="1"/>
  <c r="O943" i="1"/>
  <c r="N944" i="1"/>
  <c r="O944" i="1"/>
  <c r="N945" i="1"/>
  <c r="O945" i="1"/>
  <c r="N946" i="1"/>
  <c r="O946" i="1"/>
  <c r="N947" i="1"/>
  <c r="O947" i="1"/>
  <c r="N948" i="1"/>
  <c r="O948" i="1"/>
  <c r="N949" i="1"/>
  <c r="O949" i="1"/>
  <c r="N950" i="1"/>
  <c r="O950" i="1"/>
  <c r="N951" i="1"/>
  <c r="O951" i="1"/>
  <c r="N952" i="1"/>
  <c r="O952" i="1"/>
  <c r="N953" i="1"/>
  <c r="O953" i="1"/>
  <c r="N954" i="1"/>
  <c r="O954" i="1"/>
  <c r="N955" i="1"/>
  <c r="O955" i="1"/>
  <c r="N956" i="1"/>
  <c r="O956" i="1"/>
  <c r="N957" i="1"/>
  <c r="O957" i="1"/>
  <c r="N958" i="1"/>
  <c r="O958" i="1"/>
  <c r="N959" i="1"/>
  <c r="O959" i="1"/>
  <c r="N960" i="1"/>
  <c r="O960" i="1"/>
  <c r="N961" i="1"/>
  <c r="O961" i="1"/>
  <c r="N962" i="1"/>
  <c r="O962" i="1"/>
  <c r="N963" i="1"/>
  <c r="O963" i="1"/>
  <c r="N964" i="1"/>
  <c r="O964" i="1"/>
  <c r="N965" i="1"/>
  <c r="O965" i="1"/>
  <c r="N966" i="1"/>
  <c r="O966" i="1"/>
  <c r="N967" i="1"/>
  <c r="O967" i="1"/>
  <c r="N968" i="1"/>
  <c r="O968" i="1"/>
  <c r="N969" i="1"/>
  <c r="O969" i="1"/>
  <c r="N970" i="1"/>
  <c r="O970" i="1"/>
  <c r="N971" i="1"/>
  <c r="O971" i="1"/>
  <c r="N972" i="1"/>
  <c r="O972" i="1"/>
  <c r="N973" i="1"/>
  <c r="O973" i="1"/>
  <c r="N974" i="1"/>
  <c r="O974" i="1"/>
  <c r="N975" i="1"/>
  <c r="O975" i="1"/>
  <c r="N976" i="1"/>
  <c r="O976" i="1"/>
  <c r="N977" i="1"/>
  <c r="O977" i="1"/>
  <c r="N978" i="1"/>
  <c r="O978" i="1"/>
  <c r="N979" i="1"/>
  <c r="O979" i="1"/>
  <c r="N980" i="1"/>
  <c r="O980" i="1"/>
  <c r="N981" i="1"/>
  <c r="O981" i="1"/>
  <c r="N982" i="1"/>
  <c r="O982" i="1"/>
  <c r="N983" i="1"/>
  <c r="O983" i="1"/>
  <c r="N984" i="1"/>
  <c r="O984" i="1"/>
  <c r="N985" i="1"/>
  <c r="O985" i="1"/>
  <c r="N986" i="1"/>
  <c r="O986" i="1"/>
  <c r="N987" i="1"/>
  <c r="O987" i="1"/>
  <c r="N988" i="1"/>
  <c r="O988" i="1"/>
  <c r="N989" i="1"/>
  <c r="O989" i="1"/>
  <c r="N990" i="1"/>
  <c r="O990" i="1"/>
  <c r="N991" i="1"/>
  <c r="O991" i="1"/>
  <c r="N992" i="1"/>
  <c r="O992" i="1"/>
  <c r="N993" i="1"/>
  <c r="O993" i="1"/>
  <c r="N994" i="1"/>
  <c r="O994" i="1"/>
  <c r="N995" i="1"/>
  <c r="O995" i="1"/>
  <c r="N996" i="1"/>
  <c r="O996" i="1"/>
  <c r="N997" i="1"/>
  <c r="O997" i="1"/>
  <c r="N998" i="1"/>
  <c r="O998" i="1"/>
  <c r="N999" i="1"/>
  <c r="O999" i="1"/>
  <c r="N1000" i="1"/>
  <c r="O1000" i="1"/>
  <c r="N1001" i="1"/>
  <c r="O1001" i="1"/>
  <c r="N1002" i="1"/>
  <c r="O1002" i="1"/>
  <c r="N1003" i="1"/>
  <c r="O1003" i="1"/>
  <c r="N1004" i="1"/>
  <c r="O1004" i="1"/>
  <c r="N1005" i="1"/>
  <c r="O1005" i="1"/>
  <c r="N1006" i="1"/>
  <c r="O1006" i="1"/>
  <c r="N1007" i="1"/>
  <c r="O1007" i="1"/>
  <c r="N1008" i="1"/>
  <c r="O1008" i="1"/>
  <c r="N1009" i="1"/>
  <c r="O1009" i="1"/>
  <c r="N1010" i="1"/>
  <c r="O1010" i="1"/>
  <c r="N1011" i="1"/>
  <c r="O1011" i="1"/>
  <c r="N1012" i="1"/>
  <c r="O1012" i="1"/>
  <c r="N1060" i="1"/>
  <c r="O1060" i="1"/>
  <c r="N1061" i="1"/>
  <c r="O1061" i="1"/>
  <c r="N1062" i="1"/>
  <c r="O1062" i="1"/>
  <c r="N1063" i="1"/>
  <c r="O1063" i="1"/>
  <c r="N1064" i="1"/>
  <c r="O1064" i="1"/>
  <c r="N1065" i="1"/>
  <c r="O1065" i="1"/>
  <c r="N1066" i="1"/>
  <c r="O1066" i="1"/>
  <c r="N1067" i="1"/>
  <c r="O1067" i="1"/>
  <c r="N1068" i="1"/>
  <c r="O1068" i="1"/>
  <c r="N1069" i="1"/>
  <c r="O1069" i="1"/>
  <c r="N1070" i="1"/>
  <c r="O1070" i="1"/>
  <c r="N1071" i="1"/>
  <c r="O1071" i="1"/>
  <c r="N1072" i="1"/>
  <c r="O1072" i="1"/>
  <c r="N1073" i="1"/>
  <c r="O1073" i="1"/>
  <c r="N1074" i="1"/>
  <c r="O1074" i="1"/>
  <c r="N1075" i="1"/>
  <c r="O1075" i="1"/>
  <c r="N1076" i="1"/>
  <c r="O1076" i="1"/>
  <c r="N1077" i="1"/>
  <c r="O1077" i="1"/>
  <c r="N1078" i="1"/>
  <c r="O1078" i="1"/>
  <c r="N1079" i="1"/>
  <c r="O1079" i="1"/>
  <c r="N1080" i="1"/>
  <c r="O1080" i="1"/>
  <c r="N1081" i="1"/>
  <c r="O1081" i="1"/>
  <c r="N1082" i="1"/>
  <c r="O1082" i="1"/>
  <c r="N1083" i="1"/>
  <c r="O1083" i="1"/>
  <c r="N1084" i="1"/>
  <c r="O1084" i="1"/>
  <c r="N1085" i="1"/>
  <c r="O1085" i="1"/>
  <c r="N1086" i="1"/>
  <c r="O1086" i="1"/>
  <c r="N1087" i="1"/>
  <c r="O1087" i="1"/>
  <c r="N1088" i="1"/>
  <c r="O1088" i="1"/>
  <c r="N1089" i="1"/>
  <c r="O1089" i="1"/>
  <c r="N1090" i="1"/>
  <c r="O1090" i="1"/>
  <c r="N1091" i="1"/>
  <c r="O1091" i="1"/>
  <c r="N1092" i="1"/>
  <c r="O1092" i="1"/>
  <c r="N1093" i="1"/>
  <c r="O1093" i="1"/>
  <c r="N1094" i="1"/>
  <c r="O1094" i="1"/>
  <c r="N1095" i="1"/>
  <c r="O1095" i="1"/>
  <c r="N1096" i="1"/>
  <c r="O1096" i="1"/>
  <c r="N1097" i="1"/>
  <c r="O1097" i="1"/>
  <c r="N1098" i="1"/>
  <c r="O1098" i="1"/>
  <c r="N1099" i="1"/>
  <c r="O1099" i="1"/>
  <c r="N1100" i="1"/>
  <c r="O1100" i="1"/>
  <c r="N1101" i="1"/>
  <c r="O1101" i="1"/>
  <c r="N1102" i="1"/>
  <c r="O1102" i="1"/>
  <c r="N1103" i="1"/>
  <c r="O1103" i="1"/>
  <c r="N1104" i="1"/>
  <c r="O1104" i="1"/>
  <c r="N1105" i="1"/>
  <c r="O1105" i="1"/>
  <c r="N1106" i="1"/>
  <c r="O1106" i="1"/>
  <c r="N1107" i="1"/>
  <c r="O1107" i="1"/>
  <c r="N1108" i="1"/>
  <c r="O1108" i="1"/>
  <c r="N1109" i="1"/>
  <c r="O1109" i="1"/>
  <c r="N1110" i="1"/>
  <c r="O1110" i="1"/>
  <c r="N1111" i="1"/>
  <c r="O1111" i="1"/>
  <c r="N1112" i="1"/>
  <c r="O1112" i="1"/>
  <c r="N1113" i="1"/>
  <c r="O1113" i="1"/>
  <c r="N1114" i="1"/>
  <c r="O1114" i="1"/>
  <c r="N1115" i="1"/>
  <c r="O1115" i="1"/>
  <c r="N1116" i="1"/>
  <c r="O1116" i="1"/>
  <c r="N1117" i="1"/>
  <c r="O1117" i="1"/>
  <c r="N1118" i="1"/>
  <c r="O1118" i="1"/>
  <c r="N1119" i="1"/>
  <c r="O1119" i="1"/>
  <c r="N1120" i="1"/>
  <c r="O1120" i="1"/>
  <c r="N1121" i="1"/>
  <c r="O1121" i="1"/>
  <c r="N1122" i="1"/>
  <c r="O1122" i="1"/>
  <c r="N1123" i="1"/>
  <c r="O1123" i="1"/>
  <c r="N1124" i="1"/>
  <c r="O1124" i="1"/>
  <c r="N1125" i="1"/>
  <c r="O1125" i="1"/>
  <c r="N1126" i="1"/>
  <c r="O1126" i="1"/>
  <c r="N1127" i="1"/>
  <c r="O1127" i="1"/>
  <c r="N1128" i="1"/>
  <c r="O1128" i="1"/>
  <c r="N1129" i="1"/>
  <c r="O1129" i="1"/>
  <c r="N1130" i="1"/>
  <c r="O1130" i="1"/>
  <c r="N1131" i="1"/>
  <c r="O1131" i="1"/>
  <c r="N1132" i="1"/>
  <c r="O1132" i="1"/>
  <c r="N1133" i="1"/>
  <c r="O1133" i="1"/>
  <c r="N1134" i="1"/>
  <c r="O1134" i="1"/>
  <c r="N1135" i="1"/>
  <c r="O1135" i="1"/>
  <c r="N1136" i="1"/>
  <c r="O1136" i="1"/>
  <c r="N1137" i="1"/>
  <c r="O1137" i="1"/>
  <c r="N1138" i="1"/>
  <c r="O1138" i="1"/>
  <c r="N1139" i="1"/>
  <c r="O1139" i="1"/>
  <c r="N1140" i="1"/>
  <c r="O1140" i="1"/>
  <c r="N1141" i="1"/>
  <c r="O1141" i="1"/>
  <c r="N1142" i="1"/>
  <c r="O1142" i="1"/>
  <c r="N1143" i="1"/>
  <c r="O1143" i="1"/>
  <c r="N1144" i="1"/>
  <c r="O1144" i="1"/>
  <c r="N1145" i="1"/>
  <c r="O1145" i="1"/>
  <c r="N1146" i="1"/>
  <c r="O1146" i="1"/>
  <c r="N1147" i="1"/>
  <c r="O1147" i="1"/>
  <c r="N1148" i="1"/>
  <c r="O1148" i="1"/>
  <c r="N1149" i="1"/>
  <c r="O1149" i="1"/>
  <c r="N1150" i="1"/>
  <c r="O1150" i="1"/>
  <c r="N1151" i="1"/>
  <c r="O1151" i="1"/>
  <c r="N1152" i="1"/>
  <c r="O1152" i="1"/>
  <c r="N1153" i="1"/>
  <c r="O1153" i="1"/>
  <c r="N1154" i="1"/>
  <c r="O1154" i="1"/>
  <c r="N1155" i="1"/>
  <c r="O1155" i="1"/>
  <c r="N1156" i="1"/>
  <c r="O1156" i="1"/>
  <c r="N1157" i="1"/>
  <c r="O1157" i="1"/>
  <c r="N1158" i="1"/>
  <c r="O1158" i="1"/>
  <c r="N1159" i="1"/>
  <c r="O1159" i="1"/>
  <c r="N1160" i="1"/>
  <c r="O1160" i="1"/>
  <c r="N1161" i="1"/>
  <c r="O1161" i="1"/>
  <c r="N1162" i="1"/>
  <c r="O1162" i="1"/>
  <c r="N1163" i="1"/>
  <c r="O1163" i="1"/>
  <c r="N1164" i="1"/>
  <c r="O1164" i="1"/>
  <c r="N1165" i="1"/>
  <c r="O1165" i="1"/>
  <c r="N1166" i="1"/>
  <c r="O1166" i="1"/>
  <c r="N1167" i="1"/>
  <c r="O1167" i="1"/>
  <c r="N1168" i="1"/>
  <c r="O1168" i="1"/>
  <c r="N1169" i="1"/>
  <c r="O1169" i="1"/>
  <c r="N1170" i="1"/>
  <c r="O1170" i="1"/>
  <c r="N1171" i="1"/>
  <c r="O1171" i="1"/>
  <c r="N1172" i="1"/>
  <c r="O1172" i="1"/>
  <c r="N1173" i="1"/>
  <c r="O1173" i="1"/>
  <c r="N1174" i="1"/>
  <c r="O1174" i="1"/>
  <c r="N1175" i="1"/>
  <c r="O1175" i="1"/>
  <c r="N1176" i="1"/>
  <c r="O1176" i="1"/>
  <c r="N1177" i="1"/>
  <c r="O1177" i="1"/>
  <c r="N1178" i="1"/>
  <c r="O1178" i="1"/>
  <c r="N1179" i="1"/>
  <c r="O1179" i="1"/>
  <c r="N1180" i="1"/>
  <c r="O1180" i="1"/>
  <c r="N1181" i="1"/>
  <c r="O1181" i="1"/>
  <c r="N1182" i="1"/>
  <c r="O1182" i="1"/>
  <c r="N1183" i="1"/>
  <c r="O1183" i="1"/>
  <c r="N1184" i="1"/>
  <c r="O1184" i="1"/>
  <c r="N1185" i="1"/>
  <c r="O1185" i="1"/>
  <c r="N1186" i="1"/>
  <c r="O1186" i="1"/>
  <c r="N1187" i="1"/>
  <c r="O1187" i="1"/>
  <c r="N1188" i="1"/>
  <c r="O1188" i="1"/>
  <c r="N1189" i="1"/>
  <c r="O1189" i="1"/>
  <c r="N1190" i="1"/>
  <c r="O1190" i="1"/>
  <c r="N1191" i="1"/>
  <c r="O1191" i="1"/>
  <c r="N1192" i="1"/>
  <c r="O1192" i="1"/>
  <c r="N1193" i="1"/>
  <c r="O1193" i="1"/>
  <c r="N1194" i="1"/>
  <c r="O1194" i="1"/>
  <c r="N1195" i="1"/>
  <c r="O1195" i="1"/>
  <c r="N1196" i="1"/>
  <c r="O1196" i="1"/>
  <c r="N1197" i="1"/>
  <c r="O1197" i="1"/>
  <c r="N1198" i="1"/>
  <c r="O1198" i="1"/>
  <c r="N1199" i="1"/>
  <c r="O1199" i="1"/>
  <c r="N1200" i="1"/>
  <c r="O1200" i="1"/>
  <c r="N1201" i="1"/>
  <c r="O1201" i="1"/>
  <c r="N1202" i="1"/>
  <c r="O1202" i="1"/>
  <c r="N1203" i="1"/>
  <c r="O1203" i="1"/>
  <c r="N1204" i="1"/>
  <c r="O1204" i="1"/>
  <c r="N1205" i="1"/>
  <c r="O1205" i="1"/>
  <c r="N1206" i="1"/>
  <c r="O1206" i="1"/>
  <c r="N1207" i="1"/>
  <c r="O1207" i="1"/>
  <c r="N1208" i="1"/>
  <c r="O1208" i="1"/>
  <c r="N1209" i="1"/>
  <c r="O1209" i="1"/>
  <c r="N1210" i="1"/>
  <c r="O1210" i="1"/>
  <c r="N1211" i="1"/>
  <c r="O1211" i="1"/>
  <c r="N1212" i="1"/>
  <c r="O1212" i="1"/>
  <c r="N1213" i="1"/>
  <c r="O1213" i="1"/>
  <c r="N1214" i="1"/>
  <c r="O1214" i="1"/>
  <c r="N1215" i="1"/>
  <c r="O1215" i="1"/>
  <c r="N1216" i="1"/>
  <c r="O1216" i="1"/>
  <c r="N1217" i="1"/>
  <c r="O1217" i="1"/>
  <c r="N1218" i="1"/>
  <c r="O1218" i="1"/>
  <c r="N1219" i="1"/>
  <c r="O1219" i="1"/>
  <c r="N1220" i="1"/>
  <c r="O1220" i="1"/>
  <c r="N1221" i="1"/>
  <c r="O1221" i="1"/>
  <c r="N1222" i="1"/>
  <c r="O1222" i="1"/>
  <c r="N1223" i="1"/>
  <c r="O1223" i="1"/>
  <c r="N1224" i="1"/>
  <c r="O1224" i="1"/>
  <c r="N1225" i="1"/>
  <c r="O1225" i="1"/>
  <c r="N1226" i="1"/>
  <c r="O1226" i="1"/>
  <c r="N1227" i="1"/>
  <c r="O1227" i="1"/>
  <c r="N1228" i="1"/>
  <c r="O1228" i="1"/>
  <c r="N1229" i="1"/>
  <c r="O1229" i="1"/>
  <c r="N1230" i="1"/>
  <c r="O1230" i="1"/>
  <c r="N1347" i="1"/>
  <c r="O1347" i="1"/>
  <c r="N1348" i="1"/>
  <c r="O1348" i="1"/>
  <c r="N1349" i="1"/>
  <c r="O1349" i="1"/>
  <c r="N2" i="1"/>
  <c r="O2" i="1"/>
  <c r="N3" i="1"/>
  <c r="O3" i="1"/>
  <c r="N4" i="1"/>
  <c r="O4" i="1"/>
  <c r="N5" i="1"/>
  <c r="O5" i="1"/>
  <c r="N6" i="1"/>
  <c r="O6" i="1"/>
  <c r="N7" i="1"/>
  <c r="O7" i="1"/>
  <c r="O8" i="1"/>
  <c r="N8" i="1"/>
  <c r="N9" i="1"/>
  <c r="O9" i="1"/>
  <c r="O10" i="1"/>
  <c r="N10" i="1"/>
  <c r="N11" i="1"/>
  <c r="O11" i="1"/>
  <c r="O12" i="1"/>
  <c r="N12" i="1"/>
  <c r="O13" i="1"/>
  <c r="N13" i="1"/>
  <c r="N14" i="1"/>
  <c r="O14" i="1"/>
  <c r="O15" i="1"/>
  <c r="N15" i="1"/>
  <c r="N16" i="1"/>
  <c r="O16" i="1"/>
  <c r="N17" i="1"/>
  <c r="O17" i="1"/>
  <c r="N18" i="1"/>
  <c r="O18" i="1"/>
  <c r="N19" i="1"/>
  <c r="O19" i="1"/>
  <c r="O20" i="1"/>
  <c r="N20" i="1"/>
  <c r="N21" i="1"/>
  <c r="O21" i="1"/>
  <c r="O22" i="1"/>
  <c r="N22" i="1"/>
  <c r="O23" i="1"/>
  <c r="N23" i="1"/>
  <c r="N24" i="1"/>
  <c r="O24" i="1"/>
  <c r="N25" i="1"/>
  <c r="O25" i="1"/>
  <c r="N26" i="1"/>
  <c r="O26" i="1"/>
  <c r="N27" i="1"/>
  <c r="O27" i="1"/>
  <c r="O28" i="1"/>
  <c r="N28" i="1"/>
  <c r="N29" i="1"/>
  <c r="O29" i="1"/>
  <c r="N30" i="1"/>
  <c r="O30" i="1"/>
  <c r="O31" i="1"/>
  <c r="N31" i="1"/>
  <c r="N32" i="1"/>
  <c r="O32" i="1"/>
  <c r="N33" i="1"/>
  <c r="O33" i="1"/>
  <c r="N34" i="1"/>
  <c r="O34" i="1"/>
  <c r="O35" i="1"/>
  <c r="N35" i="1"/>
  <c r="N36" i="1"/>
  <c r="O36" i="1"/>
  <c r="O37" i="1"/>
  <c r="N37" i="1"/>
  <c r="N38" i="1"/>
  <c r="O38" i="1"/>
  <c r="N39" i="1"/>
  <c r="O39" i="1"/>
  <c r="N40" i="1"/>
  <c r="O40" i="1"/>
  <c r="O41" i="1"/>
  <c r="N41" i="1"/>
  <c r="O42" i="1"/>
  <c r="N42" i="1"/>
  <c r="N43" i="1"/>
  <c r="O43" i="1"/>
  <c r="N44" i="1"/>
  <c r="O44" i="1"/>
  <c r="N45" i="1"/>
  <c r="O45" i="1"/>
  <c r="O46" i="1"/>
  <c r="N46" i="1"/>
  <c r="N47" i="1"/>
  <c r="O47" i="1"/>
  <c r="N48" i="1"/>
  <c r="O48" i="1"/>
  <c r="N49" i="1"/>
  <c r="O49" i="1"/>
  <c r="N50" i="1"/>
  <c r="O50" i="1"/>
  <c r="O51" i="1"/>
  <c r="N51" i="1"/>
  <c r="O52" i="1"/>
  <c r="N52" i="1"/>
  <c r="N53" i="1"/>
  <c r="O53" i="1"/>
  <c r="N54" i="1"/>
  <c r="O54" i="1"/>
  <c r="O55" i="1"/>
  <c r="N55" i="1"/>
  <c r="O56" i="1"/>
  <c r="N56" i="1"/>
  <c r="O57" i="1"/>
  <c r="N57" i="1"/>
  <c r="N58" i="1"/>
  <c r="O58" i="1"/>
  <c r="O59" i="1"/>
  <c r="N59" i="1"/>
  <c r="O60" i="1"/>
  <c r="N60" i="1"/>
  <c r="N61" i="1"/>
  <c r="O61" i="1"/>
  <c r="O62" i="1"/>
  <c r="N62" i="1"/>
  <c r="N63" i="1"/>
  <c r="O63" i="1"/>
  <c r="N64" i="1"/>
  <c r="O64" i="1"/>
  <c r="N65" i="1"/>
  <c r="O65" i="1"/>
  <c r="O66" i="1"/>
  <c r="N66" i="1"/>
  <c r="N67" i="1"/>
  <c r="O67" i="1"/>
  <c r="N68" i="1"/>
  <c r="O68" i="1"/>
  <c r="N69" i="1"/>
  <c r="O69" i="1"/>
  <c r="N70" i="1"/>
  <c r="O70" i="1"/>
  <c r="O71" i="1"/>
  <c r="N71" i="1"/>
  <c r="O72" i="1"/>
  <c r="N72" i="1"/>
  <c r="N73" i="1"/>
  <c r="O73" i="1"/>
  <c r="O74" i="1"/>
  <c r="N74" i="1"/>
  <c r="O75" i="1"/>
  <c r="N75" i="1"/>
  <c r="N76" i="1"/>
  <c r="O76" i="1"/>
  <c r="O77" i="1"/>
  <c r="N77" i="1"/>
  <c r="N78" i="1"/>
  <c r="O78" i="1"/>
  <c r="N79" i="1"/>
  <c r="O79" i="1"/>
  <c r="N80" i="1"/>
  <c r="O80" i="1"/>
  <c r="N81" i="1"/>
  <c r="O81" i="1"/>
  <c r="N82" i="1"/>
  <c r="O82" i="1"/>
  <c r="O83" i="1"/>
  <c r="N83" i="1"/>
  <c r="O84" i="1"/>
  <c r="N84" i="1"/>
  <c r="N85" i="1"/>
  <c r="O85" i="1"/>
  <c r="N86" i="1"/>
  <c r="O86" i="1"/>
  <c r="O87" i="1"/>
  <c r="N87" i="1"/>
  <c r="N88" i="1"/>
  <c r="O88" i="1"/>
  <c r="N89" i="1"/>
  <c r="O89" i="1"/>
  <c r="N90" i="1"/>
  <c r="O90" i="1"/>
  <c r="O91" i="1"/>
  <c r="N91" i="1"/>
  <c r="N92" i="1"/>
  <c r="O92" i="1"/>
  <c r="N93" i="1"/>
  <c r="O93" i="1"/>
  <c r="O94" i="1"/>
  <c r="N94" i="1"/>
  <c r="N95" i="1"/>
  <c r="O95" i="1"/>
  <c r="N96" i="1"/>
  <c r="O96" i="1"/>
  <c r="O97" i="1"/>
  <c r="N97" i="1"/>
  <c r="N98" i="1"/>
  <c r="O98" i="1"/>
  <c r="N99" i="1"/>
  <c r="O99" i="1"/>
  <c r="O100" i="1"/>
  <c r="N100" i="1"/>
  <c r="N101" i="1"/>
  <c r="O101" i="1"/>
  <c r="N102" i="1"/>
  <c r="O102" i="1"/>
  <c r="N103" i="1"/>
  <c r="O103" i="1"/>
  <c r="O104" i="1"/>
  <c r="N104" i="1"/>
  <c r="O105" i="1"/>
  <c r="N105" i="1"/>
  <c r="N106" i="1"/>
  <c r="O106" i="1"/>
  <c r="N107" i="1"/>
  <c r="O107" i="1"/>
  <c r="N108" i="1"/>
  <c r="O108" i="1"/>
  <c r="O109" i="1"/>
  <c r="N109" i="1"/>
  <c r="N110" i="1"/>
  <c r="O110" i="1"/>
  <c r="N111" i="1"/>
  <c r="O111" i="1"/>
  <c r="O112" i="1"/>
  <c r="N112" i="1"/>
  <c r="O113" i="1"/>
  <c r="N113" i="1"/>
  <c r="N114" i="1"/>
  <c r="O114" i="1"/>
  <c r="N115" i="1"/>
  <c r="O115" i="1"/>
  <c r="O116" i="1"/>
  <c r="N116" i="1"/>
  <c r="O117" i="1"/>
  <c r="N117" i="1"/>
  <c r="O118" i="1"/>
  <c r="N118" i="1"/>
  <c r="O119" i="1"/>
  <c r="N119" i="1"/>
  <c r="N120" i="1"/>
  <c r="O120" i="1"/>
  <c r="N121" i="1"/>
  <c r="O121" i="1"/>
  <c r="O122" i="1"/>
  <c r="N122" i="1"/>
  <c r="O123" i="1"/>
  <c r="N123" i="1"/>
  <c r="O124" i="1"/>
  <c r="N124" i="1"/>
  <c r="N125" i="1"/>
  <c r="O125" i="1"/>
  <c r="O126" i="1"/>
  <c r="N126" i="1"/>
  <c r="N127" i="1"/>
  <c r="O127" i="1"/>
  <c r="O128" i="1"/>
  <c r="N128" i="1"/>
  <c r="N129" i="1"/>
  <c r="O129" i="1"/>
  <c r="O130" i="1"/>
  <c r="N130" i="1"/>
  <c r="O131" i="1"/>
  <c r="N131" i="1"/>
  <c r="N132" i="1"/>
  <c r="O132" i="1"/>
  <c r="O133" i="1"/>
  <c r="N133" i="1"/>
  <c r="N134" i="1"/>
  <c r="O134" i="1"/>
  <c r="N135" i="1"/>
  <c r="O135" i="1"/>
  <c r="N136" i="1"/>
  <c r="O136" i="1"/>
  <c r="O137" i="1"/>
  <c r="N137" i="1"/>
  <c r="N138" i="1"/>
  <c r="O138" i="1"/>
  <c r="O139" i="1"/>
  <c r="N139" i="1"/>
  <c r="N140" i="1"/>
  <c r="O140" i="1"/>
  <c r="O141" i="1"/>
  <c r="N141" i="1"/>
  <c r="N142" i="1"/>
  <c r="O142" i="1"/>
  <c r="O143" i="1"/>
  <c r="N143" i="1"/>
  <c r="O144" i="1"/>
  <c r="N144" i="1"/>
  <c r="N145" i="1"/>
  <c r="O145" i="1"/>
  <c r="O146" i="1"/>
  <c r="N146" i="1"/>
  <c r="O147" i="1"/>
  <c r="N147" i="1"/>
  <c r="N148" i="1"/>
  <c r="O148" i="1"/>
  <c r="N149" i="1"/>
  <c r="O149" i="1"/>
  <c r="N150" i="1"/>
  <c r="O150" i="1"/>
  <c r="N151" i="1"/>
  <c r="O151" i="1"/>
  <c r="O152" i="1"/>
  <c r="N152" i="1"/>
  <c r="N153" i="1"/>
  <c r="O153" i="1"/>
  <c r="N154" i="1"/>
  <c r="O154" i="1"/>
  <c r="N155" i="1"/>
  <c r="O155" i="1"/>
  <c r="N156" i="1"/>
  <c r="O156" i="1"/>
  <c r="O157" i="1"/>
  <c r="N157" i="1"/>
  <c r="O158" i="1"/>
  <c r="N158" i="1"/>
  <c r="N159" i="1"/>
  <c r="O159" i="1"/>
  <c r="N160" i="1"/>
  <c r="O160" i="1"/>
  <c r="O161" i="1"/>
  <c r="N161" i="1"/>
  <c r="O162" i="1"/>
  <c r="N162" i="1"/>
  <c r="N163" i="1"/>
  <c r="O163" i="1"/>
  <c r="N164" i="1"/>
  <c r="O164" i="1"/>
  <c r="O165" i="1"/>
  <c r="N165" i="1"/>
  <c r="N166" i="1"/>
  <c r="O166" i="1"/>
  <c r="O167" i="1"/>
  <c r="N167" i="1"/>
  <c r="N168" i="1"/>
  <c r="O168" i="1"/>
  <c r="O169" i="1"/>
  <c r="N169" i="1"/>
  <c r="N170" i="1"/>
  <c r="O170" i="1"/>
  <c r="N508" i="1"/>
  <c r="O508" i="1"/>
  <c r="N1013" i="1"/>
  <c r="O1013" i="1"/>
  <c r="AF1007" i="2" l="1"/>
  <c r="Q1007" i="2"/>
  <c r="T1007" i="2"/>
  <c r="W1007" i="2"/>
  <c r="Z1007" i="2"/>
  <c r="AC1007" i="2"/>
  <c r="Q1006" i="2"/>
  <c r="T1006" i="2"/>
  <c r="W1006" i="2"/>
  <c r="Z1006" i="2"/>
  <c r="AC1006" i="2"/>
  <c r="AF1006" i="2"/>
  <c r="Q1005" i="2"/>
  <c r="T1005" i="2"/>
  <c r="W1005" i="2"/>
  <c r="Z1005" i="2"/>
  <c r="AC1005" i="2"/>
  <c r="AF1005" i="2"/>
  <c r="Q1004" i="2"/>
  <c r="T1004" i="2"/>
  <c r="W1004" i="2"/>
  <c r="Z1004" i="2"/>
  <c r="AC1004" i="2"/>
  <c r="AF1004" i="2"/>
  <c r="Q1003" i="2"/>
  <c r="T1003" i="2"/>
  <c r="W1003" i="2"/>
  <c r="Z1003" i="2"/>
  <c r="AC1003" i="2"/>
  <c r="AF1003" i="2"/>
  <c r="AC1052" i="2"/>
  <c r="Z1052" i="2"/>
  <c r="W1052" i="2"/>
  <c r="T1052" i="2"/>
  <c r="Q1052" i="2"/>
  <c r="AF1052" i="2"/>
  <c r="T1025" i="2"/>
  <c r="Q1025" i="2"/>
  <c r="AF1024" i="2"/>
  <c r="AC1024" i="2"/>
  <c r="Z1024" i="2"/>
  <c r="W1024" i="2"/>
  <c r="T1024" i="2"/>
  <c r="Q1024" i="2"/>
  <c r="AC1023" i="2"/>
  <c r="Z1023" i="2"/>
  <c r="W1023" i="2"/>
  <c r="T1023" i="2"/>
  <c r="Q1023" i="2"/>
  <c r="AF1023" i="2"/>
  <c r="AF1022" i="2"/>
  <c r="Z1022" i="2"/>
  <c r="AC1022" i="2"/>
  <c r="W1022" i="2"/>
  <c r="T1022" i="2"/>
  <c r="Q1022" i="2"/>
  <c r="T1021" i="2"/>
  <c r="W1021" i="2"/>
  <c r="Z1021" i="2"/>
  <c r="AC1021" i="2"/>
  <c r="AF1021" i="2"/>
  <c r="Q1021" i="2"/>
  <c r="AC1020" i="2"/>
  <c r="Z1020" i="2"/>
  <c r="T1020" i="2"/>
  <c r="W1020" i="2"/>
  <c r="Q1020" i="2"/>
  <c r="AF1020" i="2"/>
  <c r="AF1010" i="2"/>
  <c r="AC1010" i="2"/>
  <c r="Z1010" i="2"/>
  <c r="W1010" i="2"/>
  <c r="Q1010" i="2"/>
  <c r="T1010" i="2"/>
  <c r="AF1009" i="2"/>
  <c r="AC1009" i="2"/>
  <c r="Z1009" i="2"/>
  <c r="W1009" i="2"/>
  <c r="T1009" i="2"/>
  <c r="Q1009" i="2"/>
  <c r="AF1008" i="2"/>
  <c r="AC1008" i="2"/>
  <c r="Z1008" i="2"/>
  <c r="W1008" i="2"/>
  <c r="T1008" i="2"/>
  <c r="Q1008" i="2"/>
  <c r="Q638" i="2"/>
  <c r="AC638" i="2"/>
  <c r="AF638" i="2"/>
  <c r="T638" i="2"/>
  <c r="W638" i="2"/>
  <c r="Z638" i="2"/>
  <c r="Q637" i="2"/>
  <c r="T637" i="2"/>
  <c r="W637" i="2"/>
  <c r="Z637" i="2"/>
  <c r="AC637" i="2"/>
  <c r="AF637" i="2"/>
  <c r="AC636" i="2"/>
  <c r="AF636" i="2"/>
  <c r="W636" i="2"/>
  <c r="T636" i="2"/>
  <c r="Q636" i="2"/>
  <c r="Z636" i="2"/>
  <c r="AC635" i="2"/>
  <c r="AF635" i="2"/>
  <c r="Z635" i="2"/>
  <c r="W635" i="2"/>
  <c r="Q635" i="2"/>
  <c r="T635" i="2"/>
  <c r="Z634" i="2"/>
  <c r="W634" i="2"/>
  <c r="T634" i="2"/>
  <c r="Q634" i="2"/>
  <c r="AF634" i="2"/>
  <c r="AC634" i="2"/>
  <c r="W633" i="2"/>
  <c r="AF633" i="2"/>
  <c r="AC633" i="2"/>
  <c r="Z633" i="2"/>
  <c r="T633" i="2"/>
  <c r="Q633" i="2"/>
  <c r="T632" i="2"/>
  <c r="Q632" i="2"/>
  <c r="AF632" i="2"/>
  <c r="AC632" i="2"/>
  <c r="Z632" i="2"/>
  <c r="W632" i="2"/>
  <c r="T631" i="2"/>
  <c r="Q631" i="2"/>
  <c r="AF631" i="2"/>
  <c r="AC631" i="2"/>
  <c r="Z631" i="2"/>
  <c r="W631" i="2"/>
  <c r="AF630" i="2"/>
  <c r="AC630" i="2"/>
  <c r="Z630" i="2"/>
  <c r="W630" i="2"/>
  <c r="T630" i="2"/>
  <c r="Q630" i="2"/>
  <c r="AF629" i="2"/>
  <c r="AC629" i="2"/>
  <c r="Z629" i="2"/>
  <c r="T629" i="2"/>
  <c r="Q629" i="2"/>
  <c r="W629" i="2"/>
  <c r="Z628" i="2"/>
  <c r="AF628" i="2"/>
  <c r="AC628" i="2"/>
  <c r="W628" i="2"/>
  <c r="T628" i="2"/>
  <c r="Q628" i="2"/>
  <c r="AC627" i="2"/>
  <c r="Z627" i="2"/>
  <c r="W627" i="2"/>
  <c r="T627" i="2"/>
  <c r="Q627" i="2"/>
  <c r="AF627" i="2"/>
  <c r="T626" i="2"/>
  <c r="Q626" i="2"/>
  <c r="Z626" i="2"/>
  <c r="AF626" i="2"/>
  <c r="AC626" i="2"/>
  <c r="W626" i="2"/>
  <c r="T625" i="2"/>
  <c r="Q625" i="2"/>
  <c r="AF625" i="2"/>
  <c r="AC625" i="2"/>
  <c r="Z625" i="2"/>
  <c r="W625" i="2"/>
  <c r="AF624" i="2"/>
  <c r="AC624" i="2"/>
  <c r="Z624" i="2"/>
  <c r="W624" i="2"/>
  <c r="T624" i="2"/>
  <c r="Q624" i="2"/>
  <c r="AF623" i="2"/>
  <c r="AC623" i="2"/>
  <c r="Z623" i="2"/>
  <c r="T623" i="2"/>
  <c r="Q623" i="2"/>
  <c r="W623" i="2"/>
  <c r="W622" i="2"/>
  <c r="T622" i="2"/>
  <c r="Q622" i="2"/>
  <c r="Z622" i="2"/>
  <c r="AF622" i="2"/>
  <c r="AC622" i="2"/>
  <c r="T621" i="2"/>
  <c r="Q621" i="2"/>
  <c r="AC621" i="2"/>
  <c r="AF621" i="2"/>
  <c r="Z621" i="2"/>
  <c r="W621" i="2"/>
  <c r="AC620" i="2"/>
  <c r="Z620" i="2"/>
  <c r="W620" i="2"/>
  <c r="T620" i="2"/>
  <c r="Q620" i="2"/>
  <c r="AF620" i="2"/>
  <c r="AF619" i="2"/>
  <c r="AC619" i="2"/>
  <c r="Z619" i="2"/>
  <c r="W619" i="2"/>
  <c r="Q619" i="2"/>
  <c r="T619" i="2"/>
  <c r="T618" i="2"/>
  <c r="AF618" i="2"/>
  <c r="AC618" i="2"/>
  <c r="Q618" i="2"/>
  <c r="Z618" i="2"/>
  <c r="W618" i="2"/>
  <c r="T617" i="2"/>
  <c r="AF617" i="2"/>
  <c r="AC617" i="2"/>
  <c r="Z617" i="2"/>
  <c r="W617" i="2"/>
  <c r="Q617" i="2"/>
  <c r="T616" i="2"/>
  <c r="AF616" i="2"/>
  <c r="AC616" i="2"/>
  <c r="W616" i="2"/>
  <c r="Q616" i="2"/>
  <c r="Z616" i="2"/>
  <c r="T615" i="2"/>
  <c r="Q615" i="2"/>
  <c r="AF615" i="2"/>
  <c r="AC615" i="2"/>
  <c r="Z615" i="2"/>
  <c r="W615" i="2"/>
  <c r="T614" i="2"/>
  <c r="Q614" i="2"/>
  <c r="AF614" i="2"/>
  <c r="AC614" i="2"/>
  <c r="Z614" i="2"/>
  <c r="W614" i="2"/>
  <c r="AF613" i="2"/>
  <c r="AC613" i="2"/>
  <c r="Z613" i="2"/>
  <c r="W613" i="2"/>
  <c r="T613" i="2"/>
  <c r="Q613" i="2"/>
  <c r="AF612" i="2"/>
  <c r="AC612" i="2"/>
  <c r="Z612" i="2"/>
  <c r="W612" i="2"/>
  <c r="T612" i="2"/>
  <c r="Q612" i="2"/>
  <c r="Q611" i="2"/>
  <c r="AF611" i="2"/>
  <c r="AC611" i="2"/>
  <c r="Z611" i="2"/>
  <c r="W611" i="2"/>
  <c r="T611" i="2"/>
  <c r="W376" i="2"/>
  <c r="T376" i="2"/>
  <c r="Q375" i="2"/>
  <c r="AF375" i="2"/>
  <c r="AC375" i="2"/>
  <c r="Z375" i="2"/>
  <c r="W375" i="2"/>
  <c r="T375" i="2"/>
  <c r="T374" i="2"/>
  <c r="Q374" i="2"/>
  <c r="AF374" i="2"/>
  <c r="Z374" i="2"/>
  <c r="W374" i="2"/>
  <c r="AC374" i="2"/>
  <c r="AF373" i="2"/>
  <c r="Z373" i="2"/>
  <c r="AC373" i="2"/>
  <c r="W373" i="2"/>
  <c r="W360" i="2"/>
  <c r="AC360" i="2"/>
  <c r="T360" i="2"/>
  <c r="Q360" i="2"/>
  <c r="Q359" i="2"/>
  <c r="T359" i="2"/>
  <c r="AF359" i="2"/>
  <c r="Z359" i="2"/>
  <c r="AC359" i="2"/>
  <c r="W359" i="2"/>
  <c r="AF358" i="2"/>
  <c r="Z358" i="2"/>
  <c r="AC358" i="2"/>
  <c r="W358" i="2"/>
  <c r="T358" i="2"/>
  <c r="Q358" i="2"/>
  <c r="Q357" i="2"/>
  <c r="AF357" i="2"/>
  <c r="Z357" i="2"/>
  <c r="AC357" i="2"/>
  <c r="W357" i="2"/>
  <c r="T357" i="2"/>
  <c r="Q356" i="2"/>
  <c r="Z356" i="2"/>
  <c r="AF356" i="2"/>
  <c r="AC356" i="2"/>
  <c r="W356" i="2"/>
  <c r="T356" i="2"/>
  <c r="Z355" i="2"/>
  <c r="AC355" i="2"/>
  <c r="W355" i="2"/>
  <c r="T355" i="2"/>
  <c r="Q355" i="2"/>
  <c r="AF355" i="2"/>
  <c r="Z354" i="2"/>
  <c r="AF354" i="2"/>
  <c r="W354" i="2"/>
  <c r="T354" i="2"/>
  <c r="Q354" i="2"/>
  <c r="AC354" i="2"/>
  <c r="Z353" i="2"/>
  <c r="AF353" i="2"/>
  <c r="AC353" i="2"/>
  <c r="T353" i="2"/>
  <c r="Q353" i="2"/>
  <c r="W353" i="2"/>
  <c r="Q352" i="2"/>
  <c r="T352" i="2"/>
  <c r="AF352" i="2"/>
  <c r="Z352" i="2"/>
  <c r="AC352" i="2"/>
  <c r="W352" i="2"/>
  <c r="AF351" i="2"/>
  <c r="Q351" i="2"/>
  <c r="T351" i="2"/>
  <c r="W351" i="2"/>
  <c r="AC351" i="2"/>
  <c r="Z351" i="2"/>
  <c r="AF350" i="2"/>
  <c r="Z350" i="2"/>
  <c r="AC350" i="2"/>
  <c r="W350" i="2"/>
  <c r="T350" i="2"/>
  <c r="Q350" i="2"/>
  <c r="AC349" i="2"/>
  <c r="AF349" i="2"/>
  <c r="Z349" i="2"/>
  <c r="Q349" i="2"/>
  <c r="W349" i="2"/>
  <c r="T349" i="2"/>
  <c r="T348" i="2"/>
  <c r="Z348" i="2"/>
  <c r="AF348" i="2"/>
  <c r="AC348" i="2"/>
  <c r="W348" i="2"/>
  <c r="Q348" i="2"/>
  <c r="AF347" i="2"/>
  <c r="Z347" i="2"/>
  <c r="AC347" i="2"/>
  <c r="W347" i="2"/>
  <c r="T347" i="2"/>
  <c r="Q347" i="2"/>
  <c r="Q346" i="2"/>
  <c r="W346" i="2"/>
  <c r="AC346" i="2"/>
  <c r="Z346" i="2"/>
  <c r="AF346" i="2"/>
  <c r="T346" i="2"/>
  <c r="AF108" i="2"/>
  <c r="Z108" i="2"/>
  <c r="AC108" i="2"/>
  <c r="W108" i="2"/>
  <c r="T108" i="2"/>
  <c r="Q108" i="2"/>
  <c r="W107" i="2"/>
  <c r="Z107" i="2"/>
  <c r="AF107" i="2"/>
  <c r="AC107" i="2"/>
  <c r="Q107" i="2"/>
  <c r="T107" i="2"/>
  <c r="W106" i="2"/>
  <c r="AC106" i="2"/>
  <c r="Z106" i="2"/>
  <c r="T106" i="2"/>
  <c r="AF106" i="2"/>
  <c r="Q106" i="2"/>
  <c r="AC105" i="2"/>
  <c r="T105" i="2"/>
  <c r="Z105" i="2"/>
  <c r="AF105" i="2"/>
  <c r="W105" i="2"/>
  <c r="Q105" i="2"/>
  <c r="AF104" i="2"/>
  <c r="Z104" i="2"/>
  <c r="AC104" i="2"/>
  <c r="W104" i="2"/>
  <c r="T104" i="2"/>
  <c r="Q104" i="2"/>
  <c r="Q103" i="2"/>
  <c r="Z103" i="2"/>
  <c r="AF103" i="2"/>
  <c r="AC103" i="2"/>
  <c r="W103" i="2"/>
  <c r="T103" i="2"/>
  <c r="T1019" i="2"/>
  <c r="Q1019" i="2"/>
  <c r="AF1019" i="2"/>
  <c r="AC1019" i="2"/>
  <c r="W1019" i="2"/>
  <c r="Z1019" i="2"/>
  <c r="T1018" i="2"/>
  <c r="Q1018" i="2"/>
  <c r="Z1018" i="2"/>
  <c r="AF1018" i="2"/>
  <c r="AC1018" i="2"/>
  <c r="W1018" i="2"/>
  <c r="T1017" i="2"/>
  <c r="Q1017" i="2"/>
  <c r="AF1017" i="2"/>
  <c r="AC1017" i="2"/>
  <c r="Z1017" i="2"/>
  <c r="W1017" i="2"/>
  <c r="Q1016" i="2"/>
  <c r="W1016" i="2"/>
  <c r="Z1016" i="2"/>
  <c r="AC1016" i="2"/>
  <c r="AF1016" i="2"/>
  <c r="T1016" i="2"/>
  <c r="W1015" i="2"/>
  <c r="T1015" i="2"/>
  <c r="Q1015" i="2"/>
  <c r="Z1015" i="2"/>
  <c r="AF1015" i="2"/>
  <c r="AC1015" i="2"/>
  <c r="AF1014" i="2"/>
  <c r="AC1014" i="2"/>
  <c r="Z1014" i="2"/>
  <c r="W1014" i="2"/>
  <c r="T1014" i="2"/>
  <c r="Q1014" i="2"/>
  <c r="Z1013" i="2"/>
  <c r="AF1013" i="2"/>
  <c r="AC1013" i="2"/>
  <c r="Q1013" i="2"/>
  <c r="T1013" i="2"/>
  <c r="W1013" i="2"/>
  <c r="AC1012" i="2"/>
  <c r="AF1012" i="2"/>
  <c r="Q1012" i="2"/>
  <c r="W1012" i="2"/>
  <c r="T1012" i="2"/>
  <c r="Z1012" i="2"/>
  <c r="AF1011" i="2"/>
  <c r="AC1011" i="2"/>
  <c r="Z1011" i="2"/>
  <c r="W1011" i="2"/>
  <c r="T1011" i="2"/>
  <c r="Q1011" i="2"/>
  <c r="AG878" i="2"/>
  <c r="AH878" i="2" s="1"/>
  <c r="AF751" i="2"/>
  <c r="Q751" i="2"/>
  <c r="T751" i="2"/>
  <c r="W751" i="2"/>
  <c r="Z751" i="2"/>
  <c r="AC751" i="2"/>
  <c r="AF750" i="2"/>
  <c r="Z750" i="2"/>
  <c r="T750" i="2"/>
  <c r="AC750" i="2"/>
  <c r="W750" i="2"/>
  <c r="Q750" i="2"/>
  <c r="W749" i="2"/>
  <c r="Q749" i="2"/>
  <c r="T749" i="2"/>
  <c r="Z749" i="2"/>
  <c r="AF749" i="2"/>
  <c r="AC749" i="2"/>
  <c r="Z748" i="2"/>
  <c r="AF748" i="2"/>
  <c r="T748" i="2"/>
  <c r="W748" i="2"/>
  <c r="AC748" i="2"/>
  <c r="Q748" i="2"/>
  <c r="Q747" i="2"/>
  <c r="AF747" i="2"/>
  <c r="W747" i="2"/>
  <c r="T747" i="2"/>
  <c r="Z747" i="2"/>
  <c r="AC747" i="2"/>
  <c r="AG746" i="2"/>
  <c r="AH746" i="2" s="1"/>
  <c r="R643" i="2"/>
  <c r="S643" i="2" s="1"/>
  <c r="AG312" i="2"/>
  <c r="AH312" i="2" s="1"/>
  <c r="Q299" i="2"/>
  <c r="W299" i="2"/>
  <c r="Z299" i="2"/>
  <c r="AC299" i="2"/>
  <c r="T299" i="2"/>
  <c r="AF299" i="2"/>
  <c r="AC298" i="2"/>
  <c r="Q298" i="2"/>
  <c r="T298" i="2"/>
  <c r="W298" i="2"/>
  <c r="Z298" i="2"/>
  <c r="AF298" i="2"/>
  <c r="AF297" i="2"/>
  <c r="Z297" i="2"/>
  <c r="AC297" i="2"/>
  <c r="Q297" i="2"/>
  <c r="T297" i="2"/>
  <c r="W297" i="2"/>
  <c r="Q296" i="2"/>
  <c r="AF296" i="2"/>
  <c r="Z296" i="2"/>
  <c r="AC296" i="2"/>
  <c r="W296" i="2"/>
  <c r="T296" i="2"/>
  <c r="AC250" i="2"/>
  <c r="W250" i="2"/>
  <c r="T250" i="2"/>
  <c r="Q250" i="2"/>
  <c r="Z250" i="2"/>
  <c r="AF250" i="2"/>
  <c r="Z249" i="2"/>
  <c r="AF249" i="2"/>
  <c r="Q249" i="2"/>
  <c r="T249" i="2"/>
  <c r="W249" i="2"/>
  <c r="AC249" i="2"/>
  <c r="AF248" i="2"/>
  <c r="Z248" i="2"/>
  <c r="AC248" i="2"/>
  <c r="T248" i="2"/>
  <c r="W248" i="2"/>
  <c r="Q248" i="2"/>
  <c r="Q247" i="2"/>
  <c r="AF247" i="2"/>
  <c r="Z247" i="2"/>
  <c r="AC247" i="2"/>
  <c r="W247" i="2"/>
  <c r="T247" i="2"/>
  <c r="AF246" i="2"/>
  <c r="Z246" i="2"/>
  <c r="AC246" i="2"/>
  <c r="W246" i="2"/>
  <c r="T246" i="2"/>
  <c r="Q246" i="2"/>
  <c r="Z245" i="2"/>
  <c r="AF245" i="2"/>
  <c r="Q245" i="2"/>
  <c r="T245" i="2"/>
  <c r="W245" i="2"/>
  <c r="AC245" i="2"/>
  <c r="AF244" i="2"/>
  <c r="AC244" i="2"/>
  <c r="W244" i="2"/>
  <c r="T244" i="2"/>
  <c r="Z244" i="2"/>
  <c r="Q244" i="2"/>
  <c r="Q243" i="2"/>
  <c r="T243" i="2"/>
  <c r="W243" i="2"/>
  <c r="AC243" i="2"/>
  <c r="Z243" i="2"/>
  <c r="AF243" i="2"/>
  <c r="T242" i="2"/>
  <c r="Q242" i="2"/>
  <c r="W242" i="2"/>
  <c r="AC242" i="2"/>
  <c r="Z242" i="2"/>
  <c r="AF242" i="2"/>
  <c r="T241" i="2"/>
  <c r="AF241" i="2"/>
  <c r="Z241" i="2"/>
  <c r="AC241" i="2"/>
  <c r="W241" i="2"/>
  <c r="Q241" i="2"/>
  <c r="W240" i="2"/>
  <c r="Q240" i="2"/>
  <c r="T240" i="2"/>
  <c r="AC240" i="2"/>
  <c r="AF240" i="2"/>
  <c r="Z240" i="2"/>
  <c r="T239" i="2"/>
  <c r="Q239" i="2"/>
  <c r="Z239" i="2"/>
  <c r="AF239" i="2"/>
  <c r="AC239" i="2"/>
  <c r="W239" i="2"/>
  <c r="T238" i="2"/>
  <c r="Q238" i="2"/>
  <c r="AF238" i="2"/>
  <c r="AC238" i="2"/>
  <c r="Z238" i="2"/>
  <c r="W238" i="2"/>
  <c r="T237" i="2"/>
  <c r="Q237" i="2"/>
  <c r="AF237" i="2"/>
  <c r="Z237" i="2"/>
  <c r="AC237" i="2"/>
  <c r="W237" i="2"/>
  <c r="AF236" i="2"/>
  <c r="Z236" i="2"/>
  <c r="AC236" i="2"/>
  <c r="W236" i="2"/>
  <c r="T236" i="2"/>
  <c r="Q236" i="2"/>
  <c r="AC235" i="2"/>
  <c r="Z235" i="2"/>
  <c r="AF235" i="2"/>
  <c r="W235" i="2"/>
  <c r="T235" i="2"/>
  <c r="Q235" i="2"/>
  <c r="AF234" i="2"/>
  <c r="Z234" i="2"/>
  <c r="AC234" i="2"/>
  <c r="W234" i="2"/>
  <c r="T234" i="2"/>
  <c r="Q234" i="2"/>
  <c r="T233" i="2"/>
  <c r="Q233" i="2"/>
  <c r="AF233" i="2"/>
  <c r="Z233" i="2"/>
  <c r="AC233" i="2"/>
  <c r="W233" i="2"/>
  <c r="AF232" i="2"/>
  <c r="Z232" i="2"/>
  <c r="AC232" i="2"/>
  <c r="T232" i="2"/>
  <c r="W232" i="2"/>
  <c r="Q232" i="2"/>
  <c r="T231" i="2"/>
  <c r="Q231" i="2"/>
  <c r="AF231" i="2"/>
  <c r="Z231" i="2"/>
  <c r="AC231" i="2"/>
  <c r="W231" i="2"/>
  <c r="Z230" i="2"/>
  <c r="AF230" i="2"/>
  <c r="AC230" i="2"/>
  <c r="W230" i="2"/>
  <c r="T230" i="2"/>
  <c r="Q230" i="2"/>
  <c r="AC229" i="2"/>
  <c r="AF229" i="2"/>
  <c r="Z229" i="2"/>
  <c r="W229" i="2"/>
  <c r="T229" i="2"/>
  <c r="Q229" i="2"/>
  <c r="AF228" i="2"/>
  <c r="Z228" i="2"/>
  <c r="AC228" i="2"/>
  <c r="AG222" i="2"/>
  <c r="AH222" i="2" s="1"/>
  <c r="T6" i="2"/>
  <c r="Q6" i="2"/>
  <c r="Z5" i="2"/>
  <c r="AC5" i="2"/>
  <c r="Q5" i="2"/>
  <c r="W5" i="2"/>
  <c r="T5" i="2"/>
  <c r="AF5" i="2"/>
  <c r="T4" i="2"/>
  <c r="W4" i="2"/>
  <c r="AC4" i="2"/>
  <c r="Z4" i="2"/>
  <c r="AF4" i="2"/>
  <c r="Q4" i="2"/>
  <c r="Z3" i="2"/>
  <c r="AF3" i="2"/>
  <c r="AG2" i="2"/>
  <c r="AH2" i="2" s="1"/>
  <c r="R3" i="2"/>
  <c r="S3" i="2" s="1"/>
  <c r="U3" i="2"/>
  <c r="V3" i="2"/>
  <c r="X3" i="2"/>
  <c r="Y3" i="2" s="1"/>
  <c r="AD3" i="2"/>
  <c r="AE3" i="2"/>
  <c r="R639" i="2"/>
  <c r="S639" i="2" s="1"/>
  <c r="U639" i="2"/>
  <c r="V639" i="2" s="1"/>
  <c r="X639" i="2"/>
  <c r="Y639" i="2"/>
  <c r="AA639" i="2"/>
  <c r="AB639" i="2"/>
  <c r="AD639" i="2"/>
  <c r="AE639" i="2"/>
  <c r="AG639" i="2"/>
  <c r="AH639" i="2"/>
  <c r="R640" i="2"/>
  <c r="S640" i="2" s="1"/>
  <c r="U640" i="2"/>
  <c r="V640" i="2"/>
  <c r="X640" i="2"/>
  <c r="Y640" i="2"/>
  <c r="AA640" i="2"/>
  <c r="AB640" i="2" s="1"/>
  <c r="AD640" i="2"/>
  <c r="AE640" i="2"/>
  <c r="AG640" i="2"/>
  <c r="AH640" i="2"/>
  <c r="R641" i="2"/>
  <c r="S641" i="2" s="1"/>
  <c r="U641" i="2"/>
  <c r="V641" i="2" s="1"/>
  <c r="X641" i="2"/>
  <c r="Y641" i="2" s="1"/>
  <c r="AA641" i="2"/>
  <c r="AB641" i="2"/>
  <c r="AD641" i="2"/>
  <c r="AE641" i="2" s="1"/>
  <c r="AG641" i="2"/>
  <c r="AH641" i="2"/>
  <c r="R642" i="2"/>
  <c r="S642" i="2" s="1"/>
  <c r="AI642" i="2" s="1" a="1"/>
  <c r="AI642" i="2" s="1"/>
  <c r="U642" i="2"/>
  <c r="V642" i="2"/>
  <c r="X642" i="2"/>
  <c r="Y642" i="2"/>
  <c r="AA642" i="2"/>
  <c r="AB642" i="2"/>
  <c r="AD642" i="2"/>
  <c r="AE642" i="2"/>
  <c r="AG642" i="2"/>
  <c r="AH642" i="2"/>
  <c r="R883" i="2"/>
  <c r="S883" i="2"/>
  <c r="U883" i="2"/>
  <c r="V883" i="2"/>
  <c r="X883" i="2"/>
  <c r="Y883" i="2"/>
  <c r="AA883" i="2"/>
  <c r="AB883" i="2"/>
  <c r="AD883" i="2"/>
  <c r="AE883" i="2"/>
  <c r="AG883" i="2"/>
  <c r="AH883" i="2" s="1"/>
  <c r="AI883" i="2" s="1" a="1"/>
  <c r="AI883" i="2" s="1"/>
  <c r="R884" i="2"/>
  <c r="S884" i="2"/>
  <c r="U884" i="2"/>
  <c r="V884" i="2"/>
  <c r="X884" i="2"/>
  <c r="Y884" i="2" s="1"/>
  <c r="AI884" i="2" s="1" a="1"/>
  <c r="AI884" i="2" s="1"/>
  <c r="AA884" i="2"/>
  <c r="AB884" i="2"/>
  <c r="AD884" i="2"/>
  <c r="AE884" i="2"/>
  <c r="AG884" i="2"/>
  <c r="AH884" i="2"/>
  <c r="R885" i="2"/>
  <c r="S885" i="2" s="1"/>
  <c r="AI885" i="2" s="1" a="1"/>
  <c r="AI885" i="2" s="1"/>
  <c r="U885" i="2"/>
  <c r="V885" i="2"/>
  <c r="X885" i="2"/>
  <c r="Y885" i="2" s="1"/>
  <c r="AA885" i="2"/>
  <c r="AB885" i="2"/>
  <c r="AD885" i="2"/>
  <c r="AE885" i="2" s="1"/>
  <c r="AG885" i="2"/>
  <c r="AH885" i="2" s="1"/>
  <c r="R886" i="2"/>
  <c r="S886" i="2"/>
  <c r="U886" i="2"/>
  <c r="V886" i="2"/>
  <c r="X886" i="2"/>
  <c r="Y886" i="2"/>
  <c r="AA886" i="2"/>
  <c r="AB886" i="2"/>
  <c r="AD886" i="2"/>
  <c r="AE886" i="2" s="1"/>
  <c r="AG886" i="2"/>
  <c r="AH886" i="2"/>
  <c r="R887" i="2"/>
  <c r="S887" i="2"/>
  <c r="U887" i="2"/>
  <c r="V887" i="2" s="1"/>
  <c r="X887" i="2"/>
  <c r="Y887" i="2" s="1"/>
  <c r="AA887" i="2"/>
  <c r="AB887" i="2"/>
  <c r="AD887" i="2"/>
  <c r="AE887" i="2"/>
  <c r="AG887" i="2"/>
  <c r="AH887" i="2"/>
  <c r="R888" i="2"/>
  <c r="S888" i="2" s="1"/>
  <c r="AI888" i="2" s="1" a="1"/>
  <c r="AI888" i="2" s="1"/>
  <c r="U888" i="2"/>
  <c r="V888" i="2" s="1"/>
  <c r="X888" i="2"/>
  <c r="Y888" i="2" s="1"/>
  <c r="AA888" i="2"/>
  <c r="AB888" i="2" s="1"/>
  <c r="AD888" i="2"/>
  <c r="AE888" i="2"/>
  <c r="AG888" i="2"/>
  <c r="AH888" i="2"/>
  <c r="R889" i="2"/>
  <c r="S889" i="2" s="1"/>
  <c r="U889" i="2"/>
  <c r="V889" i="2"/>
  <c r="X889" i="2"/>
  <c r="Y889" i="2" s="1"/>
  <c r="AI889" i="2" s="1" a="1"/>
  <c r="AI889" i="2" s="1"/>
  <c r="AA889" i="2"/>
  <c r="AB889" i="2" s="1"/>
  <c r="AD889" i="2"/>
  <c r="AE889" i="2" s="1"/>
  <c r="AG889" i="2"/>
  <c r="AH889" i="2"/>
  <c r="R890" i="2"/>
  <c r="S890" i="2"/>
  <c r="U890" i="2"/>
  <c r="V890" i="2" s="1"/>
  <c r="X890" i="2"/>
  <c r="Y890" i="2" s="1"/>
  <c r="AA890" i="2"/>
  <c r="AB890" i="2" s="1"/>
  <c r="AD890" i="2"/>
  <c r="AE890" i="2" s="1"/>
  <c r="AG890" i="2"/>
  <c r="AH890" i="2"/>
  <c r="R891" i="2"/>
  <c r="S891" i="2"/>
  <c r="U891" i="2"/>
  <c r="V891" i="2" s="1"/>
  <c r="X891" i="2"/>
  <c r="Y891" i="2" s="1"/>
  <c r="AA891" i="2"/>
  <c r="AB891" i="2" s="1"/>
  <c r="AD891" i="2"/>
  <c r="AE891" i="2" s="1"/>
  <c r="AG891" i="2"/>
  <c r="AH891" i="2"/>
  <c r="R892" i="2"/>
  <c r="S892" i="2" s="1"/>
  <c r="U892" i="2"/>
  <c r="V892" i="2"/>
  <c r="X892" i="2"/>
  <c r="Y892" i="2" s="1"/>
  <c r="AA892" i="2"/>
  <c r="AB892" i="2" s="1"/>
  <c r="AD892" i="2"/>
  <c r="AE892" i="2"/>
  <c r="AG892" i="2"/>
  <c r="AH892" i="2" s="1"/>
  <c r="R893" i="2"/>
  <c r="S893" i="2" s="1"/>
  <c r="U893" i="2"/>
  <c r="V893" i="2" s="1"/>
  <c r="X893" i="2"/>
  <c r="Y893" i="2"/>
  <c r="AA893" i="2"/>
  <c r="AB893" i="2" s="1"/>
  <c r="AD893" i="2"/>
  <c r="AE893" i="2"/>
  <c r="AG893" i="2"/>
  <c r="AH893" i="2" s="1"/>
  <c r="R894" i="2"/>
  <c r="S894" i="2" s="1"/>
  <c r="U894" i="2"/>
  <c r="V894" i="2" s="1"/>
  <c r="X894" i="2"/>
  <c r="Y894" i="2"/>
  <c r="AA894" i="2"/>
  <c r="AB894" i="2"/>
  <c r="AD894" i="2"/>
  <c r="AE894" i="2"/>
  <c r="AG894" i="2"/>
  <c r="AH894" i="2" s="1"/>
  <c r="R895" i="2"/>
  <c r="S895" i="2" s="1"/>
  <c r="U895" i="2"/>
  <c r="V895" i="2" s="1"/>
  <c r="X895" i="2"/>
  <c r="Y895" i="2"/>
  <c r="AA895" i="2"/>
  <c r="AB895" i="2" s="1"/>
  <c r="AD895" i="2"/>
  <c r="AE895" i="2" s="1"/>
  <c r="AG895" i="2"/>
  <c r="AH895" i="2" s="1"/>
  <c r="R896" i="2"/>
  <c r="S896" i="2" s="1"/>
  <c r="AI896" i="2" s="1" a="1"/>
  <c r="AI896" i="2" s="1"/>
  <c r="U896" i="2"/>
  <c r="V896" i="2" s="1"/>
  <c r="X896" i="2"/>
  <c r="Y896" i="2" s="1"/>
  <c r="AA896" i="2"/>
  <c r="AB896" i="2"/>
  <c r="AD896" i="2"/>
  <c r="AE896" i="2"/>
  <c r="AG896" i="2"/>
  <c r="AH896" i="2"/>
  <c r="R897" i="2"/>
  <c r="S897" i="2" s="1"/>
  <c r="U897" i="2"/>
  <c r="V897" i="2"/>
  <c r="X897" i="2"/>
  <c r="Y897" i="2" s="1"/>
  <c r="AA897" i="2"/>
  <c r="AB897" i="2" s="1"/>
  <c r="AD897" i="2"/>
  <c r="AE897" i="2"/>
  <c r="AG897" i="2"/>
  <c r="AH897" i="2" s="1"/>
  <c r="R898" i="2"/>
  <c r="S898" i="2"/>
  <c r="U898" i="2"/>
  <c r="V898" i="2" s="1"/>
  <c r="X898" i="2"/>
  <c r="Y898" i="2"/>
  <c r="AA898" i="2"/>
  <c r="AB898" i="2" s="1"/>
  <c r="AD898" i="2"/>
  <c r="AE898" i="2"/>
  <c r="AG898" i="2"/>
  <c r="AH898" i="2" s="1"/>
  <c r="R899" i="2"/>
  <c r="S899" i="2"/>
  <c r="U899" i="2"/>
  <c r="V899" i="2"/>
  <c r="X899" i="2"/>
  <c r="Y899" i="2"/>
  <c r="AA899" i="2"/>
  <c r="AB899" i="2" s="1"/>
  <c r="AD899" i="2"/>
  <c r="AE899" i="2" s="1"/>
  <c r="AG899" i="2"/>
  <c r="AH899" i="2"/>
  <c r="R900" i="2"/>
  <c r="S900" i="2"/>
  <c r="U900" i="2"/>
  <c r="V900" i="2" s="1"/>
  <c r="X900" i="2"/>
  <c r="Y900" i="2"/>
  <c r="AA900" i="2"/>
  <c r="AB900" i="2"/>
  <c r="AD900" i="2"/>
  <c r="AE900" i="2" s="1"/>
  <c r="AG900" i="2"/>
  <c r="AH900" i="2" s="1"/>
  <c r="R901" i="2"/>
  <c r="S901" i="2" s="1"/>
  <c r="U901" i="2"/>
  <c r="V901" i="2" s="1"/>
  <c r="X901" i="2"/>
  <c r="Y901" i="2"/>
  <c r="AA901" i="2"/>
  <c r="AB901" i="2"/>
  <c r="AD901" i="2"/>
  <c r="AE901" i="2"/>
  <c r="AG901" i="2"/>
  <c r="AH901" i="2" s="1"/>
  <c r="R902" i="2"/>
  <c r="S902" i="2" s="1"/>
  <c r="U902" i="2"/>
  <c r="V902" i="2" s="1"/>
  <c r="X902" i="2"/>
  <c r="Y902" i="2" s="1"/>
  <c r="AA902" i="2"/>
  <c r="AB902" i="2"/>
  <c r="AD902" i="2"/>
  <c r="AE902" i="2" s="1"/>
  <c r="AG902" i="2"/>
  <c r="AH902" i="2"/>
  <c r="R903" i="2"/>
  <c r="S903" i="2" s="1"/>
  <c r="AI903" i="2" s="1" a="1"/>
  <c r="AI903" i="2" s="1"/>
  <c r="U903" i="2"/>
  <c r="V903" i="2" s="1"/>
  <c r="X903" i="2"/>
  <c r="Y903" i="2"/>
  <c r="AA903" i="2"/>
  <c r="AB903" i="2"/>
  <c r="AD903" i="2"/>
  <c r="AE903" i="2" s="1"/>
  <c r="AG903" i="2"/>
  <c r="AH903" i="2" s="1"/>
  <c r="R904" i="2"/>
  <c r="S904" i="2"/>
  <c r="AI904" i="2" s="1" a="1"/>
  <c r="AI904" i="2" s="1"/>
  <c r="U904" i="2"/>
  <c r="V904" i="2" s="1"/>
  <c r="X904" i="2"/>
  <c r="Y904" i="2"/>
  <c r="AA904" i="2"/>
  <c r="AB904" i="2"/>
  <c r="AD904" i="2"/>
  <c r="AE904" i="2"/>
  <c r="AG904" i="2"/>
  <c r="AH904" i="2" s="1"/>
  <c r="R905" i="2"/>
  <c r="S905" i="2" s="1"/>
  <c r="U905" i="2"/>
  <c r="V905" i="2" s="1"/>
  <c r="X905" i="2"/>
  <c r="Y905" i="2"/>
  <c r="AA905" i="2"/>
  <c r="AB905" i="2"/>
  <c r="AD905" i="2"/>
  <c r="AE905" i="2" s="1"/>
  <c r="AG905" i="2"/>
  <c r="AH905" i="2" s="1"/>
  <c r="R906" i="2"/>
  <c r="S906" i="2" s="1"/>
  <c r="U906" i="2"/>
  <c r="V906" i="2" s="1"/>
  <c r="X906" i="2"/>
  <c r="Y906" i="2"/>
  <c r="AA906" i="2"/>
  <c r="AB906" i="2" s="1"/>
  <c r="AD906" i="2"/>
  <c r="AE906" i="2" s="1"/>
  <c r="AG906" i="2"/>
  <c r="AH906" i="2" s="1"/>
  <c r="R907" i="2"/>
  <c r="S907" i="2" s="1"/>
  <c r="U907" i="2"/>
  <c r="V907" i="2" s="1"/>
  <c r="X907" i="2"/>
  <c r="Y907" i="2"/>
  <c r="AA907" i="2"/>
  <c r="AB907" i="2"/>
  <c r="AD907" i="2"/>
  <c r="AE907" i="2"/>
  <c r="AG907" i="2"/>
  <c r="AH907" i="2"/>
  <c r="R908" i="2"/>
  <c r="S908" i="2" s="1"/>
  <c r="U908" i="2"/>
  <c r="V908" i="2" s="1"/>
  <c r="X908" i="2"/>
  <c r="Y908" i="2"/>
  <c r="AA908" i="2"/>
  <c r="AB908" i="2" s="1"/>
  <c r="AD908" i="2"/>
  <c r="AE908" i="2"/>
  <c r="AG908" i="2"/>
  <c r="AH908" i="2"/>
  <c r="R909" i="2"/>
  <c r="S909" i="2"/>
  <c r="U909" i="2"/>
  <c r="V909" i="2"/>
  <c r="X909" i="2"/>
  <c r="Y909" i="2"/>
  <c r="AA909" i="2"/>
  <c r="AB909" i="2"/>
  <c r="AD909" i="2"/>
  <c r="AE909" i="2" s="1"/>
  <c r="AI909" i="2" s="1" a="1"/>
  <c r="AI909" i="2" s="1"/>
  <c r="AG909" i="2"/>
  <c r="AH909" i="2" s="1"/>
  <c r="R910" i="2"/>
  <c r="S910" i="2"/>
  <c r="U910" i="2"/>
  <c r="V910" i="2"/>
  <c r="X910" i="2"/>
  <c r="Y910" i="2"/>
  <c r="AA910" i="2"/>
  <c r="AB910" i="2"/>
  <c r="AD910" i="2"/>
  <c r="AE910" i="2"/>
  <c r="AG910" i="2"/>
  <c r="AH910" i="2"/>
  <c r="R911" i="2"/>
  <c r="S911" i="2"/>
  <c r="U911" i="2"/>
  <c r="V911" i="2" s="1"/>
  <c r="X911" i="2"/>
  <c r="Y911" i="2"/>
  <c r="AA911" i="2"/>
  <c r="AB911" i="2"/>
  <c r="AD911" i="2"/>
  <c r="AE911" i="2"/>
  <c r="AG911" i="2"/>
  <c r="AH911" i="2" s="1"/>
  <c r="R912" i="2"/>
  <c r="S912" i="2" s="1"/>
  <c r="U912" i="2"/>
  <c r="V912" i="2"/>
  <c r="X912" i="2"/>
  <c r="Y912" i="2" s="1"/>
  <c r="AA912" i="2"/>
  <c r="AB912" i="2"/>
  <c r="AD912" i="2"/>
  <c r="AE912" i="2"/>
  <c r="AG912" i="2"/>
  <c r="AH912" i="2"/>
  <c r="R913" i="2"/>
  <c r="S913" i="2" s="1"/>
  <c r="U913" i="2"/>
  <c r="V913" i="2" s="1"/>
  <c r="X913" i="2"/>
  <c r="Y913" i="2"/>
  <c r="AA913" i="2"/>
  <c r="AB913" i="2"/>
  <c r="AD913" i="2"/>
  <c r="AE913" i="2" s="1"/>
  <c r="AG913" i="2"/>
  <c r="AH913" i="2"/>
  <c r="R914" i="2"/>
  <c r="S914" i="2" s="1"/>
  <c r="U914" i="2"/>
  <c r="V914" i="2" s="1"/>
  <c r="X914" i="2"/>
  <c r="Y914" i="2"/>
  <c r="AA914" i="2"/>
  <c r="AB914" i="2" s="1"/>
  <c r="AD914" i="2"/>
  <c r="AE914" i="2"/>
  <c r="AG914" i="2"/>
  <c r="AH914" i="2" s="1"/>
  <c r="R915" i="2"/>
  <c r="S915" i="2" s="1"/>
  <c r="U915" i="2"/>
  <c r="V915" i="2" s="1"/>
  <c r="X915" i="2"/>
  <c r="Y915" i="2" s="1"/>
  <c r="AA915" i="2"/>
  <c r="AB915" i="2" s="1"/>
  <c r="AD915" i="2"/>
  <c r="AE915" i="2" s="1"/>
  <c r="AG915" i="2"/>
  <c r="AH915" i="2"/>
  <c r="R916" i="2"/>
  <c r="S916" i="2" s="1"/>
  <c r="U916" i="2"/>
  <c r="V916" i="2"/>
  <c r="AD916" i="2"/>
  <c r="AE916" i="2"/>
  <c r="AG916" i="2"/>
  <c r="AH916" i="2"/>
  <c r="R917" i="2"/>
  <c r="S917" i="2"/>
  <c r="U917" i="2"/>
  <c r="V917" i="2" s="1"/>
  <c r="X917" i="2"/>
  <c r="Y917" i="2"/>
  <c r="AA917" i="2"/>
  <c r="AB917" i="2"/>
  <c r="AD917" i="2"/>
  <c r="AE917" i="2" s="1"/>
  <c r="AG917" i="2"/>
  <c r="AH917" i="2"/>
  <c r="R918" i="2"/>
  <c r="S918" i="2"/>
  <c r="U918" i="2"/>
  <c r="V918" i="2"/>
  <c r="R978" i="2"/>
  <c r="S978" i="2" s="1"/>
  <c r="U978" i="2"/>
  <c r="V978" i="2" s="1"/>
  <c r="X978" i="2"/>
  <c r="Y978" i="2" s="1"/>
  <c r="AA978" i="2"/>
  <c r="AB978" i="2" s="1"/>
  <c r="AD978" i="2"/>
  <c r="AE978" i="2" s="1"/>
  <c r="AG978" i="2"/>
  <c r="AH978" i="2" s="1"/>
  <c r="R979" i="2"/>
  <c r="S979" i="2" s="1"/>
  <c r="U979" i="2"/>
  <c r="V979" i="2"/>
  <c r="X979" i="2"/>
  <c r="Y979" i="2"/>
  <c r="AA979" i="2"/>
  <c r="AB979" i="2" s="1"/>
  <c r="AD979" i="2"/>
  <c r="AE979" i="2" s="1"/>
  <c r="AG979" i="2"/>
  <c r="AH979" i="2"/>
  <c r="R980" i="2"/>
  <c r="S980" i="2"/>
  <c r="U980" i="2"/>
  <c r="V980" i="2" s="1"/>
  <c r="X980" i="2"/>
  <c r="Y980" i="2"/>
  <c r="AA980" i="2"/>
  <c r="AB980" i="2" s="1"/>
  <c r="AD980" i="2"/>
  <c r="AE980" i="2" s="1"/>
  <c r="AG980" i="2"/>
  <c r="AH980" i="2" s="1"/>
  <c r="R981" i="2"/>
  <c r="S981" i="2"/>
  <c r="U981" i="2"/>
  <c r="V981" i="2" s="1"/>
  <c r="X981" i="2"/>
  <c r="Y981" i="2"/>
  <c r="AA981" i="2"/>
  <c r="AB981" i="2"/>
  <c r="AD981" i="2"/>
  <c r="AE981" i="2" s="1"/>
  <c r="AG981" i="2"/>
  <c r="AH981" i="2"/>
  <c r="R982" i="2"/>
  <c r="S982" i="2"/>
  <c r="U982" i="2"/>
  <c r="V982" i="2" s="1"/>
  <c r="X982" i="2"/>
  <c r="Y982" i="2"/>
  <c r="AA982" i="2"/>
  <c r="AB982" i="2"/>
  <c r="AD982" i="2"/>
  <c r="AE982" i="2"/>
  <c r="AG982" i="2"/>
  <c r="AH982" i="2"/>
  <c r="R983" i="2"/>
  <c r="S983" i="2" s="1"/>
  <c r="U983" i="2"/>
  <c r="V983" i="2"/>
  <c r="X983" i="2"/>
  <c r="Y983" i="2"/>
  <c r="AA983" i="2"/>
  <c r="AB983" i="2"/>
  <c r="AD983" i="2"/>
  <c r="AE983" i="2"/>
  <c r="AG983" i="2"/>
  <c r="AH983" i="2"/>
  <c r="R984" i="2"/>
  <c r="S984" i="2" s="1"/>
  <c r="U984" i="2"/>
  <c r="V984" i="2" s="1"/>
  <c r="X984" i="2"/>
  <c r="Y984" i="2"/>
  <c r="AA984" i="2"/>
  <c r="AB984" i="2"/>
  <c r="AD984" i="2"/>
  <c r="AE984" i="2" s="1"/>
  <c r="AG984" i="2"/>
  <c r="AH984" i="2" s="1"/>
  <c r="R985" i="2"/>
  <c r="S985" i="2" s="1"/>
  <c r="U985" i="2"/>
  <c r="V985" i="2"/>
  <c r="X985" i="2"/>
  <c r="Y985" i="2" s="1"/>
  <c r="AA985" i="2"/>
  <c r="AB985" i="2"/>
  <c r="AD985" i="2"/>
  <c r="AE985" i="2" s="1"/>
  <c r="AG985" i="2"/>
  <c r="AH985" i="2"/>
  <c r="R986" i="2"/>
  <c r="S986" i="2" s="1"/>
  <c r="AI986" i="2" s="1" a="1"/>
  <c r="AI986" i="2" s="1"/>
  <c r="U986" i="2"/>
  <c r="V986" i="2" s="1"/>
  <c r="X986" i="2"/>
  <c r="Y986" i="2"/>
  <c r="AA986" i="2"/>
  <c r="AB986" i="2" s="1"/>
  <c r="AD986" i="2"/>
  <c r="AE986" i="2"/>
  <c r="AG986" i="2"/>
  <c r="AH986" i="2"/>
  <c r="R1003" i="2"/>
  <c r="S1003" i="2" s="1"/>
  <c r="U1003" i="2"/>
  <c r="V1003" i="2" s="1"/>
  <c r="X1003" i="2"/>
  <c r="Y1003" i="2" s="1"/>
  <c r="AA1003" i="2"/>
  <c r="AB1003" i="2" s="1"/>
  <c r="AD1003" i="2"/>
  <c r="AE1003" i="2" s="1"/>
  <c r="AG1003" i="2"/>
  <c r="AH1003" i="2" s="1"/>
  <c r="R1004" i="2"/>
  <c r="S1004" i="2" s="1"/>
  <c r="U1004" i="2"/>
  <c r="V1004" i="2" s="1"/>
  <c r="X1004" i="2"/>
  <c r="Y1004" i="2" s="1"/>
  <c r="AA1004" i="2"/>
  <c r="AB1004" i="2"/>
  <c r="AD1004" i="2"/>
  <c r="AE1004" i="2" s="1"/>
  <c r="AG1004" i="2"/>
  <c r="AH1004" i="2" s="1"/>
  <c r="R1005" i="2"/>
  <c r="S1005" i="2" s="1"/>
  <c r="U1005" i="2"/>
  <c r="V1005" i="2"/>
  <c r="X1005" i="2"/>
  <c r="Y1005" i="2" s="1"/>
  <c r="AA1005" i="2"/>
  <c r="AB1005" i="2"/>
  <c r="AD1005" i="2"/>
  <c r="AE1005" i="2" s="1"/>
  <c r="AG1005" i="2"/>
  <c r="AH1005" i="2" s="1"/>
  <c r="R1006" i="2"/>
  <c r="S1006" i="2" s="1"/>
  <c r="U1006" i="2"/>
  <c r="V1006" i="2"/>
  <c r="X1006" i="2"/>
  <c r="Y1006" i="2" s="1"/>
  <c r="AA1006" i="2"/>
  <c r="AB1006" i="2"/>
  <c r="AD1006" i="2"/>
  <c r="AE1006" i="2" s="1"/>
  <c r="AG1006" i="2"/>
  <c r="AH1006" i="2" s="1"/>
  <c r="R1007" i="2"/>
  <c r="S1007" i="2"/>
  <c r="U1007" i="2"/>
  <c r="V1007" i="2" s="1"/>
  <c r="X1007" i="2"/>
  <c r="Y1007" i="2" s="1"/>
  <c r="AA1007" i="2"/>
  <c r="AB1007" i="2" s="1"/>
  <c r="AD1007" i="2"/>
  <c r="AE1007" i="2"/>
  <c r="AG1007" i="2"/>
  <c r="AH1007" i="2" s="1"/>
  <c r="R1008" i="2"/>
  <c r="S1008" i="2" s="1"/>
  <c r="U1008" i="2"/>
  <c r="V1008" i="2"/>
  <c r="X1008" i="2"/>
  <c r="Y1008" i="2" s="1"/>
  <c r="AA1008" i="2"/>
  <c r="AB1008" i="2" s="1"/>
  <c r="AD1008" i="2"/>
  <c r="AE1008" i="2"/>
  <c r="AG1008" i="2"/>
  <c r="AH1008" i="2" s="1"/>
  <c r="R1009" i="2"/>
  <c r="S1009" i="2"/>
  <c r="U1009" i="2"/>
  <c r="V1009" i="2" s="1"/>
  <c r="X1009" i="2"/>
  <c r="Y1009" i="2"/>
  <c r="AA1009" i="2"/>
  <c r="AB1009" i="2" s="1"/>
  <c r="AD1009" i="2"/>
  <c r="AE1009" i="2"/>
  <c r="AG1009" i="2"/>
  <c r="AH1009" i="2" s="1"/>
  <c r="R1010" i="2"/>
  <c r="S1010" i="2"/>
  <c r="U1010" i="2"/>
  <c r="V1010" i="2" s="1"/>
  <c r="X1010" i="2"/>
  <c r="Y1010" i="2" s="1"/>
  <c r="AA1010" i="2"/>
  <c r="AB1010" i="2" s="1"/>
  <c r="AD1010" i="2"/>
  <c r="AE1010" i="2" s="1"/>
  <c r="AG1010" i="2"/>
  <c r="AH1010" i="2"/>
  <c r="R1020" i="2"/>
  <c r="S1020" i="2" s="1"/>
  <c r="AI1020" i="2" s="1" a="1"/>
  <c r="AI1020" i="2" s="1"/>
  <c r="U1020" i="2"/>
  <c r="V1020" i="2"/>
  <c r="X1020" i="2"/>
  <c r="Y1020" i="2"/>
  <c r="AA1020" i="2"/>
  <c r="AB1020" i="2"/>
  <c r="AD1020" i="2"/>
  <c r="AE1020" i="2" s="1"/>
  <c r="AG1020" i="2"/>
  <c r="AH1020" i="2" s="1"/>
  <c r="R1021" i="2"/>
  <c r="S1021" i="2" s="1"/>
  <c r="U1021" i="2"/>
  <c r="V1021" i="2"/>
  <c r="X1021" i="2"/>
  <c r="Y1021" i="2"/>
  <c r="AA1021" i="2"/>
  <c r="AB1021" i="2" s="1"/>
  <c r="AD1021" i="2"/>
  <c r="AE1021" i="2" s="1"/>
  <c r="AI1021" i="2" s="1" a="1"/>
  <c r="AI1021" i="2" s="1"/>
  <c r="AG1021" i="2"/>
  <c r="AH1021" i="2" s="1"/>
  <c r="R1022" i="2"/>
  <c r="S1022" i="2" s="1"/>
  <c r="U1022" i="2"/>
  <c r="V1022" i="2" s="1"/>
  <c r="X1022" i="2"/>
  <c r="Y1022" i="2"/>
  <c r="AA1022" i="2"/>
  <c r="AB1022" i="2" s="1"/>
  <c r="AD1022" i="2"/>
  <c r="AE1022" i="2" s="1"/>
  <c r="AG1022" i="2"/>
  <c r="AH1022" i="2"/>
  <c r="R1023" i="2"/>
  <c r="S1023" i="2"/>
  <c r="U1023" i="2"/>
  <c r="V1023" i="2"/>
  <c r="X1023" i="2"/>
  <c r="Y1023" i="2" s="1"/>
  <c r="AI1023" i="2" s="1" a="1"/>
  <c r="AI1023" i="2" s="1"/>
  <c r="AA1023" i="2"/>
  <c r="AB1023" i="2" s="1"/>
  <c r="AD1023" i="2"/>
  <c r="AE1023" i="2"/>
  <c r="AG1023" i="2"/>
  <c r="AH1023" i="2" s="1"/>
  <c r="R1024" i="2"/>
  <c r="S1024" i="2" s="1"/>
  <c r="U1024" i="2"/>
  <c r="V1024" i="2" s="1"/>
  <c r="X1024" i="2"/>
  <c r="Y1024" i="2" s="1"/>
  <c r="AA1024" i="2"/>
  <c r="AB1024" i="2"/>
  <c r="AD1024" i="2"/>
  <c r="AE1024" i="2" s="1"/>
  <c r="AG1024" i="2"/>
  <c r="AH1024" i="2" s="1"/>
  <c r="R1025" i="2"/>
  <c r="S1025" i="2" s="1"/>
  <c r="U1025" i="2"/>
  <c r="V1025" i="2"/>
  <c r="R1052" i="2"/>
  <c r="S1052" i="2" s="1"/>
  <c r="U1052" i="2"/>
  <c r="V1052" i="2" s="1"/>
  <c r="X1052" i="2"/>
  <c r="Y1052" i="2" s="1"/>
  <c r="AA1052" i="2"/>
  <c r="AB1052" i="2" s="1"/>
  <c r="AD1052" i="2"/>
  <c r="AE1052" i="2" s="1"/>
  <c r="AG1052" i="2"/>
  <c r="AH1052" i="2" s="1"/>
  <c r="R1065" i="2"/>
  <c r="S1065" i="2" s="1"/>
  <c r="U1065" i="2"/>
  <c r="V1065" i="2"/>
  <c r="X1065" i="2"/>
  <c r="Y1065" i="2" s="1"/>
  <c r="AA1065" i="2"/>
  <c r="AB1065" i="2" s="1"/>
  <c r="AD1065" i="2"/>
  <c r="AE1065" i="2" s="1"/>
  <c r="AG1065" i="2"/>
  <c r="AH1065" i="2" s="1"/>
  <c r="R1066" i="2"/>
  <c r="S1066" i="2" s="1"/>
  <c r="U1066" i="2"/>
  <c r="V1066" i="2" s="1"/>
  <c r="X1066" i="2"/>
  <c r="Y1066" i="2" s="1"/>
  <c r="AA1066" i="2"/>
  <c r="AB1066" i="2" s="1"/>
  <c r="AD1066" i="2"/>
  <c r="AE1066" i="2"/>
  <c r="AG1066" i="2"/>
  <c r="AH1066" i="2"/>
  <c r="R1067" i="2"/>
  <c r="S1067" i="2" s="1"/>
  <c r="AI1067" i="2" s="1" a="1"/>
  <c r="AI1067" i="2" s="1"/>
  <c r="U1067" i="2"/>
  <c r="V1067" i="2"/>
  <c r="X1067" i="2"/>
  <c r="Y1067" i="2"/>
  <c r="AA1067" i="2"/>
  <c r="AB1067" i="2"/>
  <c r="AD1067" i="2"/>
  <c r="AE1067" i="2"/>
  <c r="AG1067" i="2"/>
  <c r="AH1067" i="2" s="1"/>
  <c r="R1068" i="2"/>
  <c r="S1068" i="2"/>
  <c r="U1068" i="2"/>
  <c r="V1068" i="2" s="1"/>
  <c r="X1068" i="2"/>
  <c r="Y1068" i="2" s="1"/>
  <c r="AA1068" i="2"/>
  <c r="AB1068" i="2" s="1"/>
  <c r="AD1068" i="2"/>
  <c r="AE1068" i="2"/>
  <c r="AG1068" i="2"/>
  <c r="AH1068" i="2" s="1"/>
  <c r="R1069" i="2"/>
  <c r="S1069" i="2" s="1"/>
  <c r="U1069" i="2"/>
  <c r="V1069" i="2" s="1"/>
  <c r="X1069" i="2"/>
  <c r="Y1069" i="2" s="1"/>
  <c r="AA1069" i="2"/>
  <c r="AB1069" i="2" s="1"/>
  <c r="AD1069" i="2"/>
  <c r="AE1069" i="2"/>
  <c r="AG1069" i="2"/>
  <c r="AH1069" i="2" s="1"/>
  <c r="R1070" i="2"/>
  <c r="S1070" i="2" s="1"/>
  <c r="AI1070" i="2" s="1" a="1"/>
  <c r="AI1070" i="2" s="1"/>
  <c r="U1070" i="2"/>
  <c r="V1070" i="2" s="1"/>
  <c r="X1070" i="2"/>
  <c r="Y1070" i="2" s="1"/>
  <c r="AA1070" i="2"/>
  <c r="AB1070" i="2"/>
  <c r="AD1070" i="2"/>
  <c r="AE1070" i="2"/>
  <c r="AG1070" i="2"/>
  <c r="AH1070" i="2" s="1"/>
  <c r="Q435" i="2"/>
  <c r="T435" i="2"/>
  <c r="W435" i="2"/>
  <c r="Z435" i="2"/>
  <c r="AC435" i="2"/>
  <c r="AF435" i="2"/>
  <c r="Q433" i="2"/>
  <c r="AF433" i="2"/>
  <c r="Z433" i="2"/>
  <c r="AC433" i="2"/>
  <c r="T433" i="2"/>
  <c r="W433" i="2"/>
  <c r="AF377" i="2"/>
  <c r="AC377" i="2"/>
  <c r="Z377" i="2"/>
  <c r="W377" i="2"/>
  <c r="Q377" i="2"/>
  <c r="T377" i="2"/>
  <c r="Q376" i="2"/>
  <c r="AF376" i="2"/>
  <c r="AC376" i="2"/>
  <c r="Z376" i="2"/>
  <c r="Z345" i="2"/>
  <c r="AF345" i="2"/>
  <c r="AC345" i="2"/>
  <c r="W345" i="2"/>
  <c r="T345" i="2"/>
  <c r="Q345" i="2"/>
  <c r="T344" i="2"/>
  <c r="Q344" i="2"/>
  <c r="Z344" i="2"/>
  <c r="AF344" i="2"/>
  <c r="AC344" i="2"/>
  <c r="W344" i="2"/>
  <c r="T343" i="2"/>
  <c r="Q343" i="2"/>
  <c r="AF343" i="2"/>
  <c r="Z343" i="2"/>
  <c r="AC343" i="2"/>
  <c r="W343" i="2"/>
  <c r="AF342" i="2"/>
  <c r="Z342" i="2"/>
  <c r="AC342" i="2"/>
  <c r="W342" i="2"/>
  <c r="T342" i="2"/>
  <c r="Q342" i="2"/>
  <c r="AF341" i="2"/>
  <c r="AC341" i="2"/>
  <c r="W341" i="2"/>
  <c r="T341" i="2"/>
  <c r="Q341" i="2"/>
  <c r="Z341" i="2"/>
  <c r="T340" i="2"/>
  <c r="AF340" i="2"/>
  <c r="AC340" i="2"/>
  <c r="W340" i="2"/>
  <c r="Q340" i="2"/>
  <c r="Z340" i="2"/>
  <c r="Z338" i="2"/>
  <c r="Q338" i="2"/>
  <c r="T338" i="2"/>
  <c r="W338" i="2"/>
  <c r="AC338" i="2"/>
  <c r="AF338" i="2"/>
  <c r="T1064" i="2"/>
  <c r="W1064" i="2"/>
  <c r="Q1064" i="2"/>
  <c r="Z1063" i="2"/>
  <c r="W1063" i="2"/>
  <c r="T1063" i="2"/>
  <c r="Q1063" i="2"/>
  <c r="AF1063" i="2"/>
  <c r="AC1063" i="2"/>
  <c r="AF1062" i="2"/>
  <c r="AC1062" i="2"/>
  <c r="Z1062" i="2"/>
  <c r="W1062" i="2"/>
  <c r="T1062" i="2"/>
  <c r="Q1062" i="2"/>
  <c r="AF1061" i="2"/>
  <c r="AC1061" i="2"/>
  <c r="W1061" i="2"/>
  <c r="T1061" i="2"/>
  <c r="Q1061" i="2"/>
  <c r="Z1061" i="2"/>
  <c r="T1060" i="2"/>
  <c r="Q1060" i="2"/>
  <c r="AC1060" i="2"/>
  <c r="Z1060" i="2"/>
  <c r="W1060" i="2"/>
  <c r="AF1060" i="2"/>
  <c r="T1059" i="2"/>
  <c r="Q1059" i="2"/>
  <c r="AC1059" i="2"/>
  <c r="AF1059" i="2"/>
  <c r="W1059" i="2"/>
  <c r="Z1059" i="2"/>
  <c r="AF1058" i="2"/>
  <c r="AC1058" i="2"/>
  <c r="Z1058" i="2"/>
  <c r="W1058" i="2"/>
  <c r="T1058" i="2"/>
  <c r="Q1058" i="2"/>
  <c r="Z1057" i="2"/>
  <c r="Q1057" i="2"/>
  <c r="T1057" i="2"/>
  <c r="W1057" i="2"/>
  <c r="AC1057" i="2"/>
  <c r="AF1057" i="2"/>
  <c r="T1056" i="2"/>
  <c r="W1056" i="2"/>
  <c r="AC1056" i="2"/>
  <c r="AF1056" i="2"/>
  <c r="Z1056" i="2"/>
  <c r="Q1056" i="2"/>
  <c r="Z1055" i="2"/>
  <c r="W1055" i="2"/>
  <c r="T1055" i="2"/>
  <c r="Q1055" i="2"/>
  <c r="AF1055" i="2"/>
  <c r="AC1055" i="2"/>
  <c r="AF1054" i="2"/>
  <c r="AC1054" i="2"/>
  <c r="Z1054" i="2"/>
  <c r="W1054" i="2"/>
  <c r="T1054" i="2"/>
  <c r="Q1054" i="2"/>
  <c r="AF1053" i="2"/>
  <c r="AC1053" i="2"/>
  <c r="Z1053" i="2"/>
  <c r="W1053" i="2"/>
  <c r="T1053" i="2"/>
  <c r="Q1053" i="2"/>
  <c r="W1002" i="2"/>
  <c r="T1002" i="2"/>
  <c r="Q1002" i="2"/>
  <c r="AF1002" i="2"/>
  <c r="AC1002" i="2"/>
  <c r="Z1002" i="2"/>
  <c r="Q1001" i="2"/>
  <c r="T1001" i="2"/>
  <c r="W1001" i="2"/>
  <c r="Z1001" i="2"/>
  <c r="AC1001" i="2"/>
  <c r="AF1001" i="2"/>
  <c r="W1000" i="2"/>
  <c r="T1000" i="2"/>
  <c r="Q1000" i="2"/>
  <c r="AF1000" i="2"/>
  <c r="AC1000" i="2"/>
  <c r="Z1000" i="2"/>
  <c r="AF999" i="2"/>
  <c r="AC999" i="2"/>
  <c r="Z999" i="2"/>
  <c r="W999" i="2"/>
  <c r="T999" i="2"/>
  <c r="Q999" i="2"/>
  <c r="AF998" i="2"/>
  <c r="AC998" i="2"/>
  <c r="T998" i="2"/>
  <c r="Q998" i="2"/>
  <c r="Z998" i="2"/>
  <c r="W998" i="2"/>
  <c r="T997" i="2"/>
  <c r="Q997" i="2"/>
  <c r="AF997" i="2"/>
  <c r="AC997" i="2"/>
  <c r="Z997" i="2"/>
  <c r="W997" i="2"/>
  <c r="AF996" i="2"/>
  <c r="AC996" i="2"/>
  <c r="Z996" i="2"/>
  <c r="W996" i="2"/>
  <c r="T996" i="2"/>
  <c r="Q996" i="2"/>
  <c r="AF995" i="2"/>
  <c r="AC995" i="2"/>
  <c r="Z995" i="2"/>
  <c r="T995" i="2"/>
  <c r="Q995" i="2"/>
  <c r="W995" i="2"/>
  <c r="W994" i="2"/>
  <c r="AF994" i="2"/>
  <c r="AC994" i="2"/>
  <c r="Z994" i="2"/>
  <c r="T994" i="2"/>
  <c r="Q994" i="2"/>
  <c r="AF993" i="2"/>
  <c r="AC993" i="2"/>
  <c r="Z993" i="2"/>
  <c r="W993" i="2"/>
  <c r="T993" i="2"/>
  <c r="Q993" i="2"/>
  <c r="AF992" i="2"/>
  <c r="AC992" i="2"/>
  <c r="Z992" i="2"/>
  <c r="W992" i="2"/>
  <c r="T992" i="2"/>
  <c r="Q992" i="2"/>
  <c r="Z991" i="2"/>
  <c r="T991" i="2"/>
  <c r="Q991" i="2"/>
  <c r="W991" i="2"/>
  <c r="AF991" i="2"/>
  <c r="AC991" i="2"/>
  <c r="AC990" i="2"/>
  <c r="AF990" i="2"/>
  <c r="Q990" i="2"/>
  <c r="T990" i="2"/>
  <c r="W990" i="2"/>
  <c r="Z990" i="2"/>
  <c r="T987" i="2"/>
  <c r="Q987" i="2"/>
  <c r="AF977" i="2"/>
  <c r="AC977" i="2"/>
  <c r="T949" i="2"/>
  <c r="Q949" i="2"/>
  <c r="AC948" i="2"/>
  <c r="Z948" i="2"/>
  <c r="W948" i="2"/>
  <c r="T948" i="2"/>
  <c r="Q948" i="2"/>
  <c r="AF948" i="2"/>
  <c r="AC947" i="2"/>
  <c r="AF947" i="2"/>
  <c r="T947" i="2"/>
  <c r="W947" i="2"/>
  <c r="Z947" i="2"/>
  <c r="Q947" i="2"/>
  <c r="Z946" i="2"/>
  <c r="AC946" i="2"/>
  <c r="AF946" i="2"/>
  <c r="T920" i="2"/>
  <c r="Q920" i="2"/>
  <c r="W919" i="2"/>
  <c r="T919" i="2"/>
  <c r="Q919" i="2"/>
  <c r="AC919" i="2"/>
  <c r="AF919" i="2"/>
  <c r="Z919" i="2"/>
  <c r="W918" i="2"/>
  <c r="AC918" i="2"/>
  <c r="Z918" i="2"/>
  <c r="AF918" i="2"/>
  <c r="AF779" i="2"/>
  <c r="Z779" i="2"/>
  <c r="AC779" i="2"/>
  <c r="Q779" i="2"/>
  <c r="T779" i="2"/>
  <c r="W779" i="2"/>
  <c r="Q778" i="2"/>
  <c r="AC778" i="2"/>
  <c r="T778" i="2"/>
  <c r="W778" i="2"/>
  <c r="Z778" i="2"/>
  <c r="AF778" i="2"/>
  <c r="W703" i="2"/>
  <c r="Q703" i="2"/>
  <c r="T703" i="2"/>
  <c r="Q702" i="2"/>
  <c r="T702" i="2"/>
  <c r="Z702" i="2"/>
  <c r="AC702" i="2"/>
  <c r="W702" i="2"/>
  <c r="AF702" i="2"/>
  <c r="AF701" i="2"/>
  <c r="AC701" i="2"/>
  <c r="Q650" i="2"/>
  <c r="T650" i="2"/>
  <c r="AC649" i="2"/>
  <c r="AF649" i="2"/>
  <c r="T649" i="2"/>
  <c r="W649" i="2"/>
  <c r="Z649" i="2"/>
  <c r="Q649" i="2"/>
  <c r="T648" i="2"/>
  <c r="Z648" i="2"/>
  <c r="AC648" i="2"/>
  <c r="AF648" i="2"/>
  <c r="W648" i="2"/>
  <c r="Q648" i="2"/>
  <c r="Z647" i="2"/>
  <c r="W647" i="2"/>
  <c r="T647" i="2"/>
  <c r="Q647" i="2"/>
  <c r="AC647" i="2"/>
  <c r="AF647" i="2"/>
  <c r="AF646" i="2"/>
  <c r="Z646" i="2"/>
  <c r="T646" i="2"/>
  <c r="Q646" i="2"/>
  <c r="AC646" i="2"/>
  <c r="W646" i="2"/>
  <c r="Q645" i="2"/>
  <c r="T645" i="2"/>
  <c r="W645" i="2"/>
  <c r="Z645" i="2"/>
  <c r="AC645" i="2"/>
  <c r="AF645" i="2"/>
  <c r="T644" i="2"/>
  <c r="W644" i="2"/>
  <c r="Z644" i="2"/>
  <c r="AC644" i="2"/>
  <c r="AF644" i="2"/>
  <c r="Q644" i="2"/>
  <c r="T643" i="2"/>
  <c r="W643" i="2"/>
  <c r="Z643" i="2"/>
  <c r="AC643" i="2"/>
  <c r="AF643" i="2"/>
  <c r="AC392" i="2"/>
  <c r="Z392" i="2"/>
  <c r="W392" i="2"/>
  <c r="T392" i="2"/>
  <c r="AF392" i="2"/>
  <c r="Q392" i="2"/>
  <c r="Z391" i="2"/>
  <c r="AC391" i="2"/>
  <c r="AF391" i="2"/>
  <c r="Q391" i="2"/>
  <c r="T391" i="2"/>
  <c r="W391" i="2"/>
  <c r="AF390" i="2"/>
  <c r="AC390" i="2"/>
  <c r="Q390" i="2"/>
  <c r="W390" i="2"/>
  <c r="Z390" i="2"/>
  <c r="T390" i="2"/>
  <c r="Q389" i="2"/>
  <c r="T389" i="2"/>
  <c r="W389" i="2"/>
  <c r="Z389" i="2"/>
  <c r="AC389" i="2"/>
  <c r="AF389" i="2"/>
  <c r="Z388" i="2"/>
  <c r="AF388" i="2"/>
  <c r="AC388" i="2"/>
  <c r="W388" i="2"/>
  <c r="T388" i="2"/>
  <c r="Q388" i="2"/>
  <c r="Z387" i="2"/>
  <c r="T387" i="2"/>
  <c r="Q387" i="2"/>
  <c r="AF387" i="2"/>
  <c r="AC387" i="2"/>
  <c r="W387" i="2"/>
  <c r="Q386" i="2"/>
  <c r="T386" i="2"/>
  <c r="W386" i="2"/>
  <c r="AC386" i="2"/>
  <c r="Z386" i="2"/>
  <c r="AF386" i="2"/>
  <c r="Q385" i="2"/>
  <c r="Z385" i="2"/>
  <c r="T385" i="2"/>
  <c r="W385" i="2"/>
  <c r="AC385" i="2"/>
  <c r="AF385" i="2"/>
  <c r="AC384" i="2"/>
  <c r="Q384" i="2"/>
  <c r="W384" i="2"/>
  <c r="Z384" i="2"/>
  <c r="T384" i="2"/>
  <c r="AF384" i="2"/>
  <c r="AC383" i="2"/>
  <c r="AF383" i="2"/>
  <c r="Z383" i="2"/>
  <c r="Q383" i="2"/>
  <c r="T383" i="2"/>
  <c r="W383" i="2"/>
  <c r="Z382" i="2"/>
  <c r="Q382" i="2"/>
  <c r="T382" i="2"/>
  <c r="W382" i="2"/>
  <c r="AC382" i="2"/>
  <c r="AF382" i="2"/>
  <c r="Z381" i="2"/>
  <c r="AC381" i="2"/>
  <c r="AF381" i="2"/>
  <c r="Q381" i="2"/>
  <c r="T381" i="2"/>
  <c r="W381" i="2"/>
  <c r="Z380" i="2"/>
  <c r="AC380" i="2"/>
  <c r="AF380" i="2"/>
  <c r="T380" i="2"/>
  <c r="Q380" i="2"/>
  <c r="W380" i="2"/>
  <c r="T379" i="2"/>
  <c r="W379" i="2"/>
  <c r="Z379" i="2"/>
  <c r="AC379" i="2"/>
  <c r="AF379" i="2"/>
  <c r="Q379" i="2"/>
  <c r="Q378" i="2"/>
  <c r="T378" i="2"/>
  <c r="W378" i="2"/>
  <c r="AC378" i="2"/>
  <c r="AF378" i="2"/>
  <c r="Z378" i="2"/>
  <c r="T339" i="2"/>
  <c r="W339" i="2"/>
  <c r="AC339" i="2"/>
  <c r="Z339" i="2"/>
  <c r="AF339" i="2"/>
  <c r="Q339" i="2"/>
  <c r="Q337" i="2"/>
  <c r="T337" i="2"/>
  <c r="W337" i="2"/>
  <c r="AC337" i="2"/>
  <c r="Z337" i="2"/>
  <c r="AF337" i="2"/>
  <c r="AF336" i="2"/>
  <c r="Z336" i="2"/>
  <c r="W336" i="2"/>
  <c r="T336" i="2"/>
  <c r="Q336" i="2"/>
  <c r="AC336" i="2"/>
  <c r="AF335" i="2"/>
  <c r="AC335" i="2"/>
  <c r="W335" i="2"/>
  <c r="T335" i="2"/>
  <c r="Q335" i="2"/>
  <c r="Z335" i="2"/>
  <c r="W334" i="2"/>
  <c r="AF334" i="2"/>
  <c r="Z334" i="2"/>
  <c r="AC334" i="2"/>
  <c r="T334" i="2"/>
  <c r="Q334" i="2"/>
  <c r="Q333" i="2"/>
  <c r="Z333" i="2"/>
  <c r="AF333" i="2"/>
  <c r="AC333" i="2"/>
  <c r="W333" i="2"/>
  <c r="T333" i="2"/>
  <c r="AF332" i="2"/>
  <c r="Z332" i="2"/>
  <c r="AC332" i="2"/>
  <c r="W332" i="2"/>
  <c r="T332" i="2"/>
  <c r="Q332" i="2"/>
  <c r="AF331" i="2"/>
  <c r="Z331" i="2"/>
  <c r="AC331" i="2"/>
  <c r="W331" i="2"/>
  <c r="Q331" i="2"/>
  <c r="T331" i="2"/>
  <c r="AF330" i="2"/>
  <c r="T330" i="2"/>
  <c r="Q330" i="2"/>
  <c r="Z330" i="2"/>
  <c r="AC330" i="2"/>
  <c r="W330" i="2"/>
  <c r="W329" i="2"/>
  <c r="T329" i="2"/>
  <c r="Q329" i="2"/>
  <c r="Z329" i="2"/>
  <c r="AC329" i="2"/>
  <c r="AF329" i="2"/>
  <c r="AC328" i="2"/>
  <c r="Q328" i="2"/>
  <c r="T328" i="2"/>
  <c r="W328" i="2"/>
  <c r="Z328" i="2"/>
  <c r="AF328" i="2"/>
  <c r="T327" i="2"/>
  <c r="Q327" i="2"/>
  <c r="Z327" i="2"/>
  <c r="AC327" i="2"/>
  <c r="AF327" i="2"/>
  <c r="W327" i="2"/>
  <c r="AF326" i="2"/>
  <c r="Z326" i="2"/>
  <c r="AC326" i="2"/>
  <c r="W326" i="2"/>
  <c r="T326" i="2"/>
  <c r="Q326" i="2"/>
  <c r="AF325" i="2"/>
  <c r="AC325" i="2"/>
  <c r="W325" i="2"/>
  <c r="T325" i="2"/>
  <c r="Q325" i="2"/>
  <c r="Z325" i="2"/>
  <c r="Q324" i="2"/>
  <c r="W324" i="2"/>
  <c r="Z324" i="2"/>
  <c r="AF324" i="2"/>
  <c r="T324" i="2"/>
  <c r="AC324" i="2"/>
  <c r="AF323" i="2"/>
  <c r="Z323" i="2"/>
  <c r="AC323" i="2"/>
  <c r="Q323" i="2"/>
  <c r="W323" i="2"/>
  <c r="T323" i="2"/>
  <c r="W322" i="2"/>
  <c r="T322" i="2"/>
  <c r="Q322" i="2"/>
  <c r="Z322" i="2"/>
  <c r="AC322" i="2"/>
  <c r="AF322" i="2"/>
  <c r="Q321" i="2"/>
  <c r="T321" i="2"/>
  <c r="W321" i="2"/>
  <c r="AC321" i="2"/>
  <c r="AF321" i="2"/>
  <c r="Z321" i="2"/>
  <c r="W320" i="2"/>
  <c r="T320" i="2"/>
  <c r="Q320" i="2"/>
  <c r="AC320" i="2"/>
  <c r="Z320" i="2"/>
  <c r="AF320" i="2"/>
  <c r="AF319" i="2"/>
  <c r="Q319" i="2"/>
  <c r="T319" i="2"/>
  <c r="W319" i="2"/>
  <c r="AC319" i="2"/>
  <c r="Z319" i="2"/>
  <c r="T318" i="2"/>
  <c r="Z318" i="2"/>
  <c r="AF318" i="2"/>
  <c r="Q318" i="2"/>
  <c r="W318" i="2"/>
  <c r="AC318" i="2"/>
  <c r="Q317" i="2"/>
  <c r="T317" i="2"/>
  <c r="W317" i="2"/>
  <c r="AC317" i="2"/>
  <c r="AF317" i="2"/>
  <c r="Z317" i="2"/>
  <c r="AC316" i="2"/>
  <c r="Z316" i="2"/>
  <c r="AF316" i="2"/>
  <c r="Q316" i="2"/>
  <c r="T316" i="2"/>
  <c r="W316" i="2"/>
  <c r="Z315" i="2"/>
  <c r="T315" i="2"/>
  <c r="AC315" i="2"/>
  <c r="Q315" i="2"/>
  <c r="W315" i="2"/>
  <c r="AF315" i="2"/>
  <c r="Z314" i="2"/>
  <c r="AF314" i="2"/>
  <c r="AC314" i="2"/>
  <c r="W314" i="2"/>
  <c r="T314" i="2"/>
  <c r="Q314" i="2"/>
  <c r="AF313" i="2"/>
  <c r="Z313" i="2"/>
  <c r="AC313" i="2"/>
  <c r="W313" i="2"/>
  <c r="T313" i="2"/>
  <c r="Q313" i="2"/>
  <c r="T373" i="2"/>
  <c r="Q373" i="2"/>
  <c r="Z372" i="2"/>
  <c r="AF372" i="2"/>
  <c r="AC372" i="2"/>
  <c r="W372" i="2"/>
  <c r="T372" i="2"/>
  <c r="Q372" i="2"/>
  <c r="Z371" i="2"/>
  <c r="AF371" i="2"/>
  <c r="AC371" i="2"/>
  <c r="W371" i="2"/>
  <c r="T371" i="2"/>
  <c r="Q371" i="2"/>
  <c r="W370" i="2"/>
  <c r="Q370" i="2"/>
  <c r="T370" i="2"/>
  <c r="AF370" i="2"/>
  <c r="Z370" i="2"/>
  <c r="AC370" i="2"/>
  <c r="Q369" i="2"/>
  <c r="W369" i="2"/>
  <c r="AF369" i="2"/>
  <c r="Z369" i="2"/>
  <c r="AC369" i="2"/>
  <c r="T369" i="2"/>
  <c r="AF368" i="2"/>
  <c r="W368" i="2"/>
  <c r="T368" i="2"/>
  <c r="Z368" i="2"/>
  <c r="AC368" i="2"/>
  <c r="Q368" i="2"/>
  <c r="Z367" i="2"/>
  <c r="AF367" i="2"/>
  <c r="Q367" i="2"/>
  <c r="T367" i="2"/>
  <c r="W367" i="2"/>
  <c r="AC367" i="2"/>
  <c r="T366" i="2"/>
  <c r="W366" i="2"/>
  <c r="AC366" i="2"/>
  <c r="AF366" i="2"/>
  <c r="Z366" i="2"/>
  <c r="Q366" i="2"/>
  <c r="T365" i="2"/>
  <c r="Q365" i="2"/>
  <c r="Z365" i="2"/>
  <c r="AF365" i="2"/>
  <c r="AC365" i="2"/>
  <c r="W365" i="2"/>
  <c r="Z364" i="2"/>
  <c r="AF364" i="2"/>
  <c r="AC364" i="2"/>
  <c r="W364" i="2"/>
  <c r="T364" i="2"/>
  <c r="Q364" i="2"/>
  <c r="AC363" i="2"/>
  <c r="T363" i="2"/>
  <c r="Q363" i="2"/>
  <c r="Z363" i="2"/>
  <c r="AF363" i="2"/>
  <c r="W363" i="2"/>
  <c r="AC362" i="2"/>
  <c r="AF362" i="2"/>
  <c r="Z362" i="2"/>
  <c r="T362" i="2"/>
  <c r="Q362" i="2"/>
  <c r="W362" i="2"/>
  <c r="AF361" i="2"/>
  <c r="AC361" i="2"/>
  <c r="W361" i="2"/>
  <c r="T361" i="2"/>
  <c r="Z361" i="2"/>
  <c r="Q361" i="2"/>
  <c r="Z360" i="2"/>
  <c r="AF360" i="2"/>
  <c r="AC1064" i="2"/>
  <c r="AF1064" i="2"/>
  <c r="Z1064" i="2"/>
  <c r="W916" i="2"/>
  <c r="Z916" i="2"/>
  <c r="Z882" i="2"/>
  <c r="AF882" i="2"/>
  <c r="AC882" i="2"/>
  <c r="W882" i="2"/>
  <c r="T882" i="2"/>
  <c r="Q882" i="2"/>
  <c r="W881" i="2"/>
  <c r="T881" i="2"/>
  <c r="Z881" i="2"/>
  <c r="AF881" i="2"/>
  <c r="AC881" i="2"/>
  <c r="Q881" i="2"/>
  <c r="Q880" i="2"/>
  <c r="W880" i="2"/>
  <c r="T880" i="2"/>
  <c r="Z880" i="2"/>
  <c r="AC880" i="2"/>
  <c r="AF880" i="2"/>
  <c r="AF879" i="2"/>
  <c r="AC879" i="2"/>
  <c r="Z879" i="2"/>
  <c r="W879" i="2"/>
  <c r="T879" i="2"/>
  <c r="Q879" i="2"/>
  <c r="T821" i="2"/>
  <c r="Q821" i="2"/>
  <c r="AF820" i="2"/>
  <c r="Q820" i="2"/>
  <c r="T820" i="2"/>
  <c r="W820" i="2"/>
  <c r="Z820" i="2"/>
  <c r="AC820" i="2"/>
  <c r="Q819" i="2"/>
  <c r="AF819" i="2"/>
  <c r="AC819" i="2"/>
  <c r="Z819" i="2"/>
  <c r="T819" i="2"/>
  <c r="W819" i="2"/>
  <c r="AC818" i="2"/>
  <c r="AF818" i="2"/>
  <c r="Q818" i="2"/>
  <c r="T818" i="2"/>
  <c r="W818" i="2"/>
  <c r="Z818" i="2"/>
  <c r="W817" i="2"/>
  <c r="AC817" i="2"/>
  <c r="AF817" i="2"/>
  <c r="Z817" i="2"/>
  <c r="Q817" i="2"/>
  <c r="T817" i="2"/>
  <c r="AC816" i="2"/>
  <c r="Z816" i="2"/>
  <c r="W816" i="2"/>
  <c r="AF816" i="2"/>
  <c r="T816" i="2"/>
  <c r="Q816" i="2"/>
  <c r="AF815" i="2"/>
  <c r="AC815" i="2"/>
  <c r="Z815" i="2"/>
  <c r="Q815" i="2"/>
  <c r="W815" i="2"/>
  <c r="T815" i="2"/>
  <c r="Q814" i="2"/>
  <c r="AF814" i="2"/>
  <c r="AC814" i="2"/>
  <c r="Z814" i="2"/>
  <c r="W814" i="2"/>
  <c r="T814" i="2"/>
  <c r="AF813" i="2"/>
  <c r="AC813" i="2"/>
  <c r="Z813" i="2"/>
  <c r="W813" i="2"/>
  <c r="T813" i="2"/>
  <c r="Q813" i="2"/>
  <c r="AF812" i="2"/>
  <c r="AC812" i="2"/>
  <c r="Z812" i="2"/>
  <c r="W812" i="2"/>
  <c r="T812" i="2"/>
  <c r="Q812" i="2"/>
  <c r="Z793" i="2"/>
  <c r="W793" i="2"/>
  <c r="T793" i="2"/>
  <c r="Q793" i="2"/>
  <c r="AC792" i="2"/>
  <c r="Z792" i="2"/>
  <c r="W792" i="2"/>
  <c r="T792" i="2"/>
  <c r="Q792" i="2"/>
  <c r="AF792" i="2"/>
  <c r="Q791" i="2"/>
  <c r="T791" i="2"/>
  <c r="W791" i="2"/>
  <c r="Z791" i="2"/>
  <c r="AC791" i="2"/>
  <c r="AF791" i="2"/>
  <c r="Q790" i="2"/>
  <c r="T790" i="2"/>
  <c r="Z790" i="2"/>
  <c r="AC790" i="2"/>
  <c r="AF790" i="2"/>
  <c r="W790" i="2"/>
  <c r="AF789" i="2"/>
  <c r="Q789" i="2"/>
  <c r="T789" i="2"/>
  <c r="W789" i="2"/>
  <c r="Z789" i="2"/>
  <c r="AC789" i="2"/>
  <c r="AF788" i="2"/>
  <c r="Q788" i="2"/>
  <c r="Z788" i="2"/>
  <c r="AC788" i="2"/>
  <c r="W788" i="2"/>
  <c r="T788" i="2"/>
  <c r="AF787" i="2"/>
  <c r="AC787" i="2"/>
  <c r="Z787" i="2"/>
  <c r="W787" i="2"/>
  <c r="T787" i="2"/>
  <c r="Q787" i="2"/>
  <c r="T786" i="2"/>
  <c r="AF786" i="2"/>
  <c r="AC786" i="2"/>
  <c r="Z786" i="2"/>
  <c r="W786" i="2"/>
  <c r="Q786" i="2"/>
  <c r="AF785" i="2"/>
  <c r="AC785" i="2"/>
  <c r="Z785" i="2"/>
  <c r="W785" i="2"/>
  <c r="T785" i="2"/>
  <c r="Q785" i="2"/>
  <c r="AF784" i="2"/>
  <c r="AC784" i="2"/>
  <c r="Q784" i="2"/>
  <c r="T784" i="2"/>
  <c r="W784" i="2"/>
  <c r="Z784" i="2"/>
  <c r="T783" i="2"/>
  <c r="Z783" i="2"/>
  <c r="W783" i="2"/>
  <c r="Q783" i="2"/>
  <c r="AF783" i="2"/>
  <c r="AC783" i="2"/>
  <c r="T782" i="2"/>
  <c r="W782" i="2"/>
  <c r="Z782" i="2"/>
  <c r="AC782" i="2"/>
  <c r="AF782" i="2"/>
  <c r="Q782" i="2"/>
  <c r="Q781" i="2"/>
  <c r="AF781" i="2"/>
  <c r="Z781" i="2"/>
  <c r="W781" i="2"/>
  <c r="T781" i="2"/>
  <c r="AC781" i="2"/>
  <c r="Q780" i="2"/>
  <c r="T780" i="2"/>
  <c r="AF780" i="2"/>
  <c r="AC780" i="2"/>
  <c r="Z780" i="2"/>
  <c r="W780" i="2"/>
  <c r="W551" i="2"/>
  <c r="T551" i="2"/>
  <c r="Q551" i="2"/>
  <c r="T550" i="2"/>
  <c r="AF550" i="2"/>
  <c r="Q550" i="2"/>
  <c r="AC550" i="2"/>
  <c r="Z550" i="2"/>
  <c r="W550" i="2"/>
  <c r="Q549" i="2"/>
  <c r="T549" i="2"/>
  <c r="W549" i="2"/>
  <c r="Z549" i="2"/>
  <c r="AC549" i="2"/>
  <c r="AF549" i="2"/>
  <c r="T548" i="2"/>
  <c r="W548" i="2"/>
  <c r="Z548" i="2"/>
  <c r="AC548" i="2"/>
  <c r="AF548" i="2"/>
  <c r="Q548" i="2"/>
  <c r="T547" i="2"/>
  <c r="W547" i="2"/>
  <c r="Z547" i="2"/>
  <c r="AC547" i="2"/>
  <c r="Q547" i="2"/>
  <c r="AF547" i="2"/>
  <c r="AF546" i="2"/>
  <c r="AC546" i="2"/>
  <c r="Z546" i="2"/>
  <c r="W546" i="2"/>
  <c r="Q546" i="2"/>
  <c r="T546" i="2"/>
  <c r="AF545" i="2"/>
  <c r="Q545" i="2"/>
  <c r="T545" i="2"/>
  <c r="W545" i="2"/>
  <c r="Z545" i="2"/>
  <c r="AC545" i="2"/>
  <c r="AF544" i="2"/>
  <c r="AC544" i="2"/>
  <c r="Z544" i="2"/>
  <c r="W544" i="2"/>
  <c r="T544" i="2"/>
  <c r="Q544" i="2"/>
  <c r="Z543" i="2"/>
  <c r="AC543" i="2"/>
  <c r="AF543" i="2"/>
  <c r="W543" i="2"/>
  <c r="T543" i="2"/>
  <c r="Q543" i="2"/>
  <c r="AC542" i="2"/>
  <c r="W542" i="2"/>
  <c r="T542" i="2"/>
  <c r="Z542" i="2"/>
  <c r="Q542" i="2"/>
  <c r="AF542" i="2"/>
  <c r="AF541" i="2"/>
  <c r="AC541" i="2"/>
  <c r="Q541" i="2"/>
  <c r="T541" i="2"/>
  <c r="W541" i="2"/>
  <c r="Z541" i="2"/>
  <c r="AC540" i="2"/>
  <c r="AF540" i="2"/>
  <c r="Q540" i="2"/>
  <c r="T540" i="2"/>
  <c r="W540" i="2"/>
  <c r="Z540" i="2"/>
  <c r="Q539" i="2"/>
  <c r="T539" i="2"/>
  <c r="Z539" i="2"/>
  <c r="AC539" i="2"/>
  <c r="AF539" i="2"/>
  <c r="W539" i="2"/>
  <c r="W538" i="2"/>
  <c r="Z538" i="2"/>
  <c r="AC538" i="2"/>
  <c r="AF538" i="2"/>
  <c r="Q538" i="2"/>
  <c r="T538" i="2"/>
  <c r="W537" i="2"/>
  <c r="Z537" i="2"/>
  <c r="AF537" i="2"/>
  <c r="AC537" i="2"/>
  <c r="Q537" i="2"/>
  <c r="T537" i="2"/>
  <c r="Z536" i="2"/>
  <c r="Q536" i="2"/>
  <c r="AF536" i="2"/>
  <c r="AC536" i="2"/>
  <c r="W536" i="2"/>
  <c r="T536" i="2"/>
  <c r="AF535" i="2"/>
  <c r="AC535" i="2"/>
  <c r="Z535" i="2"/>
  <c r="W535" i="2"/>
  <c r="T535" i="2"/>
  <c r="Q535" i="2"/>
  <c r="AF534" i="2"/>
  <c r="Q534" i="2"/>
  <c r="AC534" i="2"/>
  <c r="T534" i="2"/>
  <c r="W534" i="2"/>
  <c r="Z534" i="2"/>
  <c r="W533" i="2"/>
  <c r="Z533" i="2"/>
  <c r="AC533" i="2"/>
  <c r="AF533" i="2"/>
  <c r="T533" i="2"/>
  <c r="Q533" i="2"/>
  <c r="W532" i="2"/>
  <c r="Q532" i="2"/>
  <c r="Z532" i="2"/>
  <c r="T532" i="2"/>
  <c r="AF532" i="2"/>
  <c r="AC532" i="2"/>
  <c r="AC531" i="2"/>
  <c r="W531" i="2"/>
  <c r="T531" i="2"/>
  <c r="AF531" i="2"/>
  <c r="Z531" i="2"/>
  <c r="Q531" i="2"/>
  <c r="Q530" i="2"/>
  <c r="W530" i="2"/>
  <c r="Z530" i="2"/>
  <c r="AF530" i="2"/>
  <c r="AC530" i="2"/>
  <c r="T530" i="2"/>
  <c r="AF529" i="2"/>
  <c r="T529" i="2"/>
  <c r="Z529" i="2"/>
  <c r="AC529" i="2"/>
  <c r="W529" i="2"/>
  <c r="Q529" i="2"/>
  <c r="Q528" i="2"/>
  <c r="AF528" i="2"/>
  <c r="AC528" i="2"/>
  <c r="Z528" i="2"/>
  <c r="W528" i="2"/>
  <c r="T528" i="2"/>
  <c r="AF527" i="2"/>
  <c r="AC527" i="2"/>
  <c r="Z527" i="2"/>
  <c r="W527" i="2"/>
  <c r="T527" i="2"/>
  <c r="Q527" i="2"/>
  <c r="Q526" i="2"/>
  <c r="AF526" i="2"/>
  <c r="AC526" i="2"/>
  <c r="Z526" i="2"/>
  <c r="W526" i="2"/>
  <c r="T526" i="2"/>
  <c r="AF525" i="2"/>
  <c r="AC525" i="2"/>
  <c r="Z525" i="2"/>
  <c r="W525" i="2"/>
  <c r="T525" i="2"/>
  <c r="Q525" i="2"/>
  <c r="Q524" i="2"/>
  <c r="AF524" i="2"/>
  <c r="AC524" i="2"/>
  <c r="Z524" i="2"/>
  <c r="W524" i="2"/>
  <c r="T524" i="2"/>
  <c r="AF523" i="2"/>
  <c r="AC523" i="2"/>
  <c r="Z523" i="2"/>
  <c r="W523" i="2"/>
  <c r="T523" i="2"/>
  <c r="Q523" i="2"/>
  <c r="Q522" i="2"/>
  <c r="AF522" i="2"/>
  <c r="AC522" i="2"/>
  <c r="Z522" i="2"/>
  <c r="W522" i="2"/>
  <c r="T522" i="2"/>
  <c r="Q521" i="2"/>
  <c r="AF521" i="2"/>
  <c r="AC521" i="2"/>
  <c r="Z521" i="2"/>
  <c r="W521" i="2"/>
  <c r="T521" i="2"/>
  <c r="Q520" i="2"/>
  <c r="T520" i="2"/>
  <c r="Z520" i="2"/>
  <c r="AC520" i="2"/>
  <c r="AF520" i="2"/>
  <c r="W520" i="2"/>
  <c r="Q519" i="2"/>
  <c r="T519" i="2"/>
  <c r="W519" i="2"/>
  <c r="Z519" i="2"/>
  <c r="AC519" i="2"/>
  <c r="AF519" i="2"/>
  <c r="Q518" i="2"/>
  <c r="T518" i="2"/>
  <c r="W518" i="2"/>
  <c r="Z518" i="2"/>
  <c r="AC518" i="2"/>
  <c r="AF518" i="2"/>
  <c r="AC517" i="2"/>
  <c r="T517" i="2"/>
  <c r="W517" i="2"/>
  <c r="Z517" i="2"/>
  <c r="AF517" i="2"/>
  <c r="Q517" i="2"/>
  <c r="Q516" i="2"/>
  <c r="T516" i="2"/>
  <c r="W516" i="2"/>
  <c r="Z516" i="2"/>
  <c r="AC516" i="2"/>
  <c r="AF516" i="2"/>
  <c r="Z515" i="2"/>
  <c r="Q515" i="2"/>
  <c r="T515" i="2"/>
  <c r="W515" i="2"/>
  <c r="AC515" i="2"/>
  <c r="AF515" i="2"/>
  <c r="Q514" i="2"/>
  <c r="Z514" i="2"/>
  <c r="W514" i="2"/>
  <c r="T514" i="2"/>
  <c r="AF514" i="2"/>
  <c r="AC514" i="2"/>
  <c r="T513" i="2"/>
  <c r="W513" i="2"/>
  <c r="Z513" i="2"/>
  <c r="AC513" i="2"/>
  <c r="AF513" i="2"/>
  <c r="Q513" i="2"/>
  <c r="AF512" i="2"/>
  <c r="AC512" i="2"/>
  <c r="Z512" i="2"/>
  <c r="W512" i="2"/>
  <c r="T512" i="2"/>
  <c r="Q512" i="2"/>
  <c r="AC511" i="2"/>
  <c r="Q511" i="2"/>
  <c r="AF511" i="2"/>
  <c r="Z511" i="2"/>
  <c r="W511" i="2"/>
  <c r="T511" i="2"/>
  <c r="Q510" i="2"/>
  <c r="AC510" i="2"/>
  <c r="Z510" i="2"/>
  <c r="W510" i="2"/>
  <c r="T510" i="2"/>
  <c r="AF510" i="2"/>
  <c r="Q509" i="2"/>
  <c r="AF509" i="2"/>
  <c r="AC509" i="2"/>
  <c r="Z509" i="2"/>
  <c r="W509" i="2"/>
  <c r="T509" i="2"/>
  <c r="Q508" i="2"/>
  <c r="T508" i="2"/>
  <c r="W508" i="2"/>
  <c r="Z508" i="2"/>
  <c r="AC508" i="2"/>
  <c r="AF508" i="2"/>
  <c r="Z507" i="2"/>
  <c r="T507" i="2"/>
  <c r="W507" i="2"/>
  <c r="AC507" i="2"/>
  <c r="AF507" i="2"/>
  <c r="Q507" i="2"/>
  <c r="AC506" i="2"/>
  <c r="Z506" i="2"/>
  <c r="W506" i="2"/>
  <c r="Q506" i="2"/>
  <c r="T506" i="2"/>
  <c r="AF506" i="2"/>
  <c r="Z505" i="2"/>
  <c r="Q505" i="2"/>
  <c r="AF505" i="2"/>
  <c r="AC505" i="2"/>
  <c r="T505" i="2"/>
  <c r="W505" i="2"/>
  <c r="T504" i="2"/>
  <c r="Z504" i="2"/>
  <c r="AC504" i="2"/>
  <c r="AF504" i="2"/>
  <c r="W504" i="2"/>
  <c r="Q504" i="2"/>
  <c r="AF503" i="2"/>
  <c r="Q503" i="2"/>
  <c r="AC503" i="2"/>
  <c r="Z503" i="2"/>
  <c r="W503" i="2"/>
  <c r="T503" i="2"/>
  <c r="AF502" i="2"/>
  <c r="Q502" i="2"/>
  <c r="AC502" i="2"/>
  <c r="Z502" i="2"/>
  <c r="W502" i="2"/>
  <c r="T502" i="2"/>
  <c r="T501" i="2"/>
  <c r="W501" i="2"/>
  <c r="Z501" i="2"/>
  <c r="AC501" i="2"/>
  <c r="AF501" i="2"/>
  <c r="Q501" i="2"/>
  <c r="T500" i="2"/>
  <c r="Q500" i="2"/>
  <c r="AC500" i="2"/>
  <c r="AF500" i="2"/>
  <c r="Z500" i="2"/>
  <c r="W500" i="2"/>
  <c r="T499" i="2"/>
  <c r="W499" i="2"/>
  <c r="Z499" i="2"/>
  <c r="AC499" i="2"/>
  <c r="AF499" i="2"/>
  <c r="Q499" i="2"/>
  <c r="Q498" i="2"/>
  <c r="T498" i="2"/>
  <c r="W498" i="2"/>
  <c r="Z498" i="2"/>
  <c r="AC498" i="2"/>
  <c r="AF498" i="2"/>
  <c r="T497" i="2"/>
  <c r="W497" i="2"/>
  <c r="AC497" i="2"/>
  <c r="AF497" i="2"/>
  <c r="Q497" i="2"/>
  <c r="Z497" i="2"/>
  <c r="Z496" i="2"/>
  <c r="AC496" i="2"/>
  <c r="AF496" i="2"/>
  <c r="T482" i="2"/>
  <c r="W482" i="2"/>
  <c r="T481" i="2"/>
  <c r="AC481" i="2"/>
  <c r="Z481" i="2"/>
  <c r="W481" i="2"/>
  <c r="Q481" i="2"/>
  <c r="AF481" i="2"/>
  <c r="Q480" i="2"/>
  <c r="AF480" i="2"/>
  <c r="AC480" i="2"/>
  <c r="Z480" i="2"/>
  <c r="W480" i="2"/>
  <c r="T480" i="2"/>
  <c r="AF479" i="2"/>
  <c r="AC479" i="2"/>
  <c r="Z479" i="2"/>
  <c r="W479" i="2"/>
  <c r="T479" i="2"/>
  <c r="Q479" i="2"/>
  <c r="Z478" i="2"/>
  <c r="Q478" i="2"/>
  <c r="T478" i="2"/>
  <c r="W478" i="2"/>
  <c r="AC478" i="2"/>
  <c r="AF478" i="2"/>
  <c r="Z477" i="2"/>
  <c r="AC477" i="2"/>
  <c r="AF477" i="2"/>
  <c r="Q477" i="2"/>
  <c r="T477" i="2"/>
  <c r="W477" i="2"/>
  <c r="Z476" i="2"/>
  <c r="AF476" i="2"/>
  <c r="AC476" i="2"/>
  <c r="W476" i="2"/>
  <c r="T476" i="2"/>
  <c r="Q476" i="2"/>
  <c r="Q475" i="2"/>
  <c r="AF475" i="2"/>
  <c r="AC475" i="2"/>
  <c r="Z475" i="2"/>
  <c r="W475" i="2"/>
  <c r="T475" i="2"/>
  <c r="AF474" i="2"/>
  <c r="AC474" i="2"/>
  <c r="Z474" i="2"/>
  <c r="W474" i="2"/>
  <c r="T474" i="2"/>
  <c r="Q474" i="2"/>
  <c r="T473" i="2"/>
  <c r="Z473" i="2"/>
  <c r="W473" i="2"/>
  <c r="Q473" i="2"/>
  <c r="AF473" i="2"/>
  <c r="AC473" i="2"/>
  <c r="AF472" i="2"/>
  <c r="AC472" i="2"/>
  <c r="W472" i="2"/>
  <c r="T472" i="2"/>
  <c r="Q472" i="2"/>
  <c r="Z472" i="2"/>
  <c r="Z471" i="2"/>
  <c r="AF471" i="2"/>
  <c r="Q471" i="2"/>
  <c r="AC471" i="2"/>
  <c r="T471" i="2"/>
  <c r="W471" i="2"/>
  <c r="Q470" i="2"/>
  <c r="AC470" i="2"/>
  <c r="Z470" i="2"/>
  <c r="W470" i="2"/>
  <c r="T470" i="2"/>
  <c r="AF470" i="2"/>
  <c r="W469" i="2"/>
  <c r="T469" i="2"/>
  <c r="Q469" i="2"/>
  <c r="AF469" i="2"/>
  <c r="AC469" i="2"/>
  <c r="Z469" i="2"/>
  <c r="AC468" i="2"/>
  <c r="T468" i="2"/>
  <c r="W468" i="2"/>
  <c r="Z468" i="2"/>
  <c r="AF468" i="2"/>
  <c r="Q468" i="2"/>
  <c r="W467" i="2"/>
  <c r="T467" i="2"/>
  <c r="Q467" i="2"/>
  <c r="AF467" i="2"/>
  <c r="AC467" i="2"/>
  <c r="Z467" i="2"/>
  <c r="Q466" i="2"/>
  <c r="AF466" i="2"/>
  <c r="AC466" i="2"/>
  <c r="Z466" i="2"/>
  <c r="W466" i="2"/>
  <c r="T466" i="2"/>
  <c r="AF465" i="2"/>
  <c r="AC465" i="2"/>
  <c r="Z465" i="2"/>
  <c r="W465" i="2"/>
  <c r="T465" i="2"/>
  <c r="Q465" i="2"/>
  <c r="Q464" i="2"/>
  <c r="AF464" i="2"/>
  <c r="AC464" i="2"/>
  <c r="Z464" i="2"/>
  <c r="W464" i="2"/>
  <c r="T464" i="2"/>
  <c r="W463" i="2"/>
  <c r="AF463" i="2"/>
  <c r="AC463" i="2"/>
  <c r="Z463" i="2"/>
  <c r="T463" i="2"/>
  <c r="Q463" i="2"/>
  <c r="W462" i="2"/>
  <c r="Z462" i="2"/>
  <c r="AC462" i="2"/>
  <c r="AF462" i="2"/>
  <c r="Q462" i="2"/>
  <c r="T462" i="2"/>
  <c r="Q461" i="2"/>
  <c r="T461" i="2"/>
  <c r="W461" i="2"/>
  <c r="Z461" i="2"/>
  <c r="AC461" i="2"/>
  <c r="AF461" i="2"/>
  <c r="Q460" i="2"/>
  <c r="AF460" i="2"/>
  <c r="AC460" i="2"/>
  <c r="Z460" i="2"/>
  <c r="W460" i="2"/>
  <c r="T460" i="2"/>
  <c r="T459" i="2"/>
  <c r="W459" i="2"/>
  <c r="Z459" i="2"/>
  <c r="AC459" i="2"/>
  <c r="AF459" i="2"/>
  <c r="Q459" i="2"/>
  <c r="Q458" i="2"/>
  <c r="T458" i="2"/>
  <c r="W458" i="2"/>
  <c r="Z458" i="2"/>
  <c r="AC458" i="2"/>
  <c r="AF458" i="2"/>
  <c r="AF457" i="2"/>
  <c r="T457" i="2"/>
  <c r="W457" i="2"/>
  <c r="Z457" i="2"/>
  <c r="AC457" i="2"/>
  <c r="Q457" i="2"/>
  <c r="T456" i="2"/>
  <c r="AC456" i="2"/>
  <c r="W456" i="2"/>
  <c r="Z456" i="2"/>
  <c r="Q456" i="2"/>
  <c r="AF456" i="2"/>
  <c r="AC455" i="2"/>
  <c r="AF455" i="2"/>
  <c r="Q455" i="2"/>
  <c r="T455" i="2"/>
  <c r="W455" i="2"/>
  <c r="Z455" i="2"/>
  <c r="Z454" i="2"/>
  <c r="W454" i="2"/>
  <c r="T454" i="2"/>
  <c r="AC454" i="2"/>
  <c r="AF454" i="2"/>
  <c r="Q454" i="2"/>
  <c r="W453" i="2"/>
  <c r="Q453" i="2"/>
  <c r="AF453" i="2"/>
  <c r="AC453" i="2"/>
  <c r="Z453" i="2"/>
  <c r="T453" i="2"/>
  <c r="Q452" i="2"/>
  <c r="AF452" i="2"/>
  <c r="AC452" i="2"/>
  <c r="Z452" i="2"/>
  <c r="W452" i="2"/>
  <c r="T452" i="2"/>
  <c r="AC451" i="2"/>
  <c r="AF451" i="2"/>
  <c r="Q451" i="2"/>
  <c r="T451" i="2"/>
  <c r="W451" i="2"/>
  <c r="Z451" i="2"/>
  <c r="Q450" i="2"/>
  <c r="AF450" i="2"/>
  <c r="T450" i="2"/>
  <c r="W450" i="2"/>
  <c r="Z450" i="2"/>
  <c r="AC450" i="2"/>
  <c r="Q449" i="2"/>
  <c r="AF449" i="2"/>
  <c r="AC449" i="2"/>
  <c r="Z449" i="2"/>
  <c r="W449" i="2"/>
  <c r="T449" i="2"/>
  <c r="Q448" i="2"/>
  <c r="AF448" i="2"/>
  <c r="AC448" i="2"/>
  <c r="Z448" i="2"/>
  <c r="W448" i="2"/>
  <c r="T448" i="2"/>
  <c r="Q447" i="2"/>
  <c r="AF447" i="2"/>
  <c r="AC447" i="2"/>
  <c r="Z447" i="2"/>
  <c r="T447" i="2"/>
  <c r="W447" i="2"/>
  <c r="T446" i="2"/>
  <c r="W446" i="2"/>
  <c r="Z446" i="2"/>
  <c r="AC446" i="2"/>
  <c r="AF446" i="2"/>
  <c r="Q446" i="2"/>
  <c r="AC445" i="2"/>
  <c r="Z445" i="2"/>
  <c r="Q445" i="2"/>
  <c r="T445" i="2"/>
  <c r="W445" i="2"/>
  <c r="AF445" i="2"/>
  <c r="W444" i="2"/>
  <c r="T444" i="2"/>
  <c r="Q444" i="2"/>
  <c r="AF444" i="2"/>
  <c r="AC444" i="2"/>
  <c r="Z444" i="2"/>
  <c r="W443" i="2"/>
  <c r="T443" i="2"/>
  <c r="AF443" i="2"/>
  <c r="AC443" i="2"/>
  <c r="Q443" i="2"/>
  <c r="Z443" i="2"/>
  <c r="Q442" i="2"/>
  <c r="AF442" i="2"/>
  <c r="AC442" i="2"/>
  <c r="Z442" i="2"/>
  <c r="W442" i="2"/>
  <c r="T442" i="2"/>
  <c r="AC441" i="2"/>
  <c r="T441" i="2"/>
  <c r="W441" i="2"/>
  <c r="Z441" i="2"/>
  <c r="Q441" i="2"/>
  <c r="AF441" i="2"/>
  <c r="AF440" i="2"/>
  <c r="Q440" i="2"/>
  <c r="T440" i="2"/>
  <c r="W440" i="2"/>
  <c r="Z440" i="2"/>
  <c r="AC440" i="2"/>
  <c r="Z439" i="2"/>
  <c r="AC439" i="2"/>
  <c r="AF439" i="2"/>
  <c r="Q439" i="2"/>
  <c r="T439" i="2"/>
  <c r="W439" i="2"/>
  <c r="W438" i="2"/>
  <c r="T438" i="2"/>
  <c r="Q438" i="2"/>
  <c r="AF438" i="2"/>
  <c r="AC438" i="2"/>
  <c r="Z438" i="2"/>
  <c r="Q437" i="2"/>
  <c r="T437" i="2"/>
  <c r="Z437" i="2"/>
  <c r="W437" i="2"/>
  <c r="AC437" i="2"/>
  <c r="AF437" i="2"/>
  <c r="Q436" i="2"/>
  <c r="AC436" i="2"/>
  <c r="AF436" i="2"/>
  <c r="T436" i="2"/>
  <c r="Z436" i="2"/>
  <c r="W436" i="2"/>
  <c r="Q397" i="2"/>
  <c r="T397" i="2"/>
  <c r="W397" i="2"/>
  <c r="Z397" i="2"/>
  <c r="T396" i="2"/>
  <c r="AF396" i="2"/>
  <c r="AC396" i="2"/>
  <c r="Z396" i="2"/>
  <c r="W396" i="2"/>
  <c r="Q396" i="2"/>
  <c r="Q395" i="2"/>
  <c r="T395" i="2"/>
  <c r="AF395" i="2"/>
  <c r="AC395" i="2"/>
  <c r="Z395" i="2"/>
  <c r="W395" i="2"/>
  <c r="AC394" i="2"/>
  <c r="T394" i="2"/>
  <c r="W394" i="2"/>
  <c r="Z394" i="2"/>
  <c r="AF394" i="2"/>
  <c r="Q394" i="2"/>
  <c r="AC393" i="2"/>
  <c r="Q393" i="2"/>
  <c r="AF393" i="2"/>
  <c r="W393" i="2"/>
  <c r="Z393" i="2"/>
  <c r="T393" i="2"/>
  <c r="Z312" i="2"/>
  <c r="AC312" i="2"/>
  <c r="W312" i="2"/>
  <c r="T312" i="2"/>
  <c r="Q312" i="2"/>
  <c r="AF311" i="2"/>
  <c r="Z311" i="2"/>
  <c r="W311" i="2"/>
  <c r="T311" i="2"/>
  <c r="Q311" i="2"/>
  <c r="AC311" i="2"/>
  <c r="AF310" i="2"/>
  <c r="Z310" i="2"/>
  <c r="AC310" i="2"/>
  <c r="W310" i="2"/>
  <c r="T310" i="2"/>
  <c r="Q310" i="2"/>
  <c r="AF309" i="2"/>
  <c r="Z309" i="2"/>
  <c r="W309" i="2"/>
  <c r="T309" i="2"/>
  <c r="Q309" i="2"/>
  <c r="AC309" i="2"/>
  <c r="Z308" i="2"/>
  <c r="Q308" i="2"/>
  <c r="T308" i="2"/>
  <c r="W308" i="2"/>
  <c r="AC308" i="2"/>
  <c r="AF308" i="2"/>
  <c r="Q307" i="2"/>
  <c r="T307" i="2"/>
  <c r="W307" i="2"/>
  <c r="AC307" i="2"/>
  <c r="Z307" i="2"/>
  <c r="AF307" i="2"/>
  <c r="Z306" i="2"/>
  <c r="AC306" i="2"/>
  <c r="W306" i="2"/>
  <c r="T306" i="2"/>
  <c r="Q306" i="2"/>
  <c r="AF306" i="2"/>
  <c r="Z305" i="2"/>
  <c r="AC305" i="2"/>
  <c r="W305" i="2"/>
  <c r="T305" i="2"/>
  <c r="Q305" i="2"/>
  <c r="AF305" i="2"/>
  <c r="AF304" i="2"/>
  <c r="Z304" i="2"/>
  <c r="AC304" i="2"/>
  <c r="W304" i="2"/>
  <c r="Q304" i="2"/>
  <c r="T304" i="2"/>
  <c r="Z303" i="2"/>
  <c r="AC303" i="2"/>
  <c r="W303" i="2"/>
  <c r="T303" i="2"/>
  <c r="Q303" i="2"/>
  <c r="AF303" i="2"/>
  <c r="Z302" i="2"/>
  <c r="AF302" i="2"/>
  <c r="AC302" i="2"/>
  <c r="Q302" i="2"/>
  <c r="T302" i="2"/>
  <c r="W302" i="2"/>
  <c r="Q301" i="2"/>
  <c r="T301" i="2"/>
  <c r="W301" i="2"/>
  <c r="AC301" i="2"/>
  <c r="Z301" i="2"/>
  <c r="AF301" i="2"/>
  <c r="T300" i="2"/>
  <c r="W300" i="2"/>
  <c r="AC300" i="2"/>
  <c r="Z300" i="2"/>
  <c r="AF300" i="2"/>
  <c r="Q300" i="2"/>
  <c r="AF610" i="2"/>
  <c r="AC610" i="2"/>
  <c r="Z610" i="2"/>
  <c r="W610" i="2"/>
  <c r="T610" i="2"/>
  <c r="Q610" i="2"/>
  <c r="W609" i="2"/>
  <c r="AF609" i="2"/>
  <c r="Z609" i="2"/>
  <c r="T609" i="2"/>
  <c r="AC609" i="2"/>
  <c r="Q609" i="2"/>
  <c r="W608" i="2"/>
  <c r="T608" i="2"/>
  <c r="AF608" i="2"/>
  <c r="AC608" i="2"/>
  <c r="Z608" i="2"/>
  <c r="Q608" i="2"/>
  <c r="T607" i="2"/>
  <c r="W607" i="2"/>
  <c r="Z607" i="2"/>
  <c r="AC607" i="2"/>
  <c r="AF607" i="2"/>
  <c r="Q607" i="2"/>
  <c r="Q606" i="2"/>
  <c r="AF606" i="2"/>
  <c r="AC606" i="2"/>
  <c r="Z606" i="2"/>
  <c r="W606" i="2"/>
  <c r="T606" i="2"/>
  <c r="AF605" i="2"/>
  <c r="T605" i="2"/>
  <c r="Q605" i="2"/>
  <c r="AC605" i="2"/>
  <c r="Z605" i="2"/>
  <c r="W605" i="2"/>
  <c r="AC604" i="2"/>
  <c r="Z604" i="2"/>
  <c r="AF604" i="2"/>
  <c r="Q604" i="2"/>
  <c r="T604" i="2"/>
  <c r="W604" i="2"/>
  <c r="Q603" i="2"/>
  <c r="T603" i="2"/>
  <c r="W603" i="2"/>
  <c r="AC603" i="2"/>
  <c r="AF603" i="2"/>
  <c r="Z603" i="2"/>
  <c r="Q602" i="2"/>
  <c r="T602" i="2"/>
  <c r="W602" i="2"/>
  <c r="Z602" i="2"/>
  <c r="AC602" i="2"/>
  <c r="AF602" i="2"/>
  <c r="Q601" i="2"/>
  <c r="T601" i="2"/>
  <c r="W601" i="2"/>
  <c r="Z601" i="2"/>
  <c r="AF601" i="2"/>
  <c r="AC601" i="2"/>
  <c r="AF600" i="2"/>
  <c r="AC600" i="2"/>
  <c r="Z600" i="2"/>
  <c r="T600" i="2"/>
  <c r="Q600" i="2"/>
  <c r="W600" i="2"/>
  <c r="Q111" i="2"/>
  <c r="T111" i="2"/>
  <c r="W111" i="2"/>
  <c r="AC111" i="2"/>
  <c r="Z111" i="2"/>
  <c r="AF111" i="2"/>
  <c r="AF110" i="2"/>
  <c r="Q110" i="2"/>
  <c r="T110" i="2"/>
  <c r="W110" i="2"/>
  <c r="AC110" i="2"/>
  <c r="Z110" i="2"/>
  <c r="T109" i="2"/>
  <c r="W109" i="2"/>
  <c r="AC109" i="2"/>
  <c r="Z109" i="2"/>
  <c r="AF109" i="2"/>
  <c r="Q109" i="2"/>
  <c r="T1051" i="2"/>
  <c r="Q1051" i="2"/>
  <c r="AF1051" i="2"/>
  <c r="AC1051" i="2"/>
  <c r="Z1051" i="2"/>
  <c r="W1051" i="2"/>
  <c r="Q1050" i="2"/>
  <c r="Z1050" i="2"/>
  <c r="W1050" i="2"/>
  <c r="T1050" i="2"/>
  <c r="AF1050" i="2"/>
  <c r="AC1050" i="2"/>
  <c r="AF1049" i="2"/>
  <c r="AC1049" i="2"/>
  <c r="Z1049" i="2"/>
  <c r="W1049" i="2"/>
  <c r="T1049" i="2"/>
  <c r="Q1049" i="2"/>
  <c r="AF1048" i="2"/>
  <c r="AC1048" i="2"/>
  <c r="Z1048" i="2"/>
  <c r="W1048" i="2"/>
  <c r="T1048" i="2"/>
  <c r="Q1048" i="2"/>
  <c r="AC1047" i="2"/>
  <c r="Q1047" i="2"/>
  <c r="T1047" i="2"/>
  <c r="W1047" i="2"/>
  <c r="Z1047" i="2"/>
  <c r="AF1047" i="2"/>
  <c r="Q1046" i="2"/>
  <c r="T1046" i="2"/>
  <c r="W1046" i="2"/>
  <c r="Z1046" i="2"/>
  <c r="AC1046" i="2"/>
  <c r="AF1046" i="2"/>
  <c r="Q1045" i="2"/>
  <c r="T1045" i="2"/>
  <c r="W1045" i="2"/>
  <c r="Z1045" i="2"/>
  <c r="AC1045" i="2"/>
  <c r="AF1045" i="2"/>
  <c r="Q1044" i="2"/>
  <c r="AF1044" i="2"/>
  <c r="AC1044" i="2"/>
  <c r="Z1044" i="2"/>
  <c r="W1044" i="2"/>
  <c r="T1044" i="2"/>
  <c r="Z1043" i="2"/>
  <c r="AF1043" i="2"/>
  <c r="AC1043" i="2"/>
  <c r="W1043" i="2"/>
  <c r="T1043" i="2"/>
  <c r="Q1043" i="2"/>
  <c r="Z1042" i="2"/>
  <c r="W1042" i="2"/>
  <c r="Q1042" i="2"/>
  <c r="T1042" i="2"/>
  <c r="AF1042" i="2"/>
  <c r="AC1042" i="2"/>
  <c r="AC1041" i="2"/>
  <c r="Z1041" i="2"/>
  <c r="W1041" i="2"/>
  <c r="T1041" i="2"/>
  <c r="Q1041" i="2"/>
  <c r="AF1041" i="2"/>
  <c r="T1040" i="2"/>
  <c r="Q1040" i="2"/>
  <c r="AC1040" i="2"/>
  <c r="Z1040" i="2"/>
  <c r="W1040" i="2"/>
  <c r="AF1040" i="2"/>
  <c r="Z1039" i="2"/>
  <c r="W1039" i="2"/>
  <c r="T1039" i="2"/>
  <c r="Q1039" i="2"/>
  <c r="AF1039" i="2"/>
  <c r="AC1039" i="2"/>
  <c r="Z1038" i="2"/>
  <c r="W1038" i="2"/>
  <c r="T1038" i="2"/>
  <c r="Q1038" i="2"/>
  <c r="AF1038" i="2"/>
  <c r="AC1038" i="2"/>
  <c r="AF1037" i="2"/>
  <c r="AC1037" i="2"/>
  <c r="W1037" i="2"/>
  <c r="Z1037" i="2"/>
  <c r="T1037" i="2"/>
  <c r="Q1037" i="2"/>
  <c r="T1036" i="2"/>
  <c r="Q1036" i="2"/>
  <c r="AF1036" i="2"/>
  <c r="AC1036" i="2"/>
  <c r="Z1036" i="2"/>
  <c r="W1036" i="2"/>
  <c r="Z1035" i="2"/>
  <c r="W1035" i="2"/>
  <c r="T1035" i="2"/>
  <c r="Q1035" i="2"/>
  <c r="AF1035" i="2"/>
  <c r="AC1035" i="2"/>
  <c r="AF1034" i="2"/>
  <c r="AC1034" i="2"/>
  <c r="Z1034" i="2"/>
  <c r="W1034" i="2"/>
  <c r="T1034" i="2"/>
  <c r="Q1034" i="2"/>
  <c r="Q1033" i="2"/>
  <c r="Z1033" i="2"/>
  <c r="AF1033" i="2"/>
  <c r="AC1033" i="2"/>
  <c r="W1033" i="2"/>
  <c r="T1033" i="2"/>
  <c r="Q1032" i="2"/>
  <c r="T1032" i="2"/>
  <c r="W1032" i="2"/>
  <c r="Z1032" i="2"/>
  <c r="AC1032" i="2"/>
  <c r="AF1032" i="2"/>
  <c r="Q1031" i="2"/>
  <c r="T1031" i="2"/>
  <c r="W1031" i="2"/>
  <c r="Z1031" i="2"/>
  <c r="AC1031" i="2"/>
  <c r="AF1031" i="2"/>
  <c r="Z1030" i="2"/>
  <c r="AC1030" i="2"/>
  <c r="AF1030" i="2"/>
  <c r="W1030" i="2"/>
  <c r="T1030" i="2"/>
  <c r="Q1030" i="2"/>
  <c r="AC1029" i="2"/>
  <c r="AF1029" i="2"/>
  <c r="Z1029" i="2"/>
  <c r="W1029" i="2"/>
  <c r="T1029" i="2"/>
  <c r="Q1029" i="2"/>
  <c r="Q1028" i="2"/>
  <c r="T1028" i="2"/>
  <c r="W1028" i="2"/>
  <c r="Z1028" i="2"/>
  <c r="AF1028" i="2"/>
  <c r="AC1028" i="2"/>
  <c r="W1027" i="2"/>
  <c r="AC1027" i="2"/>
  <c r="AF1027" i="2"/>
  <c r="T1027" i="2"/>
  <c r="Z1027" i="2"/>
  <c r="Q1027" i="2"/>
  <c r="Q1026" i="2"/>
  <c r="T1026" i="2"/>
  <c r="W1026" i="2"/>
  <c r="Z1026" i="2"/>
  <c r="AC1026" i="2"/>
  <c r="AF1026" i="2"/>
  <c r="AF1025" i="2"/>
  <c r="AC1025" i="2"/>
  <c r="Z1025" i="2"/>
  <c r="W1025" i="2"/>
  <c r="W946" i="2"/>
  <c r="T946" i="2"/>
  <c r="Q946" i="2"/>
  <c r="AF945" i="2"/>
  <c r="Q945" i="2"/>
  <c r="T945" i="2"/>
  <c r="W945" i="2"/>
  <c r="Z945" i="2"/>
  <c r="AC945" i="2"/>
  <c r="AF944" i="2"/>
  <c r="Q944" i="2"/>
  <c r="Z944" i="2"/>
  <c r="W944" i="2"/>
  <c r="AC944" i="2"/>
  <c r="T944" i="2"/>
  <c r="Q943" i="2"/>
  <c r="AF943" i="2"/>
  <c r="T943" i="2"/>
  <c r="Z943" i="2"/>
  <c r="W943" i="2"/>
  <c r="AC943" i="2"/>
  <c r="AC942" i="2"/>
  <c r="AF942" i="2"/>
  <c r="Z942" i="2"/>
  <c r="W942" i="2"/>
  <c r="T942" i="2"/>
  <c r="Q942" i="2"/>
  <c r="AF941" i="2"/>
  <c r="AC941" i="2"/>
  <c r="Z941" i="2"/>
  <c r="W941" i="2"/>
  <c r="T941" i="2"/>
  <c r="Q941" i="2"/>
  <c r="W940" i="2"/>
  <c r="T940" i="2"/>
  <c r="Q940" i="2"/>
  <c r="AF940" i="2"/>
  <c r="AC940" i="2"/>
  <c r="Z940" i="2"/>
  <c r="T939" i="2"/>
  <c r="AF939" i="2"/>
  <c r="Z939" i="2"/>
  <c r="AC939" i="2"/>
  <c r="W939" i="2"/>
  <c r="Q939" i="2"/>
  <c r="W938" i="2"/>
  <c r="AF938" i="2"/>
  <c r="AC938" i="2"/>
  <c r="Z938" i="2"/>
  <c r="T938" i="2"/>
  <c r="Q938" i="2"/>
  <c r="AC937" i="2"/>
  <c r="AF937" i="2"/>
  <c r="Z937" i="2"/>
  <c r="W937" i="2"/>
  <c r="T937" i="2"/>
  <c r="Q937" i="2"/>
  <c r="AF936" i="2"/>
  <c r="AC936" i="2"/>
  <c r="Z936" i="2"/>
  <c r="W936" i="2"/>
  <c r="T936" i="2"/>
  <c r="Q936" i="2"/>
  <c r="W935" i="2"/>
  <c r="T935" i="2"/>
  <c r="Q935" i="2"/>
  <c r="AF935" i="2"/>
  <c r="AC935" i="2"/>
  <c r="Z935" i="2"/>
  <c r="Z934" i="2"/>
  <c r="Q934" i="2"/>
  <c r="T934" i="2"/>
  <c r="W934" i="2"/>
  <c r="AC934" i="2"/>
  <c r="AF934" i="2"/>
  <c r="Q933" i="2"/>
  <c r="W933" i="2"/>
  <c r="Z933" i="2"/>
  <c r="T933" i="2"/>
  <c r="AF933" i="2"/>
  <c r="AC933" i="2"/>
  <c r="W932" i="2"/>
  <c r="Q932" i="2"/>
  <c r="T932" i="2"/>
  <c r="AF932" i="2"/>
  <c r="AC932" i="2"/>
  <c r="Z932" i="2"/>
  <c r="Z931" i="2"/>
  <c r="AC931" i="2"/>
  <c r="AF931" i="2"/>
  <c r="W931" i="2"/>
  <c r="Q931" i="2"/>
  <c r="T931" i="2"/>
  <c r="AC930" i="2"/>
  <c r="Q930" i="2"/>
  <c r="T930" i="2"/>
  <c r="W930" i="2"/>
  <c r="Z930" i="2"/>
  <c r="AF930" i="2"/>
  <c r="Q929" i="2"/>
  <c r="AF929" i="2"/>
  <c r="Z929" i="2"/>
  <c r="W929" i="2"/>
  <c r="AC929" i="2"/>
  <c r="T929" i="2"/>
  <c r="Q928" i="2"/>
  <c r="T928" i="2"/>
  <c r="W928" i="2"/>
  <c r="AF928" i="2"/>
  <c r="Z928" i="2"/>
  <c r="AC928" i="2"/>
  <c r="Q927" i="2"/>
  <c r="T927" i="2"/>
  <c r="W927" i="2"/>
  <c r="Z927" i="2"/>
  <c r="AC927" i="2"/>
  <c r="AF927" i="2"/>
  <c r="Z926" i="2"/>
  <c r="Q926" i="2"/>
  <c r="T926" i="2"/>
  <c r="W926" i="2"/>
  <c r="AC926" i="2"/>
  <c r="AF926" i="2"/>
  <c r="Q925" i="2"/>
  <c r="T925" i="2"/>
  <c r="W925" i="2"/>
  <c r="Z925" i="2"/>
  <c r="AC925" i="2"/>
  <c r="AF925" i="2"/>
  <c r="AC924" i="2"/>
  <c r="T924" i="2"/>
  <c r="W924" i="2"/>
  <c r="Z924" i="2"/>
  <c r="AF924" i="2"/>
  <c r="Q924" i="2"/>
  <c r="W923" i="2"/>
  <c r="T923" i="2"/>
  <c r="Q923" i="2"/>
  <c r="Z923" i="2"/>
  <c r="AF923" i="2"/>
  <c r="AC923" i="2"/>
  <c r="T922" i="2"/>
  <c r="Q922" i="2"/>
  <c r="Z922" i="2"/>
  <c r="AF922" i="2"/>
  <c r="AC922" i="2"/>
  <c r="W922" i="2"/>
  <c r="Q921" i="2"/>
  <c r="T921" i="2"/>
  <c r="W921" i="2"/>
  <c r="Z921" i="2"/>
  <c r="AC921" i="2"/>
  <c r="AF921" i="2"/>
  <c r="Z920" i="2"/>
  <c r="W920" i="2"/>
  <c r="AC920" i="2"/>
  <c r="AF920" i="2"/>
  <c r="AF811" i="2"/>
  <c r="Q811" i="2"/>
  <c r="T811" i="2"/>
  <c r="W811" i="2"/>
  <c r="Z811" i="2"/>
  <c r="AC811" i="2"/>
  <c r="T810" i="2"/>
  <c r="AF810" i="2"/>
  <c r="AC810" i="2"/>
  <c r="Z810" i="2"/>
  <c r="W810" i="2"/>
  <c r="Q810" i="2"/>
  <c r="T809" i="2"/>
  <c r="W809" i="2"/>
  <c r="Z809" i="2"/>
  <c r="AC809" i="2"/>
  <c r="AF809" i="2"/>
  <c r="Q809" i="2"/>
  <c r="Q808" i="2"/>
  <c r="T808" i="2"/>
  <c r="W808" i="2"/>
  <c r="Z808" i="2"/>
  <c r="AC808" i="2"/>
  <c r="AF808" i="2"/>
  <c r="W807" i="2"/>
  <c r="AF807" i="2"/>
  <c r="AC807" i="2"/>
  <c r="Z807" i="2"/>
  <c r="T807" i="2"/>
  <c r="Q807" i="2"/>
  <c r="AC806" i="2"/>
  <c r="AF806" i="2"/>
  <c r="Z806" i="2"/>
  <c r="W806" i="2"/>
  <c r="Q806" i="2"/>
  <c r="T806" i="2"/>
  <c r="AC805" i="2"/>
  <c r="T805" i="2"/>
  <c r="AF805" i="2"/>
  <c r="Z805" i="2"/>
  <c r="Q805" i="2"/>
  <c r="W805" i="2"/>
  <c r="W804" i="2"/>
  <c r="Q804" i="2"/>
  <c r="AF804" i="2"/>
  <c r="Z804" i="2"/>
  <c r="AC804" i="2"/>
  <c r="T804" i="2"/>
  <c r="T803" i="2"/>
  <c r="Z803" i="2"/>
  <c r="AC803" i="2"/>
  <c r="AF803" i="2"/>
  <c r="Q803" i="2"/>
  <c r="W803" i="2"/>
  <c r="T802" i="2"/>
  <c r="W802" i="2"/>
  <c r="Q802" i="2"/>
  <c r="Z802" i="2"/>
  <c r="AC802" i="2"/>
  <c r="AF802" i="2"/>
  <c r="Q801" i="2"/>
  <c r="AC801" i="2"/>
  <c r="W801" i="2"/>
  <c r="T801" i="2"/>
  <c r="Z801" i="2"/>
  <c r="AF801" i="2"/>
  <c r="T800" i="2"/>
  <c r="W800" i="2"/>
  <c r="Z800" i="2"/>
  <c r="AC800" i="2"/>
  <c r="AF800" i="2"/>
  <c r="Q800" i="2"/>
  <c r="Z799" i="2"/>
  <c r="W799" i="2"/>
  <c r="T799" i="2"/>
  <c r="Q799" i="2"/>
  <c r="AF799" i="2"/>
  <c r="AC799" i="2"/>
  <c r="AC798" i="2"/>
  <c r="Z798" i="2"/>
  <c r="W798" i="2"/>
  <c r="T798" i="2"/>
  <c r="Q798" i="2"/>
  <c r="AF798" i="2"/>
  <c r="AF797" i="2"/>
  <c r="AC797" i="2"/>
  <c r="Z797" i="2"/>
  <c r="W797" i="2"/>
  <c r="T797" i="2"/>
  <c r="Q797" i="2"/>
  <c r="AF796" i="2"/>
  <c r="AC796" i="2"/>
  <c r="Z796" i="2"/>
  <c r="W796" i="2"/>
  <c r="T796" i="2"/>
  <c r="Q796" i="2"/>
  <c r="T795" i="2"/>
  <c r="AF795" i="2"/>
  <c r="AC795" i="2"/>
  <c r="Z795" i="2"/>
  <c r="W795" i="2"/>
  <c r="Q795" i="2"/>
  <c r="AC794" i="2"/>
  <c r="Z794" i="2"/>
  <c r="W794" i="2"/>
  <c r="Q794" i="2"/>
  <c r="T794" i="2"/>
  <c r="AF794" i="2"/>
  <c r="AF793" i="2"/>
  <c r="AC793" i="2"/>
  <c r="Z554" i="2"/>
  <c r="W554" i="2"/>
  <c r="T554" i="2"/>
  <c r="Q553" i="2"/>
  <c r="AF553" i="2"/>
  <c r="W553" i="2"/>
  <c r="Z553" i="2"/>
  <c r="AC553" i="2"/>
  <c r="T553" i="2"/>
  <c r="AC552" i="2"/>
  <c r="T552" i="2"/>
  <c r="W552" i="2"/>
  <c r="Z552" i="2"/>
  <c r="AF552" i="2"/>
  <c r="Q552" i="2"/>
  <c r="AF551" i="2"/>
  <c r="AC551" i="2"/>
  <c r="Z551" i="2"/>
  <c r="W496" i="2"/>
  <c r="T496" i="2"/>
  <c r="Q496" i="2"/>
  <c r="Q495" i="2"/>
  <c r="Z495" i="2"/>
  <c r="W495" i="2"/>
  <c r="T495" i="2"/>
  <c r="AC495" i="2"/>
  <c r="AF495" i="2"/>
  <c r="W494" i="2"/>
  <c r="Z494" i="2"/>
  <c r="AF494" i="2"/>
  <c r="AC494" i="2"/>
  <c r="Q494" i="2"/>
  <c r="T494" i="2"/>
  <c r="T493" i="2"/>
  <c r="W493" i="2"/>
  <c r="Z493" i="2"/>
  <c r="AC493" i="2"/>
  <c r="AF493" i="2"/>
  <c r="Q493" i="2"/>
  <c r="Q492" i="2"/>
  <c r="AF492" i="2"/>
  <c r="T492" i="2"/>
  <c r="W492" i="2"/>
  <c r="Z492" i="2"/>
  <c r="AC492" i="2"/>
  <c r="Q491" i="2"/>
  <c r="T491" i="2"/>
  <c r="W491" i="2"/>
  <c r="Z491" i="2"/>
  <c r="AF491" i="2"/>
  <c r="AC491" i="2"/>
  <c r="AF490" i="2"/>
  <c r="Z490" i="2"/>
  <c r="W490" i="2"/>
  <c r="T490" i="2"/>
  <c r="AC490" i="2"/>
  <c r="Q490" i="2"/>
  <c r="Z489" i="2"/>
  <c r="W489" i="2"/>
  <c r="T489" i="2"/>
  <c r="Q489" i="2"/>
  <c r="AC489" i="2"/>
  <c r="AF489" i="2"/>
  <c r="Z488" i="2"/>
  <c r="Q488" i="2"/>
  <c r="AF488" i="2"/>
  <c r="AC488" i="2"/>
  <c r="W488" i="2"/>
  <c r="T488" i="2"/>
  <c r="AC487" i="2"/>
  <c r="AF487" i="2"/>
  <c r="Q487" i="2"/>
  <c r="T487" i="2"/>
  <c r="W487" i="2"/>
  <c r="Z487" i="2"/>
  <c r="AF486" i="2"/>
  <c r="Z486" i="2"/>
  <c r="AC486" i="2"/>
  <c r="W486" i="2"/>
  <c r="Q486" i="2"/>
  <c r="T486" i="2"/>
  <c r="AF485" i="2"/>
  <c r="T485" i="2"/>
  <c r="AC485" i="2"/>
  <c r="Z485" i="2"/>
  <c r="W485" i="2"/>
  <c r="Q485" i="2"/>
  <c r="Q484" i="2"/>
  <c r="AF484" i="2"/>
  <c r="AC484" i="2"/>
  <c r="Z484" i="2"/>
  <c r="W484" i="2"/>
  <c r="T484" i="2"/>
  <c r="W483" i="2"/>
  <c r="Z483" i="2"/>
  <c r="AC483" i="2"/>
  <c r="AF483" i="2"/>
  <c r="T483" i="2"/>
  <c r="Q483" i="2"/>
  <c r="Q482" i="2"/>
  <c r="AF482" i="2"/>
  <c r="AC482" i="2"/>
  <c r="Z482" i="2"/>
  <c r="Q418" i="2"/>
  <c r="T418" i="2"/>
  <c r="W418" i="2"/>
  <c r="W417" i="2"/>
  <c r="T417" i="2"/>
  <c r="AF417" i="2"/>
  <c r="Q417" i="2"/>
  <c r="AC417" i="2"/>
  <c r="Z417" i="2"/>
  <c r="Z416" i="2"/>
  <c r="AC416" i="2"/>
  <c r="AF416" i="2"/>
  <c r="Q416" i="2"/>
  <c r="T416" i="2"/>
  <c r="W416" i="2"/>
  <c r="AF415" i="2"/>
  <c r="Q415" i="2"/>
  <c r="AC415" i="2"/>
  <c r="Z415" i="2"/>
  <c r="W415" i="2"/>
  <c r="T415" i="2"/>
  <c r="AF414" i="2"/>
  <c r="AC414" i="2"/>
  <c r="Z414" i="2"/>
  <c r="W414" i="2"/>
  <c r="T414" i="2"/>
  <c r="Q414" i="2"/>
  <c r="Q413" i="2"/>
  <c r="AF413" i="2"/>
  <c r="AC413" i="2"/>
  <c r="W413" i="2"/>
  <c r="T413" i="2"/>
  <c r="Z413" i="2"/>
  <c r="W412" i="2"/>
  <c r="AF412" i="2"/>
  <c r="Z412" i="2"/>
  <c r="AC412" i="2"/>
  <c r="Q412" i="2"/>
  <c r="T412" i="2"/>
  <c r="W411" i="2"/>
  <c r="Z411" i="2"/>
  <c r="AC411" i="2"/>
  <c r="AF411" i="2"/>
  <c r="Q411" i="2"/>
  <c r="T411" i="2"/>
  <c r="Q410" i="2"/>
  <c r="Z410" i="2"/>
  <c r="AC410" i="2"/>
  <c r="AF410" i="2"/>
  <c r="W410" i="2"/>
  <c r="T410" i="2"/>
  <c r="AC409" i="2"/>
  <c r="W409" i="2"/>
  <c r="Q409" i="2"/>
  <c r="T409" i="2"/>
  <c r="AF409" i="2"/>
  <c r="Z409" i="2"/>
  <c r="AF408" i="2"/>
  <c r="AC408" i="2"/>
  <c r="Q408" i="2"/>
  <c r="T408" i="2"/>
  <c r="W408" i="2"/>
  <c r="Z408" i="2"/>
  <c r="Z407" i="2"/>
  <c r="Q407" i="2"/>
  <c r="AC407" i="2"/>
  <c r="AF407" i="2"/>
  <c r="T407" i="2"/>
  <c r="W407" i="2"/>
  <c r="AC406" i="2"/>
  <c r="Z406" i="2"/>
  <c r="W406" i="2"/>
  <c r="T406" i="2"/>
  <c r="AF406" i="2"/>
  <c r="Q406" i="2"/>
  <c r="Q405" i="2"/>
  <c r="AF405" i="2"/>
  <c r="AC405" i="2"/>
  <c r="Z405" i="2"/>
  <c r="W405" i="2"/>
  <c r="T405" i="2"/>
  <c r="W404" i="2"/>
  <c r="Q404" i="2"/>
  <c r="T404" i="2"/>
  <c r="AF404" i="2"/>
  <c r="AC404" i="2"/>
  <c r="Z404" i="2"/>
  <c r="AF403" i="2"/>
  <c r="AC403" i="2"/>
  <c r="Z403" i="2"/>
  <c r="W403" i="2"/>
  <c r="T403" i="2"/>
  <c r="Q403" i="2"/>
  <c r="Q402" i="2"/>
  <c r="AF402" i="2"/>
  <c r="AC402" i="2"/>
  <c r="Z402" i="2"/>
  <c r="W402" i="2"/>
  <c r="T402" i="2"/>
  <c r="AF401" i="2"/>
  <c r="AC401" i="2"/>
  <c r="Z401" i="2"/>
  <c r="W401" i="2"/>
  <c r="T401" i="2"/>
  <c r="Q401" i="2"/>
  <c r="T400" i="2"/>
  <c r="W400" i="2"/>
  <c r="Z400" i="2"/>
  <c r="AC400" i="2"/>
  <c r="AF400" i="2"/>
  <c r="Q400" i="2"/>
  <c r="Q399" i="2"/>
  <c r="T399" i="2"/>
  <c r="W399" i="2"/>
  <c r="AC399" i="2"/>
  <c r="AF399" i="2"/>
  <c r="Z399" i="2"/>
  <c r="Z398" i="2"/>
  <c r="W398" i="2"/>
  <c r="AC398" i="2"/>
  <c r="AF398" i="2"/>
  <c r="Q398" i="2"/>
  <c r="T398" i="2"/>
  <c r="AF397" i="2"/>
  <c r="AC397" i="2"/>
  <c r="T261" i="2"/>
  <c r="Q261" i="2"/>
  <c r="W261" i="2"/>
  <c r="AF260" i="2"/>
  <c r="Z260" i="2"/>
  <c r="AC260" i="2"/>
  <c r="W260" i="2"/>
  <c r="T260" i="2"/>
  <c r="Q260" i="2"/>
  <c r="AF259" i="2"/>
  <c r="Q259" i="2"/>
  <c r="T259" i="2"/>
  <c r="W259" i="2"/>
  <c r="AC259" i="2"/>
  <c r="Z259" i="2"/>
  <c r="W258" i="2"/>
  <c r="Z258" i="2"/>
  <c r="AC258" i="2"/>
  <c r="AF258" i="2"/>
  <c r="T258" i="2"/>
  <c r="Q258" i="2"/>
  <c r="Q257" i="2"/>
  <c r="AC257" i="2"/>
  <c r="AF257" i="2"/>
  <c r="Z257" i="2"/>
  <c r="W257" i="2"/>
  <c r="T257" i="2"/>
  <c r="AF256" i="2"/>
  <c r="W256" i="2"/>
  <c r="Q256" i="2"/>
  <c r="Z256" i="2"/>
  <c r="T256" i="2"/>
  <c r="AC256" i="2"/>
  <c r="W255" i="2"/>
  <c r="T255" i="2"/>
  <c r="Q255" i="2"/>
  <c r="AC255" i="2"/>
  <c r="AF255" i="2"/>
  <c r="Z255" i="2"/>
  <c r="Q254" i="2"/>
  <c r="AF254" i="2"/>
  <c r="Z254" i="2"/>
  <c r="AC254" i="2"/>
  <c r="W254" i="2"/>
  <c r="T254" i="2"/>
  <c r="Q253" i="2"/>
  <c r="T253" i="2"/>
  <c r="W253" i="2"/>
  <c r="Z253" i="2"/>
  <c r="AC253" i="2"/>
  <c r="AF253" i="2"/>
  <c r="AF252" i="2"/>
  <c r="Z252" i="2"/>
  <c r="AC252" i="2"/>
  <c r="T252" i="2"/>
  <c r="W252" i="2"/>
  <c r="Q252" i="2"/>
  <c r="Q251" i="2"/>
  <c r="T251" i="2"/>
  <c r="Z251" i="2"/>
  <c r="AF251" i="2"/>
  <c r="AC251" i="2"/>
  <c r="W251" i="2"/>
  <c r="W228" i="2"/>
  <c r="Q228" i="2"/>
  <c r="T228" i="2"/>
  <c r="Q227" i="2"/>
  <c r="T227" i="2"/>
  <c r="W227" i="2"/>
  <c r="AC227" i="2"/>
  <c r="Z227" i="2"/>
  <c r="AF227" i="2"/>
  <c r="Z226" i="2"/>
  <c r="Q226" i="2"/>
  <c r="T226" i="2"/>
  <c r="W226" i="2"/>
  <c r="AC226" i="2"/>
  <c r="AF226" i="2"/>
  <c r="Q2" i="2"/>
  <c r="AC2" i="2"/>
  <c r="Z977" i="2"/>
  <c r="W977" i="2"/>
  <c r="T977" i="2"/>
  <c r="Q977" i="2"/>
  <c r="Q976" i="2"/>
  <c r="AF976" i="2"/>
  <c r="AC976" i="2"/>
  <c r="Z976" i="2"/>
  <c r="W976" i="2"/>
  <c r="T976" i="2"/>
  <c r="W975" i="2"/>
  <c r="T975" i="2"/>
  <c r="Q975" i="2"/>
  <c r="AF975" i="2"/>
  <c r="AC975" i="2"/>
  <c r="Z975" i="2"/>
  <c r="Q974" i="2"/>
  <c r="AF974" i="2"/>
  <c r="AC974" i="2"/>
  <c r="Z974" i="2"/>
  <c r="W974" i="2"/>
  <c r="T974" i="2"/>
  <c r="AF973" i="2"/>
  <c r="AC973" i="2"/>
  <c r="Z973" i="2"/>
  <c r="T973" i="2"/>
  <c r="Q973" i="2"/>
  <c r="W973" i="2"/>
  <c r="Q972" i="2"/>
  <c r="AF972" i="2"/>
  <c r="Z972" i="2"/>
  <c r="AC972" i="2"/>
  <c r="W972" i="2"/>
  <c r="T972" i="2"/>
  <c r="AF971" i="2"/>
  <c r="AC971" i="2"/>
  <c r="Z971" i="2"/>
  <c r="W971" i="2"/>
  <c r="T971" i="2"/>
  <c r="Q971" i="2"/>
  <c r="Z970" i="2"/>
  <c r="AF970" i="2"/>
  <c r="Q970" i="2"/>
  <c r="T970" i="2"/>
  <c r="W970" i="2"/>
  <c r="AC970" i="2"/>
  <c r="Q969" i="2"/>
  <c r="AC969" i="2"/>
  <c r="AF969" i="2"/>
  <c r="Z969" i="2"/>
  <c r="T969" i="2"/>
  <c r="W969" i="2"/>
  <c r="AC968" i="2"/>
  <c r="Q968" i="2"/>
  <c r="T968" i="2"/>
  <c r="W968" i="2"/>
  <c r="Z968" i="2"/>
  <c r="AF968" i="2"/>
  <c r="AC967" i="2"/>
  <c r="AF967" i="2"/>
  <c r="Z967" i="2"/>
  <c r="W967" i="2"/>
  <c r="T967" i="2"/>
  <c r="Q967" i="2"/>
  <c r="Q966" i="2"/>
  <c r="AF966" i="2"/>
  <c r="AC966" i="2"/>
  <c r="Z966" i="2"/>
  <c r="W966" i="2"/>
  <c r="T966" i="2"/>
  <c r="W965" i="2"/>
  <c r="Q965" i="2"/>
  <c r="Z965" i="2"/>
  <c r="AF965" i="2"/>
  <c r="AC965" i="2"/>
  <c r="T965" i="2"/>
  <c r="T964" i="2"/>
  <c r="W964" i="2"/>
  <c r="Z964" i="2"/>
  <c r="AC964" i="2"/>
  <c r="AF964" i="2"/>
  <c r="Q964" i="2"/>
  <c r="Q963" i="2"/>
  <c r="AF963" i="2"/>
  <c r="AC963" i="2"/>
  <c r="Z963" i="2"/>
  <c r="W963" i="2"/>
  <c r="T963" i="2"/>
  <c r="Z962" i="2"/>
  <c r="AF962" i="2"/>
  <c r="AC962" i="2"/>
  <c r="T962" i="2"/>
  <c r="W962" i="2"/>
  <c r="Q962" i="2"/>
  <c r="AF961" i="2"/>
  <c r="AC961" i="2"/>
  <c r="Z961" i="2"/>
  <c r="W961" i="2"/>
  <c r="Q961" i="2"/>
  <c r="T961" i="2"/>
  <c r="W960" i="2"/>
  <c r="Q960" i="2"/>
  <c r="AC960" i="2"/>
  <c r="Z960" i="2"/>
  <c r="T960" i="2"/>
  <c r="AF960" i="2"/>
  <c r="Z959" i="2"/>
  <c r="T959" i="2"/>
  <c r="Q959" i="2"/>
  <c r="W959" i="2"/>
  <c r="AF959" i="2"/>
  <c r="AC959" i="2"/>
  <c r="T958" i="2"/>
  <c r="W958" i="2"/>
  <c r="Z958" i="2"/>
  <c r="AC958" i="2"/>
  <c r="AF958" i="2"/>
  <c r="Q958" i="2"/>
  <c r="AF957" i="2"/>
  <c r="AC957" i="2"/>
  <c r="Q957" i="2"/>
  <c r="T957" i="2"/>
  <c r="W957" i="2"/>
  <c r="Z957" i="2"/>
  <c r="Q956" i="2"/>
  <c r="T956" i="2"/>
  <c r="W956" i="2"/>
  <c r="Z956" i="2"/>
  <c r="AC956" i="2"/>
  <c r="AF956" i="2"/>
  <c r="Q955" i="2"/>
  <c r="T955" i="2"/>
  <c r="W955" i="2"/>
  <c r="Z955" i="2"/>
  <c r="AF955" i="2"/>
  <c r="AC955" i="2"/>
  <c r="Q954" i="2"/>
  <c r="T954" i="2"/>
  <c r="Z954" i="2"/>
  <c r="AC954" i="2"/>
  <c r="AF954" i="2"/>
  <c r="W954" i="2"/>
  <c r="Q953" i="2"/>
  <c r="T953" i="2"/>
  <c r="W953" i="2"/>
  <c r="Z953" i="2"/>
  <c r="AC953" i="2"/>
  <c r="AF953" i="2"/>
  <c r="AC952" i="2"/>
  <c r="Z952" i="2"/>
  <c r="AF952" i="2"/>
  <c r="Q952" i="2"/>
  <c r="T952" i="2"/>
  <c r="W952" i="2"/>
  <c r="Q951" i="2"/>
  <c r="T951" i="2"/>
  <c r="W951" i="2"/>
  <c r="Z951" i="2"/>
  <c r="AC951" i="2"/>
  <c r="AF951" i="2"/>
  <c r="Q950" i="2"/>
  <c r="T950" i="2"/>
  <c r="W950" i="2"/>
  <c r="Z950" i="2"/>
  <c r="AF950" i="2"/>
  <c r="AC950" i="2"/>
  <c r="AF949" i="2"/>
  <c r="Z949" i="2"/>
  <c r="W949" i="2"/>
  <c r="AC949" i="2"/>
  <c r="AC878" i="2"/>
  <c r="W878" i="2"/>
  <c r="T878" i="2"/>
  <c r="Q878" i="2"/>
  <c r="Z878" i="2"/>
  <c r="AF877" i="2"/>
  <c r="Z877" i="2"/>
  <c r="W877" i="2"/>
  <c r="T877" i="2"/>
  <c r="Q877" i="2"/>
  <c r="AC877" i="2"/>
  <c r="T876" i="2"/>
  <c r="W876" i="2"/>
  <c r="Z876" i="2"/>
  <c r="AC876" i="2"/>
  <c r="AF876" i="2"/>
  <c r="Q876" i="2"/>
  <c r="AC875" i="2"/>
  <c r="Z875" i="2"/>
  <c r="W875" i="2"/>
  <c r="AF875" i="2"/>
  <c r="Q875" i="2"/>
  <c r="T875" i="2"/>
  <c r="AF860" i="2"/>
  <c r="AC860" i="2"/>
  <c r="Z860" i="2"/>
  <c r="W860" i="2"/>
  <c r="T860" i="2"/>
  <c r="Q860" i="2"/>
  <c r="AF859" i="2"/>
  <c r="AC859" i="2"/>
  <c r="Z859" i="2"/>
  <c r="W859" i="2"/>
  <c r="T859" i="2"/>
  <c r="Q859" i="2"/>
  <c r="Q858" i="2"/>
  <c r="AF858" i="2"/>
  <c r="AC858" i="2"/>
  <c r="Z858" i="2"/>
  <c r="W858" i="2"/>
  <c r="T858" i="2"/>
  <c r="W857" i="2"/>
  <c r="AF857" i="2"/>
  <c r="AC857" i="2"/>
  <c r="T857" i="2"/>
  <c r="Q857" i="2"/>
  <c r="Z857" i="2"/>
  <c r="AF856" i="2"/>
  <c r="AC856" i="2"/>
  <c r="Z856" i="2"/>
  <c r="W856" i="2"/>
  <c r="T856" i="2"/>
  <c r="Q856" i="2"/>
  <c r="AF855" i="2"/>
  <c r="AC855" i="2"/>
  <c r="Z855" i="2"/>
  <c r="W855" i="2"/>
  <c r="T855" i="2"/>
  <c r="Q855" i="2"/>
  <c r="AF854" i="2"/>
  <c r="AC854" i="2"/>
  <c r="Z854" i="2"/>
  <c r="W854" i="2"/>
  <c r="T854" i="2"/>
  <c r="Q854" i="2"/>
  <c r="Q853" i="2"/>
  <c r="T853" i="2"/>
  <c r="W853" i="2"/>
  <c r="Z853" i="2"/>
  <c r="AC853" i="2"/>
  <c r="AF853" i="2"/>
  <c r="AF852" i="2"/>
  <c r="Q852" i="2"/>
  <c r="T852" i="2"/>
  <c r="W852" i="2"/>
  <c r="Z852" i="2"/>
  <c r="AC852" i="2"/>
  <c r="T851" i="2"/>
  <c r="Z851" i="2"/>
  <c r="AC851" i="2"/>
  <c r="AF851" i="2"/>
  <c r="W851" i="2"/>
  <c r="Q851" i="2"/>
  <c r="Q850" i="2"/>
  <c r="T850" i="2"/>
  <c r="W850" i="2"/>
  <c r="Z850" i="2"/>
  <c r="AC850" i="2"/>
  <c r="AF850" i="2"/>
  <c r="Z849" i="2"/>
  <c r="Q849" i="2"/>
  <c r="T849" i="2"/>
  <c r="AF849" i="2"/>
  <c r="AC849" i="2"/>
  <c r="W849" i="2"/>
  <c r="AC848" i="2"/>
  <c r="Z848" i="2"/>
  <c r="W848" i="2"/>
  <c r="Q848" i="2"/>
  <c r="T848" i="2"/>
  <c r="AF848" i="2"/>
  <c r="AC847" i="2"/>
  <c r="Z847" i="2"/>
  <c r="W847" i="2"/>
  <c r="T847" i="2"/>
  <c r="Q847" i="2"/>
  <c r="AF847" i="2"/>
  <c r="AF846" i="2"/>
  <c r="AC846" i="2"/>
  <c r="T846" i="2"/>
  <c r="W846" i="2"/>
  <c r="Q846" i="2"/>
  <c r="Z846" i="2"/>
  <c r="AF845" i="2"/>
  <c r="Q845" i="2"/>
  <c r="T845" i="2"/>
  <c r="W845" i="2"/>
  <c r="Z845" i="2"/>
  <c r="AC845" i="2"/>
  <c r="Q844" i="2"/>
  <c r="T844" i="2"/>
  <c r="W844" i="2"/>
  <c r="Z844" i="2"/>
  <c r="AF844" i="2"/>
  <c r="AC844" i="2"/>
  <c r="T843" i="2"/>
  <c r="W843" i="2"/>
  <c r="AF843" i="2"/>
  <c r="Q843" i="2"/>
  <c r="AC843" i="2"/>
  <c r="Z843" i="2"/>
  <c r="AC842" i="2"/>
  <c r="AF842" i="2"/>
  <c r="Q842" i="2"/>
  <c r="T842" i="2"/>
  <c r="W842" i="2"/>
  <c r="Z842" i="2"/>
  <c r="AF841" i="2"/>
  <c r="T841" i="2"/>
  <c r="Q841" i="2"/>
  <c r="W841" i="2"/>
  <c r="Z841" i="2"/>
  <c r="AC841" i="2"/>
  <c r="W840" i="2"/>
  <c r="Z840" i="2"/>
  <c r="AC840" i="2"/>
  <c r="AF840" i="2"/>
  <c r="T840" i="2"/>
  <c r="Q840" i="2"/>
  <c r="Z839" i="2"/>
  <c r="W839" i="2"/>
  <c r="T839" i="2"/>
  <c r="Q839" i="2"/>
  <c r="AF839" i="2"/>
  <c r="AC839" i="2"/>
  <c r="AF838" i="2"/>
  <c r="AC838" i="2"/>
  <c r="Z838" i="2"/>
  <c r="W838" i="2"/>
  <c r="Q838" i="2"/>
  <c r="T838" i="2"/>
  <c r="AF837" i="2"/>
  <c r="AC837" i="2"/>
  <c r="Z837" i="2"/>
  <c r="W837" i="2"/>
  <c r="T837" i="2"/>
  <c r="Q837" i="2"/>
  <c r="AF836" i="2"/>
  <c r="AC836" i="2"/>
  <c r="Z836" i="2"/>
  <c r="W836" i="2"/>
  <c r="T836" i="2"/>
  <c r="Q836" i="2"/>
  <c r="AF835" i="2"/>
  <c r="AC835" i="2"/>
  <c r="Z835" i="2"/>
  <c r="W835" i="2"/>
  <c r="Q835" i="2"/>
  <c r="T835" i="2"/>
  <c r="T834" i="2"/>
  <c r="Z834" i="2"/>
  <c r="Q834" i="2"/>
  <c r="W834" i="2"/>
  <c r="AC834" i="2"/>
  <c r="AF834" i="2"/>
  <c r="AF833" i="2"/>
  <c r="AC833" i="2"/>
  <c r="Z833" i="2"/>
  <c r="W833" i="2"/>
  <c r="T833" i="2"/>
  <c r="Q833" i="2"/>
  <c r="T832" i="2"/>
  <c r="AC832" i="2"/>
  <c r="Q832" i="2"/>
  <c r="AF832" i="2"/>
  <c r="Z832" i="2"/>
  <c r="W832" i="2"/>
  <c r="Z831" i="2"/>
  <c r="W831" i="2"/>
  <c r="T831" i="2"/>
  <c r="AF831" i="2"/>
  <c r="Q831" i="2"/>
  <c r="AC831" i="2"/>
  <c r="W830" i="2"/>
  <c r="T830" i="2"/>
  <c r="Q830" i="2"/>
  <c r="AF830" i="2"/>
  <c r="AC830" i="2"/>
  <c r="Z830" i="2"/>
  <c r="W829" i="2"/>
  <c r="T829" i="2"/>
  <c r="Q829" i="2"/>
  <c r="AF829" i="2"/>
  <c r="AC829" i="2"/>
  <c r="Z829" i="2"/>
  <c r="AC828" i="2"/>
  <c r="Q828" i="2"/>
  <c r="Z828" i="2"/>
  <c r="W828" i="2"/>
  <c r="T828" i="2"/>
  <c r="AF828" i="2"/>
  <c r="T827" i="2"/>
  <c r="Q827" i="2"/>
  <c r="AF827" i="2"/>
  <c r="AC827" i="2"/>
  <c r="Z827" i="2"/>
  <c r="W827" i="2"/>
  <c r="AF826" i="2"/>
  <c r="AC826" i="2"/>
  <c r="Z826" i="2"/>
  <c r="W826" i="2"/>
  <c r="T826" i="2"/>
  <c r="Q826" i="2"/>
  <c r="AF825" i="2"/>
  <c r="AC825" i="2"/>
  <c r="Z825" i="2"/>
  <c r="W825" i="2"/>
  <c r="T825" i="2"/>
  <c r="Q825" i="2"/>
  <c r="AF824" i="2"/>
  <c r="AC824" i="2"/>
  <c r="Z824" i="2"/>
  <c r="T824" i="2"/>
  <c r="Q824" i="2"/>
  <c r="W824" i="2"/>
  <c r="T823" i="2"/>
  <c r="Q823" i="2"/>
  <c r="AF823" i="2"/>
  <c r="AC823" i="2"/>
  <c r="Z823" i="2"/>
  <c r="W823" i="2"/>
  <c r="Z822" i="2"/>
  <c r="W822" i="2"/>
  <c r="T822" i="2"/>
  <c r="AF822" i="2"/>
  <c r="Q822" i="2"/>
  <c r="AC822" i="2"/>
  <c r="AF821" i="2"/>
  <c r="AC821" i="2"/>
  <c r="Z821" i="2"/>
  <c r="W821" i="2"/>
  <c r="AC746" i="2"/>
  <c r="W746" i="2"/>
  <c r="T746" i="2"/>
  <c r="Q746" i="2"/>
  <c r="Z746" i="2"/>
  <c r="AF745" i="2"/>
  <c r="AC745" i="2"/>
  <c r="Z745" i="2"/>
  <c r="W745" i="2"/>
  <c r="T745" i="2"/>
  <c r="Q745" i="2"/>
  <c r="AF744" i="2"/>
  <c r="AC744" i="2"/>
  <c r="Z744" i="2"/>
  <c r="W744" i="2"/>
  <c r="T744" i="2"/>
  <c r="Q744" i="2"/>
  <c r="AF743" i="2"/>
  <c r="AC743" i="2"/>
  <c r="Z743" i="2"/>
  <c r="W743" i="2"/>
  <c r="T743" i="2"/>
  <c r="Q743" i="2"/>
  <c r="AF742" i="2"/>
  <c r="AC742" i="2"/>
  <c r="Z742" i="2"/>
  <c r="W742" i="2"/>
  <c r="T742" i="2"/>
  <c r="Q742" i="2"/>
  <c r="AF741" i="2"/>
  <c r="AC741" i="2"/>
  <c r="Z741" i="2"/>
  <c r="W741" i="2"/>
  <c r="T741" i="2"/>
  <c r="Q741" i="2"/>
  <c r="AF740" i="2"/>
  <c r="AC740" i="2"/>
  <c r="Z740" i="2"/>
  <c r="W740" i="2"/>
  <c r="T740" i="2"/>
  <c r="Q740" i="2"/>
  <c r="AF739" i="2"/>
  <c r="AC739" i="2"/>
  <c r="Z739" i="2"/>
  <c r="W739" i="2"/>
  <c r="T739" i="2"/>
  <c r="Q739" i="2"/>
  <c r="AF738" i="2"/>
  <c r="AC738" i="2"/>
  <c r="Z738" i="2"/>
  <c r="W738" i="2"/>
  <c r="T738" i="2"/>
  <c r="Q738" i="2"/>
  <c r="AF737" i="2"/>
  <c r="AC737" i="2"/>
  <c r="Z737" i="2"/>
  <c r="W737" i="2"/>
  <c r="T737" i="2"/>
  <c r="Q737" i="2"/>
  <c r="AF736" i="2"/>
  <c r="AC736" i="2"/>
  <c r="Z736" i="2"/>
  <c r="W736" i="2"/>
  <c r="T736" i="2"/>
  <c r="Q736" i="2"/>
  <c r="AF735" i="2"/>
  <c r="AC735" i="2"/>
  <c r="Z735" i="2"/>
  <c r="W735" i="2"/>
  <c r="T735" i="2"/>
  <c r="Q735" i="2"/>
  <c r="AF734" i="2"/>
  <c r="AC734" i="2"/>
  <c r="Z734" i="2"/>
  <c r="W734" i="2"/>
  <c r="T734" i="2"/>
  <c r="Q734" i="2"/>
  <c r="AF733" i="2"/>
  <c r="AC733" i="2"/>
  <c r="Z733" i="2"/>
  <c r="W733" i="2"/>
  <c r="T733" i="2"/>
  <c r="Q733" i="2"/>
  <c r="AF732" i="2"/>
  <c r="AC732" i="2"/>
  <c r="Z732" i="2"/>
  <c r="W732" i="2"/>
  <c r="T732" i="2"/>
  <c r="Q732" i="2"/>
  <c r="AF731" i="2"/>
  <c r="AC731" i="2"/>
  <c r="Z731" i="2"/>
  <c r="W731" i="2"/>
  <c r="T731" i="2"/>
  <c r="Q731" i="2"/>
  <c r="AF730" i="2"/>
  <c r="AC730" i="2"/>
  <c r="Z730" i="2"/>
  <c r="W730" i="2"/>
  <c r="T730" i="2"/>
  <c r="Q730" i="2"/>
  <c r="AF729" i="2"/>
  <c r="AC729" i="2"/>
  <c r="Z729" i="2"/>
  <c r="W729" i="2"/>
  <c r="T729" i="2"/>
  <c r="Q729" i="2"/>
  <c r="AF728" i="2"/>
  <c r="AC728" i="2"/>
  <c r="Z728" i="2"/>
  <c r="W728" i="2"/>
  <c r="T728" i="2"/>
  <c r="Q728" i="2"/>
  <c r="AF727" i="2"/>
  <c r="AC727" i="2"/>
  <c r="Z727" i="2"/>
  <c r="W727" i="2"/>
  <c r="T727" i="2"/>
  <c r="Q727" i="2"/>
  <c r="AF726" i="2"/>
  <c r="AC726" i="2"/>
  <c r="Z726" i="2"/>
  <c r="W726" i="2"/>
  <c r="T726" i="2"/>
  <c r="Q726" i="2"/>
  <c r="AF725" i="2"/>
  <c r="AC725" i="2"/>
  <c r="Z725" i="2"/>
  <c r="W725" i="2"/>
  <c r="T725" i="2"/>
  <c r="Q725" i="2"/>
  <c r="AF724" i="2"/>
  <c r="AC724" i="2"/>
  <c r="Z724" i="2"/>
  <c r="W724" i="2"/>
  <c r="T724" i="2"/>
  <c r="Q724" i="2"/>
  <c r="AF723" i="2"/>
  <c r="AC723" i="2"/>
  <c r="Z723" i="2"/>
  <c r="W723" i="2"/>
  <c r="T723" i="2"/>
  <c r="Q723" i="2"/>
  <c r="AF722" i="2"/>
  <c r="AC722" i="2"/>
  <c r="Z722" i="2"/>
  <c r="W722" i="2"/>
  <c r="T722" i="2"/>
  <c r="Q722" i="2"/>
  <c r="AF721" i="2"/>
  <c r="AC721" i="2"/>
  <c r="Z721" i="2"/>
  <c r="W721" i="2"/>
  <c r="T721" i="2"/>
  <c r="Q721" i="2"/>
  <c r="AF720" i="2"/>
  <c r="AC720" i="2"/>
  <c r="Z720" i="2"/>
  <c r="W720" i="2"/>
  <c r="T720" i="2"/>
  <c r="Q720" i="2"/>
  <c r="AF719" i="2"/>
  <c r="AC719" i="2"/>
  <c r="Z719" i="2"/>
  <c r="W719" i="2"/>
  <c r="T719" i="2"/>
  <c r="Q719" i="2"/>
  <c r="AF718" i="2"/>
  <c r="AC718" i="2"/>
  <c r="Z718" i="2"/>
  <c r="W718" i="2"/>
  <c r="T718" i="2"/>
  <c r="Q718" i="2"/>
  <c r="Z717" i="2"/>
  <c r="AF717" i="2"/>
  <c r="AC717" i="2"/>
  <c r="W717" i="2"/>
  <c r="T717" i="2"/>
  <c r="Q717" i="2"/>
  <c r="AF716" i="2"/>
  <c r="AC716" i="2"/>
  <c r="Z716" i="2"/>
  <c r="W716" i="2"/>
  <c r="T716" i="2"/>
  <c r="Q716" i="2"/>
  <c r="AF715" i="2"/>
  <c r="AC715" i="2"/>
  <c r="Z715" i="2"/>
  <c r="W715" i="2"/>
  <c r="T715" i="2"/>
  <c r="Q715" i="2"/>
  <c r="T714" i="2"/>
  <c r="AF714" i="2"/>
  <c r="Z714" i="2"/>
  <c r="W714" i="2"/>
  <c r="AC714" i="2"/>
  <c r="Q714" i="2"/>
  <c r="AF713" i="2"/>
  <c r="AC713" i="2"/>
  <c r="Z713" i="2"/>
  <c r="W713" i="2"/>
  <c r="T713" i="2"/>
  <c r="Q713" i="2"/>
  <c r="W712" i="2"/>
  <c r="T712" i="2"/>
  <c r="Q712" i="2"/>
  <c r="AF712" i="2"/>
  <c r="AC712" i="2"/>
  <c r="Z712" i="2"/>
  <c r="Z711" i="2"/>
  <c r="T711" i="2"/>
  <c r="Q711" i="2"/>
  <c r="W711" i="2"/>
  <c r="AF711" i="2"/>
  <c r="AC711" i="2"/>
  <c r="AF710" i="2"/>
  <c r="AC710" i="2"/>
  <c r="Z710" i="2"/>
  <c r="W710" i="2"/>
  <c r="T710" i="2"/>
  <c r="Q710" i="2"/>
  <c r="AF709" i="2"/>
  <c r="AC709" i="2"/>
  <c r="Z709" i="2"/>
  <c r="W709" i="2"/>
  <c r="T709" i="2"/>
  <c r="Q709" i="2"/>
  <c r="W708" i="2"/>
  <c r="AC708" i="2"/>
  <c r="Z708" i="2"/>
  <c r="AF708" i="2"/>
  <c r="T708" i="2"/>
  <c r="Q708" i="2"/>
  <c r="AF707" i="2"/>
  <c r="AC707" i="2"/>
  <c r="Z707" i="2"/>
  <c r="W707" i="2"/>
  <c r="T707" i="2"/>
  <c r="Q707" i="2"/>
  <c r="AF706" i="2"/>
  <c r="AC706" i="2"/>
  <c r="Z706" i="2"/>
  <c r="W706" i="2"/>
  <c r="T706" i="2"/>
  <c r="Q706" i="2"/>
  <c r="T705" i="2"/>
  <c r="Q705" i="2"/>
  <c r="W705" i="2"/>
  <c r="AF705" i="2"/>
  <c r="AC705" i="2"/>
  <c r="Z705" i="2"/>
  <c r="AF704" i="2"/>
  <c r="Z704" i="2"/>
  <c r="AC704" i="2"/>
  <c r="Q704" i="2"/>
  <c r="T704" i="2"/>
  <c r="W704" i="2"/>
  <c r="AF703" i="2"/>
  <c r="AC703" i="2"/>
  <c r="Z703" i="2"/>
  <c r="Q599" i="2"/>
  <c r="AF599" i="2"/>
  <c r="AC599" i="2"/>
  <c r="Z599" i="2"/>
  <c r="W599" i="2"/>
  <c r="T599" i="2"/>
  <c r="T598" i="2"/>
  <c r="Q598" i="2"/>
  <c r="AF598" i="2"/>
  <c r="AC598" i="2"/>
  <c r="Z598" i="2"/>
  <c r="W598" i="2"/>
  <c r="Q597" i="2"/>
  <c r="AF597" i="2"/>
  <c r="AC597" i="2"/>
  <c r="Z597" i="2"/>
  <c r="W597" i="2"/>
  <c r="T597" i="2"/>
  <c r="AF596" i="2"/>
  <c r="AC596" i="2"/>
  <c r="Z596" i="2"/>
  <c r="W596" i="2"/>
  <c r="T596" i="2"/>
  <c r="Q596" i="2"/>
  <c r="AC595" i="2"/>
  <c r="AF595" i="2"/>
  <c r="Q595" i="2"/>
  <c r="Z595" i="2"/>
  <c r="W595" i="2"/>
  <c r="T595" i="2"/>
  <c r="AC594" i="2"/>
  <c r="Z594" i="2"/>
  <c r="W594" i="2"/>
  <c r="T594" i="2"/>
  <c r="Q594" i="2"/>
  <c r="AF594" i="2"/>
  <c r="W593" i="2"/>
  <c r="Q593" i="2"/>
  <c r="T593" i="2"/>
  <c r="AF593" i="2"/>
  <c r="AC593" i="2"/>
  <c r="Z593" i="2"/>
  <c r="T592" i="2"/>
  <c r="Q592" i="2"/>
  <c r="AF592" i="2"/>
  <c r="AC592" i="2"/>
  <c r="Z592" i="2"/>
  <c r="W592" i="2"/>
  <c r="AF591" i="2"/>
  <c r="AC591" i="2"/>
  <c r="Z591" i="2"/>
  <c r="W591" i="2"/>
  <c r="T591" i="2"/>
  <c r="Q591" i="2"/>
  <c r="AF590" i="2"/>
  <c r="AC590" i="2"/>
  <c r="Z590" i="2"/>
  <c r="W590" i="2"/>
  <c r="T590" i="2"/>
  <c r="Q590" i="2"/>
  <c r="T589" i="2"/>
  <c r="Q589" i="2"/>
  <c r="Z589" i="2"/>
  <c r="AF589" i="2"/>
  <c r="AC589" i="2"/>
  <c r="W589" i="2"/>
  <c r="T588" i="2"/>
  <c r="AF588" i="2"/>
  <c r="AC588" i="2"/>
  <c r="Z588" i="2"/>
  <c r="W588" i="2"/>
  <c r="Q588" i="2"/>
  <c r="AF587" i="2"/>
  <c r="AC587" i="2"/>
  <c r="Z587" i="2"/>
  <c r="W587" i="2"/>
  <c r="Q587" i="2"/>
  <c r="T587" i="2"/>
  <c r="Q586" i="2"/>
  <c r="AF586" i="2"/>
  <c r="T586" i="2"/>
  <c r="W586" i="2"/>
  <c r="Z586" i="2"/>
  <c r="AC586" i="2"/>
  <c r="T585" i="2"/>
  <c r="AF585" i="2"/>
  <c r="AC585" i="2"/>
  <c r="Z585" i="2"/>
  <c r="Q585" i="2"/>
  <c r="W585" i="2"/>
  <c r="Z584" i="2"/>
  <c r="AC584" i="2"/>
  <c r="AF584" i="2"/>
  <c r="Q584" i="2"/>
  <c r="T584" i="2"/>
  <c r="W584" i="2"/>
  <c r="Z583" i="2"/>
  <c r="AC583" i="2"/>
  <c r="AF583" i="2"/>
  <c r="T583" i="2"/>
  <c r="Q583" i="2"/>
  <c r="W583" i="2"/>
  <c r="Q582" i="2"/>
  <c r="T582" i="2"/>
  <c r="W582" i="2"/>
  <c r="AF582" i="2"/>
  <c r="AC582" i="2"/>
  <c r="Z582" i="2"/>
  <c r="AC581" i="2"/>
  <c r="AF581" i="2"/>
  <c r="Z581" i="2"/>
  <c r="T581" i="2"/>
  <c r="Q581" i="2"/>
  <c r="W581" i="2"/>
  <c r="Q580" i="2"/>
  <c r="W580" i="2"/>
  <c r="T580" i="2"/>
  <c r="Z580" i="2"/>
  <c r="AC580" i="2"/>
  <c r="AF580" i="2"/>
  <c r="AF579" i="2"/>
  <c r="Z579" i="2"/>
  <c r="W579" i="2"/>
  <c r="T579" i="2"/>
  <c r="Q579" i="2"/>
  <c r="AC579" i="2"/>
  <c r="AF578" i="2"/>
  <c r="AC578" i="2"/>
  <c r="Z578" i="2"/>
  <c r="W578" i="2"/>
  <c r="T578" i="2"/>
  <c r="Q578" i="2"/>
  <c r="AF577" i="2"/>
  <c r="AC577" i="2"/>
  <c r="Z577" i="2"/>
  <c r="W577" i="2"/>
  <c r="T577" i="2"/>
  <c r="Q577" i="2"/>
  <c r="AF576" i="2"/>
  <c r="AC576" i="2"/>
  <c r="Z576" i="2"/>
  <c r="W576" i="2"/>
  <c r="T576" i="2"/>
  <c r="Q576" i="2"/>
  <c r="AC575" i="2"/>
  <c r="Z575" i="2"/>
  <c r="W575" i="2"/>
  <c r="T575" i="2"/>
  <c r="Q575" i="2"/>
  <c r="AF575" i="2"/>
  <c r="AC574" i="2"/>
  <c r="Z574" i="2"/>
  <c r="W574" i="2"/>
  <c r="T574" i="2"/>
  <c r="Q574" i="2"/>
  <c r="AF574" i="2"/>
  <c r="T573" i="2"/>
  <c r="AF573" i="2"/>
  <c r="AC573" i="2"/>
  <c r="Z573" i="2"/>
  <c r="Q573" i="2"/>
  <c r="W573" i="2"/>
  <c r="Z572" i="2"/>
  <c r="W572" i="2"/>
  <c r="T572" i="2"/>
  <c r="Q572" i="2"/>
  <c r="AF572" i="2"/>
  <c r="AC572" i="2"/>
  <c r="Q571" i="2"/>
  <c r="T571" i="2"/>
  <c r="W571" i="2"/>
  <c r="Z571" i="2"/>
  <c r="AC571" i="2"/>
  <c r="AF571" i="2"/>
  <c r="Z570" i="2"/>
  <c r="W570" i="2"/>
  <c r="T570" i="2"/>
  <c r="Q570" i="2"/>
  <c r="AC570" i="2"/>
  <c r="AF570" i="2"/>
  <c r="AF569" i="2"/>
  <c r="AC569" i="2"/>
  <c r="Z569" i="2"/>
  <c r="W569" i="2"/>
  <c r="T569" i="2"/>
  <c r="Q569" i="2"/>
  <c r="AF568" i="2"/>
  <c r="AC568" i="2"/>
  <c r="Q568" i="2"/>
  <c r="T568" i="2"/>
  <c r="W568" i="2"/>
  <c r="Z568" i="2"/>
  <c r="T567" i="2"/>
  <c r="AC567" i="2"/>
  <c r="Q567" i="2"/>
  <c r="AF567" i="2"/>
  <c r="W567" i="2"/>
  <c r="Z567" i="2"/>
  <c r="AC566" i="2"/>
  <c r="Z566" i="2"/>
  <c r="W566" i="2"/>
  <c r="T566" i="2"/>
  <c r="Q566" i="2"/>
  <c r="AF566" i="2"/>
  <c r="AC565" i="2"/>
  <c r="Z565" i="2"/>
  <c r="W565" i="2"/>
  <c r="T565" i="2"/>
  <c r="Q565" i="2"/>
  <c r="AF565" i="2"/>
  <c r="AC564" i="2"/>
  <c r="Z564" i="2"/>
  <c r="W564" i="2"/>
  <c r="T564" i="2"/>
  <c r="Q564" i="2"/>
  <c r="AF564" i="2"/>
  <c r="AC563" i="2"/>
  <c r="Z563" i="2"/>
  <c r="W563" i="2"/>
  <c r="T563" i="2"/>
  <c r="Q563" i="2"/>
  <c r="AF563" i="2"/>
  <c r="AF562" i="2"/>
  <c r="AC562" i="2"/>
  <c r="Z562" i="2"/>
  <c r="W562" i="2"/>
  <c r="T562" i="2"/>
  <c r="Q562" i="2"/>
  <c r="Q561" i="2"/>
  <c r="T561" i="2"/>
  <c r="W561" i="2"/>
  <c r="Z561" i="2"/>
  <c r="AC561" i="2"/>
  <c r="AF561" i="2"/>
  <c r="AF560" i="2"/>
  <c r="AC560" i="2"/>
  <c r="Z560" i="2"/>
  <c r="W560" i="2"/>
  <c r="T560" i="2"/>
  <c r="Q560" i="2"/>
  <c r="AC559" i="2"/>
  <c r="AF559" i="2"/>
  <c r="Z559" i="2"/>
  <c r="W559" i="2"/>
  <c r="T559" i="2"/>
  <c r="Q559" i="2"/>
  <c r="W558" i="2"/>
  <c r="T558" i="2"/>
  <c r="Z558" i="2"/>
  <c r="AC558" i="2"/>
  <c r="AF558" i="2"/>
  <c r="Q558" i="2"/>
  <c r="AF557" i="2"/>
  <c r="Z557" i="2"/>
  <c r="W557" i="2"/>
  <c r="T557" i="2"/>
  <c r="Q557" i="2"/>
  <c r="AC557" i="2"/>
  <c r="Q556" i="2"/>
  <c r="T556" i="2"/>
  <c r="AF556" i="2"/>
  <c r="W556" i="2"/>
  <c r="Z556" i="2"/>
  <c r="AC556" i="2"/>
  <c r="T555" i="2"/>
  <c r="Z555" i="2"/>
  <c r="W555" i="2"/>
  <c r="AC555" i="2"/>
  <c r="AF555" i="2"/>
  <c r="Q555" i="2"/>
  <c r="AC554" i="2"/>
  <c r="AF554" i="2"/>
  <c r="Q554" i="2"/>
  <c r="Q295" i="2"/>
  <c r="T295" i="2"/>
  <c r="AC295" i="2"/>
  <c r="Z295" i="2"/>
  <c r="AF295" i="2"/>
  <c r="W295" i="2"/>
  <c r="Q294" i="2"/>
  <c r="Z294" i="2"/>
  <c r="AF294" i="2"/>
  <c r="W294" i="2"/>
  <c r="T294" i="2"/>
  <c r="AC294" i="2"/>
  <c r="Q293" i="2"/>
  <c r="Z293" i="2"/>
  <c r="AF293" i="2"/>
  <c r="AC293" i="2"/>
  <c r="W293" i="2"/>
  <c r="T293" i="2"/>
  <c r="Q292" i="2"/>
  <c r="T292" i="2"/>
  <c r="W292" i="2"/>
  <c r="AC292" i="2"/>
  <c r="AF292" i="2"/>
  <c r="Z292" i="2"/>
  <c r="T291" i="2"/>
  <c r="W291" i="2"/>
  <c r="AC291" i="2"/>
  <c r="AF291" i="2"/>
  <c r="Z291" i="2"/>
  <c r="Q291" i="2"/>
  <c r="Z290" i="2"/>
  <c r="AF290" i="2"/>
  <c r="AC290" i="2"/>
  <c r="W290" i="2"/>
  <c r="T290" i="2"/>
  <c r="Q290" i="2"/>
  <c r="W289" i="2"/>
  <c r="AF289" i="2"/>
  <c r="Z289" i="2"/>
  <c r="AC289" i="2"/>
  <c r="T289" i="2"/>
  <c r="Q289" i="2"/>
  <c r="Z288" i="2"/>
  <c r="AF288" i="2"/>
  <c r="AC288" i="2"/>
  <c r="W288" i="2"/>
  <c r="T288" i="2"/>
  <c r="Q288" i="2"/>
  <c r="AF287" i="2"/>
  <c r="Z287" i="2"/>
  <c r="AC287" i="2"/>
  <c r="W287" i="2"/>
  <c r="T287" i="2"/>
  <c r="Q287" i="2"/>
  <c r="W286" i="2"/>
  <c r="T286" i="2"/>
  <c r="Q286" i="2"/>
  <c r="AF286" i="2"/>
  <c r="Z286" i="2"/>
  <c r="AC286" i="2"/>
  <c r="T285" i="2"/>
  <c r="AF285" i="2"/>
  <c r="Q285" i="2"/>
  <c r="Z285" i="2"/>
  <c r="AC285" i="2"/>
  <c r="W285" i="2"/>
  <c r="AF284" i="2"/>
  <c r="Z284" i="2"/>
  <c r="AC284" i="2"/>
  <c r="W284" i="2"/>
  <c r="T284" i="2"/>
  <c r="Q284" i="2"/>
  <c r="AF283" i="2"/>
  <c r="Z283" i="2"/>
  <c r="AC283" i="2"/>
  <c r="W283" i="2"/>
  <c r="T283" i="2"/>
  <c r="Q283" i="2"/>
  <c r="Z282" i="2"/>
  <c r="AF282" i="2"/>
  <c r="AC282" i="2"/>
  <c r="W282" i="2"/>
  <c r="T282" i="2"/>
  <c r="Q282" i="2"/>
  <c r="Z281" i="2"/>
  <c r="AF281" i="2"/>
  <c r="AC281" i="2"/>
  <c r="W281" i="2"/>
  <c r="T281" i="2"/>
  <c r="Q281" i="2"/>
  <c r="Q280" i="2"/>
  <c r="T280" i="2"/>
  <c r="Z280" i="2"/>
  <c r="AF280" i="2"/>
  <c r="AC280" i="2"/>
  <c r="W280" i="2"/>
  <c r="Z279" i="2"/>
  <c r="AF279" i="2"/>
  <c r="Q279" i="2"/>
  <c r="T279" i="2"/>
  <c r="W279" i="2"/>
  <c r="AC279" i="2"/>
  <c r="Z278" i="2"/>
  <c r="AF278" i="2"/>
  <c r="AC278" i="2"/>
  <c r="W278" i="2"/>
  <c r="T278" i="2"/>
  <c r="Q278" i="2"/>
  <c r="AF277" i="2"/>
  <c r="Z277" i="2"/>
  <c r="AC277" i="2"/>
  <c r="W277" i="2"/>
  <c r="T277" i="2"/>
  <c r="Q277" i="2"/>
  <c r="W276" i="2"/>
  <c r="AF276" i="2"/>
  <c r="Z276" i="2"/>
  <c r="AC276" i="2"/>
  <c r="T276" i="2"/>
  <c r="Q276" i="2"/>
  <c r="AF275" i="2"/>
  <c r="Z275" i="2"/>
  <c r="AC275" i="2"/>
  <c r="W275" i="2"/>
  <c r="T275" i="2"/>
  <c r="Q275" i="2"/>
  <c r="T274" i="2"/>
  <c r="Q274" i="2"/>
  <c r="AF274" i="2"/>
  <c r="Z274" i="2"/>
  <c r="AC274" i="2"/>
  <c r="W274" i="2"/>
  <c r="Q273" i="2"/>
  <c r="W273" i="2"/>
  <c r="AF273" i="2"/>
  <c r="AC273" i="2"/>
  <c r="Z273" i="2"/>
  <c r="T273" i="2"/>
  <c r="Z272" i="2"/>
  <c r="AF272" i="2"/>
  <c r="AC272" i="2"/>
  <c r="W272" i="2"/>
  <c r="T272" i="2"/>
  <c r="Q272" i="2"/>
  <c r="Z271" i="2"/>
  <c r="AF271" i="2"/>
  <c r="AC271" i="2"/>
  <c r="W271" i="2"/>
  <c r="T271" i="2"/>
  <c r="Q271" i="2"/>
  <c r="AF270" i="2"/>
  <c r="Z270" i="2"/>
  <c r="AC270" i="2"/>
  <c r="W270" i="2"/>
  <c r="T270" i="2"/>
  <c r="Q270" i="2"/>
  <c r="AF269" i="2"/>
  <c r="Z269" i="2"/>
  <c r="AC269" i="2"/>
  <c r="W269" i="2"/>
  <c r="T269" i="2"/>
  <c r="Q269" i="2"/>
  <c r="T268" i="2"/>
  <c r="Q268" i="2"/>
  <c r="Z268" i="2"/>
  <c r="AF268" i="2"/>
  <c r="AC268" i="2"/>
  <c r="W268" i="2"/>
  <c r="T267" i="2"/>
  <c r="Q267" i="2"/>
  <c r="Z267" i="2"/>
  <c r="AF267" i="2"/>
  <c r="AC267" i="2"/>
  <c r="W267" i="2"/>
  <c r="AF266" i="2"/>
  <c r="T266" i="2"/>
  <c r="Q266" i="2"/>
  <c r="Z266" i="2"/>
  <c r="AC266" i="2"/>
  <c r="W266" i="2"/>
  <c r="T265" i="2"/>
  <c r="Q265" i="2"/>
  <c r="AF265" i="2"/>
  <c r="Z265" i="2"/>
  <c r="AC265" i="2"/>
  <c r="W265" i="2"/>
  <c r="AC264" i="2"/>
  <c r="AF264" i="2"/>
  <c r="Z264" i="2"/>
  <c r="W264" i="2"/>
  <c r="T264" i="2"/>
  <c r="Q264" i="2"/>
  <c r="AF263" i="2"/>
  <c r="Z263" i="2"/>
  <c r="AC263" i="2"/>
  <c r="W263" i="2"/>
  <c r="T263" i="2"/>
  <c r="Q263" i="2"/>
  <c r="T262" i="2"/>
  <c r="AF262" i="2"/>
  <c r="Z262" i="2"/>
  <c r="AC262" i="2"/>
  <c r="W262" i="2"/>
  <c r="Q262" i="2"/>
  <c r="AC261" i="2"/>
  <c r="AF261" i="2"/>
  <c r="Z261" i="2"/>
  <c r="T225" i="2"/>
  <c r="Q225" i="2"/>
  <c r="Z225" i="2"/>
  <c r="AF225" i="2"/>
  <c r="AC225" i="2"/>
  <c r="W225" i="2"/>
  <c r="AF224" i="2"/>
  <c r="Z224" i="2"/>
  <c r="AC224" i="2"/>
  <c r="W224" i="2"/>
  <c r="T224" i="2"/>
  <c r="Q224" i="2"/>
  <c r="AF223" i="2"/>
  <c r="Z223" i="2"/>
  <c r="AC223" i="2"/>
  <c r="W223" i="2"/>
  <c r="T223" i="2"/>
  <c r="Q223" i="2"/>
  <c r="AF170" i="2"/>
  <c r="Z170" i="2"/>
  <c r="AC170" i="2"/>
  <c r="W170" i="2"/>
  <c r="T170" i="2"/>
  <c r="Q170" i="2"/>
  <c r="Q169" i="2"/>
  <c r="W169" i="2"/>
  <c r="Z169" i="2"/>
  <c r="AF169" i="2"/>
  <c r="AC169" i="2"/>
  <c r="T169" i="2"/>
  <c r="AF168" i="2"/>
  <c r="Z168" i="2"/>
  <c r="AC168" i="2"/>
  <c r="W168" i="2"/>
  <c r="T168" i="2"/>
  <c r="Q168" i="2"/>
  <c r="AC167" i="2"/>
  <c r="AF167" i="2"/>
  <c r="Z167" i="2"/>
  <c r="W167" i="2"/>
  <c r="T167" i="2"/>
  <c r="Q167" i="2"/>
  <c r="Q166" i="2"/>
  <c r="T166" i="2"/>
  <c r="W166" i="2"/>
  <c r="AC166" i="2"/>
  <c r="AF166" i="2"/>
  <c r="Z166" i="2"/>
  <c r="AC165" i="2"/>
  <c r="W165" i="2"/>
  <c r="Q165" i="2"/>
  <c r="T165" i="2"/>
  <c r="AF165" i="2"/>
  <c r="Z165" i="2"/>
  <c r="Q164" i="2"/>
  <c r="Z164" i="2"/>
  <c r="AF164" i="2"/>
  <c r="AC164" i="2"/>
  <c r="W164" i="2"/>
  <c r="T164" i="2"/>
  <c r="Q163" i="2"/>
  <c r="AF163" i="2"/>
  <c r="Z163" i="2"/>
  <c r="AC163" i="2"/>
  <c r="W163" i="2"/>
  <c r="T163" i="2"/>
  <c r="Q162" i="2"/>
  <c r="AF162" i="2"/>
  <c r="AC162" i="2"/>
  <c r="W162" i="2"/>
  <c r="T162" i="2"/>
  <c r="Z162" i="2"/>
  <c r="AC161" i="2"/>
  <c r="AF161" i="2"/>
  <c r="Z161" i="2"/>
  <c r="W161" i="2"/>
  <c r="T161" i="2"/>
  <c r="Q161" i="2"/>
  <c r="AC160" i="2"/>
  <c r="T160" i="2"/>
  <c r="W160" i="2"/>
  <c r="AF160" i="2"/>
  <c r="Q160" i="2"/>
  <c r="Z160" i="2"/>
  <c r="T159" i="2"/>
  <c r="W159" i="2"/>
  <c r="AC159" i="2"/>
  <c r="Z159" i="2"/>
  <c r="AF159" i="2"/>
  <c r="Q159" i="2"/>
  <c r="Q158" i="2"/>
  <c r="AF158" i="2"/>
  <c r="T158" i="2"/>
  <c r="W158" i="2"/>
  <c r="AC158" i="2"/>
  <c r="Z158" i="2"/>
  <c r="AF157" i="2"/>
  <c r="Z157" i="2"/>
  <c r="AC157" i="2"/>
  <c r="W157" i="2"/>
  <c r="T157" i="2"/>
  <c r="Q157" i="2"/>
  <c r="W156" i="2"/>
  <c r="T156" i="2"/>
  <c r="Z156" i="2"/>
  <c r="AF156" i="2"/>
  <c r="Q156" i="2"/>
  <c r="AC156" i="2"/>
  <c r="AF155" i="2"/>
  <c r="Z155" i="2"/>
  <c r="AC155" i="2"/>
  <c r="W155" i="2"/>
  <c r="T155" i="2"/>
  <c r="Q155" i="2"/>
  <c r="Z154" i="2"/>
  <c r="AF154" i="2"/>
  <c r="AC154" i="2"/>
  <c r="W154" i="2"/>
  <c r="T154" i="2"/>
  <c r="Q154" i="2"/>
  <c r="AF153" i="2"/>
  <c r="Z153" i="2"/>
  <c r="AC153" i="2"/>
  <c r="W153" i="2"/>
  <c r="T153" i="2"/>
  <c r="Q153" i="2"/>
  <c r="Z152" i="2"/>
  <c r="AF152" i="2"/>
  <c r="AC152" i="2"/>
  <c r="W152" i="2"/>
  <c r="T152" i="2"/>
  <c r="Q152" i="2"/>
  <c r="AF151" i="2"/>
  <c r="Z151" i="2"/>
  <c r="AC151" i="2"/>
  <c r="W151" i="2"/>
  <c r="T151" i="2"/>
  <c r="Q151" i="2"/>
  <c r="AF150" i="2"/>
  <c r="Q150" i="2"/>
  <c r="T150" i="2"/>
  <c r="W150" i="2"/>
  <c r="AC150" i="2"/>
  <c r="Z150" i="2"/>
  <c r="Q149" i="2"/>
  <c r="T149" i="2"/>
  <c r="W149" i="2"/>
  <c r="AC149" i="2"/>
  <c r="Z149" i="2"/>
  <c r="AF149" i="2"/>
  <c r="W148" i="2"/>
  <c r="Q148" i="2"/>
  <c r="T148" i="2"/>
  <c r="AC148" i="2"/>
  <c r="AF148" i="2"/>
  <c r="Z148" i="2"/>
  <c r="T147" i="2"/>
  <c r="W147" i="2"/>
  <c r="AC147" i="2"/>
  <c r="AF147" i="2"/>
  <c r="Z147" i="2"/>
  <c r="Q147" i="2"/>
  <c r="Z146" i="2"/>
  <c r="AF146" i="2"/>
  <c r="AC146" i="2"/>
  <c r="W146" i="2"/>
  <c r="T146" i="2"/>
  <c r="Q146" i="2"/>
  <c r="T145" i="2"/>
  <c r="Q145" i="2"/>
  <c r="AF145" i="2"/>
  <c r="Z145" i="2"/>
  <c r="AC145" i="2"/>
  <c r="W145" i="2"/>
  <c r="AC144" i="2"/>
  <c r="Q144" i="2"/>
  <c r="T144" i="2"/>
  <c r="W144" i="2"/>
  <c r="AF144" i="2"/>
  <c r="Z144" i="2"/>
  <c r="Q143" i="2"/>
  <c r="T143" i="2"/>
  <c r="W143" i="2"/>
  <c r="Z143" i="2"/>
  <c r="AF143" i="2"/>
  <c r="AC143" i="2"/>
  <c r="AC142" i="2"/>
  <c r="AF142" i="2"/>
  <c r="Z142" i="2"/>
  <c r="W142" i="2"/>
  <c r="T142" i="2"/>
  <c r="Q142" i="2"/>
  <c r="AC141" i="2"/>
  <c r="AF141" i="2"/>
  <c r="Z141" i="2"/>
  <c r="W141" i="2"/>
  <c r="T141" i="2"/>
  <c r="Q141" i="2"/>
  <c r="Q140" i="2"/>
  <c r="T140" i="2"/>
  <c r="W140" i="2"/>
  <c r="AC140" i="2"/>
  <c r="Z140" i="2"/>
  <c r="AF140" i="2"/>
  <c r="W139" i="2"/>
  <c r="AC139" i="2"/>
  <c r="AF139" i="2"/>
  <c r="Z139" i="2"/>
  <c r="Q139" i="2"/>
  <c r="T139" i="2"/>
  <c r="AC138" i="2"/>
  <c r="Z138" i="2"/>
  <c r="Q138" i="2"/>
  <c r="T138" i="2"/>
  <c r="W138" i="2"/>
  <c r="AF138" i="2"/>
  <c r="T137" i="2"/>
  <c r="Q137" i="2"/>
  <c r="AF137" i="2"/>
  <c r="Z137" i="2"/>
  <c r="AC137" i="2"/>
  <c r="W137" i="2"/>
  <c r="T136" i="2"/>
  <c r="Q136" i="2"/>
  <c r="W136" i="2"/>
  <c r="Z136" i="2"/>
  <c r="AF136" i="2"/>
  <c r="AC136" i="2"/>
  <c r="AF135" i="2"/>
  <c r="Z135" i="2"/>
  <c r="AC135" i="2"/>
  <c r="W135" i="2"/>
  <c r="T135" i="2"/>
  <c r="Q135" i="2"/>
  <c r="Z134" i="2"/>
  <c r="AF134" i="2"/>
  <c r="AC134" i="2"/>
  <c r="W134" i="2"/>
  <c r="T134" i="2"/>
  <c r="Q134" i="2"/>
  <c r="Z133" i="2"/>
  <c r="AC133" i="2"/>
  <c r="W133" i="2"/>
  <c r="T133" i="2"/>
  <c r="Q133" i="2"/>
  <c r="AF133" i="2"/>
  <c r="T132" i="2"/>
  <c r="AF132" i="2"/>
  <c r="Z132" i="2"/>
  <c r="AC132" i="2"/>
  <c r="W132" i="2"/>
  <c r="Q132" i="2"/>
  <c r="Q131" i="2"/>
  <c r="W131" i="2"/>
  <c r="T131" i="2"/>
  <c r="AF131" i="2"/>
  <c r="Z131" i="2"/>
  <c r="AC131" i="2"/>
  <c r="W130" i="2"/>
  <c r="Q130" i="2"/>
  <c r="T130" i="2"/>
  <c r="AC130" i="2"/>
  <c r="Z130" i="2"/>
  <c r="AF130" i="2"/>
  <c r="Q129" i="2"/>
  <c r="T129" i="2"/>
  <c r="W129" i="2"/>
  <c r="AC129" i="2"/>
  <c r="Z129" i="2"/>
  <c r="AF129" i="2"/>
  <c r="Q128" i="2"/>
  <c r="Z128" i="2"/>
  <c r="T128" i="2"/>
  <c r="W128" i="2"/>
  <c r="AC128" i="2"/>
  <c r="AF128" i="2"/>
  <c r="W127" i="2"/>
  <c r="Q127" i="2"/>
  <c r="AF127" i="2"/>
  <c r="T127" i="2"/>
  <c r="AC127" i="2"/>
  <c r="Z127" i="2"/>
  <c r="Q126" i="2"/>
  <c r="Z126" i="2"/>
  <c r="AF126" i="2"/>
  <c r="AC126" i="2"/>
  <c r="W126" i="2"/>
  <c r="T126" i="2"/>
  <c r="AC125" i="2"/>
  <c r="Z125" i="2"/>
  <c r="AF125" i="2"/>
  <c r="W125" i="2"/>
  <c r="T125" i="2"/>
  <c r="Q125" i="2"/>
  <c r="AF124" i="2"/>
  <c r="AC124" i="2"/>
  <c r="W124" i="2"/>
  <c r="T124" i="2"/>
  <c r="Q124" i="2"/>
  <c r="Z124" i="2"/>
  <c r="AF123" i="2"/>
  <c r="Z123" i="2"/>
  <c r="AC123" i="2"/>
  <c r="W123" i="2"/>
  <c r="T123" i="2"/>
  <c r="Q123" i="2"/>
  <c r="Q122" i="2"/>
  <c r="T122" i="2"/>
  <c r="AF122" i="2"/>
  <c r="Z122" i="2"/>
  <c r="AC122" i="2"/>
  <c r="W122" i="2"/>
  <c r="W121" i="2"/>
  <c r="T121" i="2"/>
  <c r="Q121" i="2"/>
  <c r="AC121" i="2"/>
  <c r="AF121" i="2"/>
  <c r="Z121" i="2"/>
  <c r="Z120" i="2"/>
  <c r="AF120" i="2"/>
  <c r="AC120" i="2"/>
  <c r="W120" i="2"/>
  <c r="T120" i="2"/>
  <c r="Q120" i="2"/>
  <c r="AF119" i="2"/>
  <c r="Z119" i="2"/>
  <c r="AC119" i="2"/>
  <c r="W119" i="2"/>
  <c r="T119" i="2"/>
  <c r="Q119" i="2"/>
  <c r="Q118" i="2"/>
  <c r="W118" i="2"/>
  <c r="T118" i="2"/>
  <c r="AC118" i="2"/>
  <c r="Z118" i="2"/>
  <c r="AF118" i="2"/>
  <c r="T117" i="2"/>
  <c r="W117" i="2"/>
  <c r="AC117" i="2"/>
  <c r="AF117" i="2"/>
  <c r="Z117" i="2"/>
  <c r="Q117" i="2"/>
  <c r="Z116" i="2"/>
  <c r="AC116" i="2"/>
  <c r="AF116" i="2"/>
  <c r="W116" i="2"/>
  <c r="T116" i="2"/>
  <c r="Q116" i="2"/>
  <c r="Z115" i="2"/>
  <c r="AF115" i="2"/>
  <c r="AC115" i="2"/>
  <c r="W115" i="2"/>
  <c r="T115" i="2"/>
  <c r="Q115" i="2"/>
  <c r="T114" i="2"/>
  <c r="W114" i="2"/>
  <c r="AC114" i="2"/>
  <c r="Q114" i="2"/>
  <c r="Z114" i="2"/>
  <c r="AF114" i="2"/>
  <c r="Q113" i="2"/>
  <c r="T113" i="2"/>
  <c r="W113" i="2"/>
  <c r="AC113" i="2"/>
  <c r="Z113" i="2"/>
  <c r="AF113" i="2"/>
  <c r="AC112" i="2"/>
  <c r="Z112" i="2"/>
  <c r="AF112" i="2"/>
  <c r="W112" i="2"/>
  <c r="T112" i="2"/>
  <c r="Q112" i="2"/>
  <c r="Z102" i="2"/>
  <c r="AC102" i="2"/>
  <c r="W102" i="2"/>
  <c r="T102" i="2"/>
  <c r="Q102" i="2"/>
  <c r="AF102" i="2"/>
  <c r="Z101" i="2"/>
  <c r="AC101" i="2"/>
  <c r="W101" i="2"/>
  <c r="T101" i="2"/>
  <c r="Q101" i="2"/>
  <c r="AF101" i="2"/>
  <c r="Z100" i="2"/>
  <c r="AF100" i="2"/>
  <c r="AC100" i="2"/>
  <c r="W100" i="2"/>
  <c r="T100" i="2"/>
  <c r="Q100" i="2"/>
  <c r="AC99" i="2"/>
  <c r="W99" i="2"/>
  <c r="T99" i="2"/>
  <c r="AF99" i="2"/>
  <c r="Q99" i="2"/>
  <c r="Z99" i="2"/>
  <c r="W98" i="2"/>
  <c r="Q98" i="2"/>
  <c r="T98" i="2"/>
  <c r="Z98" i="2"/>
  <c r="AC98" i="2"/>
  <c r="AF98" i="2"/>
  <c r="AC97" i="2"/>
  <c r="W97" i="2"/>
  <c r="T97" i="2"/>
  <c r="AF97" i="2"/>
  <c r="Q97" i="2"/>
  <c r="Z97" i="2"/>
  <c r="W96" i="2"/>
  <c r="AC96" i="2"/>
  <c r="Q96" i="2"/>
  <c r="Z96" i="2"/>
  <c r="AF96" i="2"/>
  <c r="T96" i="2"/>
  <c r="AF95" i="2"/>
  <c r="Z95" i="2"/>
  <c r="AC95" i="2"/>
  <c r="T95" i="2"/>
  <c r="Q95" i="2"/>
  <c r="W95" i="2"/>
  <c r="AC94" i="2"/>
  <c r="Q94" i="2"/>
  <c r="W94" i="2"/>
  <c r="Z94" i="2"/>
  <c r="AF94" i="2"/>
  <c r="T94" i="2"/>
  <c r="T93" i="2"/>
  <c r="W93" i="2"/>
  <c r="AC93" i="2"/>
  <c r="Q93" i="2"/>
  <c r="Z93" i="2"/>
  <c r="AF93" i="2"/>
  <c r="T92" i="2"/>
  <c r="AC92" i="2"/>
  <c r="Q92" i="2"/>
  <c r="AF92" i="2"/>
  <c r="W92" i="2"/>
  <c r="Z92" i="2"/>
  <c r="T91" i="2"/>
  <c r="W91" i="2"/>
  <c r="AC91" i="2"/>
  <c r="AF91" i="2"/>
  <c r="Z91" i="2"/>
  <c r="Q91" i="2"/>
  <c r="AF90" i="2"/>
  <c r="W90" i="2"/>
  <c r="Q90" i="2"/>
  <c r="T90" i="2"/>
  <c r="AC90" i="2"/>
  <c r="Z90" i="2"/>
  <c r="AF89" i="2"/>
  <c r="Z89" i="2"/>
  <c r="AC89" i="2"/>
  <c r="W89" i="2"/>
  <c r="T89" i="2"/>
  <c r="Q89" i="2"/>
  <c r="W88" i="2"/>
  <c r="T88" i="2"/>
  <c r="AF88" i="2"/>
  <c r="Z88" i="2"/>
  <c r="AC88" i="2"/>
  <c r="Q88" i="2"/>
  <c r="AF87" i="2"/>
  <c r="Z87" i="2"/>
  <c r="AC87" i="2"/>
  <c r="W87" i="2"/>
  <c r="T87" i="2"/>
  <c r="Q87" i="2"/>
  <c r="AF86" i="2"/>
  <c r="Z86" i="2"/>
  <c r="AC86" i="2"/>
  <c r="W86" i="2"/>
  <c r="T86" i="2"/>
  <c r="Q86" i="2"/>
  <c r="AF85" i="2"/>
  <c r="Z85" i="2"/>
  <c r="T71" i="2"/>
  <c r="W71" i="2"/>
  <c r="Q71" i="2"/>
  <c r="Q70" i="2"/>
  <c r="T70" i="2"/>
  <c r="W70" i="2"/>
  <c r="AC70" i="2"/>
  <c r="AF70" i="2"/>
  <c r="Z70" i="2"/>
  <c r="AC69" i="2"/>
  <c r="Q69" i="2"/>
  <c r="T69" i="2"/>
  <c r="W69" i="2"/>
  <c r="Z69" i="2"/>
  <c r="AF69" i="2"/>
  <c r="AF68" i="2"/>
  <c r="W68" i="2"/>
  <c r="AC68" i="2"/>
  <c r="T68" i="2"/>
  <c r="Q68" i="2"/>
  <c r="Z68" i="2"/>
  <c r="W67" i="2"/>
  <c r="Q67" i="2"/>
  <c r="AF67" i="2"/>
  <c r="Z67" i="2"/>
  <c r="AC67" i="2"/>
  <c r="T67" i="2"/>
  <c r="AC66" i="2"/>
  <c r="W66" i="2"/>
  <c r="T66" i="2"/>
  <c r="Q66" i="2"/>
  <c r="AF66" i="2"/>
  <c r="Z66" i="2"/>
  <c r="Q65" i="2"/>
  <c r="AF65" i="2"/>
  <c r="Z65" i="2"/>
  <c r="AC65" i="2"/>
  <c r="W65" i="2"/>
  <c r="T65" i="2"/>
  <c r="AF64" i="2"/>
  <c r="Z64" i="2"/>
  <c r="AC64" i="2"/>
  <c r="W64" i="2"/>
  <c r="T64" i="2"/>
  <c r="Q64" i="2"/>
  <c r="AF63" i="2"/>
  <c r="T63" i="2"/>
  <c r="AC63" i="2"/>
  <c r="W63" i="2"/>
  <c r="Q63" i="2"/>
  <c r="Z63" i="2"/>
  <c r="T62" i="2"/>
  <c r="W62" i="2"/>
  <c r="AC62" i="2"/>
  <c r="Z62" i="2"/>
  <c r="AF62" i="2"/>
  <c r="Q62" i="2"/>
  <c r="AF61" i="2"/>
  <c r="Z61" i="2"/>
  <c r="AC61" i="2"/>
  <c r="W61" i="2"/>
  <c r="T61" i="2"/>
  <c r="Q61" i="2"/>
  <c r="AC60" i="2"/>
  <c r="W60" i="2"/>
  <c r="T60" i="2"/>
  <c r="Q60" i="2"/>
  <c r="AF60" i="2"/>
  <c r="Z60" i="2"/>
  <c r="Z59" i="2"/>
  <c r="Q59" i="2"/>
  <c r="T59" i="2"/>
  <c r="W59" i="2"/>
  <c r="AC59" i="2"/>
  <c r="AF59" i="2"/>
  <c r="T58" i="2"/>
  <c r="AF58" i="2"/>
  <c r="Z58" i="2"/>
  <c r="AC58" i="2"/>
  <c r="W58" i="2"/>
  <c r="Q58" i="2"/>
  <c r="Z57" i="2"/>
  <c r="Q57" i="2"/>
  <c r="T57" i="2"/>
  <c r="W57" i="2"/>
  <c r="AC57" i="2"/>
  <c r="AF57" i="2"/>
  <c r="Q56" i="2"/>
  <c r="T56" i="2"/>
  <c r="W56" i="2"/>
  <c r="AC56" i="2"/>
  <c r="Z56" i="2"/>
  <c r="AF56" i="2"/>
  <c r="AC55" i="2"/>
  <c r="AF55" i="2"/>
  <c r="W55" i="2"/>
  <c r="T55" i="2"/>
  <c r="Q55" i="2"/>
  <c r="Z55" i="2"/>
  <c r="Z54" i="2"/>
  <c r="AF54" i="2"/>
  <c r="AC54" i="2"/>
  <c r="W54" i="2"/>
  <c r="T54" i="2"/>
  <c r="Q54" i="2"/>
  <c r="AF53" i="2"/>
  <c r="Z53" i="2"/>
  <c r="AC53" i="2"/>
  <c r="W53" i="2"/>
  <c r="T53" i="2"/>
  <c r="Q53" i="2"/>
  <c r="Z52" i="2"/>
  <c r="AC52" i="2"/>
  <c r="AF52" i="2"/>
  <c r="W52" i="2"/>
  <c r="T52" i="2"/>
  <c r="Q52" i="2"/>
  <c r="AF51" i="2"/>
  <c r="Z51" i="2"/>
  <c r="AC51" i="2"/>
  <c r="W51" i="2"/>
  <c r="T51" i="2"/>
  <c r="Q51" i="2"/>
  <c r="AF50" i="2"/>
  <c r="Z50" i="2"/>
  <c r="AC50" i="2"/>
  <c r="W50" i="2"/>
  <c r="T50" i="2"/>
  <c r="Q50" i="2"/>
  <c r="AF49" i="2"/>
  <c r="Z49" i="2"/>
  <c r="AC49" i="2"/>
  <c r="W49" i="2"/>
  <c r="T49" i="2"/>
  <c r="Q49" i="2"/>
  <c r="AC48" i="2"/>
  <c r="AF48" i="2"/>
  <c r="Z48" i="2"/>
  <c r="W48" i="2"/>
  <c r="T48" i="2"/>
  <c r="Q48" i="2"/>
  <c r="W47" i="2"/>
  <c r="AF47" i="2"/>
  <c r="AC47" i="2"/>
  <c r="Z47" i="2"/>
  <c r="Q47" i="2"/>
  <c r="T47" i="2"/>
  <c r="T46" i="2"/>
  <c r="Q46" i="2"/>
  <c r="AC46" i="2"/>
  <c r="W46" i="2"/>
  <c r="Z46" i="2"/>
  <c r="AF46" i="2"/>
  <c r="W45" i="2"/>
  <c r="Q45" i="2"/>
  <c r="T45" i="2"/>
  <c r="AC45" i="2"/>
  <c r="Z45" i="2"/>
  <c r="AF45" i="2"/>
  <c r="AC44" i="2"/>
  <c r="Q44" i="2"/>
  <c r="T44" i="2"/>
  <c r="Z44" i="2"/>
  <c r="AF44" i="2"/>
  <c r="W44" i="2"/>
  <c r="Z43" i="2"/>
  <c r="AC43" i="2"/>
  <c r="AF43" i="2"/>
  <c r="W43" i="2"/>
  <c r="T43" i="2"/>
  <c r="Q43" i="2"/>
  <c r="AC42" i="2"/>
  <c r="Z42" i="2"/>
  <c r="T42" i="2"/>
  <c r="W42" i="2"/>
  <c r="AF42" i="2"/>
  <c r="Q42" i="2"/>
  <c r="T41" i="2"/>
  <c r="W41" i="2"/>
  <c r="AC41" i="2"/>
  <c r="Z41" i="2"/>
  <c r="Q41" i="2"/>
  <c r="AF41" i="2"/>
  <c r="Q40" i="2"/>
  <c r="T40" i="2"/>
  <c r="W40" i="2"/>
  <c r="AC40" i="2"/>
  <c r="AF40" i="2"/>
  <c r="Z40" i="2"/>
  <c r="Q39" i="2"/>
  <c r="Z39" i="2"/>
  <c r="AF39" i="2"/>
  <c r="AC39" i="2"/>
  <c r="W39" i="2"/>
  <c r="T39" i="2"/>
  <c r="T38" i="2"/>
  <c r="Q38" i="2"/>
  <c r="AF38" i="2"/>
  <c r="Z38" i="2"/>
  <c r="AC38" i="2"/>
  <c r="W38" i="2"/>
  <c r="Z37" i="2"/>
  <c r="W37" i="2"/>
  <c r="AC37" i="2"/>
  <c r="AF37" i="2"/>
  <c r="Q37" i="2"/>
  <c r="T37" i="2"/>
  <c r="W36" i="2"/>
  <c r="AF36" i="2"/>
  <c r="Z36" i="2"/>
  <c r="AC36" i="2"/>
  <c r="T36" i="2"/>
  <c r="Q36" i="2"/>
  <c r="T35" i="2"/>
  <c r="Q35" i="2"/>
  <c r="Z35" i="2"/>
  <c r="AF35" i="2"/>
  <c r="AC35" i="2"/>
  <c r="W35" i="2"/>
  <c r="AF34" i="2"/>
  <c r="AC34" i="2"/>
  <c r="Z34" i="2"/>
  <c r="W34" i="2"/>
  <c r="T34" i="2"/>
  <c r="Q34" i="2"/>
  <c r="AC33" i="2"/>
  <c r="T33" i="2"/>
  <c r="Q33" i="2"/>
  <c r="W33" i="2"/>
  <c r="Z33" i="2"/>
  <c r="AF33" i="2"/>
  <c r="Z32" i="2"/>
  <c r="AC32" i="2"/>
  <c r="T32" i="2"/>
  <c r="Q32" i="2"/>
  <c r="W32" i="2"/>
  <c r="AF32" i="2"/>
  <c r="W31" i="2"/>
  <c r="AC31" i="2"/>
  <c r="Z31" i="2"/>
  <c r="AF31" i="2"/>
  <c r="Q31" i="2"/>
  <c r="T31" i="2"/>
  <c r="T30" i="2"/>
  <c r="W30" i="2"/>
  <c r="AC30" i="2"/>
  <c r="Z30" i="2"/>
  <c r="AF30" i="2"/>
  <c r="Q30" i="2"/>
  <c r="Q29" i="2"/>
  <c r="T29" i="2"/>
  <c r="W29" i="2"/>
  <c r="AC29" i="2"/>
  <c r="Z29" i="2"/>
  <c r="AF29" i="2"/>
  <c r="AF28" i="2"/>
  <c r="Q28" i="2"/>
  <c r="W28" i="2"/>
  <c r="AC28" i="2"/>
  <c r="T28" i="2"/>
  <c r="Z28" i="2"/>
  <c r="AF27" i="2"/>
  <c r="AC27" i="2"/>
  <c r="W27" i="2"/>
  <c r="T27" i="2"/>
  <c r="Q27" i="2"/>
  <c r="Z27" i="2"/>
  <c r="AC26" i="2"/>
  <c r="T26" i="2"/>
  <c r="Q26" i="2"/>
  <c r="AF26" i="2"/>
  <c r="W26" i="2"/>
  <c r="Z26" i="2"/>
  <c r="Q25" i="2"/>
  <c r="T25" i="2"/>
  <c r="W25" i="2"/>
  <c r="AC25" i="2"/>
  <c r="Z25" i="2"/>
  <c r="AF25" i="2"/>
  <c r="AC24" i="2"/>
  <c r="T24" i="2"/>
  <c r="W24" i="2"/>
  <c r="AF24" i="2"/>
  <c r="Z24" i="2"/>
  <c r="Q24" i="2"/>
  <c r="Q23" i="2"/>
  <c r="AF23" i="2"/>
  <c r="W23" i="2"/>
  <c r="AC23" i="2"/>
  <c r="Z23" i="2"/>
  <c r="T23" i="2"/>
  <c r="AF22" i="2"/>
  <c r="W22" i="2"/>
  <c r="AC22" i="2"/>
  <c r="T22" i="2"/>
  <c r="Q22" i="2"/>
  <c r="Z22" i="2"/>
  <c r="AF21" i="2"/>
  <c r="Q21" i="2"/>
  <c r="T21" i="2"/>
  <c r="W21" i="2"/>
  <c r="AC21" i="2"/>
  <c r="Z21" i="2"/>
  <c r="Z20" i="2"/>
  <c r="AF20" i="2"/>
  <c r="AC20" i="2"/>
  <c r="W20" i="2"/>
  <c r="T20" i="2"/>
  <c r="Q20" i="2"/>
  <c r="AF19" i="2"/>
  <c r="Z19" i="2"/>
  <c r="AC19" i="2"/>
  <c r="W19" i="2"/>
  <c r="T19" i="2"/>
  <c r="Q19" i="2"/>
  <c r="Q18" i="2"/>
  <c r="Z18" i="2"/>
  <c r="AF18" i="2"/>
  <c r="AC18" i="2"/>
  <c r="W18" i="2"/>
  <c r="T18" i="2"/>
  <c r="Z17" i="2"/>
  <c r="AF17" i="2"/>
  <c r="AC17" i="2"/>
  <c r="W17" i="2"/>
  <c r="T17" i="2"/>
  <c r="Q17" i="2"/>
  <c r="W16" i="2"/>
  <c r="T16" i="2"/>
  <c r="Q16" i="2"/>
  <c r="Z16" i="2"/>
  <c r="AF16" i="2"/>
  <c r="AC16" i="2"/>
  <c r="W15" i="2"/>
  <c r="T15" i="2"/>
  <c r="AC15" i="2"/>
  <c r="AF15" i="2"/>
  <c r="Z15" i="2"/>
  <c r="Q15" i="2"/>
  <c r="AF14" i="2"/>
  <c r="Z14" i="2"/>
  <c r="AC14" i="2"/>
  <c r="W14" i="2"/>
  <c r="T14" i="2"/>
  <c r="Q14" i="2"/>
  <c r="AF13" i="2"/>
  <c r="Z13" i="2"/>
  <c r="AC13" i="2"/>
  <c r="W13" i="2"/>
  <c r="T13" i="2"/>
  <c r="Q13" i="2"/>
  <c r="W12" i="2"/>
  <c r="AF12" i="2"/>
  <c r="AC12" i="2"/>
  <c r="Z12" i="2"/>
  <c r="T12" i="2"/>
  <c r="Q12" i="2"/>
  <c r="AF11" i="2"/>
  <c r="Z11" i="2"/>
  <c r="AC11" i="2"/>
  <c r="W11" i="2"/>
  <c r="T11" i="2"/>
  <c r="Q11" i="2"/>
  <c r="AF10" i="2"/>
  <c r="Z10" i="2"/>
  <c r="AC10" i="2"/>
  <c r="W10" i="2"/>
  <c r="T10" i="2"/>
  <c r="Q10" i="2"/>
  <c r="W9" i="2"/>
  <c r="T9" i="2"/>
  <c r="Z9" i="2"/>
  <c r="AF9" i="2"/>
  <c r="Q9" i="2"/>
  <c r="AC9" i="2"/>
  <c r="W8" i="2"/>
  <c r="T8" i="2"/>
  <c r="Q8" i="2"/>
  <c r="AF8" i="2"/>
  <c r="Z8" i="2"/>
  <c r="AC8" i="2"/>
  <c r="T7" i="2"/>
  <c r="AF7" i="2"/>
  <c r="Z7" i="2"/>
  <c r="AC7" i="2"/>
  <c r="W7" i="2"/>
  <c r="Q7" i="2"/>
  <c r="W6" i="2"/>
  <c r="AF6" i="2"/>
  <c r="Z6" i="2"/>
  <c r="AC6" i="2"/>
  <c r="W2" i="2"/>
  <c r="T2" i="2"/>
  <c r="Z2" i="2"/>
  <c r="T989" i="2"/>
  <c r="W989" i="2"/>
  <c r="AC989" i="2"/>
  <c r="AF989" i="2"/>
  <c r="Z989" i="2"/>
  <c r="Q989" i="2"/>
  <c r="W988" i="2"/>
  <c r="T988" i="2"/>
  <c r="Q988" i="2"/>
  <c r="Z988" i="2"/>
  <c r="AF988" i="2"/>
  <c r="AC988" i="2"/>
  <c r="AF987" i="2"/>
  <c r="AC987" i="2"/>
  <c r="W987" i="2"/>
  <c r="Z987" i="2"/>
  <c r="AF874" i="2"/>
  <c r="AC874" i="2"/>
  <c r="W874" i="2"/>
  <c r="T874" i="2"/>
  <c r="Q874" i="2"/>
  <c r="Z874" i="2"/>
  <c r="AF873" i="2"/>
  <c r="AC873" i="2"/>
  <c r="W873" i="2"/>
  <c r="Z873" i="2"/>
  <c r="T873" i="2"/>
  <c r="Q873" i="2"/>
  <c r="AC872" i="2"/>
  <c r="AF872" i="2"/>
  <c r="Q872" i="2"/>
  <c r="T872" i="2"/>
  <c r="W872" i="2"/>
  <c r="Z872" i="2"/>
  <c r="Q871" i="2"/>
  <c r="W871" i="2"/>
  <c r="AF871" i="2"/>
  <c r="AC871" i="2"/>
  <c r="T871" i="2"/>
  <c r="Z871" i="2"/>
  <c r="AF870" i="2"/>
  <c r="AC870" i="2"/>
  <c r="Z870" i="2"/>
  <c r="W870" i="2"/>
  <c r="T870" i="2"/>
  <c r="Q870" i="2"/>
  <c r="Q869" i="2"/>
  <c r="AF869" i="2"/>
  <c r="AC869" i="2"/>
  <c r="Z869" i="2"/>
  <c r="W869" i="2"/>
  <c r="T869" i="2"/>
  <c r="AF868" i="2"/>
  <c r="AC868" i="2"/>
  <c r="Z868" i="2"/>
  <c r="W868" i="2"/>
  <c r="Q868" i="2"/>
  <c r="T868" i="2"/>
  <c r="T867" i="2"/>
  <c r="Z867" i="2"/>
  <c r="AC867" i="2"/>
  <c r="AF867" i="2"/>
  <c r="Q867" i="2"/>
  <c r="W867" i="2"/>
  <c r="Q866" i="2"/>
  <c r="T866" i="2"/>
  <c r="W866" i="2"/>
  <c r="Z866" i="2"/>
  <c r="AC866" i="2"/>
  <c r="AF866" i="2"/>
  <c r="AC865" i="2"/>
  <c r="Z865" i="2"/>
  <c r="W865" i="2"/>
  <c r="T865" i="2"/>
  <c r="Q865" i="2"/>
  <c r="AF865" i="2"/>
  <c r="T864" i="2"/>
  <c r="Q864" i="2"/>
  <c r="AF864" i="2"/>
  <c r="AC864" i="2"/>
  <c r="Z864" i="2"/>
  <c r="W864" i="2"/>
  <c r="AF863" i="2"/>
  <c r="Z863" i="2"/>
  <c r="Q863" i="2"/>
  <c r="T863" i="2"/>
  <c r="W863" i="2"/>
  <c r="AC863" i="2"/>
  <c r="AC862" i="2"/>
  <c r="Z862" i="2"/>
  <c r="W862" i="2"/>
  <c r="T862" i="2"/>
  <c r="Q862" i="2"/>
  <c r="AF862" i="2"/>
  <c r="AF861" i="2"/>
  <c r="AC861" i="2"/>
  <c r="Z861" i="2"/>
  <c r="W861" i="2"/>
  <c r="T861" i="2"/>
  <c r="Q861" i="2"/>
  <c r="Q777" i="2"/>
  <c r="T777" i="2"/>
  <c r="W777" i="2"/>
  <c r="AF777" i="2"/>
  <c r="AC777" i="2"/>
  <c r="Z777" i="2"/>
  <c r="T776" i="2"/>
  <c r="W776" i="2"/>
  <c r="Z776" i="2"/>
  <c r="AC776" i="2"/>
  <c r="AF776" i="2"/>
  <c r="Q776" i="2"/>
  <c r="Q775" i="2"/>
  <c r="AF775" i="2"/>
  <c r="AC775" i="2"/>
  <c r="Z775" i="2"/>
  <c r="W775" i="2"/>
  <c r="T775" i="2"/>
  <c r="Q774" i="2"/>
  <c r="AF774" i="2"/>
  <c r="T774" i="2"/>
  <c r="W774" i="2"/>
  <c r="AC774" i="2"/>
  <c r="Z774" i="2"/>
  <c r="AC773" i="2"/>
  <c r="Q773" i="2"/>
  <c r="T773" i="2"/>
  <c r="W773" i="2"/>
  <c r="Z773" i="2"/>
  <c r="AF773" i="2"/>
  <c r="AF772" i="2"/>
  <c r="AC772" i="2"/>
  <c r="Z772" i="2"/>
  <c r="W772" i="2"/>
  <c r="T772" i="2"/>
  <c r="Q772" i="2"/>
  <c r="AF771" i="2"/>
  <c r="AC771" i="2"/>
  <c r="Q771" i="2"/>
  <c r="T771" i="2"/>
  <c r="W771" i="2"/>
  <c r="Z771" i="2"/>
  <c r="Q770" i="2"/>
  <c r="AF770" i="2"/>
  <c r="AC770" i="2"/>
  <c r="Z770" i="2"/>
  <c r="W770" i="2"/>
  <c r="T770" i="2"/>
  <c r="AF769" i="2"/>
  <c r="Q769" i="2"/>
  <c r="T769" i="2"/>
  <c r="W769" i="2"/>
  <c r="Z769" i="2"/>
  <c r="AC769" i="2"/>
  <c r="AC768" i="2"/>
  <c r="AF768" i="2"/>
  <c r="Z768" i="2"/>
  <c r="W768" i="2"/>
  <c r="T768" i="2"/>
  <c r="Q768" i="2"/>
  <c r="W767" i="2"/>
  <c r="Q767" i="2"/>
  <c r="T767" i="2"/>
  <c r="Z767" i="2"/>
  <c r="AC767" i="2"/>
  <c r="AF767" i="2"/>
  <c r="Q766" i="2"/>
  <c r="T766" i="2"/>
  <c r="W766" i="2"/>
  <c r="Z766" i="2"/>
  <c r="AC766" i="2"/>
  <c r="AF766" i="2"/>
  <c r="Z765" i="2"/>
  <c r="AF765" i="2"/>
  <c r="T765" i="2"/>
  <c r="Q765" i="2"/>
  <c r="W765" i="2"/>
  <c r="AC765" i="2"/>
  <c r="AF764" i="2"/>
  <c r="Q764" i="2"/>
  <c r="T764" i="2"/>
  <c r="Z764" i="2"/>
  <c r="AC764" i="2"/>
  <c r="W764" i="2"/>
  <c r="AC763" i="2"/>
  <c r="Z763" i="2"/>
  <c r="AF763" i="2"/>
  <c r="W763" i="2"/>
  <c r="T763" i="2"/>
  <c r="Q763" i="2"/>
  <c r="T762" i="2"/>
  <c r="W762" i="2"/>
  <c r="Z762" i="2"/>
  <c r="AC762" i="2"/>
  <c r="AF762" i="2"/>
  <c r="Q762" i="2"/>
  <c r="Q761" i="2"/>
  <c r="T761" i="2"/>
  <c r="W761" i="2"/>
  <c r="Z761" i="2"/>
  <c r="AC761" i="2"/>
  <c r="AF761" i="2"/>
  <c r="Z760" i="2"/>
  <c r="AC760" i="2"/>
  <c r="Q760" i="2"/>
  <c r="T760" i="2"/>
  <c r="W760" i="2"/>
  <c r="AF760" i="2"/>
  <c r="Q759" i="2"/>
  <c r="T759" i="2"/>
  <c r="Z759" i="2"/>
  <c r="AC759" i="2"/>
  <c r="AF759" i="2"/>
  <c r="W759" i="2"/>
  <c r="T758" i="2"/>
  <c r="W758" i="2"/>
  <c r="Z758" i="2"/>
  <c r="AC758" i="2"/>
  <c r="AF758" i="2"/>
  <c r="Q758" i="2"/>
  <c r="T757" i="2"/>
  <c r="W757" i="2"/>
  <c r="Z757" i="2"/>
  <c r="AC757" i="2"/>
  <c r="AF757" i="2"/>
  <c r="Q757" i="2"/>
  <c r="T756" i="2"/>
  <c r="Q756" i="2"/>
  <c r="AF756" i="2"/>
  <c r="AC756" i="2"/>
  <c r="Z756" i="2"/>
  <c r="W756" i="2"/>
  <c r="AF755" i="2"/>
  <c r="AC755" i="2"/>
  <c r="Z755" i="2"/>
  <c r="W755" i="2"/>
  <c r="T755" i="2"/>
  <c r="Q755" i="2"/>
  <c r="T754" i="2"/>
  <c r="W754" i="2"/>
  <c r="Q754" i="2"/>
  <c r="Z754" i="2"/>
  <c r="AC754" i="2"/>
  <c r="AF754" i="2"/>
  <c r="Q753" i="2"/>
  <c r="AF753" i="2"/>
  <c r="AC753" i="2"/>
  <c r="Z753" i="2"/>
  <c r="W753" i="2"/>
  <c r="T753" i="2"/>
  <c r="AF752" i="2"/>
  <c r="AC752" i="2"/>
  <c r="W752" i="2"/>
  <c r="T752" i="2"/>
  <c r="Q752" i="2"/>
  <c r="Z752" i="2"/>
  <c r="Z701" i="2"/>
  <c r="W701" i="2"/>
  <c r="T701" i="2"/>
  <c r="Q701" i="2"/>
  <c r="Z700" i="2"/>
  <c r="W700" i="2"/>
  <c r="T700" i="2"/>
  <c r="Q700" i="2"/>
  <c r="AF700" i="2"/>
  <c r="AC700" i="2"/>
  <c r="AF699" i="2"/>
  <c r="AC699" i="2"/>
  <c r="Z699" i="2"/>
  <c r="W699" i="2"/>
  <c r="T699" i="2"/>
  <c r="Q699" i="2"/>
  <c r="Q698" i="2"/>
  <c r="T698" i="2"/>
  <c r="W698" i="2"/>
  <c r="Z698" i="2"/>
  <c r="AC698" i="2"/>
  <c r="AF698" i="2"/>
  <c r="Q697" i="2"/>
  <c r="AF697" i="2"/>
  <c r="T697" i="2"/>
  <c r="W697" i="2"/>
  <c r="Z697" i="2"/>
  <c r="AC697" i="2"/>
  <c r="AC696" i="2"/>
  <c r="Z696" i="2"/>
  <c r="W696" i="2"/>
  <c r="T696" i="2"/>
  <c r="Q696" i="2"/>
  <c r="AF696" i="2"/>
  <c r="AF695" i="2"/>
  <c r="AC695" i="2"/>
  <c r="Q695" i="2"/>
  <c r="T695" i="2"/>
  <c r="W695" i="2"/>
  <c r="Z695" i="2"/>
  <c r="Q694" i="2"/>
  <c r="T694" i="2"/>
  <c r="W694" i="2"/>
  <c r="Z694" i="2"/>
  <c r="AC694" i="2"/>
  <c r="AF694" i="2"/>
  <c r="AC693" i="2"/>
  <c r="Z693" i="2"/>
  <c r="W693" i="2"/>
  <c r="Q693" i="2"/>
  <c r="T693" i="2"/>
  <c r="AF693" i="2"/>
  <c r="AF692" i="2"/>
  <c r="AC692" i="2"/>
  <c r="Z692" i="2"/>
  <c r="W692" i="2"/>
  <c r="T692" i="2"/>
  <c r="Q692" i="2"/>
  <c r="W691" i="2"/>
  <c r="T691" i="2"/>
  <c r="AC691" i="2"/>
  <c r="AF691" i="2"/>
  <c r="Q691" i="2"/>
  <c r="Z691" i="2"/>
  <c r="Z690" i="2"/>
  <c r="AC690" i="2"/>
  <c r="AF690" i="2"/>
  <c r="T690" i="2"/>
  <c r="Q690" i="2"/>
  <c r="W690" i="2"/>
  <c r="AF689" i="2"/>
  <c r="Z689" i="2"/>
  <c r="W689" i="2"/>
  <c r="T689" i="2"/>
  <c r="Q689" i="2"/>
  <c r="AC689" i="2"/>
  <c r="T688" i="2"/>
  <c r="W688" i="2"/>
  <c r="Z688" i="2"/>
  <c r="AC688" i="2"/>
  <c r="AF688" i="2"/>
  <c r="Q688" i="2"/>
  <c r="Q687" i="2"/>
  <c r="AC687" i="2"/>
  <c r="T687" i="2"/>
  <c r="W687" i="2"/>
  <c r="Z687" i="2"/>
  <c r="AF687" i="2"/>
  <c r="Z686" i="2"/>
  <c r="W686" i="2"/>
  <c r="T686" i="2"/>
  <c r="Q686" i="2"/>
  <c r="AF686" i="2"/>
  <c r="AC686" i="2"/>
  <c r="W685" i="2"/>
  <c r="Z685" i="2"/>
  <c r="AF685" i="2"/>
  <c r="AC685" i="2"/>
  <c r="Q685" i="2"/>
  <c r="T685" i="2"/>
  <c r="Q684" i="2"/>
  <c r="T684" i="2"/>
  <c r="W684" i="2"/>
  <c r="Z684" i="2"/>
  <c r="AF684" i="2"/>
  <c r="AC684" i="2"/>
  <c r="Z683" i="2"/>
  <c r="W683" i="2"/>
  <c r="T683" i="2"/>
  <c r="AC683" i="2"/>
  <c r="AF683" i="2"/>
  <c r="Q683" i="2"/>
  <c r="Q682" i="2"/>
  <c r="T682" i="2"/>
  <c r="AC682" i="2"/>
  <c r="W682" i="2"/>
  <c r="Z682" i="2"/>
  <c r="AF682" i="2"/>
  <c r="AF681" i="2"/>
  <c r="Q681" i="2"/>
  <c r="T681" i="2"/>
  <c r="W681" i="2"/>
  <c r="Z681" i="2"/>
  <c r="AC681" i="2"/>
  <c r="AC680" i="2"/>
  <c r="AF680" i="2"/>
  <c r="Z680" i="2"/>
  <c r="W680" i="2"/>
  <c r="T680" i="2"/>
  <c r="Q680" i="2"/>
  <c r="AF679" i="2"/>
  <c r="AC679" i="2"/>
  <c r="Z679" i="2"/>
  <c r="W679" i="2"/>
  <c r="T679" i="2"/>
  <c r="Q679" i="2"/>
  <c r="AF678" i="2"/>
  <c r="AC678" i="2"/>
  <c r="Z678" i="2"/>
  <c r="W678" i="2"/>
  <c r="T678" i="2"/>
  <c r="Q678" i="2"/>
  <c r="AF677" i="2"/>
  <c r="AC677" i="2"/>
  <c r="Z677" i="2"/>
  <c r="W677" i="2"/>
  <c r="T677" i="2"/>
  <c r="Q677" i="2"/>
  <c r="AF676" i="2"/>
  <c r="AC676" i="2"/>
  <c r="Z676" i="2"/>
  <c r="W676" i="2"/>
  <c r="Q676" i="2"/>
  <c r="T676" i="2"/>
  <c r="AF675" i="2"/>
  <c r="Q675" i="2"/>
  <c r="T675" i="2"/>
  <c r="W675" i="2"/>
  <c r="Z675" i="2"/>
  <c r="AC675" i="2"/>
  <c r="Z674" i="2"/>
  <c r="AF674" i="2"/>
  <c r="AC674" i="2"/>
  <c r="W674" i="2"/>
  <c r="T674" i="2"/>
  <c r="Q674" i="2"/>
  <c r="Z673" i="2"/>
  <c r="AC673" i="2"/>
  <c r="Q673" i="2"/>
  <c r="T673" i="2"/>
  <c r="W673" i="2"/>
  <c r="AF673" i="2"/>
  <c r="Q672" i="2"/>
  <c r="T672" i="2"/>
  <c r="W672" i="2"/>
  <c r="Z672" i="2"/>
  <c r="AF672" i="2"/>
  <c r="AC672" i="2"/>
  <c r="W671" i="2"/>
  <c r="T671" i="2"/>
  <c r="Q671" i="2"/>
  <c r="AF671" i="2"/>
  <c r="Z671" i="2"/>
  <c r="AC671" i="2"/>
  <c r="AF670" i="2"/>
  <c r="AC670" i="2"/>
  <c r="Z670" i="2"/>
  <c r="T670" i="2"/>
  <c r="Q670" i="2"/>
  <c r="W670" i="2"/>
  <c r="AF669" i="2"/>
  <c r="Q669" i="2"/>
  <c r="T669" i="2"/>
  <c r="W669" i="2"/>
  <c r="Z669" i="2"/>
  <c r="AC669" i="2"/>
  <c r="AC668" i="2"/>
  <c r="AF668" i="2"/>
  <c r="Z668" i="2"/>
  <c r="T668" i="2"/>
  <c r="Q668" i="2"/>
  <c r="W668" i="2"/>
  <c r="Q667" i="2"/>
  <c r="T667" i="2"/>
  <c r="W667" i="2"/>
  <c r="AC667" i="2"/>
  <c r="AF667" i="2"/>
  <c r="Z667" i="2"/>
  <c r="AC666" i="2"/>
  <c r="Z666" i="2"/>
  <c r="W666" i="2"/>
  <c r="T666" i="2"/>
  <c r="Q666" i="2"/>
  <c r="AF666" i="2"/>
  <c r="AC665" i="2"/>
  <c r="AF665" i="2"/>
  <c r="Q665" i="2"/>
  <c r="T665" i="2"/>
  <c r="W665" i="2"/>
  <c r="Z665" i="2"/>
  <c r="T664" i="2"/>
  <c r="W664" i="2"/>
  <c r="Z664" i="2"/>
  <c r="AF664" i="2"/>
  <c r="Q664" i="2"/>
  <c r="AC664" i="2"/>
  <c r="AC663" i="2"/>
  <c r="AF663" i="2"/>
  <c r="Z663" i="2"/>
  <c r="W663" i="2"/>
  <c r="Q663" i="2"/>
  <c r="T663" i="2"/>
  <c r="AC662" i="2"/>
  <c r="Z662" i="2"/>
  <c r="W662" i="2"/>
  <c r="T662" i="2"/>
  <c r="Q662" i="2"/>
  <c r="AF662" i="2"/>
  <c r="W661" i="2"/>
  <c r="AC661" i="2"/>
  <c r="AF661" i="2"/>
  <c r="Z661" i="2"/>
  <c r="T661" i="2"/>
  <c r="Q661" i="2"/>
  <c r="Q660" i="2"/>
  <c r="AF660" i="2"/>
  <c r="AC660" i="2"/>
  <c r="Z660" i="2"/>
  <c r="W660" i="2"/>
  <c r="T660" i="2"/>
  <c r="AF659" i="2"/>
  <c r="AC659" i="2"/>
  <c r="W659" i="2"/>
  <c r="T659" i="2"/>
  <c r="Q659" i="2"/>
  <c r="Z659" i="2"/>
  <c r="Q658" i="2"/>
  <c r="T658" i="2"/>
  <c r="W658" i="2"/>
  <c r="Z658" i="2"/>
  <c r="AC658" i="2"/>
  <c r="AF658" i="2"/>
  <c r="AF657" i="2"/>
  <c r="AC657" i="2"/>
  <c r="Z657" i="2"/>
  <c r="W657" i="2"/>
  <c r="T657" i="2"/>
  <c r="Q657" i="2"/>
  <c r="W656" i="2"/>
  <c r="AF656" i="2"/>
  <c r="AC656" i="2"/>
  <c r="Z656" i="2"/>
  <c r="T656" i="2"/>
  <c r="Q656" i="2"/>
  <c r="Z655" i="2"/>
  <c r="T655" i="2"/>
  <c r="Q655" i="2"/>
  <c r="W655" i="2"/>
  <c r="AF655" i="2"/>
  <c r="AC655" i="2"/>
  <c r="W654" i="2"/>
  <c r="AC654" i="2"/>
  <c r="AF654" i="2"/>
  <c r="T654" i="2"/>
  <c r="Z654" i="2"/>
  <c r="Q654" i="2"/>
  <c r="Z653" i="2"/>
  <c r="Q653" i="2"/>
  <c r="AF653" i="2"/>
  <c r="AC653" i="2"/>
  <c r="W653" i="2"/>
  <c r="T653" i="2"/>
  <c r="AF652" i="2"/>
  <c r="Q652" i="2"/>
  <c r="Z652" i="2"/>
  <c r="AC652" i="2"/>
  <c r="W652" i="2"/>
  <c r="T652" i="2"/>
  <c r="AF651" i="2"/>
  <c r="Q651" i="2"/>
  <c r="T651" i="2"/>
  <c r="W651" i="2"/>
  <c r="Z651" i="2"/>
  <c r="AC651" i="2"/>
  <c r="Z650" i="2"/>
  <c r="AC650" i="2"/>
  <c r="AF650" i="2"/>
  <c r="W650" i="2"/>
  <c r="AC434" i="2"/>
  <c r="AF434" i="2"/>
  <c r="Z434" i="2"/>
  <c r="W434" i="2"/>
  <c r="T434" i="2"/>
  <c r="Q434" i="2"/>
  <c r="AF432" i="2"/>
  <c r="AC432" i="2"/>
  <c r="Z432" i="2"/>
  <c r="W432" i="2"/>
  <c r="T432" i="2"/>
  <c r="Q432" i="2"/>
  <c r="Q431" i="2"/>
  <c r="AF431" i="2"/>
  <c r="AC431" i="2"/>
  <c r="Z431" i="2"/>
  <c r="W431" i="2"/>
  <c r="T431" i="2"/>
  <c r="W430" i="2"/>
  <c r="T430" i="2"/>
  <c r="Q430" i="2"/>
  <c r="AF430" i="2"/>
  <c r="AC430" i="2"/>
  <c r="Z430" i="2"/>
  <c r="AC429" i="2"/>
  <c r="T429" i="2"/>
  <c r="Z429" i="2"/>
  <c r="W429" i="2"/>
  <c r="Q429" i="2"/>
  <c r="AF429" i="2"/>
  <c r="AC428" i="2"/>
  <c r="AF428" i="2"/>
  <c r="Q428" i="2"/>
  <c r="Z428" i="2"/>
  <c r="T428" i="2"/>
  <c r="W428" i="2"/>
  <c r="W427" i="2"/>
  <c r="AC427" i="2"/>
  <c r="T427" i="2"/>
  <c r="AF427" i="2"/>
  <c r="Q427" i="2"/>
  <c r="Z427" i="2"/>
  <c r="Q426" i="2"/>
  <c r="T426" i="2"/>
  <c r="AF426" i="2"/>
  <c r="AC426" i="2"/>
  <c r="Z426" i="2"/>
  <c r="W426" i="2"/>
  <c r="Z425" i="2"/>
  <c r="AF425" i="2"/>
  <c r="AC425" i="2"/>
  <c r="W425" i="2"/>
  <c r="T425" i="2"/>
  <c r="Q425" i="2"/>
  <c r="T424" i="2"/>
  <c r="AC424" i="2"/>
  <c r="W424" i="2"/>
  <c r="AF424" i="2"/>
  <c r="Q424" i="2"/>
  <c r="Z424" i="2"/>
  <c r="Z423" i="2"/>
  <c r="AF423" i="2"/>
  <c r="Q423" i="2"/>
  <c r="T423" i="2"/>
  <c r="W423" i="2"/>
  <c r="AC423" i="2"/>
  <c r="AF422" i="2"/>
  <c r="Q422" i="2"/>
  <c r="T422" i="2"/>
  <c r="W422" i="2"/>
  <c r="AC422" i="2"/>
  <c r="Z422" i="2"/>
  <c r="AF421" i="2"/>
  <c r="Z421" i="2"/>
  <c r="AC421" i="2"/>
  <c r="Q421" i="2"/>
  <c r="W421" i="2"/>
  <c r="T421" i="2"/>
  <c r="W420" i="2"/>
  <c r="Z420" i="2"/>
  <c r="AC420" i="2"/>
  <c r="Q420" i="2"/>
  <c r="AF420" i="2"/>
  <c r="T420" i="2"/>
  <c r="Q419" i="2"/>
  <c r="AF419" i="2"/>
  <c r="AC419" i="2"/>
  <c r="Z419" i="2"/>
  <c r="W419" i="2"/>
  <c r="T419" i="2"/>
  <c r="AF418" i="2"/>
  <c r="AC418" i="2"/>
  <c r="Z418" i="2"/>
  <c r="Z222" i="2"/>
  <c r="AC222" i="2"/>
  <c r="W222" i="2"/>
  <c r="T222" i="2"/>
  <c r="Q222" i="2"/>
  <c r="AF221" i="2"/>
  <c r="Z221" i="2"/>
  <c r="W221" i="2"/>
  <c r="T221" i="2"/>
  <c r="Q221" i="2"/>
  <c r="AC221" i="2"/>
  <c r="AF220" i="2"/>
  <c r="Z220" i="2"/>
  <c r="AC220" i="2"/>
  <c r="W220" i="2"/>
  <c r="T220" i="2"/>
  <c r="Q220" i="2"/>
  <c r="Z219" i="2"/>
  <c r="AF219" i="2"/>
  <c r="AC219" i="2"/>
  <c r="W219" i="2"/>
  <c r="T219" i="2"/>
  <c r="Q219" i="2"/>
  <c r="AF218" i="2"/>
  <c r="Z218" i="2"/>
  <c r="W218" i="2"/>
  <c r="AC218" i="2"/>
  <c r="T218" i="2"/>
  <c r="Q218" i="2"/>
  <c r="AC217" i="2"/>
  <c r="Z217" i="2"/>
  <c r="AF217" i="2"/>
  <c r="W217" i="2"/>
  <c r="T217" i="2"/>
  <c r="Q217" i="2"/>
  <c r="W216" i="2"/>
  <c r="T216" i="2"/>
  <c r="Q216" i="2"/>
  <c r="AC216" i="2"/>
  <c r="Z216" i="2"/>
  <c r="AF216" i="2"/>
  <c r="T215" i="2"/>
  <c r="Z215" i="2"/>
  <c r="W215" i="2"/>
  <c r="AC215" i="2"/>
  <c r="AF215" i="2"/>
  <c r="Q215" i="2"/>
  <c r="AF214" i="2"/>
  <c r="Z214" i="2"/>
  <c r="AC214" i="2"/>
  <c r="Q214" i="2"/>
  <c r="T214" i="2"/>
  <c r="W214" i="2"/>
  <c r="AF213" i="2"/>
  <c r="AC213" i="2"/>
  <c r="W213" i="2"/>
  <c r="T213" i="2"/>
  <c r="Q213" i="2"/>
  <c r="Z213" i="2"/>
  <c r="W212" i="2"/>
  <c r="Q212" i="2"/>
  <c r="AC212" i="2"/>
  <c r="T212" i="2"/>
  <c r="AF212" i="2"/>
  <c r="Z212" i="2"/>
  <c r="Z211" i="2"/>
  <c r="AF211" i="2"/>
  <c r="AC211" i="2"/>
  <c r="W211" i="2"/>
  <c r="T211" i="2"/>
  <c r="Q211" i="2"/>
  <c r="W210" i="2"/>
  <c r="AC210" i="2"/>
  <c r="Z210" i="2"/>
  <c r="AF210" i="2"/>
  <c r="Q210" i="2"/>
  <c r="T210" i="2"/>
  <c r="Z209" i="2"/>
  <c r="W209" i="2"/>
  <c r="T209" i="2"/>
  <c r="Q209" i="2"/>
  <c r="AC209" i="2"/>
  <c r="AF209" i="2"/>
  <c r="Q208" i="2"/>
  <c r="T208" i="2"/>
  <c r="W208" i="2"/>
  <c r="AC208" i="2"/>
  <c r="Z208" i="2"/>
  <c r="AF208" i="2"/>
  <c r="AF207" i="2"/>
  <c r="AC207" i="2"/>
  <c r="W207" i="2"/>
  <c r="T207" i="2"/>
  <c r="Q207" i="2"/>
  <c r="Z207" i="2"/>
  <c r="T206" i="2"/>
  <c r="Z206" i="2"/>
  <c r="AF206" i="2"/>
  <c r="AC206" i="2"/>
  <c r="W206" i="2"/>
  <c r="Q206" i="2"/>
  <c r="AF205" i="2"/>
  <c r="Z205" i="2"/>
  <c r="AC205" i="2"/>
  <c r="W205" i="2"/>
  <c r="T205" i="2"/>
  <c r="Q205" i="2"/>
  <c r="AC204" i="2"/>
  <c r="W204" i="2"/>
  <c r="Q204" i="2"/>
  <c r="AF204" i="2"/>
  <c r="Z204" i="2"/>
  <c r="T204" i="2"/>
  <c r="AF203" i="2"/>
  <c r="Q203" i="2"/>
  <c r="Z203" i="2"/>
  <c r="AC203" i="2"/>
  <c r="W203" i="2"/>
  <c r="T203" i="2"/>
  <c r="AC202" i="2"/>
  <c r="Z202" i="2"/>
  <c r="AF202" i="2"/>
  <c r="T202" i="2"/>
  <c r="Q202" i="2"/>
  <c r="W202" i="2"/>
  <c r="T201" i="2"/>
  <c r="AF201" i="2"/>
  <c r="Z201" i="2"/>
  <c r="AC201" i="2"/>
  <c r="W201" i="2"/>
  <c r="Q201" i="2"/>
  <c r="AF200" i="2"/>
  <c r="Z200" i="2"/>
  <c r="AC200" i="2"/>
  <c r="W200" i="2"/>
  <c r="T200" i="2"/>
  <c r="Q200" i="2"/>
  <c r="Z199" i="2"/>
  <c r="Q199" i="2"/>
  <c r="T199" i="2"/>
  <c r="W199" i="2"/>
  <c r="AC199" i="2"/>
  <c r="AF199" i="2"/>
  <c r="AF198" i="2"/>
  <c r="T198" i="2"/>
  <c r="Q198" i="2"/>
  <c r="W198" i="2"/>
  <c r="AC198" i="2"/>
  <c r="Z198" i="2"/>
  <c r="T197" i="2"/>
  <c r="AC197" i="2"/>
  <c r="W197" i="2"/>
  <c r="Z197" i="2"/>
  <c r="AF197" i="2"/>
  <c r="Q197" i="2"/>
  <c r="T196" i="2"/>
  <c r="AF196" i="2"/>
  <c r="Z196" i="2"/>
  <c r="AC196" i="2"/>
  <c r="W196" i="2"/>
  <c r="Q196" i="2"/>
  <c r="Q195" i="2"/>
  <c r="Z195" i="2"/>
  <c r="AF195" i="2"/>
  <c r="AC195" i="2"/>
  <c r="W195" i="2"/>
  <c r="T195" i="2"/>
  <c r="Q194" i="2"/>
  <c r="T194" i="2"/>
  <c r="Z194" i="2"/>
  <c r="AF194" i="2"/>
  <c r="AC194" i="2"/>
  <c r="W194" i="2"/>
  <c r="Q193" i="2"/>
  <c r="T193" i="2"/>
  <c r="W193" i="2"/>
  <c r="Z193" i="2"/>
  <c r="AF193" i="2"/>
  <c r="AC193" i="2"/>
  <c r="Z192" i="2"/>
  <c r="AF192" i="2"/>
  <c r="Q192" i="2"/>
  <c r="T192" i="2"/>
  <c r="W192" i="2"/>
  <c r="AC192" i="2"/>
  <c r="Z191" i="2"/>
  <c r="W191" i="2"/>
  <c r="AC191" i="2"/>
  <c r="Q191" i="2"/>
  <c r="T191" i="2"/>
  <c r="AF191" i="2"/>
  <c r="Z190" i="2"/>
  <c r="Q190" i="2"/>
  <c r="T190" i="2"/>
  <c r="W190" i="2"/>
  <c r="AC190" i="2"/>
  <c r="AF190" i="2"/>
  <c r="AF189" i="2"/>
  <c r="Z189" i="2"/>
  <c r="AC189" i="2"/>
  <c r="Q189" i="2"/>
  <c r="W189" i="2"/>
  <c r="T189" i="2"/>
  <c r="T188" i="2"/>
  <c r="W188" i="2"/>
  <c r="AC188" i="2"/>
  <c r="Z188" i="2"/>
  <c r="AF188" i="2"/>
  <c r="Q188" i="2"/>
  <c r="AF187" i="2"/>
  <c r="Z187" i="2"/>
  <c r="AC187" i="2"/>
  <c r="W187" i="2"/>
  <c r="T187" i="2"/>
  <c r="Q187" i="2"/>
  <c r="Q186" i="2"/>
  <c r="Z186" i="2"/>
  <c r="AF186" i="2"/>
  <c r="AC186" i="2"/>
  <c r="W186" i="2"/>
  <c r="T186" i="2"/>
  <c r="AF185" i="2"/>
  <c r="Z185" i="2"/>
  <c r="AC185" i="2"/>
  <c r="W185" i="2"/>
  <c r="Q185" i="2"/>
  <c r="T185" i="2"/>
  <c r="AC184" i="2"/>
  <c r="AF184" i="2"/>
  <c r="Z184" i="2"/>
  <c r="W184" i="2"/>
  <c r="T184" i="2"/>
  <c r="Q184" i="2"/>
  <c r="Q183" i="2"/>
  <c r="T183" i="2"/>
  <c r="W183" i="2"/>
  <c r="AC183" i="2"/>
  <c r="Z183" i="2"/>
  <c r="AF183" i="2"/>
  <c r="Q182" i="2"/>
  <c r="T182" i="2"/>
  <c r="W182" i="2"/>
  <c r="AC182" i="2"/>
  <c r="Z182" i="2"/>
  <c r="AF182" i="2"/>
  <c r="W181" i="2"/>
  <c r="Z181" i="2"/>
  <c r="AC181" i="2"/>
  <c r="AF181" i="2"/>
  <c r="Q181" i="2"/>
  <c r="T181" i="2"/>
  <c r="AF180" i="2"/>
  <c r="Q180" i="2"/>
  <c r="T180" i="2"/>
  <c r="W180" i="2"/>
  <c r="AC180" i="2"/>
  <c r="Z180" i="2"/>
  <c r="T179" i="2"/>
  <c r="AC179" i="2"/>
  <c r="Q179" i="2"/>
  <c r="Z179" i="2"/>
  <c r="AF179" i="2"/>
  <c r="W179" i="2"/>
  <c r="Q178" i="2"/>
  <c r="AF178" i="2"/>
  <c r="Z178" i="2"/>
  <c r="AC178" i="2"/>
  <c r="W178" i="2"/>
  <c r="T178" i="2"/>
  <c r="Q177" i="2"/>
  <c r="T177" i="2"/>
  <c r="W177" i="2"/>
  <c r="AC177" i="2"/>
  <c r="AF177" i="2"/>
  <c r="Z177" i="2"/>
  <c r="AC176" i="2"/>
  <c r="Z176" i="2"/>
  <c r="AF176" i="2"/>
  <c r="T176" i="2"/>
  <c r="Q176" i="2"/>
  <c r="W176" i="2"/>
  <c r="AF175" i="2"/>
  <c r="Z175" i="2"/>
  <c r="AC175" i="2"/>
  <c r="W175" i="2"/>
  <c r="T175" i="2"/>
  <c r="Q175" i="2"/>
  <c r="AF174" i="2"/>
  <c r="AC174" i="2"/>
  <c r="W174" i="2"/>
  <c r="T174" i="2"/>
  <c r="Q174" i="2"/>
  <c r="Z174" i="2"/>
  <c r="T173" i="2"/>
  <c r="AC173" i="2"/>
  <c r="Z173" i="2"/>
  <c r="AF173" i="2"/>
  <c r="W173" i="2"/>
  <c r="Q173" i="2"/>
  <c r="Q172" i="2"/>
  <c r="T172" i="2"/>
  <c r="AC172" i="2"/>
  <c r="AF172" i="2"/>
  <c r="Z172" i="2"/>
  <c r="W172" i="2"/>
  <c r="AC171" i="2"/>
  <c r="AF171" i="2"/>
  <c r="Z171" i="2"/>
  <c r="Q171" i="2"/>
  <c r="T171" i="2"/>
  <c r="W171" i="2"/>
  <c r="W85" i="2"/>
  <c r="T85" i="2"/>
  <c r="Q85" i="2"/>
  <c r="AC85" i="2"/>
  <c r="AF84" i="2"/>
  <c r="Z84" i="2"/>
  <c r="AC84" i="2"/>
  <c r="W84" i="2"/>
  <c r="T84" i="2"/>
  <c r="Q84" i="2"/>
  <c r="AF83" i="2"/>
  <c r="AC83" i="2"/>
  <c r="W83" i="2"/>
  <c r="T83" i="2"/>
  <c r="Q83" i="2"/>
  <c r="Z83" i="2"/>
  <c r="AF82" i="2"/>
  <c r="Z82" i="2"/>
  <c r="AC82" i="2"/>
  <c r="W82" i="2"/>
  <c r="T82" i="2"/>
  <c r="Q82" i="2"/>
  <c r="T81" i="2"/>
  <c r="AF81" i="2"/>
  <c r="Z81" i="2"/>
  <c r="AC81" i="2"/>
  <c r="W81" i="2"/>
  <c r="Q81" i="2"/>
  <c r="Q80" i="2"/>
  <c r="T80" i="2"/>
  <c r="W80" i="2"/>
  <c r="AC80" i="2"/>
  <c r="Z80" i="2"/>
  <c r="AF80" i="2"/>
  <c r="Z79" i="2"/>
  <c r="Q79" i="2"/>
  <c r="T79" i="2"/>
  <c r="W79" i="2"/>
  <c r="AC79" i="2"/>
  <c r="AF79" i="2"/>
  <c r="AF78" i="2"/>
  <c r="Q78" i="2"/>
  <c r="T78" i="2"/>
  <c r="W78" i="2"/>
  <c r="AC78" i="2"/>
  <c r="Z78" i="2"/>
  <c r="AC77" i="2"/>
  <c r="W77" i="2"/>
  <c r="Q77" i="2"/>
  <c r="T77" i="2"/>
  <c r="Z77" i="2"/>
  <c r="AF77" i="2"/>
  <c r="AC76" i="2"/>
  <c r="T76" i="2"/>
  <c r="Q76" i="2"/>
  <c r="W76" i="2"/>
  <c r="Z76" i="2"/>
  <c r="AF76" i="2"/>
  <c r="W75" i="2"/>
  <c r="Q75" i="2"/>
  <c r="T75" i="2"/>
  <c r="AC75" i="2"/>
  <c r="Z75" i="2"/>
  <c r="AF75" i="2"/>
  <c r="Q74" i="2"/>
  <c r="T74" i="2"/>
  <c r="AC74" i="2"/>
  <c r="Z74" i="2"/>
  <c r="AF74" i="2"/>
  <c r="W74" i="2"/>
  <c r="Q73" i="2"/>
  <c r="T73" i="2"/>
  <c r="W73" i="2"/>
  <c r="Z73" i="2"/>
  <c r="AF73" i="2"/>
  <c r="AC73" i="2"/>
  <c r="Q72" i="2"/>
  <c r="W72" i="2"/>
  <c r="AF72" i="2"/>
  <c r="AC72" i="2"/>
  <c r="Z72" i="2"/>
  <c r="T72" i="2"/>
  <c r="AC71" i="2"/>
  <c r="AF71" i="2"/>
  <c r="Z71" i="2"/>
  <c r="Q1349" i="2"/>
  <c r="T1349" i="2"/>
  <c r="W1349" i="2"/>
  <c r="Z1349" i="2"/>
  <c r="AC1349" i="2"/>
  <c r="AF1349" i="2"/>
  <c r="T1348" i="2"/>
  <c r="W1348" i="2"/>
  <c r="Z1348" i="2"/>
  <c r="AF1348" i="2"/>
  <c r="AC1348" i="2"/>
  <c r="Q1348" i="2"/>
  <c r="Q1347" i="2"/>
  <c r="T1347" i="2"/>
  <c r="W1347" i="2"/>
  <c r="Z1347" i="2"/>
  <c r="AF1347" i="2"/>
  <c r="AC1347" i="2"/>
  <c r="T1346" i="2"/>
  <c r="W1346" i="2"/>
  <c r="Z1346" i="2"/>
  <c r="AC1346" i="2"/>
  <c r="AF1346" i="2"/>
  <c r="Q1346" i="2"/>
  <c r="Q1345" i="2"/>
  <c r="T1345" i="2"/>
  <c r="W1345" i="2"/>
  <c r="Z1345" i="2"/>
  <c r="AC1345" i="2"/>
  <c r="AF1345" i="2"/>
  <c r="T1344" i="2"/>
  <c r="W1344" i="2"/>
  <c r="Z1344" i="2"/>
  <c r="AC1344" i="2"/>
  <c r="AF1344" i="2"/>
  <c r="Q1344" i="2"/>
  <c r="Q1343" i="2"/>
  <c r="T1343" i="2"/>
  <c r="W1343" i="2"/>
  <c r="Z1343" i="2"/>
  <c r="AF1343" i="2"/>
  <c r="AC1343" i="2"/>
  <c r="T1342" i="2"/>
  <c r="W1342" i="2"/>
  <c r="Z1342" i="2"/>
  <c r="AC1342" i="2"/>
  <c r="AF1342" i="2"/>
  <c r="Q1342" i="2"/>
  <c r="Q1341" i="2"/>
  <c r="T1341" i="2"/>
  <c r="W1341" i="2"/>
  <c r="Z1341" i="2"/>
  <c r="AF1341" i="2"/>
  <c r="AC1341" i="2"/>
  <c r="T1340" i="2"/>
  <c r="W1340" i="2"/>
  <c r="Z1340" i="2"/>
  <c r="AC1340" i="2"/>
  <c r="AF1340" i="2"/>
  <c r="Q1340" i="2"/>
  <c r="Q1339" i="2"/>
  <c r="T1339" i="2"/>
  <c r="W1339" i="2"/>
  <c r="Z1339" i="2"/>
  <c r="AF1339" i="2"/>
  <c r="AC1339" i="2"/>
  <c r="T1338" i="2"/>
  <c r="W1338" i="2"/>
  <c r="Z1338" i="2"/>
  <c r="AC1338" i="2"/>
  <c r="AF1338" i="2"/>
  <c r="Q1338" i="2"/>
  <c r="T1337" i="2"/>
  <c r="W1337" i="2"/>
  <c r="Z1337" i="2"/>
  <c r="AF1337" i="2"/>
  <c r="AC1337" i="2"/>
  <c r="Q1337" i="2"/>
  <c r="Q1336" i="2"/>
  <c r="T1336" i="2"/>
  <c r="W1336" i="2"/>
  <c r="Z1336" i="2"/>
  <c r="AC1336" i="2"/>
  <c r="AF1336" i="2"/>
  <c r="T1335" i="2"/>
  <c r="W1335" i="2"/>
  <c r="Z1335" i="2"/>
  <c r="AC1335" i="2"/>
  <c r="AF1335" i="2"/>
  <c r="Q1335" i="2"/>
  <c r="Q1334" i="2"/>
  <c r="T1334" i="2"/>
  <c r="W1334" i="2"/>
  <c r="Z1334" i="2"/>
  <c r="AC1334" i="2"/>
  <c r="AF1334" i="2"/>
  <c r="T1333" i="2"/>
  <c r="W1333" i="2"/>
  <c r="Z1333" i="2"/>
  <c r="AF1333" i="2"/>
  <c r="AC1333" i="2"/>
  <c r="Q1333" i="2"/>
  <c r="Q1332" i="2"/>
  <c r="T1332" i="2"/>
  <c r="W1332" i="2"/>
  <c r="Z1332" i="2"/>
  <c r="AF1332" i="2"/>
  <c r="AC1332" i="2"/>
  <c r="T1331" i="2"/>
  <c r="W1331" i="2"/>
  <c r="Z1331" i="2"/>
  <c r="AF1331" i="2"/>
  <c r="AC1331" i="2"/>
  <c r="Q1331" i="2"/>
  <c r="Q1330" i="2"/>
  <c r="T1330" i="2"/>
  <c r="W1330" i="2"/>
  <c r="Z1330" i="2"/>
  <c r="AC1330" i="2"/>
  <c r="AF1330" i="2"/>
  <c r="T1329" i="2"/>
  <c r="W1329" i="2"/>
  <c r="Z1329" i="2"/>
  <c r="AF1329" i="2"/>
  <c r="AC1329" i="2"/>
  <c r="Q1329" i="2"/>
  <c r="Q1328" i="2"/>
  <c r="T1328" i="2"/>
  <c r="W1328" i="2"/>
  <c r="Z1328" i="2"/>
  <c r="AC1328" i="2"/>
  <c r="AF1328" i="2"/>
  <c r="T1327" i="2"/>
  <c r="W1327" i="2"/>
  <c r="Z1327" i="2"/>
  <c r="AC1327" i="2"/>
  <c r="AF1327" i="2"/>
  <c r="Q1327" i="2"/>
  <c r="Q1326" i="2"/>
  <c r="T1326" i="2"/>
  <c r="W1326" i="2"/>
  <c r="Z1326" i="2"/>
  <c r="AF1326" i="2"/>
  <c r="AC1326" i="2"/>
  <c r="T1325" i="2"/>
  <c r="W1325" i="2"/>
  <c r="Z1325" i="2"/>
  <c r="AC1325" i="2"/>
  <c r="AF1325" i="2"/>
  <c r="Q1325" i="2"/>
  <c r="Q1324" i="2"/>
  <c r="T1324" i="2"/>
  <c r="W1324" i="2"/>
  <c r="Z1324" i="2"/>
  <c r="AC1324" i="2"/>
  <c r="AF1324" i="2"/>
  <c r="T1323" i="2"/>
  <c r="W1323" i="2"/>
  <c r="Z1323" i="2"/>
  <c r="AF1323" i="2"/>
  <c r="AC1323" i="2"/>
  <c r="Q1323" i="2"/>
  <c r="Q1322" i="2"/>
  <c r="T1322" i="2"/>
  <c r="W1322" i="2"/>
  <c r="Z1322" i="2"/>
  <c r="AC1322" i="2"/>
  <c r="AF1322" i="2"/>
  <c r="T1321" i="2"/>
  <c r="W1321" i="2"/>
  <c r="Z1321" i="2"/>
  <c r="AC1321" i="2"/>
  <c r="AF1321" i="2"/>
  <c r="Q1321" i="2"/>
  <c r="Q1320" i="2"/>
  <c r="T1320" i="2"/>
  <c r="W1320" i="2"/>
  <c r="Z1320" i="2"/>
  <c r="AC1320" i="2"/>
  <c r="AF1320" i="2"/>
  <c r="T1319" i="2"/>
  <c r="W1319" i="2"/>
  <c r="Z1319" i="2"/>
  <c r="AC1319" i="2"/>
  <c r="AF1319" i="2"/>
  <c r="Q1319" i="2"/>
  <c r="Q1318" i="2"/>
  <c r="T1318" i="2"/>
  <c r="W1318" i="2"/>
  <c r="Z1318" i="2"/>
  <c r="AC1318" i="2"/>
  <c r="AF1318" i="2"/>
  <c r="T1317" i="2"/>
  <c r="W1317" i="2"/>
  <c r="Z1317" i="2"/>
  <c r="AF1317" i="2"/>
  <c r="AC1317" i="2"/>
  <c r="Q1317" i="2"/>
  <c r="Q1316" i="2"/>
  <c r="T1316" i="2"/>
  <c r="W1316" i="2"/>
  <c r="Z1316" i="2"/>
  <c r="AF1316" i="2"/>
  <c r="AC1316" i="2"/>
  <c r="T1315" i="2"/>
  <c r="W1315" i="2"/>
  <c r="Z1315" i="2"/>
  <c r="AC1315" i="2"/>
  <c r="AF1315" i="2"/>
  <c r="Q1315" i="2"/>
  <c r="Q1314" i="2"/>
  <c r="T1314" i="2"/>
  <c r="W1314" i="2"/>
  <c r="Z1314" i="2"/>
  <c r="AF1314" i="2"/>
  <c r="AC1314" i="2"/>
  <c r="T1313" i="2"/>
  <c r="W1313" i="2"/>
  <c r="Z1313" i="2"/>
  <c r="AC1313" i="2"/>
  <c r="AF1313" i="2"/>
  <c r="Q1313" i="2"/>
  <c r="Q1312" i="2"/>
  <c r="T1312" i="2"/>
  <c r="W1312" i="2"/>
  <c r="Z1312" i="2"/>
  <c r="AF1312" i="2"/>
  <c r="AC1312" i="2"/>
  <c r="T1311" i="2"/>
  <c r="W1311" i="2"/>
  <c r="Z1311" i="2"/>
  <c r="AF1311" i="2"/>
  <c r="AC1311" i="2"/>
  <c r="Q1311" i="2"/>
  <c r="Q1310" i="2"/>
  <c r="T1310" i="2"/>
  <c r="W1310" i="2"/>
  <c r="Z1310" i="2"/>
  <c r="AC1310" i="2"/>
  <c r="AF1310" i="2"/>
  <c r="T1309" i="2"/>
  <c r="W1309" i="2"/>
  <c r="Z1309" i="2"/>
  <c r="AF1309" i="2"/>
  <c r="AC1309" i="2"/>
  <c r="Q1309" i="2"/>
  <c r="Q1308" i="2"/>
  <c r="T1308" i="2"/>
  <c r="W1308" i="2"/>
  <c r="Z1308" i="2"/>
  <c r="AF1308" i="2"/>
  <c r="AC1308" i="2"/>
  <c r="Q1307" i="2"/>
  <c r="T1307" i="2"/>
  <c r="W1307" i="2"/>
  <c r="Z1307" i="2"/>
  <c r="AC1307" i="2"/>
  <c r="AF1307" i="2"/>
  <c r="T1306" i="2"/>
  <c r="W1306" i="2"/>
  <c r="Z1306" i="2"/>
  <c r="AC1306" i="2"/>
  <c r="AF1306" i="2"/>
  <c r="Q1306" i="2"/>
  <c r="Q1305" i="2"/>
  <c r="T1305" i="2"/>
  <c r="W1305" i="2"/>
  <c r="Z1305" i="2"/>
  <c r="AC1305" i="2"/>
  <c r="AF1305" i="2"/>
  <c r="T1304" i="2"/>
  <c r="W1304" i="2"/>
  <c r="Z1304" i="2"/>
  <c r="AC1304" i="2"/>
  <c r="AF1304" i="2"/>
  <c r="Q1304" i="2"/>
  <c r="Q1303" i="2"/>
  <c r="T1303" i="2"/>
  <c r="W1303" i="2"/>
  <c r="Z1303" i="2"/>
  <c r="AC1303" i="2"/>
  <c r="AF1303" i="2"/>
  <c r="T1302" i="2"/>
  <c r="W1302" i="2"/>
  <c r="Z1302" i="2"/>
  <c r="AC1302" i="2"/>
  <c r="AF1302" i="2"/>
  <c r="Q1302" i="2"/>
  <c r="Q1301" i="2"/>
  <c r="T1301" i="2"/>
  <c r="W1301" i="2"/>
  <c r="Z1301" i="2"/>
  <c r="AF1301" i="2"/>
  <c r="AC1301" i="2"/>
  <c r="T1300" i="2"/>
  <c r="W1300" i="2"/>
  <c r="Z1300" i="2"/>
  <c r="AF1300" i="2"/>
  <c r="AC1300" i="2"/>
  <c r="Q1300" i="2"/>
  <c r="T1299" i="2"/>
  <c r="W1299" i="2"/>
  <c r="Z1299" i="2"/>
  <c r="AF1299" i="2"/>
  <c r="AC1299" i="2"/>
  <c r="Q1299" i="2"/>
  <c r="Q1298" i="2"/>
  <c r="T1298" i="2"/>
  <c r="W1298" i="2"/>
  <c r="Z1298" i="2"/>
  <c r="AC1298" i="2"/>
  <c r="AF1298" i="2"/>
  <c r="Q1297" i="2"/>
  <c r="T1297" i="2"/>
  <c r="W1297" i="2"/>
  <c r="Z1297" i="2"/>
  <c r="AC1297" i="2"/>
  <c r="AF1297" i="2"/>
  <c r="Q1296" i="2"/>
  <c r="T1296" i="2"/>
  <c r="W1296" i="2"/>
  <c r="Z1296" i="2"/>
  <c r="AC1296" i="2"/>
  <c r="AF1296" i="2"/>
  <c r="T1295" i="2"/>
  <c r="W1295" i="2"/>
  <c r="Z1295" i="2"/>
  <c r="AC1295" i="2"/>
  <c r="AF1295" i="2"/>
  <c r="Q1295" i="2"/>
  <c r="Q1294" i="2"/>
  <c r="T1294" i="2"/>
  <c r="W1294" i="2"/>
  <c r="Z1294" i="2"/>
  <c r="AF1294" i="2"/>
  <c r="AC1294" i="2"/>
  <c r="T1293" i="2"/>
  <c r="W1293" i="2"/>
  <c r="Z1293" i="2"/>
  <c r="AC1293" i="2"/>
  <c r="AF1293" i="2"/>
  <c r="Q1293" i="2"/>
  <c r="Q1292" i="2"/>
  <c r="T1292" i="2"/>
  <c r="W1292" i="2"/>
  <c r="Z1292" i="2"/>
  <c r="AF1292" i="2"/>
  <c r="AC1292" i="2"/>
  <c r="T1291" i="2"/>
  <c r="W1291" i="2"/>
  <c r="Z1291" i="2"/>
  <c r="AF1291" i="2"/>
  <c r="AC1291" i="2"/>
  <c r="Q1291" i="2"/>
  <c r="Q1290" i="2"/>
  <c r="T1290" i="2"/>
  <c r="W1290" i="2"/>
  <c r="Z1290" i="2"/>
  <c r="AC1290" i="2"/>
  <c r="AF1290" i="2"/>
  <c r="Q1289" i="2"/>
  <c r="T1289" i="2"/>
  <c r="W1289" i="2"/>
  <c r="Z1289" i="2"/>
  <c r="AC1289" i="2"/>
  <c r="AF1289" i="2"/>
  <c r="Q1288" i="2"/>
  <c r="T1288" i="2"/>
  <c r="W1288" i="2"/>
  <c r="Z1288" i="2"/>
  <c r="AC1288" i="2"/>
  <c r="AF1288" i="2"/>
  <c r="Q1287" i="2"/>
  <c r="T1287" i="2"/>
  <c r="W1287" i="2"/>
  <c r="Z1287" i="2"/>
  <c r="AC1287" i="2"/>
  <c r="AF1287" i="2"/>
  <c r="T1286" i="2"/>
  <c r="W1286" i="2"/>
  <c r="Z1286" i="2"/>
  <c r="AF1286" i="2"/>
  <c r="AC1286" i="2"/>
  <c r="Q1286" i="2"/>
  <c r="Q1285" i="2"/>
  <c r="T1285" i="2"/>
  <c r="W1285" i="2"/>
  <c r="Z1285" i="2"/>
  <c r="AC1285" i="2"/>
  <c r="AF1285" i="2"/>
  <c r="T1284" i="2"/>
  <c r="W1284" i="2"/>
  <c r="Z1284" i="2"/>
  <c r="AC1284" i="2"/>
  <c r="AF1284" i="2"/>
  <c r="Q1284" i="2"/>
  <c r="Q1283" i="2"/>
  <c r="T1283" i="2"/>
  <c r="W1283" i="2"/>
  <c r="Z1283" i="2"/>
  <c r="AC1283" i="2"/>
  <c r="AF1283" i="2"/>
  <c r="T1282" i="2"/>
  <c r="W1282" i="2"/>
  <c r="Z1282" i="2"/>
  <c r="AC1282" i="2"/>
  <c r="AF1282" i="2"/>
  <c r="Q1282" i="2"/>
  <c r="Q1281" i="2"/>
  <c r="T1281" i="2"/>
  <c r="W1281" i="2"/>
  <c r="Z1281" i="2"/>
  <c r="AC1281" i="2"/>
  <c r="AF1281" i="2"/>
  <c r="Q1280" i="2"/>
  <c r="T1280" i="2"/>
  <c r="W1280" i="2"/>
  <c r="Z1280" i="2"/>
  <c r="AF1280" i="2"/>
  <c r="AC1280" i="2"/>
  <c r="Q1279" i="2"/>
  <c r="T1279" i="2"/>
  <c r="W1279" i="2"/>
  <c r="Z1279" i="2"/>
  <c r="AC1279" i="2"/>
  <c r="AF1279" i="2"/>
  <c r="Q1278" i="2"/>
  <c r="T1278" i="2"/>
  <c r="W1278" i="2"/>
  <c r="Z1278" i="2"/>
  <c r="AC1278" i="2"/>
  <c r="AF1278" i="2"/>
  <c r="Q1277" i="2"/>
  <c r="T1277" i="2"/>
  <c r="W1277" i="2"/>
  <c r="Z1277" i="2"/>
  <c r="AC1277" i="2"/>
  <c r="AF1277" i="2"/>
  <c r="Q1276" i="2"/>
  <c r="T1276" i="2"/>
  <c r="W1276" i="2"/>
  <c r="Z1276" i="2"/>
  <c r="AF1276" i="2"/>
  <c r="AC1276" i="2"/>
  <c r="Q1275" i="2"/>
  <c r="T1275" i="2"/>
  <c r="W1275" i="2"/>
  <c r="Z1275" i="2"/>
  <c r="AC1275" i="2"/>
  <c r="AF1275" i="2"/>
  <c r="Q1274" i="2"/>
  <c r="T1274" i="2"/>
  <c r="W1274" i="2"/>
  <c r="Z1274" i="2"/>
  <c r="AC1274" i="2"/>
  <c r="AF1274" i="2"/>
  <c r="Q1273" i="2"/>
  <c r="T1273" i="2"/>
  <c r="W1273" i="2"/>
  <c r="Z1273" i="2"/>
  <c r="AC1273" i="2"/>
  <c r="AF1273" i="2"/>
  <c r="Q1272" i="2"/>
  <c r="T1272" i="2"/>
  <c r="W1272" i="2"/>
  <c r="Z1272" i="2"/>
  <c r="AC1272" i="2"/>
  <c r="AF1272" i="2"/>
  <c r="Q1271" i="2"/>
  <c r="T1271" i="2"/>
  <c r="W1271" i="2"/>
  <c r="Z1271" i="2"/>
  <c r="AC1271" i="2"/>
  <c r="AF1271" i="2"/>
  <c r="Q1270" i="2"/>
  <c r="T1270" i="2"/>
  <c r="W1270" i="2"/>
  <c r="Z1270" i="2"/>
  <c r="AC1270" i="2"/>
  <c r="AF1270" i="2"/>
  <c r="Q1269" i="2"/>
  <c r="T1269" i="2"/>
  <c r="W1269" i="2"/>
  <c r="Z1269" i="2"/>
  <c r="AC1269" i="2"/>
  <c r="AF1269" i="2"/>
  <c r="Q1268" i="2"/>
  <c r="T1268" i="2"/>
  <c r="W1268" i="2"/>
  <c r="Z1268" i="2"/>
  <c r="AC1268" i="2"/>
  <c r="AF1268" i="2"/>
  <c r="Q1267" i="2"/>
  <c r="T1267" i="2"/>
  <c r="W1267" i="2"/>
  <c r="Z1267" i="2"/>
  <c r="AC1267" i="2"/>
  <c r="AF1267" i="2"/>
  <c r="Q1266" i="2"/>
  <c r="T1266" i="2"/>
  <c r="W1266" i="2"/>
  <c r="Z1266" i="2"/>
  <c r="AF1266" i="2"/>
  <c r="AC1266" i="2"/>
  <c r="Q1265" i="2"/>
  <c r="T1265" i="2"/>
  <c r="W1265" i="2"/>
  <c r="Z1265" i="2"/>
  <c r="AC1265" i="2"/>
  <c r="AF1265" i="2"/>
  <c r="Q1264" i="2"/>
  <c r="T1264" i="2"/>
  <c r="W1264" i="2"/>
  <c r="Z1264" i="2"/>
  <c r="AC1264" i="2"/>
  <c r="AF1264" i="2"/>
  <c r="Q1263" i="2"/>
  <c r="T1263" i="2"/>
  <c r="W1263" i="2"/>
  <c r="Z1263" i="2"/>
  <c r="AC1263" i="2"/>
  <c r="AF1263" i="2"/>
  <c r="Q1262" i="2"/>
  <c r="T1262" i="2"/>
  <c r="W1262" i="2"/>
  <c r="Z1262" i="2"/>
  <c r="AC1262" i="2"/>
  <c r="AF1262" i="2"/>
  <c r="Q1261" i="2"/>
  <c r="T1261" i="2"/>
  <c r="W1261" i="2"/>
  <c r="Z1261" i="2"/>
  <c r="AC1261" i="2"/>
  <c r="AF1261" i="2"/>
  <c r="Q1260" i="2"/>
  <c r="T1260" i="2"/>
  <c r="W1260" i="2"/>
  <c r="Z1260" i="2"/>
  <c r="AC1260" i="2"/>
  <c r="AF1260" i="2"/>
  <c r="Q1259" i="2"/>
  <c r="T1259" i="2"/>
  <c r="W1259" i="2"/>
  <c r="Z1259" i="2"/>
  <c r="AC1259" i="2"/>
  <c r="AF1259" i="2"/>
  <c r="Q1258" i="2"/>
  <c r="T1258" i="2"/>
  <c r="W1258" i="2"/>
  <c r="Z1258" i="2"/>
  <c r="AF1258" i="2"/>
  <c r="AC1258" i="2"/>
  <c r="Q1257" i="2"/>
  <c r="T1257" i="2"/>
  <c r="W1257" i="2"/>
  <c r="Z1257" i="2"/>
  <c r="AC1257" i="2"/>
  <c r="AF1257" i="2"/>
  <c r="Q1256" i="2"/>
  <c r="T1256" i="2"/>
  <c r="W1256" i="2"/>
  <c r="Z1256" i="2"/>
  <c r="AC1256" i="2"/>
  <c r="AF1256" i="2"/>
  <c r="Q1255" i="2"/>
  <c r="T1255" i="2"/>
  <c r="W1255" i="2"/>
  <c r="Z1255" i="2"/>
  <c r="AC1255" i="2"/>
  <c r="AF1255" i="2"/>
  <c r="Q1254" i="2"/>
  <c r="T1254" i="2"/>
  <c r="W1254" i="2"/>
  <c r="Z1254" i="2"/>
  <c r="AC1254" i="2"/>
  <c r="AF1254" i="2"/>
  <c r="Q1253" i="2"/>
  <c r="T1253" i="2"/>
  <c r="W1253" i="2"/>
  <c r="Z1253" i="2"/>
  <c r="AF1253" i="2"/>
  <c r="AC1253" i="2"/>
  <c r="Q1252" i="2"/>
  <c r="T1252" i="2"/>
  <c r="W1252" i="2"/>
  <c r="Z1252" i="2"/>
  <c r="AF1252" i="2"/>
  <c r="AC1252" i="2"/>
  <c r="Q1251" i="2"/>
  <c r="T1251" i="2"/>
  <c r="W1251" i="2"/>
  <c r="Z1251" i="2"/>
  <c r="AC1251" i="2"/>
  <c r="AF1251" i="2"/>
  <c r="Q1250" i="2"/>
  <c r="T1250" i="2"/>
  <c r="W1250" i="2"/>
  <c r="Z1250" i="2"/>
  <c r="AC1250" i="2"/>
  <c r="AF1250" i="2"/>
  <c r="T1249" i="2"/>
  <c r="W1249" i="2"/>
  <c r="Z1249" i="2"/>
  <c r="AC1249" i="2"/>
  <c r="AF1249" i="2"/>
  <c r="Q1249" i="2"/>
  <c r="Q1248" i="2"/>
  <c r="T1248" i="2"/>
  <c r="W1248" i="2"/>
  <c r="Z1248" i="2"/>
  <c r="AC1248" i="2"/>
  <c r="AF1248" i="2"/>
  <c r="T1247" i="2"/>
  <c r="W1247" i="2"/>
  <c r="Z1247" i="2"/>
  <c r="AC1247" i="2"/>
  <c r="AF1247" i="2"/>
  <c r="Q1247" i="2"/>
  <c r="Q1246" i="2"/>
  <c r="T1246" i="2"/>
  <c r="W1246" i="2"/>
  <c r="Z1246" i="2"/>
  <c r="AF1246" i="2"/>
  <c r="AC1246" i="2"/>
  <c r="T1245" i="2"/>
  <c r="W1245" i="2"/>
  <c r="Z1245" i="2"/>
  <c r="AC1245" i="2"/>
  <c r="AF1245" i="2"/>
  <c r="Q1245" i="2"/>
  <c r="Q1244" i="2"/>
  <c r="T1244" i="2"/>
  <c r="W1244" i="2"/>
  <c r="Z1244" i="2"/>
  <c r="AF1244" i="2"/>
  <c r="AC1244" i="2"/>
  <c r="Q1243" i="2"/>
  <c r="T1243" i="2"/>
  <c r="W1243" i="2"/>
  <c r="Z1243" i="2"/>
  <c r="AC1243" i="2"/>
  <c r="AF1243" i="2"/>
  <c r="Q1242" i="2"/>
  <c r="T1242" i="2"/>
  <c r="W1242" i="2"/>
  <c r="Z1242" i="2"/>
  <c r="AC1242" i="2"/>
  <c r="AF1242" i="2"/>
  <c r="Q1241" i="2"/>
  <c r="T1241" i="2"/>
  <c r="W1241" i="2"/>
  <c r="Z1241" i="2"/>
  <c r="AC1241" i="2"/>
  <c r="AF1241" i="2"/>
  <c r="Q1240" i="2"/>
  <c r="T1240" i="2"/>
  <c r="W1240" i="2"/>
  <c r="Z1240" i="2"/>
  <c r="AC1240" i="2"/>
  <c r="AF1240" i="2"/>
  <c r="Q1239" i="2"/>
  <c r="T1239" i="2"/>
  <c r="W1239" i="2"/>
  <c r="Z1239" i="2"/>
  <c r="AF1239" i="2"/>
  <c r="AC1239" i="2"/>
  <c r="Q1238" i="2"/>
  <c r="T1238" i="2"/>
  <c r="W1238" i="2"/>
  <c r="Z1238" i="2"/>
  <c r="AC1238" i="2"/>
  <c r="AF1238" i="2"/>
  <c r="Q1237" i="2"/>
  <c r="T1237" i="2"/>
  <c r="W1237" i="2"/>
  <c r="Z1237" i="2"/>
  <c r="AC1237" i="2"/>
  <c r="AF1237" i="2"/>
  <c r="Q1236" i="2"/>
  <c r="T1236" i="2"/>
  <c r="W1236" i="2"/>
  <c r="Z1236" i="2"/>
  <c r="AC1236" i="2"/>
  <c r="AF1236" i="2"/>
  <c r="Q1235" i="2"/>
  <c r="T1235" i="2"/>
  <c r="W1235" i="2"/>
  <c r="Z1235" i="2"/>
  <c r="AC1235" i="2"/>
  <c r="AF1235" i="2"/>
  <c r="Q1234" i="2"/>
  <c r="T1234" i="2"/>
  <c r="W1234" i="2"/>
  <c r="Z1234" i="2"/>
  <c r="AC1234" i="2"/>
  <c r="AF1234" i="2"/>
  <c r="Q1233" i="2"/>
  <c r="T1233" i="2"/>
  <c r="W1233" i="2"/>
  <c r="Z1233" i="2"/>
  <c r="AC1233" i="2"/>
  <c r="AF1233" i="2"/>
  <c r="Q1232" i="2"/>
  <c r="T1232" i="2"/>
  <c r="W1232" i="2"/>
  <c r="Z1232" i="2"/>
  <c r="AC1232" i="2"/>
  <c r="AF1232" i="2"/>
  <c r="Q1231" i="2"/>
  <c r="T1231" i="2"/>
  <c r="W1231" i="2"/>
  <c r="Z1231" i="2"/>
  <c r="AC1231" i="2"/>
  <c r="AF1231" i="2"/>
  <c r="Q1230" i="2"/>
  <c r="T1230" i="2"/>
  <c r="W1230" i="2"/>
  <c r="Z1230" i="2"/>
  <c r="AC1230" i="2"/>
  <c r="AF1230" i="2"/>
  <c r="Q1229" i="2"/>
  <c r="T1229" i="2"/>
  <c r="W1229" i="2"/>
  <c r="Z1229" i="2"/>
  <c r="AC1229" i="2"/>
  <c r="AF1229" i="2"/>
  <c r="Q1228" i="2"/>
  <c r="T1228" i="2"/>
  <c r="W1228" i="2"/>
  <c r="Z1228" i="2"/>
  <c r="AC1228" i="2"/>
  <c r="AF1228" i="2"/>
  <c r="Q1227" i="2"/>
  <c r="T1227" i="2"/>
  <c r="W1227" i="2"/>
  <c r="Z1227" i="2"/>
  <c r="AC1227" i="2"/>
  <c r="AF1227" i="2"/>
  <c r="Q1226" i="2"/>
  <c r="T1226" i="2"/>
  <c r="W1226" i="2"/>
  <c r="Z1226" i="2"/>
  <c r="AC1226" i="2"/>
  <c r="AF1226" i="2"/>
  <c r="Q1225" i="2"/>
  <c r="T1225" i="2"/>
  <c r="W1225" i="2"/>
  <c r="Z1225" i="2"/>
  <c r="AC1225" i="2"/>
  <c r="AF1225" i="2"/>
  <c r="Q1224" i="2"/>
  <c r="T1224" i="2"/>
  <c r="W1224" i="2"/>
  <c r="Z1224" i="2"/>
  <c r="AC1224" i="2"/>
  <c r="AF1224" i="2"/>
  <c r="Q1223" i="2"/>
  <c r="T1223" i="2"/>
  <c r="W1223" i="2"/>
  <c r="Z1223" i="2"/>
  <c r="AC1223" i="2"/>
  <c r="AF1223" i="2"/>
  <c r="Q1222" i="2"/>
  <c r="T1222" i="2"/>
  <c r="W1222" i="2"/>
  <c r="Z1222" i="2"/>
  <c r="AC1222" i="2"/>
  <c r="AF1222" i="2"/>
  <c r="Q1221" i="2"/>
  <c r="T1221" i="2"/>
  <c r="W1221" i="2"/>
  <c r="Z1221" i="2"/>
  <c r="AC1221" i="2"/>
  <c r="AF1221" i="2"/>
  <c r="Q1220" i="2"/>
  <c r="T1220" i="2"/>
  <c r="W1220" i="2"/>
  <c r="Z1220" i="2"/>
  <c r="AC1220" i="2"/>
  <c r="AF1220" i="2"/>
  <c r="Q1219" i="2"/>
  <c r="T1219" i="2"/>
  <c r="W1219" i="2"/>
  <c r="Z1219" i="2"/>
  <c r="AC1219" i="2"/>
  <c r="AF1219" i="2"/>
  <c r="Q1218" i="2"/>
  <c r="T1218" i="2"/>
  <c r="W1218" i="2"/>
  <c r="Z1218" i="2"/>
  <c r="AC1218" i="2"/>
  <c r="AF1218" i="2"/>
  <c r="Q1217" i="2"/>
  <c r="T1217" i="2"/>
  <c r="W1217" i="2"/>
  <c r="Z1217" i="2"/>
  <c r="AC1217" i="2"/>
  <c r="AF1217" i="2"/>
  <c r="Q1216" i="2"/>
  <c r="T1216" i="2"/>
  <c r="W1216" i="2"/>
  <c r="Z1216" i="2"/>
  <c r="AC1216" i="2"/>
  <c r="AF1216" i="2"/>
  <c r="Q1215" i="2"/>
  <c r="T1215" i="2"/>
  <c r="W1215" i="2"/>
  <c r="Z1215" i="2"/>
  <c r="AC1215" i="2"/>
  <c r="AF1215" i="2"/>
  <c r="Q1214" i="2"/>
  <c r="T1214" i="2"/>
  <c r="W1214" i="2"/>
  <c r="Z1214" i="2"/>
  <c r="AC1214" i="2"/>
  <c r="AF1214" i="2"/>
  <c r="Q1213" i="2"/>
  <c r="T1213" i="2"/>
  <c r="W1213" i="2"/>
  <c r="Z1213" i="2"/>
  <c r="AC1213" i="2"/>
  <c r="AF1213" i="2"/>
  <c r="Q1212" i="2"/>
  <c r="T1212" i="2"/>
  <c r="W1212" i="2"/>
  <c r="Z1212" i="2"/>
  <c r="AC1212" i="2"/>
  <c r="AF1212" i="2"/>
  <c r="Q1211" i="2"/>
  <c r="T1211" i="2"/>
  <c r="W1211" i="2"/>
  <c r="Z1211" i="2"/>
  <c r="AC1211" i="2"/>
  <c r="AF1211" i="2"/>
  <c r="Q1210" i="2"/>
  <c r="T1210" i="2"/>
  <c r="W1210" i="2"/>
  <c r="Z1210" i="2"/>
  <c r="AC1210" i="2"/>
  <c r="AF1210" i="2"/>
  <c r="Q1209" i="2"/>
  <c r="T1209" i="2"/>
  <c r="W1209" i="2"/>
  <c r="Z1209" i="2"/>
  <c r="AC1209" i="2"/>
  <c r="AF1209" i="2"/>
  <c r="Q1208" i="2"/>
  <c r="T1208" i="2"/>
  <c r="W1208" i="2"/>
  <c r="Z1208" i="2"/>
  <c r="AC1208" i="2"/>
  <c r="AF1208" i="2"/>
  <c r="Q1207" i="2"/>
  <c r="T1207" i="2"/>
  <c r="W1207" i="2"/>
  <c r="Z1207" i="2"/>
  <c r="AC1207" i="2"/>
  <c r="AF1207" i="2"/>
  <c r="Q1206" i="2"/>
  <c r="T1206" i="2"/>
  <c r="W1206" i="2"/>
  <c r="Z1206" i="2"/>
  <c r="AC1206" i="2"/>
  <c r="AF1206" i="2"/>
  <c r="Q1205" i="2"/>
  <c r="T1205" i="2"/>
  <c r="W1205" i="2"/>
  <c r="Z1205" i="2"/>
  <c r="AC1205" i="2"/>
  <c r="AF1205" i="2"/>
  <c r="Q1204" i="2"/>
  <c r="T1204" i="2"/>
  <c r="W1204" i="2"/>
  <c r="Z1204" i="2"/>
  <c r="AC1204" i="2"/>
  <c r="AF1204" i="2"/>
  <c r="Q1203" i="2"/>
  <c r="T1203" i="2"/>
  <c r="W1203" i="2"/>
  <c r="Z1203" i="2"/>
  <c r="AC1203" i="2"/>
  <c r="AF1203" i="2"/>
  <c r="Q1202" i="2"/>
  <c r="T1202" i="2"/>
  <c r="W1202" i="2"/>
  <c r="Z1202" i="2"/>
  <c r="AC1202" i="2"/>
  <c r="AF1202" i="2"/>
  <c r="Q1201" i="2"/>
  <c r="T1201" i="2"/>
  <c r="W1201" i="2"/>
  <c r="Z1201" i="2"/>
  <c r="AC1201" i="2"/>
  <c r="AF1201" i="2"/>
  <c r="Q1200" i="2"/>
  <c r="T1200" i="2"/>
  <c r="W1200" i="2"/>
  <c r="Z1200" i="2"/>
  <c r="AC1200" i="2"/>
  <c r="AF1200" i="2"/>
  <c r="Q1199" i="2"/>
  <c r="T1199" i="2"/>
  <c r="W1199" i="2"/>
  <c r="Z1199" i="2"/>
  <c r="AC1199" i="2"/>
  <c r="AF1199" i="2"/>
  <c r="Q1198" i="2"/>
  <c r="T1198" i="2"/>
  <c r="W1198" i="2"/>
  <c r="Z1198" i="2"/>
  <c r="AC1198" i="2"/>
  <c r="AF1198" i="2"/>
  <c r="Q1197" i="2"/>
  <c r="T1197" i="2"/>
  <c r="W1197" i="2"/>
  <c r="Z1197" i="2"/>
  <c r="AC1197" i="2"/>
  <c r="AF1197" i="2"/>
  <c r="Q1196" i="2"/>
  <c r="T1196" i="2"/>
  <c r="W1196" i="2"/>
  <c r="Z1196" i="2"/>
  <c r="AC1196" i="2"/>
  <c r="AF1196" i="2"/>
  <c r="Q1195" i="2"/>
  <c r="T1195" i="2"/>
  <c r="W1195" i="2"/>
  <c r="Z1195" i="2"/>
  <c r="AC1195" i="2"/>
  <c r="AF1195" i="2"/>
  <c r="Q1194" i="2"/>
  <c r="T1194" i="2"/>
  <c r="W1194" i="2"/>
  <c r="Z1194" i="2"/>
  <c r="AC1194" i="2"/>
  <c r="AF1194" i="2"/>
  <c r="Q1193" i="2"/>
  <c r="T1193" i="2"/>
  <c r="W1193" i="2"/>
  <c r="Z1193" i="2"/>
  <c r="AC1193" i="2"/>
  <c r="AF1193" i="2"/>
  <c r="Q1192" i="2"/>
  <c r="T1192" i="2"/>
  <c r="W1192" i="2"/>
  <c r="Z1192" i="2"/>
  <c r="AC1192" i="2"/>
  <c r="AF1192" i="2"/>
  <c r="Q1191" i="2"/>
  <c r="T1191" i="2"/>
  <c r="W1191" i="2"/>
  <c r="Z1191" i="2"/>
  <c r="AC1191" i="2"/>
  <c r="AF1191" i="2"/>
  <c r="Q1190" i="2"/>
  <c r="T1190" i="2"/>
  <c r="W1190" i="2"/>
  <c r="Z1190" i="2"/>
  <c r="AC1190" i="2"/>
  <c r="AF1190" i="2"/>
  <c r="Q1189" i="2"/>
  <c r="T1189" i="2"/>
  <c r="W1189" i="2"/>
  <c r="Z1189" i="2"/>
  <c r="AC1189" i="2"/>
  <c r="AF1189" i="2"/>
  <c r="Q1188" i="2"/>
  <c r="T1188" i="2"/>
  <c r="W1188" i="2"/>
  <c r="Z1188" i="2"/>
  <c r="AC1188" i="2"/>
  <c r="AF1188" i="2"/>
  <c r="Q1187" i="2"/>
  <c r="T1187" i="2"/>
  <c r="W1187" i="2"/>
  <c r="Z1187" i="2"/>
  <c r="AC1187" i="2"/>
  <c r="AF1187" i="2"/>
  <c r="Q1186" i="2"/>
  <c r="T1186" i="2"/>
  <c r="W1186" i="2"/>
  <c r="Z1186" i="2"/>
  <c r="AC1186" i="2"/>
  <c r="AF1186" i="2"/>
  <c r="Q1185" i="2"/>
  <c r="T1185" i="2"/>
  <c r="W1185" i="2"/>
  <c r="Z1185" i="2"/>
  <c r="AC1185" i="2"/>
  <c r="AF1185" i="2"/>
  <c r="Q1184" i="2"/>
  <c r="T1184" i="2"/>
  <c r="W1184" i="2"/>
  <c r="Z1184" i="2"/>
  <c r="AC1184" i="2"/>
  <c r="AF1184" i="2"/>
  <c r="Q1183" i="2"/>
  <c r="T1183" i="2"/>
  <c r="W1183" i="2"/>
  <c r="Z1183" i="2"/>
  <c r="AC1183" i="2"/>
  <c r="AF1183" i="2"/>
  <c r="Q1182" i="2"/>
  <c r="T1182" i="2"/>
  <c r="W1182" i="2"/>
  <c r="Z1182" i="2"/>
  <c r="AC1182" i="2"/>
  <c r="AF1182" i="2"/>
  <c r="Q1181" i="2"/>
  <c r="T1181" i="2"/>
  <c r="W1181" i="2"/>
  <c r="Z1181" i="2"/>
  <c r="AC1181" i="2"/>
  <c r="AF1181" i="2"/>
  <c r="Q1180" i="2"/>
  <c r="T1180" i="2"/>
  <c r="W1180" i="2"/>
  <c r="Z1180" i="2"/>
  <c r="AC1180" i="2"/>
  <c r="AF1180" i="2"/>
  <c r="Q1179" i="2"/>
  <c r="T1179" i="2"/>
  <c r="W1179" i="2"/>
  <c r="Z1179" i="2"/>
  <c r="AC1179" i="2"/>
  <c r="AF1179" i="2"/>
  <c r="Q1178" i="2"/>
  <c r="T1178" i="2"/>
  <c r="W1178" i="2"/>
  <c r="Z1178" i="2"/>
  <c r="AC1178" i="2"/>
  <c r="AF1178" i="2"/>
  <c r="Q1177" i="2"/>
  <c r="T1177" i="2"/>
  <c r="W1177" i="2"/>
  <c r="Z1177" i="2"/>
  <c r="AC1177" i="2"/>
  <c r="AF1177" i="2"/>
  <c r="Q1176" i="2"/>
  <c r="T1176" i="2"/>
  <c r="W1176" i="2"/>
  <c r="Z1176" i="2"/>
  <c r="AC1176" i="2"/>
  <c r="AF1176" i="2"/>
  <c r="Q1175" i="2"/>
  <c r="T1175" i="2"/>
  <c r="W1175" i="2"/>
  <c r="Z1175" i="2"/>
  <c r="AC1175" i="2"/>
  <c r="AF1175" i="2"/>
  <c r="Q1174" i="2"/>
  <c r="T1174" i="2"/>
  <c r="W1174" i="2"/>
  <c r="Z1174" i="2"/>
  <c r="AC1174" i="2"/>
  <c r="AF1174" i="2"/>
  <c r="Q1173" i="2"/>
  <c r="T1173" i="2"/>
  <c r="W1173" i="2"/>
  <c r="Z1173" i="2"/>
  <c r="AC1173" i="2"/>
  <c r="AF1173" i="2"/>
  <c r="Q1172" i="2"/>
  <c r="T1172" i="2"/>
  <c r="W1172" i="2"/>
  <c r="Z1172" i="2"/>
  <c r="AC1172" i="2"/>
  <c r="AF1172" i="2"/>
  <c r="Q1171" i="2"/>
  <c r="T1171" i="2"/>
  <c r="W1171" i="2"/>
  <c r="Z1171" i="2"/>
  <c r="AC1171" i="2"/>
  <c r="AF1171" i="2"/>
  <c r="Q1170" i="2"/>
  <c r="T1170" i="2"/>
  <c r="W1170" i="2"/>
  <c r="Z1170" i="2"/>
  <c r="AC1170" i="2"/>
  <c r="AF1170" i="2"/>
  <c r="Q1169" i="2"/>
  <c r="T1169" i="2"/>
  <c r="W1169" i="2"/>
  <c r="Z1169" i="2"/>
  <c r="AC1169" i="2"/>
  <c r="AF1169" i="2"/>
  <c r="Q1168" i="2"/>
  <c r="T1168" i="2"/>
  <c r="W1168" i="2"/>
  <c r="Z1168" i="2"/>
  <c r="AC1168" i="2"/>
  <c r="AF1168" i="2"/>
  <c r="Q1167" i="2"/>
  <c r="T1167" i="2"/>
  <c r="W1167" i="2"/>
  <c r="Z1167" i="2"/>
  <c r="AC1167" i="2"/>
  <c r="AF1167" i="2"/>
  <c r="Q1166" i="2"/>
  <c r="T1166" i="2"/>
  <c r="W1166" i="2"/>
  <c r="Z1166" i="2"/>
  <c r="AC1166" i="2"/>
  <c r="AF1166" i="2"/>
  <c r="Q1165" i="2"/>
  <c r="T1165" i="2"/>
  <c r="W1165" i="2"/>
  <c r="Z1165" i="2"/>
  <c r="AC1165" i="2"/>
  <c r="AF1165" i="2"/>
  <c r="Q1164" i="2"/>
  <c r="T1164" i="2"/>
  <c r="W1164" i="2"/>
  <c r="Z1164" i="2"/>
  <c r="AC1164" i="2"/>
  <c r="AF1164" i="2"/>
  <c r="Q1163" i="2"/>
  <c r="T1163" i="2"/>
  <c r="W1163" i="2"/>
  <c r="Z1163" i="2"/>
  <c r="AC1163" i="2"/>
  <c r="AF1163" i="2"/>
  <c r="Q1162" i="2"/>
  <c r="T1162" i="2"/>
  <c r="W1162" i="2"/>
  <c r="Z1162" i="2"/>
  <c r="AC1162" i="2"/>
  <c r="AF1162" i="2"/>
  <c r="Q1161" i="2"/>
  <c r="T1161" i="2"/>
  <c r="W1161" i="2"/>
  <c r="Z1161" i="2"/>
  <c r="AC1161" i="2"/>
  <c r="AF1161" i="2"/>
  <c r="Q1160" i="2"/>
  <c r="T1160" i="2"/>
  <c r="W1160" i="2"/>
  <c r="Z1160" i="2"/>
  <c r="AC1160" i="2"/>
  <c r="AF1160" i="2"/>
  <c r="Q1159" i="2"/>
  <c r="T1159" i="2"/>
  <c r="W1159" i="2"/>
  <c r="Z1159" i="2"/>
  <c r="AC1159" i="2"/>
  <c r="AF1159" i="2"/>
  <c r="Q1158" i="2"/>
  <c r="T1158" i="2"/>
  <c r="W1158" i="2"/>
  <c r="Z1158" i="2"/>
  <c r="AC1158" i="2"/>
  <c r="AF1158" i="2"/>
  <c r="Q1157" i="2"/>
  <c r="T1157" i="2"/>
  <c r="W1157" i="2"/>
  <c r="Z1157" i="2"/>
  <c r="AC1157" i="2"/>
  <c r="AF1157" i="2"/>
  <c r="Q1156" i="2"/>
  <c r="T1156" i="2"/>
  <c r="W1156" i="2"/>
  <c r="Z1156" i="2"/>
  <c r="AC1156" i="2"/>
  <c r="AF1156" i="2"/>
  <c r="Q1155" i="2"/>
  <c r="T1155" i="2"/>
  <c r="W1155" i="2"/>
  <c r="Z1155" i="2"/>
  <c r="AC1155" i="2"/>
  <c r="AF1155" i="2"/>
  <c r="Q1154" i="2"/>
  <c r="T1154" i="2"/>
  <c r="W1154" i="2"/>
  <c r="Z1154" i="2"/>
  <c r="AC1154" i="2"/>
  <c r="AF1154" i="2"/>
  <c r="Q1153" i="2"/>
  <c r="T1153" i="2"/>
  <c r="W1153" i="2"/>
  <c r="Z1153" i="2"/>
  <c r="AC1153" i="2"/>
  <c r="AF1153" i="2"/>
  <c r="Q1152" i="2"/>
  <c r="T1152" i="2"/>
  <c r="W1152" i="2"/>
  <c r="Z1152" i="2"/>
  <c r="AC1152" i="2"/>
  <c r="AF1152" i="2"/>
  <c r="Q1151" i="2"/>
  <c r="T1151" i="2"/>
  <c r="W1151" i="2"/>
  <c r="Z1151" i="2"/>
  <c r="AC1151" i="2"/>
  <c r="AF1151" i="2"/>
  <c r="Q1150" i="2"/>
  <c r="T1150" i="2"/>
  <c r="W1150" i="2"/>
  <c r="Z1150" i="2"/>
  <c r="AC1150" i="2"/>
  <c r="AF1150" i="2"/>
  <c r="Q1149" i="2"/>
  <c r="T1149" i="2"/>
  <c r="W1149" i="2"/>
  <c r="Z1149" i="2"/>
  <c r="AC1149" i="2"/>
  <c r="AF1149" i="2"/>
  <c r="Q1148" i="2"/>
  <c r="T1148" i="2"/>
  <c r="W1148" i="2"/>
  <c r="Z1148" i="2"/>
  <c r="AC1148" i="2"/>
  <c r="AF1148" i="2"/>
  <c r="Q1147" i="2"/>
  <c r="T1147" i="2"/>
  <c r="W1147" i="2"/>
  <c r="Z1147" i="2"/>
  <c r="AC1147" i="2"/>
  <c r="AF1147" i="2"/>
  <c r="Q1146" i="2"/>
  <c r="T1146" i="2"/>
  <c r="W1146" i="2"/>
  <c r="Z1146" i="2"/>
  <c r="AC1146" i="2"/>
  <c r="AF1146" i="2"/>
  <c r="Q1145" i="2"/>
  <c r="T1145" i="2"/>
  <c r="W1145" i="2"/>
  <c r="Z1145" i="2"/>
  <c r="AC1145" i="2"/>
  <c r="AF1145" i="2"/>
  <c r="Q1144" i="2"/>
  <c r="T1144" i="2"/>
  <c r="W1144" i="2"/>
  <c r="Z1144" i="2"/>
  <c r="AC1144" i="2"/>
  <c r="AF1144" i="2"/>
  <c r="Q1143" i="2"/>
  <c r="T1143" i="2"/>
  <c r="W1143" i="2"/>
  <c r="Z1143" i="2"/>
  <c r="AC1143" i="2"/>
  <c r="AF1143" i="2"/>
  <c r="Q1142" i="2"/>
  <c r="T1142" i="2"/>
  <c r="W1142" i="2"/>
  <c r="Z1142" i="2"/>
  <c r="AC1142" i="2"/>
  <c r="AF1142" i="2"/>
  <c r="Q1141" i="2"/>
  <c r="T1141" i="2"/>
  <c r="W1141" i="2"/>
  <c r="Z1141" i="2"/>
  <c r="AC1141" i="2"/>
  <c r="AF1141" i="2"/>
  <c r="Q1140" i="2"/>
  <c r="T1140" i="2"/>
  <c r="W1140" i="2"/>
  <c r="Z1140" i="2"/>
  <c r="AC1140" i="2"/>
  <c r="AF1140" i="2"/>
  <c r="Q1139" i="2"/>
  <c r="T1139" i="2"/>
  <c r="W1139" i="2"/>
  <c r="Z1139" i="2"/>
  <c r="AC1139" i="2"/>
  <c r="AF1139" i="2"/>
  <c r="Q1138" i="2"/>
  <c r="T1138" i="2"/>
  <c r="W1138" i="2"/>
  <c r="Z1138" i="2"/>
  <c r="AC1138" i="2"/>
  <c r="AF1138" i="2"/>
  <c r="Q1137" i="2"/>
  <c r="T1137" i="2"/>
  <c r="W1137" i="2"/>
  <c r="Z1137" i="2"/>
  <c r="AC1137" i="2"/>
  <c r="AF1137" i="2"/>
  <c r="Q1136" i="2"/>
  <c r="T1136" i="2"/>
  <c r="W1136" i="2"/>
  <c r="Z1136" i="2"/>
  <c r="AC1136" i="2"/>
  <c r="AF1136" i="2"/>
  <c r="Q1135" i="2"/>
  <c r="T1135" i="2"/>
  <c r="W1135" i="2"/>
  <c r="Z1135" i="2"/>
  <c r="AC1135" i="2"/>
  <c r="AF1135" i="2"/>
  <c r="Q1134" i="2"/>
  <c r="T1134" i="2"/>
  <c r="W1134" i="2"/>
  <c r="Z1134" i="2"/>
  <c r="AC1134" i="2"/>
  <c r="AF1134" i="2"/>
  <c r="Q1133" i="2"/>
  <c r="T1133" i="2"/>
  <c r="W1133" i="2"/>
  <c r="Z1133" i="2"/>
  <c r="AC1133" i="2"/>
  <c r="AF1133" i="2"/>
  <c r="Q1132" i="2"/>
  <c r="T1132" i="2"/>
  <c r="W1132" i="2"/>
  <c r="Z1132" i="2"/>
  <c r="AC1132" i="2"/>
  <c r="AF1132" i="2"/>
  <c r="Q1131" i="2"/>
  <c r="T1131" i="2"/>
  <c r="W1131" i="2"/>
  <c r="Z1131" i="2"/>
  <c r="AC1131" i="2"/>
  <c r="AF1131" i="2"/>
  <c r="Q1130" i="2"/>
  <c r="T1130" i="2"/>
  <c r="W1130" i="2"/>
  <c r="Z1130" i="2"/>
  <c r="AC1130" i="2"/>
  <c r="AF1130" i="2"/>
  <c r="Q1129" i="2"/>
  <c r="T1129" i="2"/>
  <c r="W1129" i="2"/>
  <c r="Z1129" i="2"/>
  <c r="AC1129" i="2"/>
  <c r="AF1129" i="2"/>
  <c r="Q1128" i="2"/>
  <c r="T1128" i="2"/>
  <c r="W1128" i="2"/>
  <c r="Z1128" i="2"/>
  <c r="AC1128" i="2"/>
  <c r="AF1128" i="2"/>
  <c r="Q1127" i="2"/>
  <c r="T1127" i="2"/>
  <c r="W1127" i="2"/>
  <c r="Z1127" i="2"/>
  <c r="AC1127" i="2"/>
  <c r="AF1127" i="2"/>
  <c r="Q1126" i="2"/>
  <c r="T1126" i="2"/>
  <c r="W1126" i="2"/>
  <c r="Z1126" i="2"/>
  <c r="AC1126" i="2"/>
  <c r="AF1126" i="2"/>
  <c r="Q1125" i="2"/>
  <c r="T1125" i="2"/>
  <c r="W1125" i="2"/>
  <c r="Z1125" i="2"/>
  <c r="AC1125" i="2"/>
  <c r="AF1125" i="2"/>
  <c r="Q1124" i="2"/>
  <c r="T1124" i="2"/>
  <c r="W1124" i="2"/>
  <c r="Z1124" i="2"/>
  <c r="AC1124" i="2"/>
  <c r="AF1124" i="2"/>
  <c r="Q1123" i="2"/>
  <c r="T1123" i="2"/>
  <c r="W1123" i="2"/>
  <c r="Z1123" i="2"/>
  <c r="AC1123" i="2"/>
  <c r="AF1123" i="2"/>
  <c r="Q1122" i="2"/>
  <c r="T1122" i="2"/>
  <c r="W1122" i="2"/>
  <c r="Z1122" i="2"/>
  <c r="AC1122" i="2"/>
  <c r="AF1122" i="2"/>
  <c r="Q1121" i="2"/>
  <c r="T1121" i="2"/>
  <c r="W1121" i="2"/>
  <c r="Z1121" i="2"/>
  <c r="AC1121" i="2"/>
  <c r="AF1121" i="2"/>
  <c r="Q1120" i="2"/>
  <c r="T1120" i="2"/>
  <c r="W1120" i="2"/>
  <c r="Z1120" i="2"/>
  <c r="AC1120" i="2"/>
  <c r="AF1120" i="2"/>
  <c r="Q1119" i="2"/>
  <c r="T1119" i="2"/>
  <c r="W1119" i="2"/>
  <c r="Z1119" i="2"/>
  <c r="AC1119" i="2"/>
  <c r="AF1119" i="2"/>
  <c r="Q1118" i="2"/>
  <c r="T1118" i="2"/>
  <c r="W1118" i="2"/>
  <c r="Z1118" i="2"/>
  <c r="AC1118" i="2"/>
  <c r="AF1118" i="2"/>
  <c r="Q1117" i="2"/>
  <c r="T1117" i="2"/>
  <c r="W1117" i="2"/>
  <c r="Z1117" i="2"/>
  <c r="AC1117" i="2"/>
  <c r="AF1117" i="2"/>
  <c r="Q1116" i="2"/>
  <c r="T1116" i="2"/>
  <c r="W1116" i="2"/>
  <c r="Z1116" i="2"/>
  <c r="AC1116" i="2"/>
  <c r="AF1116" i="2"/>
  <c r="Q1115" i="2"/>
  <c r="T1115" i="2"/>
  <c r="W1115" i="2"/>
  <c r="Z1115" i="2"/>
  <c r="AC1115" i="2"/>
  <c r="AF1115" i="2"/>
  <c r="Q1114" i="2"/>
  <c r="T1114" i="2"/>
  <c r="W1114" i="2"/>
  <c r="Z1114" i="2"/>
  <c r="AC1114" i="2"/>
  <c r="AF1114" i="2"/>
  <c r="Q1113" i="2"/>
  <c r="T1113" i="2"/>
  <c r="W1113" i="2"/>
  <c r="Z1113" i="2"/>
  <c r="AC1113" i="2"/>
  <c r="AF1113" i="2"/>
  <c r="Q1112" i="2"/>
  <c r="T1112" i="2"/>
  <c r="W1112" i="2"/>
  <c r="Z1112" i="2"/>
  <c r="AC1112" i="2"/>
  <c r="AF1112" i="2"/>
  <c r="Q1111" i="2"/>
  <c r="T1111" i="2"/>
  <c r="W1111" i="2"/>
  <c r="Z1111" i="2"/>
  <c r="AC1111" i="2"/>
  <c r="AF1111" i="2"/>
  <c r="Q1110" i="2"/>
  <c r="T1110" i="2"/>
  <c r="W1110" i="2"/>
  <c r="Z1110" i="2"/>
  <c r="AC1110" i="2"/>
  <c r="AF1110" i="2"/>
  <c r="Q1109" i="2"/>
  <c r="T1109" i="2"/>
  <c r="W1109" i="2"/>
  <c r="Z1109" i="2"/>
  <c r="AC1109" i="2"/>
  <c r="AF1109" i="2"/>
  <c r="Q1108" i="2"/>
  <c r="T1108" i="2"/>
  <c r="W1108" i="2"/>
  <c r="Z1108" i="2"/>
  <c r="AC1108" i="2"/>
  <c r="AF1108" i="2"/>
  <c r="Q1107" i="2"/>
  <c r="T1107" i="2"/>
  <c r="W1107" i="2"/>
  <c r="Z1107" i="2"/>
  <c r="AC1107" i="2"/>
  <c r="AF1107" i="2"/>
  <c r="Q1106" i="2"/>
  <c r="T1106" i="2"/>
  <c r="W1106" i="2"/>
  <c r="Z1106" i="2"/>
  <c r="AC1106" i="2"/>
  <c r="AF1106" i="2"/>
  <c r="Q1105" i="2"/>
  <c r="T1105" i="2"/>
  <c r="W1105" i="2"/>
  <c r="Z1105" i="2"/>
  <c r="AC1105" i="2"/>
  <c r="AF1105" i="2"/>
  <c r="Q1104" i="2"/>
  <c r="T1104" i="2"/>
  <c r="W1104" i="2"/>
  <c r="Z1104" i="2"/>
  <c r="AC1104" i="2"/>
  <c r="AF1104" i="2"/>
  <c r="Q1103" i="2"/>
  <c r="T1103" i="2"/>
  <c r="W1103" i="2"/>
  <c r="Z1103" i="2"/>
  <c r="AC1103" i="2"/>
  <c r="AF1103" i="2"/>
  <c r="Q1102" i="2"/>
  <c r="T1102" i="2"/>
  <c r="W1102" i="2"/>
  <c r="Z1102" i="2"/>
  <c r="AC1102" i="2"/>
  <c r="AF1102" i="2"/>
  <c r="Q1101" i="2"/>
  <c r="T1101" i="2"/>
  <c r="W1101" i="2"/>
  <c r="Z1101" i="2"/>
  <c r="AC1101" i="2"/>
  <c r="AF1101" i="2"/>
  <c r="Q1100" i="2"/>
  <c r="T1100" i="2"/>
  <c r="W1100" i="2"/>
  <c r="Z1100" i="2"/>
  <c r="AC1100" i="2"/>
  <c r="AF1100" i="2"/>
  <c r="Q1099" i="2"/>
  <c r="T1099" i="2"/>
  <c r="W1099" i="2"/>
  <c r="Z1099" i="2"/>
  <c r="AC1099" i="2"/>
  <c r="AF1099" i="2"/>
  <c r="Q1098" i="2"/>
  <c r="T1098" i="2"/>
  <c r="W1098" i="2"/>
  <c r="Z1098" i="2"/>
  <c r="AC1098" i="2"/>
  <c r="AF1098" i="2"/>
  <c r="Q1097" i="2"/>
  <c r="T1097" i="2"/>
  <c r="W1097" i="2"/>
  <c r="Z1097" i="2"/>
  <c r="AC1097" i="2"/>
  <c r="AF1097" i="2"/>
  <c r="Q1096" i="2"/>
  <c r="T1096" i="2"/>
  <c r="W1096" i="2"/>
  <c r="Z1096" i="2"/>
  <c r="AC1096" i="2"/>
  <c r="AF1096" i="2"/>
  <c r="Q1095" i="2"/>
  <c r="T1095" i="2"/>
  <c r="W1095" i="2"/>
  <c r="Z1095" i="2"/>
  <c r="AC1095" i="2"/>
  <c r="AF1095" i="2"/>
  <c r="Q1094" i="2"/>
  <c r="T1094" i="2"/>
  <c r="W1094" i="2"/>
  <c r="Z1094" i="2"/>
  <c r="AC1094" i="2"/>
  <c r="AF1094" i="2"/>
  <c r="Q1093" i="2"/>
  <c r="T1093" i="2"/>
  <c r="W1093" i="2"/>
  <c r="Z1093" i="2"/>
  <c r="AC1093" i="2"/>
  <c r="AF1093" i="2"/>
  <c r="Q1092" i="2"/>
  <c r="T1092" i="2"/>
  <c r="W1092" i="2"/>
  <c r="Z1092" i="2"/>
  <c r="AC1092" i="2"/>
  <c r="AF1092" i="2"/>
  <c r="Q1091" i="2"/>
  <c r="T1091" i="2"/>
  <c r="W1091" i="2"/>
  <c r="Z1091" i="2"/>
  <c r="AC1091" i="2"/>
  <c r="AF1091" i="2"/>
  <c r="Q1090" i="2"/>
  <c r="T1090" i="2"/>
  <c r="W1090" i="2"/>
  <c r="Z1090" i="2"/>
  <c r="AC1090" i="2"/>
  <c r="AF1090" i="2"/>
  <c r="Q1089" i="2"/>
  <c r="T1089" i="2"/>
  <c r="W1089" i="2"/>
  <c r="Z1089" i="2"/>
  <c r="AC1089" i="2"/>
  <c r="AF1089" i="2"/>
  <c r="Q1088" i="2"/>
  <c r="T1088" i="2"/>
  <c r="W1088" i="2"/>
  <c r="Z1088" i="2"/>
  <c r="AC1088" i="2"/>
  <c r="AF1088" i="2"/>
  <c r="Q1087" i="2"/>
  <c r="T1087" i="2"/>
  <c r="W1087" i="2"/>
  <c r="Z1087" i="2"/>
  <c r="AC1087" i="2"/>
  <c r="AF1087" i="2"/>
  <c r="Q1086" i="2"/>
  <c r="T1086" i="2"/>
  <c r="W1086" i="2"/>
  <c r="Z1086" i="2"/>
  <c r="AC1086" i="2"/>
  <c r="AF1086" i="2"/>
  <c r="Q1085" i="2"/>
  <c r="T1085" i="2"/>
  <c r="W1085" i="2"/>
  <c r="Z1085" i="2"/>
  <c r="AC1085" i="2"/>
  <c r="AF1085" i="2"/>
  <c r="Q1084" i="2"/>
  <c r="T1084" i="2"/>
  <c r="W1084" i="2"/>
  <c r="Z1084" i="2"/>
  <c r="AC1084" i="2"/>
  <c r="AF1084" i="2"/>
  <c r="Q1083" i="2"/>
  <c r="T1083" i="2"/>
  <c r="W1083" i="2"/>
  <c r="Z1083" i="2"/>
  <c r="AC1083" i="2"/>
  <c r="AF1083" i="2"/>
  <c r="Q1082" i="2"/>
  <c r="T1082" i="2"/>
  <c r="W1082" i="2"/>
  <c r="Z1082" i="2"/>
  <c r="AC1082" i="2"/>
  <c r="AF1082" i="2"/>
  <c r="Q1081" i="2"/>
  <c r="T1081" i="2"/>
  <c r="W1081" i="2"/>
  <c r="Z1081" i="2"/>
  <c r="AC1081" i="2"/>
  <c r="AF1081" i="2"/>
  <c r="Q1080" i="2"/>
  <c r="T1080" i="2"/>
  <c r="W1080" i="2"/>
  <c r="Z1080" i="2"/>
  <c r="AC1080" i="2"/>
  <c r="AF1080" i="2"/>
  <c r="Q1079" i="2"/>
  <c r="T1079" i="2"/>
  <c r="W1079" i="2"/>
  <c r="Z1079" i="2"/>
  <c r="AC1079" i="2"/>
  <c r="AF1079" i="2"/>
  <c r="Q1078" i="2"/>
  <c r="T1078" i="2"/>
  <c r="W1078" i="2"/>
  <c r="Z1078" i="2"/>
  <c r="AC1078" i="2"/>
  <c r="AF1078" i="2"/>
  <c r="Q1077" i="2"/>
  <c r="T1077" i="2"/>
  <c r="W1077" i="2"/>
  <c r="Z1077" i="2"/>
  <c r="AC1077" i="2"/>
  <c r="AF1077" i="2"/>
  <c r="Q1076" i="2"/>
  <c r="T1076" i="2"/>
  <c r="W1076" i="2"/>
  <c r="Z1076" i="2"/>
  <c r="AC1076" i="2"/>
  <c r="AF1076" i="2"/>
  <c r="Q1075" i="2"/>
  <c r="T1075" i="2"/>
  <c r="W1075" i="2"/>
  <c r="Z1075" i="2"/>
  <c r="AC1075" i="2"/>
  <c r="AF1075" i="2"/>
  <c r="Q1074" i="2"/>
  <c r="T1074" i="2"/>
  <c r="W1074" i="2"/>
  <c r="Z1074" i="2"/>
  <c r="AC1074" i="2"/>
  <c r="AF1074" i="2"/>
  <c r="Q1073" i="2"/>
  <c r="T1073" i="2"/>
  <c r="W1073" i="2"/>
  <c r="Z1073" i="2"/>
  <c r="AC1073" i="2"/>
  <c r="AF1073" i="2"/>
  <c r="Q1072" i="2"/>
  <c r="T1072" i="2"/>
  <c r="W1072" i="2"/>
  <c r="Z1072" i="2"/>
  <c r="AC1072" i="2"/>
  <c r="AF1072" i="2"/>
  <c r="Q1071" i="2"/>
  <c r="T1071" i="2"/>
  <c r="W1071" i="2"/>
  <c r="Z1071" i="2"/>
  <c r="AC1071" i="2"/>
  <c r="AF1071" i="2"/>
  <c r="B9" i="1"/>
  <c r="AI910" i="2" l="1" a="1"/>
  <c r="AI910" i="2" s="1"/>
  <c r="AI983" i="2" a="1"/>
  <c r="AI983" i="2" s="1"/>
  <c r="AI984" i="2" a="1"/>
  <c r="AI984" i="2" s="1"/>
  <c r="AI893" i="2" a="1"/>
  <c r="AI893" i="2" s="1"/>
  <c r="AI1008" i="2" a="1"/>
  <c r="AI1008" i="2" s="1"/>
  <c r="AI907" i="2" a="1"/>
  <c r="AI907" i="2" s="1"/>
  <c r="AI891" i="2" a="1"/>
  <c r="AI891" i="2" s="1"/>
  <c r="AI1005" i="2" a="1"/>
  <c r="AI1005" i="2" s="1"/>
  <c r="AI908" i="2" a="1"/>
  <c r="AI908" i="2" s="1"/>
  <c r="AI639" i="2" a="1"/>
  <c r="AI639" i="2" s="1"/>
  <c r="AI640" i="2" a="1"/>
  <c r="AI640" i="2" s="1"/>
  <c r="AI641" i="2" a="1"/>
  <c r="AI641" i="2" s="1"/>
  <c r="AJ1066" i="2" a="1"/>
  <c r="AJ1066" i="2" s="1"/>
  <c r="AJ1024" i="2" a="1"/>
  <c r="AJ1024" i="2" s="1"/>
  <c r="AI1052" i="2" a="1"/>
  <c r="AI1052" i="2" s="1"/>
  <c r="AJ1052" i="2" a="1"/>
  <c r="AJ1052" i="2" s="1"/>
  <c r="AI886" i="2" a="1"/>
  <c r="AI886" i="2" s="1"/>
  <c r="AI1006" i="2" a="1"/>
  <c r="AI1006" i="2" s="1"/>
  <c r="AI1065" i="2" a="1"/>
  <c r="AI1065" i="2" s="1"/>
  <c r="AI911" i="2" a="1"/>
  <c r="AI911" i="2" s="1"/>
  <c r="AI912" i="2" a="1"/>
  <c r="AI912" i="2" s="1"/>
  <c r="AI913" i="2" a="1"/>
  <c r="AI913" i="2" s="1"/>
  <c r="AI914" i="2" a="1"/>
  <c r="AI914" i="2" s="1"/>
  <c r="AI915" i="2" a="1"/>
  <c r="AI915" i="2" s="1"/>
  <c r="AI917" i="2" a="1"/>
  <c r="AI917" i="2" s="1"/>
  <c r="AI978" i="2" a="1"/>
  <c r="AI978" i="2" s="1"/>
  <c r="AI979" i="2" a="1"/>
  <c r="AI979" i="2" s="1"/>
  <c r="AI980" i="2" a="1"/>
  <c r="AI980" i="2" s="1"/>
  <c r="AI981" i="2" a="1"/>
  <c r="AI981" i="2" s="1"/>
  <c r="AI982" i="2" a="1"/>
  <c r="AI982" i="2" s="1"/>
  <c r="AI905" i="2" a="1"/>
  <c r="AI905" i="2" s="1"/>
  <c r="AI1010" i="2" a="1"/>
  <c r="AI1010" i="2" s="1"/>
  <c r="AI1024" i="2" a="1"/>
  <c r="AI1024" i="2" s="1"/>
  <c r="AI1066" i="2" a="1"/>
  <c r="AI1066" i="2" s="1"/>
  <c r="AI1068" i="2" a="1"/>
  <c r="AI1068" i="2" s="1"/>
  <c r="AI1022" i="2" a="1"/>
  <c r="AI1022" i="2" s="1"/>
  <c r="AI1004" i="2" a="1"/>
  <c r="AI1004" i="2" s="1"/>
  <c r="AI1009" i="2" a="1"/>
  <c r="AI1009" i="2" s="1"/>
  <c r="AI1069" i="2" a="1"/>
  <c r="AI1069" i="2" s="1"/>
  <c r="AI887" i="2" a="1"/>
  <c r="AI887" i="2" s="1"/>
  <c r="AI890" i="2" a="1"/>
  <c r="AI890" i="2" s="1"/>
  <c r="AI892" i="2" a="1"/>
  <c r="AI892" i="2" s="1"/>
  <c r="AI894" i="2" a="1"/>
  <c r="AI894" i="2" s="1"/>
  <c r="AI895" i="2" a="1"/>
  <c r="AI895" i="2" s="1"/>
  <c r="AI897" i="2" a="1"/>
  <c r="AI897" i="2" s="1"/>
  <c r="AI898" i="2" a="1"/>
  <c r="AI898" i="2" s="1"/>
  <c r="AI899" i="2" a="1"/>
  <c r="AI899" i="2" s="1"/>
  <c r="AI900" i="2" a="1"/>
  <c r="AI900" i="2" s="1"/>
  <c r="AI901" i="2" a="1"/>
  <c r="AI901" i="2" s="1"/>
  <c r="AI902" i="2" a="1"/>
  <c r="AI902" i="2" s="1"/>
  <c r="AI906" i="2" a="1"/>
  <c r="AI906" i="2" s="1"/>
  <c r="AI985" i="2" a="1"/>
  <c r="AI985" i="2" s="1"/>
  <c r="AI1003" i="2" a="1"/>
  <c r="AI1003" i="2" s="1"/>
  <c r="AI1007" i="2" a="1"/>
  <c r="AI1007" i="2" s="1"/>
  <c r="R638" i="2"/>
  <c r="S638" i="2" s="1"/>
  <c r="AD638" i="2"/>
  <c r="AE638" i="2" s="1"/>
  <c r="AG638" i="2"/>
  <c r="AH638" i="2" s="1"/>
  <c r="U638" i="2"/>
  <c r="V638" i="2" s="1"/>
  <c r="X638" i="2"/>
  <c r="Y638" i="2" s="1"/>
  <c r="AA638" i="2"/>
  <c r="AB638" i="2" s="1"/>
  <c r="R637" i="2"/>
  <c r="S637" i="2" s="1"/>
  <c r="U637" i="2"/>
  <c r="V637" i="2" s="1"/>
  <c r="X637" i="2"/>
  <c r="Y637" i="2" s="1"/>
  <c r="AA637" i="2"/>
  <c r="AB637" i="2" s="1"/>
  <c r="AD637" i="2"/>
  <c r="AE637" i="2" s="1"/>
  <c r="AG637" i="2"/>
  <c r="AH637" i="2" s="1"/>
  <c r="AD636" i="2"/>
  <c r="AE636" i="2" s="1"/>
  <c r="AG636" i="2"/>
  <c r="AH636" i="2" s="1"/>
  <c r="X636" i="2"/>
  <c r="Y636" i="2" s="1"/>
  <c r="U636" i="2"/>
  <c r="V636" i="2" s="1"/>
  <c r="R636" i="2"/>
  <c r="S636" i="2" s="1"/>
  <c r="AA636" i="2"/>
  <c r="AB636" i="2" s="1"/>
  <c r="AD635" i="2"/>
  <c r="AE635" i="2" s="1"/>
  <c r="AG635" i="2"/>
  <c r="AH635" i="2" s="1"/>
  <c r="AA635" i="2"/>
  <c r="AB635" i="2" s="1"/>
  <c r="X635" i="2"/>
  <c r="Y635" i="2" s="1"/>
  <c r="R635" i="2"/>
  <c r="S635" i="2" s="1"/>
  <c r="U635" i="2"/>
  <c r="V635" i="2" s="1"/>
  <c r="AA634" i="2"/>
  <c r="AB634" i="2" s="1"/>
  <c r="X634" i="2"/>
  <c r="Y634" i="2" s="1"/>
  <c r="U634" i="2"/>
  <c r="V634" i="2" s="1"/>
  <c r="R634" i="2"/>
  <c r="S634" i="2" s="1"/>
  <c r="AG634" i="2"/>
  <c r="AH634" i="2" s="1"/>
  <c r="AD634" i="2"/>
  <c r="AE634" i="2" s="1"/>
  <c r="X633" i="2"/>
  <c r="Y633" i="2" s="1"/>
  <c r="AG633" i="2"/>
  <c r="AH633" i="2" s="1"/>
  <c r="AD633" i="2"/>
  <c r="AE633" i="2" s="1"/>
  <c r="AA633" i="2"/>
  <c r="AB633" i="2" s="1"/>
  <c r="U633" i="2"/>
  <c r="V633" i="2" s="1"/>
  <c r="R633" i="2"/>
  <c r="S633" i="2" s="1"/>
  <c r="U632" i="2"/>
  <c r="V632" i="2" s="1"/>
  <c r="R632" i="2"/>
  <c r="S632" i="2" s="1"/>
  <c r="AG632" i="2"/>
  <c r="AH632" i="2" s="1"/>
  <c r="AD632" i="2"/>
  <c r="AE632" i="2" s="1"/>
  <c r="AA632" i="2"/>
  <c r="AB632" i="2" s="1"/>
  <c r="X632" i="2"/>
  <c r="Y632" i="2" s="1"/>
  <c r="U631" i="2"/>
  <c r="V631" i="2" s="1"/>
  <c r="R631" i="2"/>
  <c r="S631" i="2" s="1"/>
  <c r="AG631" i="2"/>
  <c r="AH631" i="2" s="1"/>
  <c r="AD631" i="2"/>
  <c r="AE631" i="2" s="1"/>
  <c r="AA631" i="2"/>
  <c r="AB631" i="2" s="1"/>
  <c r="X631" i="2"/>
  <c r="Y631" i="2" s="1"/>
  <c r="AG630" i="2"/>
  <c r="AH630" i="2" s="1"/>
  <c r="AD630" i="2"/>
  <c r="AE630" i="2" s="1"/>
  <c r="AA630" i="2"/>
  <c r="AB630" i="2" s="1"/>
  <c r="X630" i="2"/>
  <c r="Y630" i="2" s="1"/>
  <c r="U630" i="2"/>
  <c r="V630" i="2" s="1"/>
  <c r="R630" i="2"/>
  <c r="S630" i="2" s="1"/>
  <c r="AG629" i="2"/>
  <c r="AH629" i="2" s="1"/>
  <c r="AD629" i="2"/>
  <c r="AE629" i="2" s="1"/>
  <c r="AA629" i="2"/>
  <c r="AB629" i="2" s="1"/>
  <c r="U629" i="2"/>
  <c r="V629" i="2" s="1"/>
  <c r="R629" i="2"/>
  <c r="S629" i="2" s="1"/>
  <c r="X629" i="2"/>
  <c r="Y629" i="2" s="1"/>
  <c r="AA628" i="2"/>
  <c r="AB628" i="2" s="1"/>
  <c r="AG628" i="2"/>
  <c r="AH628" i="2" s="1"/>
  <c r="AD628" i="2"/>
  <c r="AE628" i="2" s="1"/>
  <c r="X628" i="2"/>
  <c r="Y628" i="2" s="1"/>
  <c r="U628" i="2"/>
  <c r="V628" i="2" s="1"/>
  <c r="R628" i="2"/>
  <c r="S628" i="2" s="1"/>
  <c r="AD627" i="2"/>
  <c r="AE627" i="2" s="1"/>
  <c r="AA627" i="2"/>
  <c r="AB627" i="2" s="1"/>
  <c r="X627" i="2"/>
  <c r="Y627" i="2" s="1"/>
  <c r="U627" i="2"/>
  <c r="V627" i="2" s="1"/>
  <c r="R627" i="2"/>
  <c r="S627" i="2" s="1"/>
  <c r="AG627" i="2"/>
  <c r="AH627" i="2" s="1"/>
  <c r="U626" i="2"/>
  <c r="V626" i="2" s="1"/>
  <c r="R626" i="2"/>
  <c r="S626" i="2" s="1"/>
  <c r="AA626" i="2"/>
  <c r="AB626" i="2" s="1"/>
  <c r="AG626" i="2"/>
  <c r="AH626" i="2" s="1"/>
  <c r="AD626" i="2"/>
  <c r="AE626" i="2" s="1"/>
  <c r="X626" i="2"/>
  <c r="Y626" i="2" s="1"/>
  <c r="U625" i="2"/>
  <c r="V625" i="2" s="1"/>
  <c r="R625" i="2"/>
  <c r="S625" i="2" s="1"/>
  <c r="AG625" i="2"/>
  <c r="AH625" i="2" s="1"/>
  <c r="AD625" i="2"/>
  <c r="AE625" i="2" s="1"/>
  <c r="AA625" i="2"/>
  <c r="AB625" i="2" s="1"/>
  <c r="X625" i="2"/>
  <c r="Y625" i="2" s="1"/>
  <c r="AG624" i="2"/>
  <c r="AH624" i="2" s="1"/>
  <c r="AD624" i="2"/>
  <c r="AE624" i="2" s="1"/>
  <c r="AA624" i="2"/>
  <c r="AB624" i="2" s="1"/>
  <c r="X624" i="2"/>
  <c r="Y624" i="2" s="1"/>
  <c r="U624" i="2"/>
  <c r="V624" i="2" s="1"/>
  <c r="R624" i="2"/>
  <c r="S624" i="2" s="1"/>
  <c r="AG623" i="2"/>
  <c r="AH623" i="2" s="1"/>
  <c r="AD623" i="2"/>
  <c r="AE623" i="2" s="1"/>
  <c r="AA623" i="2"/>
  <c r="AB623" i="2" s="1"/>
  <c r="U623" i="2"/>
  <c r="V623" i="2" s="1"/>
  <c r="R623" i="2"/>
  <c r="S623" i="2" s="1"/>
  <c r="X623" i="2"/>
  <c r="Y623" i="2" s="1"/>
  <c r="X622" i="2"/>
  <c r="Y622" i="2" s="1"/>
  <c r="U622" i="2"/>
  <c r="V622" i="2" s="1"/>
  <c r="R622" i="2"/>
  <c r="S622" i="2" s="1"/>
  <c r="AA622" i="2"/>
  <c r="AB622" i="2" s="1"/>
  <c r="AG622" i="2"/>
  <c r="AH622" i="2" s="1"/>
  <c r="AD622" i="2"/>
  <c r="AE622" i="2" s="1"/>
  <c r="U621" i="2"/>
  <c r="V621" i="2" s="1"/>
  <c r="R621" i="2"/>
  <c r="S621" i="2" s="1"/>
  <c r="AD621" i="2"/>
  <c r="AE621" i="2" s="1"/>
  <c r="AG621" i="2"/>
  <c r="AH621" i="2" s="1"/>
  <c r="AA621" i="2"/>
  <c r="AB621" i="2" s="1"/>
  <c r="X621" i="2"/>
  <c r="Y621" i="2" s="1"/>
  <c r="AD620" i="2"/>
  <c r="AE620" i="2" s="1"/>
  <c r="AA620" i="2"/>
  <c r="AB620" i="2" s="1"/>
  <c r="X620" i="2"/>
  <c r="Y620" i="2" s="1"/>
  <c r="U620" i="2"/>
  <c r="V620" i="2" s="1"/>
  <c r="R620" i="2"/>
  <c r="S620" i="2" s="1"/>
  <c r="AG620" i="2"/>
  <c r="AH620" i="2" s="1"/>
  <c r="AG619" i="2"/>
  <c r="AH619" i="2" s="1"/>
  <c r="AD619" i="2"/>
  <c r="AE619" i="2" s="1"/>
  <c r="AA619" i="2"/>
  <c r="AB619" i="2" s="1"/>
  <c r="X619" i="2"/>
  <c r="Y619" i="2" s="1"/>
  <c r="R619" i="2"/>
  <c r="S619" i="2" s="1"/>
  <c r="U619" i="2"/>
  <c r="V619" i="2" s="1"/>
  <c r="U618" i="2"/>
  <c r="V618" i="2" s="1"/>
  <c r="AG618" i="2"/>
  <c r="AH618" i="2" s="1"/>
  <c r="AD618" i="2"/>
  <c r="AE618" i="2" s="1"/>
  <c r="R618" i="2"/>
  <c r="S618" i="2" s="1"/>
  <c r="AA618" i="2"/>
  <c r="AB618" i="2" s="1"/>
  <c r="X618" i="2"/>
  <c r="Y618" i="2" s="1"/>
  <c r="U617" i="2"/>
  <c r="V617" i="2" s="1"/>
  <c r="AG617" i="2"/>
  <c r="AH617" i="2" s="1"/>
  <c r="AD617" i="2"/>
  <c r="AE617" i="2" s="1"/>
  <c r="AA617" i="2"/>
  <c r="AB617" i="2" s="1"/>
  <c r="X617" i="2"/>
  <c r="Y617" i="2" s="1"/>
  <c r="R617" i="2"/>
  <c r="S617" i="2" s="1"/>
  <c r="U616" i="2"/>
  <c r="V616" i="2" s="1"/>
  <c r="AG616" i="2"/>
  <c r="AH616" i="2" s="1"/>
  <c r="AD616" i="2"/>
  <c r="AE616" i="2" s="1"/>
  <c r="X616" i="2"/>
  <c r="Y616" i="2" s="1"/>
  <c r="R616" i="2"/>
  <c r="S616" i="2" s="1"/>
  <c r="AA616" i="2"/>
  <c r="AB616" i="2" s="1"/>
  <c r="U615" i="2"/>
  <c r="V615" i="2" s="1"/>
  <c r="R615" i="2"/>
  <c r="S615" i="2" s="1"/>
  <c r="AG615" i="2"/>
  <c r="AH615" i="2" s="1"/>
  <c r="AD615" i="2"/>
  <c r="AE615" i="2" s="1"/>
  <c r="AA615" i="2"/>
  <c r="AB615" i="2" s="1"/>
  <c r="X615" i="2"/>
  <c r="Y615" i="2" s="1"/>
  <c r="U614" i="2"/>
  <c r="V614" i="2" s="1"/>
  <c r="R614" i="2"/>
  <c r="S614" i="2" s="1"/>
  <c r="AG614" i="2"/>
  <c r="AH614" i="2" s="1"/>
  <c r="AD614" i="2"/>
  <c r="AE614" i="2" s="1"/>
  <c r="AA614" i="2"/>
  <c r="AB614" i="2" s="1"/>
  <c r="X614" i="2"/>
  <c r="Y614" i="2" s="1"/>
  <c r="AG613" i="2"/>
  <c r="AH613" i="2" s="1"/>
  <c r="AD613" i="2"/>
  <c r="AE613" i="2" s="1"/>
  <c r="AA613" i="2"/>
  <c r="AB613" i="2" s="1"/>
  <c r="X613" i="2"/>
  <c r="Y613" i="2" s="1"/>
  <c r="U613" i="2"/>
  <c r="V613" i="2" s="1"/>
  <c r="R613" i="2"/>
  <c r="S613" i="2" s="1"/>
  <c r="AG612" i="2"/>
  <c r="AH612" i="2" s="1"/>
  <c r="AD612" i="2"/>
  <c r="AE612" i="2" s="1"/>
  <c r="AA612" i="2"/>
  <c r="AB612" i="2" s="1"/>
  <c r="X612" i="2"/>
  <c r="Y612" i="2" s="1"/>
  <c r="U612" i="2"/>
  <c r="V612" i="2" s="1"/>
  <c r="R612" i="2"/>
  <c r="S612" i="2" s="1"/>
  <c r="R611" i="2"/>
  <c r="S611" i="2" s="1"/>
  <c r="AG611" i="2"/>
  <c r="AH611" i="2" s="1"/>
  <c r="AD611" i="2"/>
  <c r="AE611" i="2" s="1"/>
  <c r="AA611" i="2"/>
  <c r="AB611" i="2" s="1"/>
  <c r="X611" i="2"/>
  <c r="Y611" i="2" s="1"/>
  <c r="U611" i="2"/>
  <c r="V611" i="2" s="1"/>
  <c r="X376" i="2"/>
  <c r="Y376" i="2" s="1"/>
  <c r="U376" i="2"/>
  <c r="V376" i="2" s="1"/>
  <c r="R375" i="2"/>
  <c r="S375" i="2" s="1"/>
  <c r="AG375" i="2"/>
  <c r="AH375" i="2" s="1"/>
  <c r="AD375" i="2"/>
  <c r="AE375" i="2" s="1"/>
  <c r="AA375" i="2"/>
  <c r="AB375" i="2" s="1"/>
  <c r="X375" i="2"/>
  <c r="Y375" i="2" s="1"/>
  <c r="U375" i="2"/>
  <c r="V375" i="2" s="1"/>
  <c r="U374" i="2"/>
  <c r="V374" i="2" s="1"/>
  <c r="R374" i="2"/>
  <c r="S374" i="2" s="1"/>
  <c r="AG374" i="2"/>
  <c r="AH374" i="2" s="1"/>
  <c r="AA374" i="2"/>
  <c r="AB374" i="2" s="1"/>
  <c r="X374" i="2"/>
  <c r="Y374" i="2" s="1"/>
  <c r="AD374" i="2"/>
  <c r="AE374" i="2" s="1"/>
  <c r="AG373" i="2"/>
  <c r="AH373" i="2" s="1"/>
  <c r="AA373" i="2"/>
  <c r="AB373" i="2" s="1"/>
  <c r="AD373" i="2"/>
  <c r="AE373" i="2" s="1"/>
  <c r="X373" i="2"/>
  <c r="Y373" i="2" s="1"/>
  <c r="X360" i="2"/>
  <c r="Y360" i="2" s="1"/>
  <c r="AD360" i="2"/>
  <c r="AE360" i="2" s="1"/>
  <c r="U360" i="2"/>
  <c r="V360" i="2" s="1"/>
  <c r="R360" i="2"/>
  <c r="S360" i="2" s="1"/>
  <c r="AI360" i="2" s="1" a="1"/>
  <c r="AI360" i="2" s="1"/>
  <c r="R359" i="2"/>
  <c r="S359" i="2" s="1"/>
  <c r="U359" i="2"/>
  <c r="V359" i="2" s="1"/>
  <c r="AG359" i="2"/>
  <c r="AH359" i="2" s="1"/>
  <c r="AA359" i="2"/>
  <c r="AB359" i="2" s="1"/>
  <c r="AD359" i="2"/>
  <c r="AE359" i="2" s="1"/>
  <c r="X359" i="2"/>
  <c r="Y359" i="2" s="1"/>
  <c r="AG358" i="2"/>
  <c r="AH358" i="2" s="1"/>
  <c r="AA358" i="2"/>
  <c r="AB358" i="2" s="1"/>
  <c r="AD358" i="2"/>
  <c r="AE358" i="2" s="1"/>
  <c r="X358" i="2"/>
  <c r="Y358" i="2" s="1"/>
  <c r="U358" i="2"/>
  <c r="V358" i="2" s="1"/>
  <c r="R358" i="2"/>
  <c r="S358" i="2" s="1"/>
  <c r="R357" i="2"/>
  <c r="S357" i="2" s="1"/>
  <c r="AG357" i="2"/>
  <c r="AH357" i="2" s="1"/>
  <c r="AA357" i="2"/>
  <c r="AB357" i="2" s="1"/>
  <c r="AD357" i="2"/>
  <c r="AE357" i="2" s="1"/>
  <c r="X357" i="2"/>
  <c r="Y357" i="2" s="1"/>
  <c r="U357" i="2"/>
  <c r="V357" i="2" s="1"/>
  <c r="R356" i="2"/>
  <c r="S356" i="2" s="1"/>
  <c r="AA356" i="2"/>
  <c r="AB356" i="2" s="1"/>
  <c r="AG356" i="2"/>
  <c r="AH356" i="2" s="1"/>
  <c r="AD356" i="2"/>
  <c r="AE356" i="2" s="1"/>
  <c r="X356" i="2"/>
  <c r="Y356" i="2" s="1"/>
  <c r="U356" i="2"/>
  <c r="V356" i="2" s="1"/>
  <c r="AA355" i="2"/>
  <c r="AB355" i="2" s="1"/>
  <c r="AD355" i="2"/>
  <c r="AE355" i="2" s="1"/>
  <c r="X355" i="2"/>
  <c r="Y355" i="2" s="1"/>
  <c r="U355" i="2"/>
  <c r="V355" i="2" s="1"/>
  <c r="R355" i="2"/>
  <c r="S355" i="2" s="1"/>
  <c r="AG355" i="2"/>
  <c r="AH355" i="2" s="1"/>
  <c r="AA354" i="2"/>
  <c r="AB354" i="2" s="1"/>
  <c r="AG354" i="2"/>
  <c r="AH354" i="2" s="1"/>
  <c r="X354" i="2"/>
  <c r="Y354" i="2" s="1"/>
  <c r="U354" i="2"/>
  <c r="V354" i="2" s="1"/>
  <c r="R354" i="2"/>
  <c r="S354" i="2" s="1"/>
  <c r="AD354" i="2"/>
  <c r="AE354" i="2" s="1"/>
  <c r="AA353" i="2"/>
  <c r="AB353" i="2" s="1"/>
  <c r="AG353" i="2"/>
  <c r="AH353" i="2" s="1"/>
  <c r="AD353" i="2"/>
  <c r="AE353" i="2" s="1"/>
  <c r="U353" i="2"/>
  <c r="V353" i="2" s="1"/>
  <c r="R353" i="2"/>
  <c r="S353" i="2" s="1"/>
  <c r="X353" i="2"/>
  <c r="Y353" i="2" s="1"/>
  <c r="R352" i="2"/>
  <c r="S352" i="2" s="1"/>
  <c r="U352" i="2"/>
  <c r="V352" i="2" s="1"/>
  <c r="AG352" i="2"/>
  <c r="AH352" i="2" s="1"/>
  <c r="AA352" i="2"/>
  <c r="AB352" i="2" s="1"/>
  <c r="AD352" i="2"/>
  <c r="AE352" i="2" s="1"/>
  <c r="X352" i="2"/>
  <c r="Y352" i="2" s="1"/>
  <c r="AG351" i="2"/>
  <c r="AH351" i="2" s="1"/>
  <c r="R351" i="2"/>
  <c r="S351" i="2" s="1"/>
  <c r="U351" i="2"/>
  <c r="V351" i="2" s="1"/>
  <c r="X351" i="2"/>
  <c r="Y351" i="2" s="1"/>
  <c r="AD351" i="2"/>
  <c r="AE351" i="2" s="1"/>
  <c r="AA351" i="2"/>
  <c r="AB351" i="2" s="1"/>
  <c r="AG350" i="2"/>
  <c r="AH350" i="2" s="1"/>
  <c r="AA350" i="2"/>
  <c r="AB350" i="2" s="1"/>
  <c r="AD350" i="2"/>
  <c r="AE350" i="2" s="1"/>
  <c r="X350" i="2"/>
  <c r="Y350" i="2" s="1"/>
  <c r="U350" i="2"/>
  <c r="V350" i="2" s="1"/>
  <c r="R350" i="2"/>
  <c r="S350" i="2" s="1"/>
  <c r="AD349" i="2"/>
  <c r="AE349" i="2" s="1"/>
  <c r="AG349" i="2"/>
  <c r="AH349" i="2" s="1"/>
  <c r="AA349" i="2"/>
  <c r="AB349" i="2" s="1"/>
  <c r="R349" i="2"/>
  <c r="S349" i="2" s="1"/>
  <c r="X349" i="2"/>
  <c r="Y349" i="2" s="1"/>
  <c r="U349" i="2"/>
  <c r="V349" i="2" s="1"/>
  <c r="U348" i="2"/>
  <c r="V348" i="2" s="1"/>
  <c r="AA348" i="2"/>
  <c r="AB348" i="2" s="1"/>
  <c r="AG348" i="2"/>
  <c r="AH348" i="2" s="1"/>
  <c r="AD348" i="2"/>
  <c r="AE348" i="2" s="1"/>
  <c r="X348" i="2"/>
  <c r="Y348" i="2" s="1"/>
  <c r="R348" i="2"/>
  <c r="S348" i="2" s="1"/>
  <c r="AG347" i="2"/>
  <c r="AH347" i="2" s="1"/>
  <c r="AA347" i="2"/>
  <c r="AB347" i="2" s="1"/>
  <c r="AD347" i="2"/>
  <c r="AE347" i="2" s="1"/>
  <c r="X347" i="2"/>
  <c r="Y347" i="2" s="1"/>
  <c r="U347" i="2"/>
  <c r="V347" i="2" s="1"/>
  <c r="R347" i="2"/>
  <c r="S347" i="2" s="1"/>
  <c r="R346" i="2"/>
  <c r="S346" i="2" s="1"/>
  <c r="X346" i="2"/>
  <c r="Y346" i="2" s="1"/>
  <c r="AD346" i="2"/>
  <c r="AE346" i="2" s="1"/>
  <c r="AA346" i="2"/>
  <c r="AB346" i="2" s="1"/>
  <c r="AG346" i="2"/>
  <c r="AH346" i="2" s="1"/>
  <c r="U346" i="2"/>
  <c r="V346" i="2" s="1"/>
  <c r="AG108" i="2"/>
  <c r="AH108" i="2" s="1"/>
  <c r="AA108" i="2"/>
  <c r="AB108" i="2" s="1"/>
  <c r="AD108" i="2"/>
  <c r="AE108" i="2" s="1"/>
  <c r="X108" i="2"/>
  <c r="Y108" i="2" s="1"/>
  <c r="U108" i="2"/>
  <c r="V108" i="2" s="1"/>
  <c r="R108" i="2"/>
  <c r="S108" i="2" s="1"/>
  <c r="X107" i="2"/>
  <c r="Y107" i="2" s="1"/>
  <c r="AA107" i="2"/>
  <c r="AB107" i="2" s="1"/>
  <c r="AG107" i="2"/>
  <c r="AH107" i="2" s="1"/>
  <c r="AD107" i="2"/>
  <c r="AE107" i="2" s="1"/>
  <c r="R107" i="2"/>
  <c r="S107" i="2" s="1"/>
  <c r="U107" i="2"/>
  <c r="V107" i="2" s="1"/>
  <c r="X106" i="2"/>
  <c r="Y106" i="2" s="1"/>
  <c r="AD106" i="2"/>
  <c r="AE106" i="2" s="1"/>
  <c r="AA106" i="2"/>
  <c r="AB106" i="2" s="1"/>
  <c r="U106" i="2"/>
  <c r="V106" i="2" s="1"/>
  <c r="AG106" i="2"/>
  <c r="AH106" i="2" s="1"/>
  <c r="R106" i="2"/>
  <c r="S106" i="2" s="1"/>
  <c r="AD105" i="2"/>
  <c r="AE105" i="2" s="1"/>
  <c r="U105" i="2"/>
  <c r="V105" i="2" s="1"/>
  <c r="AA105" i="2"/>
  <c r="AB105" i="2" s="1"/>
  <c r="AG105" i="2"/>
  <c r="AH105" i="2" s="1"/>
  <c r="X105" i="2"/>
  <c r="Y105" i="2" s="1"/>
  <c r="R105" i="2"/>
  <c r="S105" i="2" s="1"/>
  <c r="AG104" i="2"/>
  <c r="AH104" i="2" s="1"/>
  <c r="AA104" i="2"/>
  <c r="AB104" i="2" s="1"/>
  <c r="AD104" i="2"/>
  <c r="AE104" i="2" s="1"/>
  <c r="X104" i="2"/>
  <c r="Y104" i="2" s="1"/>
  <c r="U104" i="2"/>
  <c r="V104" i="2" s="1"/>
  <c r="R104" i="2"/>
  <c r="S104" i="2" s="1"/>
  <c r="R103" i="2"/>
  <c r="S103" i="2" s="1"/>
  <c r="AA103" i="2"/>
  <c r="AB103" i="2" s="1"/>
  <c r="AG103" i="2"/>
  <c r="AH103" i="2" s="1"/>
  <c r="AD103" i="2"/>
  <c r="AE103" i="2" s="1"/>
  <c r="X103" i="2"/>
  <c r="Y103" i="2" s="1"/>
  <c r="U103" i="2"/>
  <c r="V103" i="2" s="1"/>
  <c r="U1019" i="2"/>
  <c r="V1019" i="2" s="1"/>
  <c r="R1019" i="2"/>
  <c r="S1019" i="2" s="1"/>
  <c r="AG1019" i="2"/>
  <c r="AH1019" i="2" s="1"/>
  <c r="AD1019" i="2"/>
  <c r="AE1019" i="2" s="1"/>
  <c r="X1019" i="2"/>
  <c r="Y1019" i="2" s="1"/>
  <c r="AA1019" i="2"/>
  <c r="AB1019" i="2" s="1"/>
  <c r="U1018" i="2"/>
  <c r="V1018" i="2" s="1"/>
  <c r="R1018" i="2"/>
  <c r="S1018" i="2" s="1"/>
  <c r="AA1018" i="2"/>
  <c r="AB1018" i="2" s="1"/>
  <c r="AG1018" i="2"/>
  <c r="AH1018" i="2" s="1"/>
  <c r="AD1018" i="2"/>
  <c r="AE1018" i="2" s="1"/>
  <c r="X1018" i="2"/>
  <c r="Y1018" i="2" s="1"/>
  <c r="U1017" i="2"/>
  <c r="V1017" i="2" s="1"/>
  <c r="R1017" i="2"/>
  <c r="S1017" i="2" s="1"/>
  <c r="AG1017" i="2"/>
  <c r="AH1017" i="2" s="1"/>
  <c r="AD1017" i="2"/>
  <c r="AE1017" i="2" s="1"/>
  <c r="AA1017" i="2"/>
  <c r="AB1017" i="2" s="1"/>
  <c r="X1017" i="2"/>
  <c r="Y1017" i="2" s="1"/>
  <c r="R1016" i="2"/>
  <c r="S1016" i="2" s="1"/>
  <c r="X1016" i="2"/>
  <c r="Y1016" i="2" s="1"/>
  <c r="AA1016" i="2"/>
  <c r="AB1016" i="2" s="1"/>
  <c r="AD1016" i="2"/>
  <c r="AE1016" i="2" s="1"/>
  <c r="AG1016" i="2"/>
  <c r="AH1016" i="2" s="1"/>
  <c r="U1016" i="2"/>
  <c r="V1016" i="2" s="1"/>
  <c r="X1015" i="2"/>
  <c r="Y1015" i="2" s="1"/>
  <c r="U1015" i="2"/>
  <c r="V1015" i="2" s="1"/>
  <c r="R1015" i="2"/>
  <c r="S1015" i="2" s="1"/>
  <c r="AA1015" i="2"/>
  <c r="AB1015" i="2" s="1"/>
  <c r="AG1015" i="2"/>
  <c r="AH1015" i="2" s="1"/>
  <c r="AD1015" i="2"/>
  <c r="AE1015" i="2" s="1"/>
  <c r="AG1014" i="2"/>
  <c r="AH1014" i="2" s="1"/>
  <c r="AD1014" i="2"/>
  <c r="AE1014" i="2" s="1"/>
  <c r="AA1014" i="2"/>
  <c r="AB1014" i="2" s="1"/>
  <c r="X1014" i="2"/>
  <c r="Y1014" i="2" s="1"/>
  <c r="U1014" i="2"/>
  <c r="V1014" i="2" s="1"/>
  <c r="R1014" i="2"/>
  <c r="S1014" i="2" s="1"/>
  <c r="AA1013" i="2"/>
  <c r="AB1013" i="2" s="1"/>
  <c r="AG1013" i="2"/>
  <c r="AH1013" i="2" s="1"/>
  <c r="AD1013" i="2"/>
  <c r="AE1013" i="2" s="1"/>
  <c r="R1013" i="2"/>
  <c r="S1013" i="2" s="1"/>
  <c r="U1013" i="2"/>
  <c r="V1013" i="2" s="1"/>
  <c r="X1013" i="2"/>
  <c r="Y1013" i="2" s="1"/>
  <c r="AD1012" i="2"/>
  <c r="AE1012" i="2" s="1"/>
  <c r="AG1012" i="2"/>
  <c r="AH1012" i="2" s="1"/>
  <c r="R1012" i="2"/>
  <c r="S1012" i="2" s="1"/>
  <c r="AI1012" i="2" s="1" a="1"/>
  <c r="AI1012" i="2" s="1"/>
  <c r="X1012" i="2"/>
  <c r="Y1012" i="2" s="1"/>
  <c r="U1012" i="2"/>
  <c r="V1012" i="2" s="1"/>
  <c r="AA1012" i="2"/>
  <c r="AB1012" i="2" s="1"/>
  <c r="AG1011" i="2"/>
  <c r="AH1011" i="2" s="1"/>
  <c r="AD1011" i="2"/>
  <c r="AE1011" i="2" s="1"/>
  <c r="AA1011" i="2"/>
  <c r="AB1011" i="2" s="1"/>
  <c r="X1011" i="2"/>
  <c r="Y1011" i="2" s="1"/>
  <c r="U1011" i="2"/>
  <c r="V1011" i="2" s="1"/>
  <c r="R1011" i="2"/>
  <c r="S1011" i="2" s="1"/>
  <c r="AG751" i="2"/>
  <c r="AH751" i="2" s="1"/>
  <c r="AJ751" i="2" s="1" a="1"/>
  <c r="AJ751" i="2" s="1"/>
  <c r="R751" i="2"/>
  <c r="S751" i="2" s="1"/>
  <c r="U751" i="2"/>
  <c r="V751" i="2" s="1"/>
  <c r="X751" i="2"/>
  <c r="Y751" i="2" s="1"/>
  <c r="AA751" i="2"/>
  <c r="AB751" i="2" s="1"/>
  <c r="AD751" i="2"/>
  <c r="AE751" i="2" s="1"/>
  <c r="AG750" i="2"/>
  <c r="AH750" i="2" s="1"/>
  <c r="AA750" i="2"/>
  <c r="AB750" i="2" s="1"/>
  <c r="U750" i="2"/>
  <c r="V750" i="2" s="1"/>
  <c r="AD750" i="2"/>
  <c r="AE750" i="2" s="1"/>
  <c r="X750" i="2"/>
  <c r="Y750" i="2" s="1"/>
  <c r="R750" i="2"/>
  <c r="S750" i="2" s="1"/>
  <c r="X749" i="2"/>
  <c r="Y749" i="2" s="1"/>
  <c r="R749" i="2"/>
  <c r="S749" i="2" s="1"/>
  <c r="U749" i="2"/>
  <c r="V749" i="2" s="1"/>
  <c r="AA749" i="2"/>
  <c r="AB749" i="2" s="1"/>
  <c r="AG749" i="2"/>
  <c r="AH749" i="2" s="1"/>
  <c r="AD749" i="2"/>
  <c r="AE749" i="2" s="1"/>
  <c r="AA748" i="2"/>
  <c r="AB748" i="2" s="1"/>
  <c r="AG748" i="2"/>
  <c r="AH748" i="2" s="1"/>
  <c r="U748" i="2"/>
  <c r="V748" i="2" s="1"/>
  <c r="X748" i="2"/>
  <c r="Y748" i="2" s="1"/>
  <c r="AD748" i="2"/>
  <c r="AE748" i="2" s="1"/>
  <c r="R748" i="2"/>
  <c r="S748" i="2" s="1"/>
  <c r="R747" i="2"/>
  <c r="S747" i="2" s="1"/>
  <c r="AG747" i="2"/>
  <c r="AH747" i="2" s="1"/>
  <c r="X747" i="2"/>
  <c r="Y747" i="2" s="1"/>
  <c r="U747" i="2"/>
  <c r="V747" i="2" s="1"/>
  <c r="AA747" i="2"/>
  <c r="AB747" i="2" s="1"/>
  <c r="AD747" i="2"/>
  <c r="AE747" i="2" s="1"/>
  <c r="R299" i="2"/>
  <c r="S299" i="2" s="1"/>
  <c r="X299" i="2"/>
  <c r="Y299" i="2" s="1"/>
  <c r="AA299" i="2"/>
  <c r="AB299" i="2" s="1"/>
  <c r="AD299" i="2"/>
  <c r="AE299" i="2" s="1"/>
  <c r="U299" i="2"/>
  <c r="V299" i="2" s="1"/>
  <c r="AG299" i="2"/>
  <c r="AH299" i="2" s="1"/>
  <c r="AD298" i="2"/>
  <c r="AE298" i="2" s="1"/>
  <c r="R298" i="2"/>
  <c r="S298" i="2" s="1"/>
  <c r="U298" i="2"/>
  <c r="V298" i="2" s="1"/>
  <c r="X298" i="2"/>
  <c r="Y298" i="2" s="1"/>
  <c r="AA298" i="2"/>
  <c r="AB298" i="2" s="1"/>
  <c r="AG298" i="2"/>
  <c r="AH298" i="2" s="1"/>
  <c r="AG297" i="2"/>
  <c r="AH297" i="2" s="1"/>
  <c r="AA297" i="2"/>
  <c r="AB297" i="2" s="1"/>
  <c r="AD297" i="2"/>
  <c r="AE297" i="2" s="1"/>
  <c r="R297" i="2"/>
  <c r="S297" i="2" s="1"/>
  <c r="U297" i="2"/>
  <c r="V297" i="2" s="1"/>
  <c r="X297" i="2"/>
  <c r="Y297" i="2" s="1"/>
  <c r="R296" i="2"/>
  <c r="S296" i="2" s="1"/>
  <c r="AG296" i="2"/>
  <c r="AH296" i="2" s="1"/>
  <c r="AA296" i="2"/>
  <c r="AB296" i="2" s="1"/>
  <c r="AD296" i="2"/>
  <c r="AE296" i="2" s="1"/>
  <c r="X296" i="2"/>
  <c r="Y296" i="2" s="1"/>
  <c r="U296" i="2"/>
  <c r="V296" i="2" s="1"/>
  <c r="AD250" i="2"/>
  <c r="AE250" i="2" s="1"/>
  <c r="X250" i="2"/>
  <c r="Y250" i="2" s="1"/>
  <c r="U250" i="2"/>
  <c r="V250" i="2" s="1"/>
  <c r="R250" i="2"/>
  <c r="S250" i="2" s="1"/>
  <c r="AI250" i="2" s="1" a="1"/>
  <c r="AI250" i="2" s="1"/>
  <c r="AA250" i="2"/>
  <c r="AB250" i="2" s="1"/>
  <c r="AG250" i="2"/>
  <c r="AH250" i="2" s="1"/>
  <c r="AA249" i="2"/>
  <c r="AB249" i="2" s="1"/>
  <c r="AG249" i="2"/>
  <c r="AH249" i="2" s="1"/>
  <c r="R249" i="2"/>
  <c r="S249" i="2" s="1"/>
  <c r="AI249" i="2" s="1" a="1"/>
  <c r="AI249" i="2" s="1"/>
  <c r="U249" i="2"/>
  <c r="V249" i="2" s="1"/>
  <c r="X249" i="2"/>
  <c r="Y249" i="2" s="1"/>
  <c r="AD249" i="2"/>
  <c r="AE249" i="2" s="1"/>
  <c r="AG248" i="2"/>
  <c r="AH248" i="2" s="1"/>
  <c r="AA248" i="2"/>
  <c r="AB248" i="2" s="1"/>
  <c r="AD248" i="2"/>
  <c r="AE248" i="2" s="1"/>
  <c r="U248" i="2"/>
  <c r="V248" i="2" s="1"/>
  <c r="X248" i="2"/>
  <c r="Y248" i="2" s="1"/>
  <c r="R248" i="2"/>
  <c r="S248" i="2" s="1"/>
  <c r="R247" i="2"/>
  <c r="S247" i="2" s="1"/>
  <c r="AG247" i="2"/>
  <c r="AH247" i="2" s="1"/>
  <c r="AA247" i="2"/>
  <c r="AB247" i="2" s="1"/>
  <c r="AD247" i="2"/>
  <c r="AE247" i="2" s="1"/>
  <c r="X247" i="2"/>
  <c r="Y247" i="2" s="1"/>
  <c r="U247" i="2"/>
  <c r="V247" i="2" s="1"/>
  <c r="AG246" i="2"/>
  <c r="AH246" i="2" s="1"/>
  <c r="AA246" i="2"/>
  <c r="AB246" i="2" s="1"/>
  <c r="AD246" i="2"/>
  <c r="AE246" i="2" s="1"/>
  <c r="X246" i="2"/>
  <c r="Y246" i="2" s="1"/>
  <c r="U246" i="2"/>
  <c r="V246" i="2" s="1"/>
  <c r="R246" i="2"/>
  <c r="S246" i="2" s="1"/>
  <c r="AI246" i="2" s="1" a="1"/>
  <c r="AI246" i="2" s="1"/>
  <c r="AA245" i="2"/>
  <c r="AB245" i="2" s="1"/>
  <c r="AG245" i="2"/>
  <c r="AH245" i="2" s="1"/>
  <c r="R245" i="2"/>
  <c r="S245" i="2" s="1"/>
  <c r="U245" i="2"/>
  <c r="V245" i="2" s="1"/>
  <c r="X245" i="2"/>
  <c r="Y245" i="2" s="1"/>
  <c r="AD245" i="2"/>
  <c r="AE245" i="2" s="1"/>
  <c r="AG244" i="2"/>
  <c r="AH244" i="2" s="1"/>
  <c r="AD244" i="2"/>
  <c r="AE244" i="2" s="1"/>
  <c r="X244" i="2"/>
  <c r="Y244" i="2" s="1"/>
  <c r="U244" i="2"/>
  <c r="V244" i="2" s="1"/>
  <c r="AA244" i="2"/>
  <c r="AB244" i="2" s="1"/>
  <c r="R244" i="2"/>
  <c r="S244" i="2" s="1"/>
  <c r="R243" i="2"/>
  <c r="S243" i="2" s="1"/>
  <c r="U243" i="2"/>
  <c r="V243" i="2" s="1"/>
  <c r="X243" i="2"/>
  <c r="Y243" i="2" s="1"/>
  <c r="AD243" i="2"/>
  <c r="AE243" i="2" s="1"/>
  <c r="AA243" i="2"/>
  <c r="AB243" i="2" s="1"/>
  <c r="AG243" i="2"/>
  <c r="AH243" i="2" s="1"/>
  <c r="U242" i="2"/>
  <c r="V242" i="2" s="1"/>
  <c r="R242" i="2"/>
  <c r="S242" i="2" s="1"/>
  <c r="X242" i="2"/>
  <c r="Y242" i="2" s="1"/>
  <c r="AD242" i="2"/>
  <c r="AE242" i="2" s="1"/>
  <c r="AA242" i="2"/>
  <c r="AB242" i="2" s="1"/>
  <c r="AG242" i="2"/>
  <c r="AH242" i="2" s="1"/>
  <c r="U241" i="2"/>
  <c r="V241" i="2" s="1"/>
  <c r="AG241" i="2"/>
  <c r="AH241" i="2" s="1"/>
  <c r="AA241" i="2"/>
  <c r="AB241" i="2" s="1"/>
  <c r="AD241" i="2"/>
  <c r="AE241" i="2" s="1"/>
  <c r="X241" i="2"/>
  <c r="Y241" i="2" s="1"/>
  <c r="R241" i="2"/>
  <c r="S241" i="2" s="1"/>
  <c r="X240" i="2"/>
  <c r="Y240" i="2" s="1"/>
  <c r="R240" i="2"/>
  <c r="S240" i="2" s="1"/>
  <c r="U240" i="2"/>
  <c r="V240" i="2" s="1"/>
  <c r="AD240" i="2"/>
  <c r="AE240" i="2" s="1"/>
  <c r="AG240" i="2"/>
  <c r="AH240" i="2" s="1"/>
  <c r="AA240" i="2"/>
  <c r="AB240" i="2" s="1"/>
  <c r="U239" i="2"/>
  <c r="V239" i="2" s="1"/>
  <c r="R239" i="2"/>
  <c r="S239" i="2" s="1"/>
  <c r="AA239" i="2"/>
  <c r="AB239" i="2" s="1"/>
  <c r="AG239" i="2"/>
  <c r="AH239" i="2" s="1"/>
  <c r="AD239" i="2"/>
  <c r="AE239" i="2" s="1"/>
  <c r="X239" i="2"/>
  <c r="Y239" i="2" s="1"/>
  <c r="U238" i="2"/>
  <c r="V238" i="2" s="1"/>
  <c r="R238" i="2"/>
  <c r="S238" i="2" s="1"/>
  <c r="AG238" i="2"/>
  <c r="AH238" i="2" s="1"/>
  <c r="AD238" i="2"/>
  <c r="AE238" i="2" s="1"/>
  <c r="AA238" i="2"/>
  <c r="AB238" i="2" s="1"/>
  <c r="X238" i="2"/>
  <c r="Y238" i="2" s="1"/>
  <c r="U237" i="2"/>
  <c r="V237" i="2" s="1"/>
  <c r="R237" i="2"/>
  <c r="S237" i="2" s="1"/>
  <c r="AG237" i="2"/>
  <c r="AH237" i="2" s="1"/>
  <c r="AA237" i="2"/>
  <c r="AB237" i="2" s="1"/>
  <c r="AD237" i="2"/>
  <c r="AE237" i="2" s="1"/>
  <c r="X237" i="2"/>
  <c r="Y237" i="2" s="1"/>
  <c r="AG236" i="2"/>
  <c r="AH236" i="2" s="1"/>
  <c r="AA236" i="2"/>
  <c r="AB236" i="2" s="1"/>
  <c r="AD236" i="2"/>
  <c r="AE236" i="2" s="1"/>
  <c r="X236" i="2"/>
  <c r="Y236" i="2" s="1"/>
  <c r="U236" i="2"/>
  <c r="V236" i="2" s="1"/>
  <c r="R236" i="2"/>
  <c r="S236" i="2" s="1"/>
  <c r="AD235" i="2"/>
  <c r="AE235" i="2" s="1"/>
  <c r="AA235" i="2"/>
  <c r="AB235" i="2" s="1"/>
  <c r="AG235" i="2"/>
  <c r="AH235" i="2" s="1"/>
  <c r="X235" i="2"/>
  <c r="Y235" i="2" s="1"/>
  <c r="U235" i="2"/>
  <c r="V235" i="2" s="1"/>
  <c r="R235" i="2"/>
  <c r="S235" i="2" s="1"/>
  <c r="AG234" i="2"/>
  <c r="AH234" i="2" s="1"/>
  <c r="AA234" i="2"/>
  <c r="AB234" i="2" s="1"/>
  <c r="AD234" i="2"/>
  <c r="AE234" i="2" s="1"/>
  <c r="X234" i="2"/>
  <c r="Y234" i="2" s="1"/>
  <c r="U234" i="2"/>
  <c r="V234" i="2" s="1"/>
  <c r="R234" i="2"/>
  <c r="S234" i="2" s="1"/>
  <c r="U233" i="2"/>
  <c r="V233" i="2" s="1"/>
  <c r="R233" i="2"/>
  <c r="S233" i="2" s="1"/>
  <c r="AG233" i="2"/>
  <c r="AH233" i="2" s="1"/>
  <c r="AA233" i="2"/>
  <c r="AB233" i="2" s="1"/>
  <c r="AD233" i="2"/>
  <c r="AE233" i="2" s="1"/>
  <c r="X233" i="2"/>
  <c r="Y233" i="2" s="1"/>
  <c r="AG232" i="2"/>
  <c r="AH232" i="2" s="1"/>
  <c r="AA232" i="2"/>
  <c r="AB232" i="2" s="1"/>
  <c r="AD232" i="2"/>
  <c r="AE232" i="2" s="1"/>
  <c r="U232" i="2"/>
  <c r="V232" i="2" s="1"/>
  <c r="X232" i="2"/>
  <c r="Y232" i="2" s="1"/>
  <c r="R232" i="2"/>
  <c r="S232" i="2" s="1"/>
  <c r="U231" i="2"/>
  <c r="V231" i="2" s="1"/>
  <c r="R231" i="2"/>
  <c r="S231" i="2" s="1"/>
  <c r="AG231" i="2"/>
  <c r="AH231" i="2" s="1"/>
  <c r="AA231" i="2"/>
  <c r="AB231" i="2" s="1"/>
  <c r="AD231" i="2"/>
  <c r="AE231" i="2" s="1"/>
  <c r="X231" i="2"/>
  <c r="Y231" i="2" s="1"/>
  <c r="AA230" i="2"/>
  <c r="AB230" i="2" s="1"/>
  <c r="AG230" i="2"/>
  <c r="AH230" i="2" s="1"/>
  <c r="AD230" i="2"/>
  <c r="AE230" i="2" s="1"/>
  <c r="X230" i="2"/>
  <c r="Y230" i="2" s="1"/>
  <c r="U230" i="2"/>
  <c r="V230" i="2" s="1"/>
  <c r="R230" i="2"/>
  <c r="S230" i="2" s="1"/>
  <c r="AD229" i="2"/>
  <c r="AE229" i="2" s="1"/>
  <c r="AG229" i="2"/>
  <c r="AH229" i="2" s="1"/>
  <c r="AA229" i="2"/>
  <c r="AB229" i="2" s="1"/>
  <c r="X229" i="2"/>
  <c r="Y229" i="2" s="1"/>
  <c r="U229" i="2"/>
  <c r="V229" i="2" s="1"/>
  <c r="R229" i="2"/>
  <c r="S229" i="2" s="1"/>
  <c r="AG228" i="2"/>
  <c r="AH228" i="2" s="1"/>
  <c r="AA228" i="2"/>
  <c r="AB228" i="2" s="1"/>
  <c r="AD228" i="2"/>
  <c r="AE228" i="2" s="1"/>
  <c r="U6" i="2"/>
  <c r="V6" i="2" s="1"/>
  <c r="R6" i="2"/>
  <c r="S6" i="2" s="1"/>
  <c r="AA5" i="2"/>
  <c r="AB5" i="2" s="1"/>
  <c r="AD5" i="2"/>
  <c r="AE5" i="2" s="1"/>
  <c r="R5" i="2"/>
  <c r="S5" i="2" s="1"/>
  <c r="X5" i="2"/>
  <c r="Y5" i="2" s="1"/>
  <c r="U5" i="2"/>
  <c r="V5" i="2" s="1"/>
  <c r="AG5" i="2"/>
  <c r="AH5" i="2" s="1"/>
  <c r="U4" i="2"/>
  <c r="V4" i="2" s="1"/>
  <c r="X4" i="2"/>
  <c r="Y4" i="2" s="1"/>
  <c r="AD4" i="2"/>
  <c r="AE4" i="2" s="1"/>
  <c r="AA4" i="2"/>
  <c r="AB4" i="2" s="1"/>
  <c r="AG4" i="2"/>
  <c r="AH4" i="2" s="1"/>
  <c r="R4" i="2"/>
  <c r="S4" i="2" s="1"/>
  <c r="AA3" i="2"/>
  <c r="AB3" i="2" s="1"/>
  <c r="AG3" i="2"/>
  <c r="AH3" i="2" s="1"/>
  <c r="AJ639" i="2" a="1"/>
  <c r="AJ639" i="2" s="1"/>
  <c r="AJ640" i="2" a="1"/>
  <c r="AJ640" i="2" s="1"/>
  <c r="AJ641" i="2" a="1"/>
  <c r="AJ641" i="2" s="1"/>
  <c r="AJ642" i="2" a="1"/>
  <c r="AJ642" i="2" s="1"/>
  <c r="AJ883" i="2" a="1"/>
  <c r="AJ883" i="2" s="1"/>
  <c r="AJ884" i="2" a="1"/>
  <c r="AJ884" i="2" s="1"/>
  <c r="AJ885" i="2" a="1"/>
  <c r="AJ885" i="2" s="1"/>
  <c r="AJ886" i="2" a="1"/>
  <c r="AJ886" i="2" s="1"/>
  <c r="AJ887" i="2" a="1"/>
  <c r="AJ887" i="2" s="1"/>
  <c r="AJ888" i="2" a="1"/>
  <c r="AJ888" i="2" s="1"/>
  <c r="AJ889" i="2" a="1"/>
  <c r="AJ889" i="2" s="1"/>
  <c r="AJ891" i="2" a="1"/>
  <c r="AJ891" i="2" s="1"/>
  <c r="AJ892" i="2" a="1"/>
  <c r="AJ892" i="2" s="1"/>
  <c r="AJ897" i="2" a="1"/>
  <c r="AJ897" i="2" s="1"/>
  <c r="AJ899" i="2" a="1"/>
  <c r="AJ899" i="2" s="1"/>
  <c r="AJ901" i="2" a="1"/>
  <c r="AJ901" i="2" s="1"/>
  <c r="AJ903" i="2" a="1"/>
  <c r="AJ903" i="2" s="1"/>
  <c r="AJ905" i="2" a="1"/>
  <c r="AJ905" i="2" s="1"/>
  <c r="AJ1009" i="2" a="1"/>
  <c r="AJ1009" i="2" s="1"/>
  <c r="AJ1023" i="2" a="1"/>
  <c r="AJ1023" i="2" s="1"/>
  <c r="AJ1065" i="2" a="1"/>
  <c r="AJ1065" i="2" s="1"/>
  <c r="AJ1067" i="2" a="1"/>
  <c r="AJ1067" i="2" s="1"/>
  <c r="AJ1069" i="2" a="1"/>
  <c r="AJ1069" i="2" s="1"/>
  <c r="AJ907" i="2" a="1"/>
  <c r="AJ907" i="2" s="1"/>
  <c r="AJ908" i="2" a="1"/>
  <c r="AJ908" i="2" s="1"/>
  <c r="AJ909" i="2" a="1"/>
  <c r="AJ909" i="2" s="1"/>
  <c r="AJ910" i="2" a="1"/>
  <c r="AJ910" i="2" s="1"/>
  <c r="AJ911" i="2" a="1"/>
  <c r="AJ911" i="2" s="1"/>
  <c r="AJ912" i="2" a="1"/>
  <c r="AJ912" i="2" s="1"/>
  <c r="AJ913" i="2" a="1"/>
  <c r="AJ913" i="2" s="1"/>
  <c r="AJ914" i="2" a="1"/>
  <c r="AJ914" i="2" s="1"/>
  <c r="AJ915" i="2" a="1"/>
  <c r="AJ915" i="2" s="1"/>
  <c r="AJ917" i="2" a="1"/>
  <c r="AJ917" i="2" s="1"/>
  <c r="AJ978" i="2" a="1"/>
  <c r="AJ978" i="2" s="1"/>
  <c r="AJ979" i="2" a="1"/>
  <c r="AJ979" i="2" s="1"/>
  <c r="AJ980" i="2" a="1"/>
  <c r="AJ980" i="2" s="1"/>
  <c r="AJ981" i="2" a="1"/>
  <c r="AJ981" i="2" s="1"/>
  <c r="AJ982" i="2" a="1"/>
  <c r="AJ982" i="2" s="1"/>
  <c r="AJ983" i="2" a="1"/>
  <c r="AJ983" i="2" s="1"/>
  <c r="AJ984" i="2" a="1"/>
  <c r="AJ984" i="2" s="1"/>
  <c r="AJ985" i="2" a="1"/>
  <c r="AJ985" i="2" s="1"/>
  <c r="AJ986" i="2" a="1"/>
  <c r="AJ986" i="2" s="1"/>
  <c r="AJ1003" i="2" a="1"/>
  <c r="AJ1003" i="2" s="1"/>
  <c r="AJ1004" i="2" a="1"/>
  <c r="AJ1004" i="2" s="1"/>
  <c r="AJ1005" i="2" a="1"/>
  <c r="AJ1005" i="2" s="1"/>
  <c r="AJ1010" i="2" a="1"/>
  <c r="AJ1010" i="2" s="1"/>
  <c r="AJ1021" i="2" a="1"/>
  <c r="AJ1021" i="2" s="1"/>
  <c r="AJ1068" i="2" a="1"/>
  <c r="AJ1068" i="2" s="1"/>
  <c r="AJ890" i="2" a="1"/>
  <c r="AJ890" i="2" s="1"/>
  <c r="AJ893" i="2" a="1"/>
  <c r="AJ893" i="2" s="1"/>
  <c r="AJ894" i="2" a="1"/>
  <c r="AJ894" i="2" s="1"/>
  <c r="AJ895" i="2" a="1"/>
  <c r="AJ895" i="2" s="1"/>
  <c r="AJ896" i="2" a="1"/>
  <c r="AJ896" i="2" s="1"/>
  <c r="AJ898" i="2" a="1"/>
  <c r="AJ898" i="2" s="1"/>
  <c r="AJ900" i="2" a="1"/>
  <c r="AJ900" i="2" s="1"/>
  <c r="AJ902" i="2" a="1"/>
  <c r="AJ902" i="2" s="1"/>
  <c r="AJ904" i="2" a="1"/>
  <c r="AJ904" i="2" s="1"/>
  <c r="AJ906" i="2" a="1"/>
  <c r="AJ906" i="2" s="1"/>
  <c r="AJ1006" i="2" a="1"/>
  <c r="AJ1006" i="2" s="1"/>
  <c r="AJ1007" i="2" a="1"/>
  <c r="AJ1007" i="2" s="1"/>
  <c r="AJ1008" i="2" a="1"/>
  <c r="AJ1008" i="2" s="1"/>
  <c r="AJ1020" i="2" a="1"/>
  <c r="AJ1020" i="2" s="1"/>
  <c r="AJ1022" i="2" a="1"/>
  <c r="AJ1022" i="2" s="1"/>
  <c r="AJ1070" i="2" a="1"/>
  <c r="AJ1070" i="2" s="1"/>
  <c r="R435" i="2"/>
  <c r="S435" i="2"/>
  <c r="U435" i="2"/>
  <c r="V435" i="2"/>
  <c r="X435" i="2"/>
  <c r="Y435" i="2"/>
  <c r="AA435" i="2"/>
  <c r="AB435" i="2"/>
  <c r="AD435" i="2"/>
  <c r="AE435" i="2" s="1"/>
  <c r="AG435" i="2"/>
  <c r="AH435" i="2"/>
  <c r="R433" i="2"/>
  <c r="S433" i="2"/>
  <c r="AG433" i="2"/>
  <c r="AH433" i="2"/>
  <c r="AA433" i="2"/>
  <c r="AB433" i="2" s="1"/>
  <c r="AD433" i="2"/>
  <c r="AE433" i="2"/>
  <c r="U433" i="2"/>
  <c r="V433" i="2"/>
  <c r="X433" i="2"/>
  <c r="Y433" i="2" s="1"/>
  <c r="AG377" i="2"/>
  <c r="AH377" i="2"/>
  <c r="AD377" i="2"/>
  <c r="AE377" i="2"/>
  <c r="AA377" i="2"/>
  <c r="AB377" i="2" s="1"/>
  <c r="X377" i="2"/>
  <c r="Y377" i="2" s="1"/>
  <c r="R377" i="2"/>
  <c r="S377" i="2" s="1"/>
  <c r="U377" i="2"/>
  <c r="V377" i="2" s="1"/>
  <c r="R376" i="2"/>
  <c r="S376" i="2" s="1"/>
  <c r="AG376" i="2"/>
  <c r="AH376" i="2"/>
  <c r="AD376" i="2"/>
  <c r="AE376" i="2" s="1"/>
  <c r="AA376" i="2"/>
  <c r="AB376" i="2"/>
  <c r="AA345" i="2"/>
  <c r="AB345" i="2" s="1"/>
  <c r="AG345" i="2"/>
  <c r="AH345" i="2"/>
  <c r="AD345" i="2"/>
  <c r="AE345" i="2" s="1"/>
  <c r="X345" i="2"/>
  <c r="Y345" i="2"/>
  <c r="U345" i="2"/>
  <c r="V345" i="2"/>
  <c r="R345" i="2"/>
  <c r="S345" i="2"/>
  <c r="AI345" i="2" s="1" a="1"/>
  <c r="AI345" i="2" s="1"/>
  <c r="U344" i="2"/>
  <c r="V344" i="2" s="1"/>
  <c r="R344" i="2"/>
  <c r="S344" i="2" s="1"/>
  <c r="AA344" i="2"/>
  <c r="AB344" i="2"/>
  <c r="AG344" i="2"/>
  <c r="AH344" i="2" s="1"/>
  <c r="AD344" i="2"/>
  <c r="AE344" i="2" s="1"/>
  <c r="X344" i="2"/>
  <c r="Y344" i="2" s="1"/>
  <c r="U343" i="2"/>
  <c r="V343" i="2" s="1"/>
  <c r="R343" i="2"/>
  <c r="S343" i="2" s="1"/>
  <c r="AG343" i="2"/>
  <c r="AH343" i="2"/>
  <c r="AA343" i="2"/>
  <c r="AB343" i="2" s="1"/>
  <c r="AD343" i="2"/>
  <c r="AE343" i="2" s="1"/>
  <c r="X343" i="2"/>
  <c r="Y343" i="2" s="1"/>
  <c r="AG342" i="2"/>
  <c r="AH342" i="2" s="1"/>
  <c r="AA342" i="2"/>
  <c r="AB342" i="2" s="1"/>
  <c r="AD342" i="2"/>
  <c r="AE342" i="2" s="1"/>
  <c r="X342" i="2"/>
  <c r="Y342" i="2"/>
  <c r="U342" i="2"/>
  <c r="V342" i="2"/>
  <c r="R342" i="2"/>
  <c r="S342" i="2" s="1"/>
  <c r="AG341" i="2"/>
  <c r="AH341" i="2" s="1"/>
  <c r="AD341" i="2"/>
  <c r="AE341" i="2" s="1"/>
  <c r="X341" i="2"/>
  <c r="Y341" i="2"/>
  <c r="U341" i="2"/>
  <c r="V341" i="2" s="1"/>
  <c r="R341" i="2"/>
  <c r="S341" i="2" s="1"/>
  <c r="AA341" i="2"/>
  <c r="AB341" i="2"/>
  <c r="U340" i="2"/>
  <c r="V340" i="2"/>
  <c r="AG340" i="2"/>
  <c r="AH340" i="2"/>
  <c r="AD340" i="2"/>
  <c r="AE340" i="2" s="1"/>
  <c r="X340" i="2"/>
  <c r="Y340" i="2"/>
  <c r="R340" i="2"/>
  <c r="S340" i="2" s="1"/>
  <c r="AA340" i="2"/>
  <c r="AB340" i="2" s="1"/>
  <c r="AA338" i="2"/>
  <c r="AB338" i="2" s="1"/>
  <c r="R338" i="2"/>
  <c r="S338" i="2" s="1"/>
  <c r="U338" i="2"/>
  <c r="V338" i="2" s="1"/>
  <c r="X338" i="2"/>
  <c r="Y338" i="2"/>
  <c r="AD338" i="2"/>
  <c r="AE338" i="2" s="1"/>
  <c r="AG338" i="2"/>
  <c r="AH338" i="2" s="1"/>
  <c r="U1064" i="2"/>
  <c r="V1064" i="2" s="1"/>
  <c r="X1064" i="2"/>
  <c r="Y1064" i="2"/>
  <c r="R1064" i="2"/>
  <c r="S1064" i="2" s="1"/>
  <c r="AA1063" i="2"/>
  <c r="AB1063" i="2"/>
  <c r="X1063" i="2"/>
  <c r="Y1063" i="2" s="1"/>
  <c r="U1063" i="2"/>
  <c r="V1063" i="2" s="1"/>
  <c r="R1063" i="2"/>
  <c r="S1063" i="2"/>
  <c r="AG1063" i="2"/>
  <c r="AH1063" i="2"/>
  <c r="AD1063" i="2"/>
  <c r="AE1063" i="2"/>
  <c r="AG1062" i="2"/>
  <c r="AH1062" i="2" s="1"/>
  <c r="AD1062" i="2"/>
  <c r="AE1062" i="2"/>
  <c r="AA1062" i="2"/>
  <c r="AB1062" i="2" s="1"/>
  <c r="X1062" i="2"/>
  <c r="Y1062" i="2"/>
  <c r="U1062" i="2"/>
  <c r="V1062" i="2"/>
  <c r="R1062" i="2"/>
  <c r="S1062" i="2"/>
  <c r="AI1062" i="2" s="1" a="1"/>
  <c r="AI1062" i="2" s="1"/>
  <c r="AG1061" i="2"/>
  <c r="AH1061" i="2"/>
  <c r="AD1061" i="2"/>
  <c r="AE1061" i="2"/>
  <c r="X1061" i="2"/>
  <c r="Y1061" i="2"/>
  <c r="U1061" i="2"/>
  <c r="V1061" i="2" s="1"/>
  <c r="R1061" i="2"/>
  <c r="S1061" i="2" s="1"/>
  <c r="AA1061" i="2"/>
  <c r="AB1061" i="2"/>
  <c r="U1060" i="2"/>
  <c r="V1060" i="2" s="1"/>
  <c r="R1060" i="2"/>
  <c r="S1060" i="2"/>
  <c r="AD1060" i="2"/>
  <c r="AE1060" i="2" s="1"/>
  <c r="AA1060" i="2"/>
  <c r="AB1060" i="2" s="1"/>
  <c r="X1060" i="2"/>
  <c r="Y1060" i="2"/>
  <c r="AG1060" i="2"/>
  <c r="AH1060" i="2"/>
  <c r="U1059" i="2"/>
  <c r="V1059" i="2" s="1"/>
  <c r="R1059" i="2"/>
  <c r="S1059" i="2" s="1"/>
  <c r="AD1059" i="2"/>
  <c r="AE1059" i="2" s="1"/>
  <c r="AG1059" i="2"/>
  <c r="AH1059" i="2" s="1"/>
  <c r="X1059" i="2"/>
  <c r="Y1059" i="2" s="1"/>
  <c r="AA1059" i="2"/>
  <c r="AB1059" i="2" s="1"/>
  <c r="AG1058" i="2"/>
  <c r="AH1058" i="2" s="1"/>
  <c r="AD1058" i="2"/>
  <c r="AE1058" i="2"/>
  <c r="AA1058" i="2"/>
  <c r="AB1058" i="2" s="1"/>
  <c r="X1058" i="2"/>
  <c r="Y1058" i="2" s="1"/>
  <c r="U1058" i="2"/>
  <c r="V1058" i="2" s="1"/>
  <c r="R1058" i="2"/>
  <c r="S1058" i="2" s="1"/>
  <c r="AA1057" i="2"/>
  <c r="AB1057" i="2"/>
  <c r="R1057" i="2"/>
  <c r="S1057" i="2" s="1"/>
  <c r="U1057" i="2"/>
  <c r="V1057" i="2" s="1"/>
  <c r="X1057" i="2"/>
  <c r="Y1057" i="2" s="1"/>
  <c r="AD1057" i="2"/>
  <c r="AE1057" i="2"/>
  <c r="AG1057" i="2"/>
  <c r="AH1057" i="2" s="1"/>
  <c r="U1056" i="2"/>
  <c r="V1056" i="2" s="1"/>
  <c r="X1056" i="2"/>
  <c r="Y1056" i="2" s="1"/>
  <c r="AD1056" i="2"/>
  <c r="AE1056" i="2"/>
  <c r="AG1056" i="2"/>
  <c r="AH1056" i="2" s="1"/>
  <c r="AA1056" i="2"/>
  <c r="AB1056" i="2"/>
  <c r="R1056" i="2"/>
  <c r="S1056" i="2" s="1"/>
  <c r="AA1055" i="2"/>
  <c r="AB1055" i="2" s="1"/>
  <c r="X1055" i="2"/>
  <c r="Y1055" i="2" s="1"/>
  <c r="U1055" i="2"/>
  <c r="V1055" i="2"/>
  <c r="R1055" i="2"/>
  <c r="S1055" i="2" s="1"/>
  <c r="AG1055" i="2"/>
  <c r="AH1055" i="2" s="1"/>
  <c r="AD1055" i="2"/>
  <c r="AE1055" i="2"/>
  <c r="AG1054" i="2"/>
  <c r="AH1054" i="2" s="1"/>
  <c r="AD1054" i="2"/>
  <c r="AE1054" i="2" s="1"/>
  <c r="AA1054" i="2"/>
  <c r="AB1054" i="2"/>
  <c r="X1054" i="2"/>
  <c r="Y1054" i="2" s="1"/>
  <c r="U1054" i="2"/>
  <c r="V1054" i="2" s="1"/>
  <c r="R1054" i="2"/>
  <c r="S1054" i="2"/>
  <c r="AI1054" i="2" s="1" a="1"/>
  <c r="AI1054" i="2" s="1"/>
  <c r="AG1053" i="2"/>
  <c r="AH1053" i="2" s="1"/>
  <c r="AD1053" i="2"/>
  <c r="AE1053" i="2" s="1"/>
  <c r="AA1053" i="2"/>
  <c r="AB1053" i="2" s="1"/>
  <c r="X1053" i="2"/>
  <c r="Y1053" i="2" s="1"/>
  <c r="AJ1053" i="2" s="1" a="1"/>
  <c r="AJ1053" i="2" s="1"/>
  <c r="U1053" i="2"/>
  <c r="V1053" i="2"/>
  <c r="R1053" i="2"/>
  <c r="S1053" i="2"/>
  <c r="AI1053" i="2" s="1" a="1"/>
  <c r="AI1053" i="2" s="1"/>
  <c r="X1002" i="2"/>
  <c r="Y1002" i="2"/>
  <c r="U1002" i="2"/>
  <c r="V1002" i="2"/>
  <c r="R1002" i="2"/>
  <c r="S1002" i="2" s="1"/>
  <c r="AG1002" i="2"/>
  <c r="AH1002" i="2"/>
  <c r="AD1002" i="2"/>
  <c r="AE1002" i="2" s="1"/>
  <c r="AA1002" i="2"/>
  <c r="AB1002" i="2" s="1"/>
  <c r="R1001" i="2"/>
  <c r="S1001" i="2" s="1"/>
  <c r="U1001" i="2"/>
  <c r="V1001" i="2" s="1"/>
  <c r="X1001" i="2"/>
  <c r="Y1001" i="2" s="1"/>
  <c r="AA1001" i="2"/>
  <c r="AB1001" i="2" s="1"/>
  <c r="AD1001" i="2"/>
  <c r="AE1001" i="2" s="1"/>
  <c r="AG1001" i="2"/>
  <c r="AH1001" i="2"/>
  <c r="X1000" i="2"/>
  <c r="Y1000" i="2" s="1"/>
  <c r="U1000" i="2"/>
  <c r="V1000" i="2" s="1"/>
  <c r="R1000" i="2"/>
  <c r="S1000" i="2" s="1"/>
  <c r="AI1000" i="2" s="1" a="1"/>
  <c r="AI1000" i="2" s="1"/>
  <c r="AG1000" i="2"/>
  <c r="AH1000" i="2"/>
  <c r="AD1000" i="2"/>
  <c r="AE1000" i="2"/>
  <c r="AA1000" i="2"/>
  <c r="AB1000" i="2"/>
  <c r="AG999" i="2"/>
  <c r="AH999" i="2" s="1"/>
  <c r="AD999" i="2"/>
  <c r="AE999" i="2"/>
  <c r="AA999" i="2"/>
  <c r="AB999" i="2"/>
  <c r="X999" i="2"/>
  <c r="Y999" i="2" s="1"/>
  <c r="U999" i="2"/>
  <c r="V999" i="2" s="1"/>
  <c r="R999" i="2"/>
  <c r="S999" i="2"/>
  <c r="AI999" i="2" s="1" a="1"/>
  <c r="AI999" i="2" s="1"/>
  <c r="AG998" i="2"/>
  <c r="AH998" i="2"/>
  <c r="AD998" i="2"/>
  <c r="AE998" i="2" s="1"/>
  <c r="U998" i="2"/>
  <c r="V998" i="2"/>
  <c r="R998" i="2"/>
  <c r="S998" i="2" s="1"/>
  <c r="AA998" i="2"/>
  <c r="AB998" i="2"/>
  <c r="X998" i="2"/>
  <c r="Y998" i="2" s="1"/>
  <c r="U997" i="2"/>
  <c r="V997" i="2" s="1"/>
  <c r="R997" i="2"/>
  <c r="S997" i="2" s="1"/>
  <c r="AG997" i="2"/>
  <c r="AH997" i="2" s="1"/>
  <c r="AD997" i="2"/>
  <c r="AE997" i="2" s="1"/>
  <c r="AA997" i="2"/>
  <c r="AB997" i="2"/>
  <c r="X997" i="2"/>
  <c r="Y997" i="2" s="1"/>
  <c r="AG996" i="2"/>
  <c r="AH996" i="2"/>
  <c r="AD996" i="2"/>
  <c r="AE996" i="2" s="1"/>
  <c r="AA996" i="2"/>
  <c r="AB996" i="2"/>
  <c r="X996" i="2"/>
  <c r="Y996" i="2" s="1"/>
  <c r="AJ996" i="2" s="1" a="1"/>
  <c r="AJ996" i="2" s="1"/>
  <c r="U996" i="2"/>
  <c r="V996" i="2"/>
  <c r="R996" i="2"/>
  <c r="S996" i="2"/>
  <c r="AI996" i="2" s="1" a="1"/>
  <c r="AI996" i="2" s="1"/>
  <c r="AG995" i="2"/>
  <c r="AH995" i="2" s="1"/>
  <c r="AD995" i="2"/>
  <c r="AE995" i="2" s="1"/>
  <c r="AA995" i="2"/>
  <c r="AB995" i="2"/>
  <c r="U995" i="2"/>
  <c r="V995" i="2"/>
  <c r="R995" i="2"/>
  <c r="S995" i="2" s="1"/>
  <c r="AI995" i="2" s="1" a="1"/>
  <c r="AI995" i="2" s="1"/>
  <c r="X995" i="2"/>
  <c r="Y995" i="2"/>
  <c r="X994" i="2"/>
  <c r="Y994" i="2" s="1"/>
  <c r="AG994" i="2"/>
  <c r="AH994" i="2" s="1"/>
  <c r="AD994" i="2"/>
  <c r="AE994" i="2" s="1"/>
  <c r="AA994" i="2"/>
  <c r="AB994" i="2" s="1"/>
  <c r="U994" i="2"/>
  <c r="V994" i="2" s="1"/>
  <c r="R994" i="2"/>
  <c r="S994" i="2" s="1"/>
  <c r="AG993" i="2"/>
  <c r="AH993" i="2"/>
  <c r="AD993" i="2"/>
  <c r="AE993" i="2" s="1"/>
  <c r="AA993" i="2"/>
  <c r="AB993" i="2" s="1"/>
  <c r="X993" i="2"/>
  <c r="Y993" i="2" s="1"/>
  <c r="U993" i="2"/>
  <c r="V993" i="2"/>
  <c r="R993" i="2"/>
  <c r="S993" i="2" s="1"/>
  <c r="AG992" i="2"/>
  <c r="AH992" i="2" s="1"/>
  <c r="AD992" i="2"/>
  <c r="AE992" i="2" s="1"/>
  <c r="AA992" i="2"/>
  <c r="AB992" i="2"/>
  <c r="X992" i="2"/>
  <c r="Y992" i="2"/>
  <c r="U992" i="2"/>
  <c r="V992" i="2" s="1"/>
  <c r="R992" i="2"/>
  <c r="S992" i="2"/>
  <c r="AI992" i="2" s="1" a="1"/>
  <c r="AI992" i="2" s="1"/>
  <c r="AA991" i="2"/>
  <c r="AB991" i="2"/>
  <c r="U991" i="2"/>
  <c r="V991" i="2" s="1"/>
  <c r="R991" i="2"/>
  <c r="S991" i="2" s="1"/>
  <c r="X991" i="2"/>
  <c r="Y991" i="2" s="1"/>
  <c r="AG991" i="2"/>
  <c r="AH991" i="2" s="1"/>
  <c r="AD991" i="2"/>
  <c r="AE991" i="2" s="1"/>
  <c r="AD990" i="2"/>
  <c r="AE990" i="2" s="1"/>
  <c r="AG990" i="2"/>
  <c r="AH990" i="2" s="1"/>
  <c r="R990" i="2"/>
  <c r="S990" i="2"/>
  <c r="U990" i="2"/>
  <c r="V990" i="2"/>
  <c r="X990" i="2"/>
  <c r="Y990" i="2"/>
  <c r="AA990" i="2"/>
  <c r="AB990" i="2"/>
  <c r="U987" i="2"/>
  <c r="V987" i="2"/>
  <c r="R987" i="2"/>
  <c r="S987" i="2" s="1"/>
  <c r="AG977" i="2"/>
  <c r="AH977" i="2" s="1"/>
  <c r="AD977" i="2"/>
  <c r="AE977" i="2"/>
  <c r="U949" i="2"/>
  <c r="V949" i="2" s="1"/>
  <c r="R949" i="2"/>
  <c r="S949" i="2" s="1"/>
  <c r="AI949" i="2" s="1" a="1"/>
  <c r="AI949" i="2" s="1"/>
  <c r="AD948" i="2"/>
  <c r="AE948" i="2" s="1"/>
  <c r="AA948" i="2"/>
  <c r="AB948" i="2" s="1"/>
  <c r="X948" i="2"/>
  <c r="Y948" i="2"/>
  <c r="U948" i="2"/>
  <c r="V948" i="2"/>
  <c r="R948" i="2"/>
  <c r="S948" i="2" s="1"/>
  <c r="AG948" i="2"/>
  <c r="AH948" i="2" s="1"/>
  <c r="AD947" i="2"/>
  <c r="AE947" i="2" s="1"/>
  <c r="AG947" i="2"/>
  <c r="AH947" i="2" s="1"/>
  <c r="U947" i="2"/>
  <c r="V947" i="2"/>
  <c r="X947" i="2"/>
  <c r="Y947" i="2"/>
  <c r="AA947" i="2"/>
  <c r="AB947" i="2"/>
  <c r="R947" i="2"/>
  <c r="S947" i="2" s="1"/>
  <c r="AA946" i="2"/>
  <c r="AB946" i="2" s="1"/>
  <c r="AD946" i="2"/>
  <c r="AE946" i="2"/>
  <c r="AG946" i="2"/>
  <c r="AH946" i="2" s="1"/>
  <c r="U920" i="2"/>
  <c r="V920" i="2"/>
  <c r="R920" i="2"/>
  <c r="S920" i="2" s="1"/>
  <c r="X919" i="2"/>
  <c r="Y919" i="2"/>
  <c r="U919" i="2"/>
  <c r="V919" i="2" s="1"/>
  <c r="R919" i="2"/>
  <c r="S919" i="2" s="1"/>
  <c r="AD919" i="2"/>
  <c r="AE919" i="2" s="1"/>
  <c r="AG919" i="2"/>
  <c r="AH919" i="2" s="1"/>
  <c r="AA919" i="2"/>
  <c r="AB919" i="2"/>
  <c r="X918" i="2"/>
  <c r="Y918" i="2" s="1"/>
  <c r="AD918" i="2"/>
  <c r="AE918" i="2" s="1"/>
  <c r="AA918" i="2"/>
  <c r="AB918" i="2"/>
  <c r="AG918" i="2"/>
  <c r="AH918" i="2" s="1"/>
  <c r="AG779" i="2"/>
  <c r="AH779" i="2"/>
  <c r="AA779" i="2"/>
  <c r="AB779" i="2" s="1"/>
  <c r="AD779" i="2"/>
  <c r="AE779" i="2" s="1"/>
  <c r="R779" i="2"/>
  <c r="S779" i="2" s="1"/>
  <c r="U779" i="2"/>
  <c r="V779" i="2" s="1"/>
  <c r="X779" i="2"/>
  <c r="Y779" i="2" s="1"/>
  <c r="R778" i="2"/>
  <c r="S778" i="2" s="1"/>
  <c r="AD778" i="2"/>
  <c r="AE778" i="2" s="1"/>
  <c r="U778" i="2"/>
  <c r="V778" i="2"/>
  <c r="X778" i="2"/>
  <c r="Y778" i="2" s="1"/>
  <c r="AA778" i="2"/>
  <c r="AB778" i="2"/>
  <c r="AG778" i="2"/>
  <c r="AH778" i="2" s="1"/>
  <c r="X703" i="2"/>
  <c r="Y703" i="2" s="1"/>
  <c r="R703" i="2"/>
  <c r="S703" i="2" s="1"/>
  <c r="U703" i="2"/>
  <c r="V703" i="2" s="1"/>
  <c r="R702" i="2"/>
  <c r="S702" i="2" s="1"/>
  <c r="U702" i="2"/>
  <c r="V702" i="2"/>
  <c r="AA702" i="2"/>
  <c r="AB702" i="2" s="1"/>
  <c r="AD702" i="2"/>
  <c r="AE702" i="2"/>
  <c r="X702" i="2"/>
  <c r="Y702" i="2" s="1"/>
  <c r="AG702" i="2"/>
  <c r="AH702" i="2"/>
  <c r="AG701" i="2"/>
  <c r="AH701" i="2" s="1"/>
  <c r="AD701" i="2"/>
  <c r="AE701" i="2" s="1"/>
  <c r="AJ701" i="2" s="1" a="1"/>
  <c r="AJ701" i="2" s="1"/>
  <c r="R650" i="2"/>
  <c r="S650" i="2" s="1"/>
  <c r="U650" i="2"/>
  <c r="V650" i="2" s="1"/>
  <c r="AD649" i="2"/>
  <c r="AE649" i="2" s="1"/>
  <c r="AG649" i="2"/>
  <c r="AH649" i="2" s="1"/>
  <c r="U649" i="2"/>
  <c r="V649" i="2"/>
  <c r="X649" i="2"/>
  <c r="Y649" i="2" s="1"/>
  <c r="AA649" i="2"/>
  <c r="AB649" i="2"/>
  <c r="R649" i="2"/>
  <c r="S649" i="2" s="1"/>
  <c r="U648" i="2"/>
  <c r="V648" i="2" s="1"/>
  <c r="AA648" i="2"/>
  <c r="AB648" i="2"/>
  <c r="AD648" i="2"/>
  <c r="AE648" i="2" s="1"/>
  <c r="AG648" i="2"/>
  <c r="AH648" i="2" s="1"/>
  <c r="X648" i="2"/>
  <c r="Y648" i="2" s="1"/>
  <c r="R648" i="2"/>
  <c r="S648" i="2"/>
  <c r="AA647" i="2"/>
  <c r="AB647" i="2"/>
  <c r="X647" i="2"/>
  <c r="Y647" i="2" s="1"/>
  <c r="U647" i="2"/>
  <c r="V647" i="2"/>
  <c r="R647" i="2"/>
  <c r="S647" i="2" s="1"/>
  <c r="AD647" i="2"/>
  <c r="AE647" i="2"/>
  <c r="AG647" i="2"/>
  <c r="AH647" i="2" s="1"/>
  <c r="AG646" i="2"/>
  <c r="AH646" i="2" s="1"/>
  <c r="AA646" i="2"/>
  <c r="AB646" i="2" s="1"/>
  <c r="U646" i="2"/>
  <c r="V646" i="2" s="1"/>
  <c r="R646" i="2"/>
  <c r="S646" i="2" s="1"/>
  <c r="AD646" i="2"/>
  <c r="AE646" i="2" s="1"/>
  <c r="X646" i="2"/>
  <c r="Y646" i="2"/>
  <c r="R645" i="2"/>
  <c r="S645" i="2" s="1"/>
  <c r="U645" i="2"/>
  <c r="V645" i="2"/>
  <c r="X645" i="2"/>
  <c r="Y645" i="2" s="1"/>
  <c r="AA645" i="2"/>
  <c r="AB645" i="2"/>
  <c r="AD645" i="2"/>
  <c r="AE645" i="2" s="1"/>
  <c r="AG645" i="2"/>
  <c r="AH645" i="2" s="1"/>
  <c r="U644" i="2"/>
  <c r="V644" i="2" s="1"/>
  <c r="X644" i="2"/>
  <c r="Y644" i="2" s="1"/>
  <c r="AA644" i="2"/>
  <c r="AB644" i="2" s="1"/>
  <c r="AD644" i="2"/>
  <c r="AE644" i="2"/>
  <c r="AG644" i="2"/>
  <c r="AH644" i="2"/>
  <c r="R644" i="2"/>
  <c r="S644" i="2"/>
  <c r="AI644" i="2" s="1" a="1"/>
  <c r="AI644" i="2" s="1"/>
  <c r="U643" i="2"/>
  <c r="V643" i="2"/>
  <c r="X643" i="2"/>
  <c r="Y643" i="2" s="1"/>
  <c r="AA643" i="2"/>
  <c r="AB643" i="2"/>
  <c r="AD643" i="2"/>
  <c r="AE643" i="2"/>
  <c r="AG643" i="2"/>
  <c r="AH643" i="2" s="1"/>
  <c r="AD392" i="2"/>
  <c r="AE392" i="2" s="1"/>
  <c r="AA392" i="2"/>
  <c r="AB392" i="2" s="1"/>
  <c r="X392" i="2"/>
  <c r="Y392" i="2"/>
  <c r="U392" i="2"/>
  <c r="V392" i="2" s="1"/>
  <c r="AG392" i="2"/>
  <c r="AH392" i="2" s="1"/>
  <c r="R392" i="2"/>
  <c r="S392" i="2" s="1"/>
  <c r="AA391" i="2"/>
  <c r="AB391" i="2" s="1"/>
  <c r="AD391" i="2"/>
  <c r="AE391" i="2" s="1"/>
  <c r="AG391" i="2"/>
  <c r="AH391" i="2" s="1"/>
  <c r="R391" i="2"/>
  <c r="S391" i="2" s="1"/>
  <c r="U391" i="2"/>
  <c r="V391" i="2" s="1"/>
  <c r="X391" i="2"/>
  <c r="Y391" i="2" s="1"/>
  <c r="AG390" i="2"/>
  <c r="AH390" i="2" s="1"/>
  <c r="AD390" i="2"/>
  <c r="AE390" i="2" s="1"/>
  <c r="R390" i="2"/>
  <c r="S390" i="2"/>
  <c r="X390" i="2"/>
  <c r="Y390" i="2"/>
  <c r="AA390" i="2"/>
  <c r="AB390" i="2"/>
  <c r="U390" i="2"/>
  <c r="V390" i="2" s="1"/>
  <c r="R389" i="2"/>
  <c r="S389" i="2" s="1"/>
  <c r="U389" i="2"/>
  <c r="V389" i="2"/>
  <c r="X389" i="2"/>
  <c r="Y389" i="2"/>
  <c r="AA389" i="2"/>
  <c r="AB389" i="2"/>
  <c r="AD389" i="2"/>
  <c r="AE389" i="2" s="1"/>
  <c r="AG389" i="2"/>
  <c r="AH389" i="2" s="1"/>
  <c r="AA388" i="2"/>
  <c r="AB388" i="2"/>
  <c r="AG388" i="2"/>
  <c r="AH388" i="2" s="1"/>
  <c r="AD388" i="2"/>
  <c r="AE388" i="2"/>
  <c r="X388" i="2"/>
  <c r="Y388" i="2" s="1"/>
  <c r="U388" i="2"/>
  <c r="V388" i="2"/>
  <c r="R388" i="2"/>
  <c r="S388" i="2" s="1"/>
  <c r="AI388" i="2" s="1" a="1"/>
  <c r="AI388" i="2" s="1"/>
  <c r="AA387" i="2"/>
  <c r="AB387" i="2"/>
  <c r="U387" i="2"/>
  <c r="V387" i="2" s="1"/>
  <c r="R387" i="2"/>
  <c r="S387" i="2"/>
  <c r="AG387" i="2"/>
  <c r="AH387" i="2"/>
  <c r="AD387" i="2"/>
  <c r="AE387" i="2" s="1"/>
  <c r="X387" i="2"/>
  <c r="Y387" i="2" s="1"/>
  <c r="R386" i="2"/>
  <c r="S386" i="2" s="1"/>
  <c r="U386" i="2"/>
  <c r="V386" i="2" s="1"/>
  <c r="X386" i="2"/>
  <c r="Y386" i="2" s="1"/>
  <c r="AD386" i="2"/>
  <c r="AE386" i="2" s="1"/>
  <c r="AA386" i="2"/>
  <c r="AB386" i="2"/>
  <c r="AG386" i="2"/>
  <c r="AH386" i="2" s="1"/>
  <c r="R385" i="2"/>
  <c r="S385" i="2" s="1"/>
  <c r="AA385" i="2"/>
  <c r="AB385" i="2" s="1"/>
  <c r="U385" i="2"/>
  <c r="V385" i="2"/>
  <c r="X385" i="2"/>
  <c r="Y385" i="2" s="1"/>
  <c r="AD385" i="2"/>
  <c r="AE385" i="2" s="1"/>
  <c r="AG385" i="2"/>
  <c r="AH385" i="2" s="1"/>
  <c r="AD384" i="2"/>
  <c r="AE384" i="2" s="1"/>
  <c r="R384" i="2"/>
  <c r="S384" i="2"/>
  <c r="X384" i="2"/>
  <c r="Y384" i="2" s="1"/>
  <c r="AA384" i="2"/>
  <c r="AB384" i="2" s="1"/>
  <c r="U384" i="2"/>
  <c r="V384" i="2"/>
  <c r="AG384" i="2"/>
  <c r="AH384" i="2" s="1"/>
  <c r="AD383" i="2"/>
  <c r="AE383" i="2" s="1"/>
  <c r="AG383" i="2"/>
  <c r="AH383" i="2"/>
  <c r="AA383" i="2"/>
  <c r="AB383" i="2"/>
  <c r="R383" i="2"/>
  <c r="S383" i="2" s="1"/>
  <c r="U383" i="2"/>
  <c r="V383" i="2" s="1"/>
  <c r="X383" i="2"/>
  <c r="Y383" i="2" s="1"/>
  <c r="AA382" i="2"/>
  <c r="AB382" i="2"/>
  <c r="R382" i="2"/>
  <c r="S382" i="2" s="1"/>
  <c r="U382" i="2"/>
  <c r="V382" i="2" s="1"/>
  <c r="X382" i="2"/>
  <c r="Y382" i="2" s="1"/>
  <c r="AD382" i="2"/>
  <c r="AE382" i="2"/>
  <c r="AG382" i="2"/>
  <c r="AH382" i="2" s="1"/>
  <c r="AA381" i="2"/>
  <c r="AB381" i="2" s="1"/>
  <c r="AD381" i="2"/>
  <c r="AE381" i="2" s="1"/>
  <c r="AG381" i="2"/>
  <c r="AH381" i="2" s="1"/>
  <c r="R381" i="2"/>
  <c r="S381" i="2" s="1"/>
  <c r="U381" i="2"/>
  <c r="V381" i="2" s="1"/>
  <c r="X381" i="2"/>
  <c r="Y381" i="2" s="1"/>
  <c r="AA380" i="2"/>
  <c r="AB380" i="2"/>
  <c r="AD380" i="2"/>
  <c r="AE380" i="2" s="1"/>
  <c r="AG380" i="2"/>
  <c r="AH380" i="2" s="1"/>
  <c r="U380" i="2"/>
  <c r="V380" i="2" s="1"/>
  <c r="R380" i="2"/>
  <c r="S380" i="2"/>
  <c r="X380" i="2"/>
  <c r="Y380" i="2" s="1"/>
  <c r="U379" i="2"/>
  <c r="V379" i="2"/>
  <c r="X379" i="2"/>
  <c r="Y379" i="2" s="1"/>
  <c r="AA379" i="2"/>
  <c r="AB379" i="2"/>
  <c r="AD379" i="2"/>
  <c r="AE379" i="2"/>
  <c r="AG379" i="2"/>
  <c r="AH379" i="2" s="1"/>
  <c r="R379" i="2"/>
  <c r="S379" i="2" s="1"/>
  <c r="R378" i="2"/>
  <c r="S378" i="2" s="1"/>
  <c r="U378" i="2"/>
  <c r="V378" i="2" s="1"/>
  <c r="X378" i="2"/>
  <c r="Y378" i="2" s="1"/>
  <c r="AD378" i="2"/>
  <c r="AE378" i="2" s="1"/>
  <c r="AG378" i="2"/>
  <c r="AH378" i="2" s="1"/>
  <c r="AA378" i="2"/>
  <c r="AB378" i="2"/>
  <c r="U339" i="2"/>
  <c r="V339" i="2" s="1"/>
  <c r="X339" i="2"/>
  <c r="Y339" i="2"/>
  <c r="AD339" i="2"/>
  <c r="AE339" i="2" s="1"/>
  <c r="AA339" i="2"/>
  <c r="AB339" i="2"/>
  <c r="AG339" i="2"/>
  <c r="AH339" i="2" s="1"/>
  <c r="R339" i="2"/>
  <c r="S339" i="2"/>
  <c r="R337" i="2"/>
  <c r="S337" i="2" s="1"/>
  <c r="U337" i="2"/>
  <c r="V337" i="2" s="1"/>
  <c r="X337" i="2"/>
  <c r="Y337" i="2"/>
  <c r="AD337" i="2"/>
  <c r="AE337" i="2" s="1"/>
  <c r="AA337" i="2"/>
  <c r="AB337" i="2" s="1"/>
  <c r="AG337" i="2"/>
  <c r="AH337" i="2" s="1"/>
  <c r="AG336" i="2"/>
  <c r="AH336" i="2" s="1"/>
  <c r="AA336" i="2"/>
  <c r="AB336" i="2" s="1"/>
  <c r="X336" i="2"/>
  <c r="Y336" i="2"/>
  <c r="U336" i="2"/>
  <c r="V336" i="2" s="1"/>
  <c r="R336" i="2"/>
  <c r="S336" i="2" s="1"/>
  <c r="AD336" i="2"/>
  <c r="AE336" i="2" s="1"/>
  <c r="AG335" i="2"/>
  <c r="AH335" i="2" s="1"/>
  <c r="AD335" i="2"/>
  <c r="AE335" i="2" s="1"/>
  <c r="X335" i="2"/>
  <c r="Y335" i="2" s="1"/>
  <c r="U335" i="2"/>
  <c r="V335" i="2" s="1"/>
  <c r="R335" i="2"/>
  <c r="S335" i="2"/>
  <c r="AA335" i="2"/>
  <c r="AB335" i="2" s="1"/>
  <c r="X334" i="2"/>
  <c r="Y334" i="2" s="1"/>
  <c r="AG334" i="2"/>
  <c r="AH334" i="2" s="1"/>
  <c r="AA334" i="2"/>
  <c r="AB334" i="2" s="1"/>
  <c r="AD334" i="2"/>
  <c r="AE334" i="2" s="1"/>
  <c r="U334" i="2"/>
  <c r="V334" i="2"/>
  <c r="R334" i="2"/>
  <c r="S334" i="2" s="1"/>
  <c r="R333" i="2"/>
  <c r="S333" i="2" s="1"/>
  <c r="AA333" i="2"/>
  <c r="AB333" i="2"/>
  <c r="AG333" i="2"/>
  <c r="AH333" i="2" s="1"/>
  <c r="AD333" i="2"/>
  <c r="AE333" i="2" s="1"/>
  <c r="X333" i="2"/>
  <c r="Y333" i="2"/>
  <c r="U333" i="2"/>
  <c r="V333" i="2"/>
  <c r="AG332" i="2"/>
  <c r="AH332" i="2" s="1"/>
  <c r="AA332" i="2"/>
  <c r="AB332" i="2" s="1"/>
  <c r="AD332" i="2"/>
  <c r="AE332" i="2"/>
  <c r="X332" i="2"/>
  <c r="Y332" i="2"/>
  <c r="U332" i="2"/>
  <c r="V332" i="2" s="1"/>
  <c r="R332" i="2"/>
  <c r="S332" i="2" s="1"/>
  <c r="AG331" i="2"/>
  <c r="AH331" i="2"/>
  <c r="AA331" i="2"/>
  <c r="AB331" i="2" s="1"/>
  <c r="AD331" i="2"/>
  <c r="AE331" i="2"/>
  <c r="X331" i="2"/>
  <c r="Y331" i="2" s="1"/>
  <c r="R331" i="2"/>
  <c r="S331" i="2" s="1"/>
  <c r="U331" i="2"/>
  <c r="V331" i="2"/>
  <c r="AG330" i="2"/>
  <c r="AH330" i="2"/>
  <c r="U330" i="2"/>
  <c r="V330" i="2" s="1"/>
  <c r="R330" i="2"/>
  <c r="S330" i="2"/>
  <c r="AA330" i="2"/>
  <c r="AB330" i="2"/>
  <c r="AD330" i="2"/>
  <c r="AE330" i="2"/>
  <c r="X330" i="2"/>
  <c r="Y330" i="2" s="1"/>
  <c r="X329" i="2"/>
  <c r="Y329" i="2"/>
  <c r="U329" i="2"/>
  <c r="V329" i="2" s="1"/>
  <c r="R329" i="2"/>
  <c r="S329" i="2"/>
  <c r="AA329" i="2"/>
  <c r="AB329" i="2" s="1"/>
  <c r="AD329" i="2"/>
  <c r="AE329" i="2"/>
  <c r="AG329" i="2"/>
  <c r="AH329" i="2"/>
  <c r="AD328" i="2"/>
  <c r="AE328" i="2" s="1"/>
  <c r="R328" i="2"/>
  <c r="S328" i="2" s="1"/>
  <c r="U328" i="2"/>
  <c r="V328" i="2"/>
  <c r="X328" i="2"/>
  <c r="Y328" i="2" s="1"/>
  <c r="AA328" i="2"/>
  <c r="AB328" i="2" s="1"/>
  <c r="AG328" i="2"/>
  <c r="AH328" i="2" s="1"/>
  <c r="U327" i="2"/>
  <c r="V327" i="2" s="1"/>
  <c r="R327" i="2"/>
  <c r="S327" i="2" s="1"/>
  <c r="AA327" i="2"/>
  <c r="AB327" i="2"/>
  <c r="AD327" i="2"/>
  <c r="AE327" i="2" s="1"/>
  <c r="AG327" i="2"/>
  <c r="AH327" i="2" s="1"/>
  <c r="X327" i="2"/>
  <c r="Y327" i="2"/>
  <c r="AG326" i="2"/>
  <c r="AH326" i="2" s="1"/>
  <c r="AA326" i="2"/>
  <c r="AB326" i="2" s="1"/>
  <c r="AD326" i="2"/>
  <c r="AE326" i="2" s="1"/>
  <c r="X326" i="2"/>
  <c r="Y326" i="2" s="1"/>
  <c r="U326" i="2"/>
  <c r="V326" i="2"/>
  <c r="R326" i="2"/>
  <c r="S326" i="2" s="1"/>
  <c r="AG325" i="2"/>
  <c r="AH325" i="2" s="1"/>
  <c r="AD325" i="2"/>
  <c r="AE325" i="2"/>
  <c r="X325" i="2"/>
  <c r="Y325" i="2" s="1"/>
  <c r="U325" i="2"/>
  <c r="V325" i="2"/>
  <c r="R325" i="2"/>
  <c r="S325" i="2" s="1"/>
  <c r="AA325" i="2"/>
  <c r="AB325" i="2" s="1"/>
  <c r="R324" i="2"/>
  <c r="S324" i="2"/>
  <c r="X324" i="2"/>
  <c r="Y324" i="2" s="1"/>
  <c r="AA324" i="2"/>
  <c r="AB324" i="2" s="1"/>
  <c r="AG324" i="2"/>
  <c r="AH324" i="2" s="1"/>
  <c r="U324" i="2"/>
  <c r="V324" i="2"/>
  <c r="AD324" i="2"/>
  <c r="AE324" i="2" s="1"/>
  <c r="AG323" i="2"/>
  <c r="AH323" i="2" s="1"/>
  <c r="AA323" i="2"/>
  <c r="AB323" i="2"/>
  <c r="AD323" i="2"/>
  <c r="AE323" i="2" s="1"/>
  <c r="R323" i="2"/>
  <c r="S323" i="2"/>
  <c r="X323" i="2"/>
  <c r="Y323" i="2" s="1"/>
  <c r="U323" i="2"/>
  <c r="V323" i="2"/>
  <c r="X322" i="2"/>
  <c r="Y322" i="2" s="1"/>
  <c r="U322" i="2"/>
  <c r="V322" i="2"/>
  <c r="R322" i="2"/>
  <c r="S322" i="2" s="1"/>
  <c r="AA322" i="2"/>
  <c r="AB322" i="2"/>
  <c r="AD322" i="2"/>
  <c r="AE322" i="2" s="1"/>
  <c r="AG322" i="2"/>
  <c r="AH322" i="2"/>
  <c r="R321" i="2"/>
  <c r="S321" i="2" s="1"/>
  <c r="U321" i="2"/>
  <c r="V321" i="2" s="1"/>
  <c r="X321" i="2"/>
  <c r="Y321" i="2" s="1"/>
  <c r="AD321" i="2"/>
  <c r="AE321" i="2"/>
  <c r="AG321" i="2"/>
  <c r="AH321" i="2" s="1"/>
  <c r="AA321" i="2"/>
  <c r="AB321" i="2"/>
  <c r="X320" i="2"/>
  <c r="Y320" i="2" s="1"/>
  <c r="U320" i="2"/>
  <c r="V320" i="2"/>
  <c r="R320" i="2"/>
  <c r="S320" i="2" s="1"/>
  <c r="AD320" i="2"/>
  <c r="AE320" i="2"/>
  <c r="AA320" i="2"/>
  <c r="AB320" i="2"/>
  <c r="AG320" i="2"/>
  <c r="AH320" i="2"/>
  <c r="AG319" i="2"/>
  <c r="AH319" i="2" s="1"/>
  <c r="R319" i="2"/>
  <c r="S319" i="2" s="1"/>
  <c r="U319" i="2"/>
  <c r="V319" i="2"/>
  <c r="X319" i="2"/>
  <c r="Y319" i="2"/>
  <c r="AD319" i="2"/>
  <c r="AE319" i="2" s="1"/>
  <c r="AA319" i="2"/>
  <c r="AB319" i="2" s="1"/>
  <c r="U318" i="2"/>
  <c r="V318" i="2" s="1"/>
  <c r="AA318" i="2"/>
  <c r="AB318" i="2"/>
  <c r="AG318" i="2"/>
  <c r="AH318" i="2" s="1"/>
  <c r="R318" i="2"/>
  <c r="S318" i="2"/>
  <c r="X318" i="2"/>
  <c r="Y318" i="2"/>
  <c r="AD318" i="2"/>
  <c r="AE318" i="2"/>
  <c r="R317" i="2"/>
  <c r="S317" i="2" s="1"/>
  <c r="U317" i="2"/>
  <c r="V317" i="2" s="1"/>
  <c r="X317" i="2"/>
  <c r="Y317" i="2" s="1"/>
  <c r="AD317" i="2"/>
  <c r="AE317" i="2"/>
  <c r="AG317" i="2"/>
  <c r="AH317" i="2" s="1"/>
  <c r="AA317" i="2"/>
  <c r="AB317" i="2"/>
  <c r="AD316" i="2"/>
  <c r="AE316" i="2" s="1"/>
  <c r="AA316" i="2"/>
  <c r="AB316" i="2"/>
  <c r="AG316" i="2"/>
  <c r="AH316" i="2" s="1"/>
  <c r="R316" i="2"/>
  <c r="S316" i="2"/>
  <c r="U316" i="2"/>
  <c r="V316" i="2" s="1"/>
  <c r="X316" i="2"/>
  <c r="Y316" i="2" s="1"/>
  <c r="AA315" i="2"/>
  <c r="AB315" i="2" s="1"/>
  <c r="U315" i="2"/>
  <c r="V315" i="2" s="1"/>
  <c r="AD315" i="2"/>
  <c r="AE315" i="2" s="1"/>
  <c r="R315" i="2"/>
  <c r="S315" i="2"/>
  <c r="X315" i="2"/>
  <c r="Y315" i="2" s="1"/>
  <c r="AG315" i="2"/>
  <c r="AH315" i="2"/>
  <c r="AA314" i="2"/>
  <c r="AB314" i="2" s="1"/>
  <c r="AG314" i="2"/>
  <c r="AH314" i="2" s="1"/>
  <c r="AD314" i="2"/>
  <c r="AE314" i="2" s="1"/>
  <c r="X314" i="2"/>
  <c r="Y314" i="2"/>
  <c r="U314" i="2"/>
  <c r="V314" i="2" s="1"/>
  <c r="R314" i="2"/>
  <c r="S314" i="2"/>
  <c r="AG313" i="2"/>
  <c r="AH313" i="2" s="1"/>
  <c r="AA313" i="2"/>
  <c r="AB313" i="2"/>
  <c r="AD313" i="2"/>
  <c r="AE313" i="2"/>
  <c r="X313" i="2"/>
  <c r="Y313" i="2" s="1"/>
  <c r="U313" i="2"/>
  <c r="V313" i="2"/>
  <c r="R313" i="2"/>
  <c r="S313" i="2" s="1"/>
  <c r="U373" i="2"/>
  <c r="V373" i="2" s="1"/>
  <c r="R373" i="2"/>
  <c r="S373" i="2" s="1"/>
  <c r="AA372" i="2"/>
  <c r="AB372" i="2" s="1"/>
  <c r="AG372" i="2"/>
  <c r="AH372" i="2" s="1"/>
  <c r="AD372" i="2"/>
  <c r="AE372" i="2" s="1"/>
  <c r="X372" i="2"/>
  <c r="Y372" i="2" s="1"/>
  <c r="U372" i="2"/>
  <c r="V372" i="2" s="1"/>
  <c r="R372" i="2"/>
  <c r="S372" i="2" s="1"/>
  <c r="AA371" i="2"/>
  <c r="AB371" i="2" s="1"/>
  <c r="AG371" i="2"/>
  <c r="AH371" i="2" s="1"/>
  <c r="AD371" i="2"/>
  <c r="AE371" i="2"/>
  <c r="X371" i="2"/>
  <c r="Y371" i="2"/>
  <c r="U371" i="2"/>
  <c r="V371" i="2"/>
  <c r="R371" i="2"/>
  <c r="S371" i="2" s="1"/>
  <c r="X370" i="2"/>
  <c r="Y370" i="2" s="1"/>
  <c r="R370" i="2"/>
  <c r="S370" i="2"/>
  <c r="U370" i="2"/>
  <c r="V370" i="2" s="1"/>
  <c r="AG370" i="2"/>
  <c r="AH370" i="2"/>
  <c r="AA370" i="2"/>
  <c r="AB370" i="2" s="1"/>
  <c r="AD370" i="2"/>
  <c r="AE370" i="2" s="1"/>
  <c r="R369" i="2"/>
  <c r="S369" i="2" s="1"/>
  <c r="X369" i="2"/>
  <c r="Y369" i="2"/>
  <c r="AG369" i="2"/>
  <c r="AH369" i="2" s="1"/>
  <c r="AA369" i="2"/>
  <c r="AB369" i="2" s="1"/>
  <c r="AD369" i="2"/>
  <c r="AE369" i="2" s="1"/>
  <c r="U369" i="2"/>
  <c r="V369" i="2" s="1"/>
  <c r="AG368" i="2"/>
  <c r="AH368" i="2" s="1"/>
  <c r="X368" i="2"/>
  <c r="Y368" i="2"/>
  <c r="U368" i="2"/>
  <c r="V368" i="2"/>
  <c r="AA368" i="2"/>
  <c r="AB368" i="2"/>
  <c r="AD368" i="2"/>
  <c r="AE368" i="2" s="1"/>
  <c r="R368" i="2"/>
  <c r="S368" i="2" s="1"/>
  <c r="AA367" i="2"/>
  <c r="AB367" i="2" s="1"/>
  <c r="AG367" i="2"/>
  <c r="AH367" i="2" s="1"/>
  <c r="R367" i="2"/>
  <c r="S367" i="2"/>
  <c r="U367" i="2"/>
  <c r="V367" i="2" s="1"/>
  <c r="X367" i="2"/>
  <c r="Y367" i="2"/>
  <c r="AD367" i="2"/>
  <c r="AE367" i="2" s="1"/>
  <c r="U366" i="2"/>
  <c r="V366" i="2"/>
  <c r="X366" i="2"/>
  <c r="Y366" i="2" s="1"/>
  <c r="AD366" i="2"/>
  <c r="AE366" i="2"/>
  <c r="AG366" i="2"/>
  <c r="AH366" i="2"/>
  <c r="AA366" i="2"/>
  <c r="AB366" i="2"/>
  <c r="R366" i="2"/>
  <c r="S366" i="2" s="1"/>
  <c r="U365" i="2"/>
  <c r="V365" i="2" s="1"/>
  <c r="R365" i="2"/>
  <c r="S365" i="2"/>
  <c r="AA365" i="2"/>
  <c r="AB365" i="2" s="1"/>
  <c r="AG365" i="2"/>
  <c r="AH365" i="2"/>
  <c r="AD365" i="2"/>
  <c r="AE365" i="2"/>
  <c r="X365" i="2"/>
  <c r="Y365" i="2"/>
  <c r="AA364" i="2"/>
  <c r="AB364" i="2" s="1"/>
  <c r="AG364" i="2"/>
  <c r="AH364" i="2"/>
  <c r="AD364" i="2"/>
  <c r="AE364" i="2" s="1"/>
  <c r="X364" i="2"/>
  <c r="Y364" i="2"/>
  <c r="U364" i="2"/>
  <c r="V364" i="2" s="1"/>
  <c r="R364" i="2"/>
  <c r="S364" i="2"/>
  <c r="AD363" i="2"/>
  <c r="AE363" i="2" s="1"/>
  <c r="U363" i="2"/>
  <c r="V363" i="2" s="1"/>
  <c r="R363" i="2"/>
  <c r="S363" i="2"/>
  <c r="AA363" i="2"/>
  <c r="AB363" i="2"/>
  <c r="AG363" i="2"/>
  <c r="AH363" i="2"/>
  <c r="X363" i="2"/>
  <c r="Y363" i="2" s="1"/>
  <c r="AD362" i="2"/>
  <c r="AE362" i="2" s="1"/>
  <c r="AG362" i="2"/>
  <c r="AH362" i="2" s="1"/>
  <c r="AA362" i="2"/>
  <c r="AB362" i="2" s="1"/>
  <c r="U362" i="2"/>
  <c r="V362" i="2" s="1"/>
  <c r="R362" i="2"/>
  <c r="S362" i="2"/>
  <c r="X362" i="2"/>
  <c r="Y362" i="2" s="1"/>
  <c r="AG361" i="2"/>
  <c r="AH361" i="2"/>
  <c r="AD361" i="2"/>
  <c r="AE361" i="2" s="1"/>
  <c r="X361" i="2"/>
  <c r="Y361" i="2"/>
  <c r="U361" i="2"/>
  <c r="V361" i="2" s="1"/>
  <c r="AA361" i="2"/>
  <c r="AB361" i="2"/>
  <c r="R361" i="2"/>
  <c r="S361" i="2" s="1"/>
  <c r="AA360" i="2"/>
  <c r="AB360" i="2"/>
  <c r="AG360" i="2"/>
  <c r="AH360" i="2"/>
  <c r="AD1064" i="2"/>
  <c r="AE1064" i="2" s="1"/>
  <c r="AG1064" i="2"/>
  <c r="AH1064" i="2"/>
  <c r="AA1064" i="2"/>
  <c r="AB1064" i="2" s="1"/>
  <c r="X916" i="2"/>
  <c r="Y916" i="2"/>
  <c r="AA916" i="2"/>
  <c r="AB916" i="2"/>
  <c r="AA882" i="2"/>
  <c r="AB882" i="2" s="1"/>
  <c r="AG882" i="2"/>
  <c r="AH882" i="2"/>
  <c r="AD882" i="2"/>
  <c r="AE882" i="2"/>
  <c r="X882" i="2"/>
  <c r="Y882" i="2"/>
  <c r="U882" i="2"/>
  <c r="V882" i="2"/>
  <c r="R882" i="2"/>
  <c r="S882" i="2"/>
  <c r="AI882" i="2" s="1" a="1"/>
  <c r="AI882" i="2" s="1"/>
  <c r="X881" i="2"/>
  <c r="Y881" i="2"/>
  <c r="U881" i="2"/>
  <c r="V881" i="2" s="1"/>
  <c r="AA881" i="2"/>
  <c r="AB881" i="2" s="1"/>
  <c r="AG881" i="2"/>
  <c r="AH881" i="2" s="1"/>
  <c r="AD881" i="2"/>
  <c r="AE881" i="2"/>
  <c r="R881" i="2"/>
  <c r="S881" i="2" s="1"/>
  <c r="R880" i="2"/>
  <c r="S880" i="2" s="1"/>
  <c r="X880" i="2"/>
  <c r="Y880" i="2" s="1"/>
  <c r="U880" i="2"/>
  <c r="V880" i="2" s="1"/>
  <c r="AA880" i="2"/>
  <c r="AB880" i="2" s="1"/>
  <c r="AD880" i="2"/>
  <c r="AE880" i="2" s="1"/>
  <c r="AG880" i="2"/>
  <c r="AH880" i="2"/>
  <c r="AG879" i="2"/>
  <c r="AH879" i="2" s="1"/>
  <c r="AD879" i="2"/>
  <c r="AE879" i="2"/>
  <c r="AA879" i="2"/>
  <c r="AB879" i="2" s="1"/>
  <c r="X879" i="2"/>
  <c r="Y879" i="2" s="1"/>
  <c r="U879" i="2"/>
  <c r="V879" i="2" s="1"/>
  <c r="R879" i="2"/>
  <c r="S879" i="2"/>
  <c r="AI879" i="2" s="1" a="1"/>
  <c r="AI879" i="2" s="1"/>
  <c r="U821" i="2"/>
  <c r="V821" i="2"/>
  <c r="R821" i="2"/>
  <c r="S821" i="2" s="1"/>
  <c r="AG820" i="2"/>
  <c r="AH820" i="2"/>
  <c r="R820" i="2"/>
  <c r="S820" i="2"/>
  <c r="U820" i="2"/>
  <c r="V820" i="2"/>
  <c r="X820" i="2"/>
  <c r="Y820" i="2"/>
  <c r="AA820" i="2"/>
  <c r="AB820" i="2"/>
  <c r="AD820" i="2"/>
  <c r="AE820" i="2" s="1"/>
  <c r="R819" i="2"/>
  <c r="S819" i="2" s="1"/>
  <c r="AG819" i="2"/>
  <c r="AH819" i="2"/>
  <c r="AD819" i="2"/>
  <c r="AE819" i="2" s="1"/>
  <c r="AA819" i="2"/>
  <c r="AB819" i="2"/>
  <c r="U819" i="2"/>
  <c r="V819" i="2" s="1"/>
  <c r="X819" i="2"/>
  <c r="Y819" i="2" s="1"/>
  <c r="AD818" i="2"/>
  <c r="AE818" i="2" s="1"/>
  <c r="AG818" i="2"/>
  <c r="AH818" i="2" s="1"/>
  <c r="R818" i="2"/>
  <c r="S818" i="2" s="1"/>
  <c r="U818" i="2"/>
  <c r="V818" i="2"/>
  <c r="X818" i="2"/>
  <c r="Y818" i="2"/>
  <c r="AA818" i="2"/>
  <c r="AB818" i="2"/>
  <c r="X817" i="2"/>
  <c r="Y817" i="2" s="1"/>
  <c r="AD817" i="2"/>
  <c r="AE817" i="2"/>
  <c r="AG817" i="2"/>
  <c r="AH817" i="2" s="1"/>
  <c r="AA817" i="2"/>
  <c r="AB817" i="2" s="1"/>
  <c r="R817" i="2"/>
  <c r="S817" i="2" s="1"/>
  <c r="U817" i="2"/>
  <c r="V817" i="2" s="1"/>
  <c r="AD816" i="2"/>
  <c r="AE816" i="2" s="1"/>
  <c r="AA816" i="2"/>
  <c r="AB816" i="2" s="1"/>
  <c r="X816" i="2"/>
  <c r="Y816" i="2" s="1"/>
  <c r="AG816" i="2"/>
  <c r="AH816" i="2"/>
  <c r="U816" i="2"/>
  <c r="V816" i="2"/>
  <c r="R816" i="2"/>
  <c r="S816" i="2" s="1"/>
  <c r="AG815" i="2"/>
  <c r="AH815" i="2" s="1"/>
  <c r="AD815" i="2"/>
  <c r="AE815" i="2"/>
  <c r="AA815" i="2"/>
  <c r="AB815" i="2"/>
  <c r="R815" i="2"/>
  <c r="S815" i="2"/>
  <c r="X815" i="2"/>
  <c r="Y815" i="2"/>
  <c r="U815" i="2"/>
  <c r="V815" i="2" s="1"/>
  <c r="R814" i="2"/>
  <c r="S814" i="2" s="1"/>
  <c r="AG814" i="2"/>
  <c r="AH814" i="2" s="1"/>
  <c r="AD814" i="2"/>
  <c r="AE814" i="2"/>
  <c r="AA814" i="2"/>
  <c r="AB814" i="2" s="1"/>
  <c r="X814" i="2"/>
  <c r="Y814" i="2"/>
  <c r="U814" i="2"/>
  <c r="V814" i="2" s="1"/>
  <c r="AG813" i="2"/>
  <c r="AH813" i="2"/>
  <c r="AD813" i="2"/>
  <c r="AE813" i="2"/>
  <c r="AA813" i="2"/>
  <c r="AB813" i="2" s="1"/>
  <c r="X813" i="2"/>
  <c r="Y813" i="2"/>
  <c r="U813" i="2"/>
  <c r="V813" i="2"/>
  <c r="R813" i="2"/>
  <c r="S813" i="2"/>
  <c r="AI813" i="2" s="1" a="1"/>
  <c r="AI813" i="2" s="1"/>
  <c r="AG812" i="2"/>
  <c r="AH812" i="2" s="1"/>
  <c r="AD812" i="2"/>
  <c r="AE812" i="2" s="1"/>
  <c r="AA812" i="2"/>
  <c r="AB812" i="2" s="1"/>
  <c r="X812" i="2"/>
  <c r="Y812" i="2" s="1"/>
  <c r="U812" i="2"/>
  <c r="V812" i="2"/>
  <c r="R812" i="2"/>
  <c r="S812" i="2" s="1"/>
  <c r="AA793" i="2"/>
  <c r="AB793" i="2"/>
  <c r="X793" i="2"/>
  <c r="Y793" i="2" s="1"/>
  <c r="U793" i="2"/>
  <c r="V793" i="2"/>
  <c r="R793" i="2"/>
  <c r="S793" i="2" s="1"/>
  <c r="AD792" i="2"/>
  <c r="AE792" i="2" s="1"/>
  <c r="AA792" i="2"/>
  <c r="AB792" i="2" s="1"/>
  <c r="X792" i="2"/>
  <c r="Y792" i="2" s="1"/>
  <c r="U792" i="2"/>
  <c r="V792" i="2"/>
  <c r="R792" i="2"/>
  <c r="S792" i="2" s="1"/>
  <c r="AG792" i="2"/>
  <c r="AH792" i="2"/>
  <c r="R791" i="2"/>
  <c r="S791" i="2" s="1"/>
  <c r="U791" i="2"/>
  <c r="V791" i="2"/>
  <c r="X791" i="2"/>
  <c r="Y791" i="2" s="1"/>
  <c r="AA791" i="2"/>
  <c r="AB791" i="2" s="1"/>
  <c r="AD791" i="2"/>
  <c r="AE791" i="2"/>
  <c r="AG791" i="2"/>
  <c r="AH791" i="2"/>
  <c r="R790" i="2"/>
  <c r="S790" i="2" s="1"/>
  <c r="U790" i="2"/>
  <c r="V790" i="2" s="1"/>
  <c r="AA790" i="2"/>
  <c r="AB790" i="2"/>
  <c r="AD790" i="2"/>
  <c r="AE790" i="2"/>
  <c r="AG790" i="2"/>
  <c r="AH790" i="2"/>
  <c r="X790" i="2"/>
  <c r="Y790" i="2" s="1"/>
  <c r="AG789" i="2"/>
  <c r="AH789" i="2" s="1"/>
  <c r="R789" i="2"/>
  <c r="S789" i="2"/>
  <c r="U789" i="2"/>
  <c r="V789" i="2"/>
  <c r="X789" i="2"/>
  <c r="Y789" i="2"/>
  <c r="AA789" i="2"/>
  <c r="AB789" i="2"/>
  <c r="AD789" i="2"/>
  <c r="AE789" i="2" s="1"/>
  <c r="AG788" i="2"/>
  <c r="AH788" i="2" s="1"/>
  <c r="R788" i="2"/>
  <c r="S788" i="2"/>
  <c r="AA788" i="2"/>
  <c r="AB788" i="2"/>
  <c r="AD788" i="2"/>
  <c r="AE788" i="2"/>
  <c r="X788" i="2"/>
  <c r="Y788" i="2"/>
  <c r="U788" i="2"/>
  <c r="V788" i="2"/>
  <c r="AG787" i="2"/>
  <c r="AH787" i="2"/>
  <c r="AD787" i="2"/>
  <c r="AE787" i="2"/>
  <c r="AA787" i="2"/>
  <c r="AB787" i="2"/>
  <c r="X787" i="2"/>
  <c r="Y787" i="2"/>
  <c r="U787" i="2"/>
  <c r="V787" i="2"/>
  <c r="R787" i="2"/>
  <c r="S787" i="2"/>
  <c r="U786" i="2"/>
  <c r="V786" i="2"/>
  <c r="AG786" i="2"/>
  <c r="AH786" i="2"/>
  <c r="AD786" i="2"/>
  <c r="AE786" i="2"/>
  <c r="AA786" i="2"/>
  <c r="AB786" i="2"/>
  <c r="X786" i="2"/>
  <c r="Y786" i="2"/>
  <c r="R786" i="2"/>
  <c r="S786" i="2"/>
  <c r="AG785" i="2"/>
  <c r="AH785" i="2"/>
  <c r="AD785" i="2"/>
  <c r="AE785" i="2"/>
  <c r="AA785" i="2"/>
  <c r="AB785" i="2"/>
  <c r="X785" i="2"/>
  <c r="Y785" i="2"/>
  <c r="U785" i="2"/>
  <c r="V785" i="2"/>
  <c r="R785" i="2"/>
  <c r="S785" i="2"/>
  <c r="AG784" i="2"/>
  <c r="AH784" i="2"/>
  <c r="AD784" i="2"/>
  <c r="AE784" i="2"/>
  <c r="R784" i="2"/>
  <c r="S784" i="2"/>
  <c r="U784" i="2"/>
  <c r="V784" i="2"/>
  <c r="X784" i="2"/>
  <c r="Y784" i="2"/>
  <c r="AA784" i="2"/>
  <c r="AB784" i="2"/>
  <c r="U783" i="2"/>
  <c r="V783" i="2"/>
  <c r="AA783" i="2"/>
  <c r="AB783" i="2"/>
  <c r="X783" i="2"/>
  <c r="Y783" i="2"/>
  <c r="R783" i="2"/>
  <c r="S783" i="2"/>
  <c r="AG783" i="2"/>
  <c r="AH783" i="2"/>
  <c r="AD783" i="2"/>
  <c r="AE783" i="2"/>
  <c r="U782" i="2"/>
  <c r="V782" i="2"/>
  <c r="X782" i="2"/>
  <c r="Y782" i="2"/>
  <c r="AA782" i="2"/>
  <c r="AB782" i="2"/>
  <c r="AD782" i="2"/>
  <c r="AE782" i="2"/>
  <c r="AG782" i="2"/>
  <c r="AH782" i="2"/>
  <c r="R782" i="2"/>
  <c r="S782" i="2"/>
  <c r="R781" i="2"/>
  <c r="S781" i="2"/>
  <c r="AG781" i="2"/>
  <c r="AH781" i="2"/>
  <c r="AA781" i="2"/>
  <c r="AB781" i="2"/>
  <c r="X781" i="2"/>
  <c r="Y781" i="2"/>
  <c r="U781" i="2"/>
  <c r="V781" i="2"/>
  <c r="AD781" i="2"/>
  <c r="AE781" i="2"/>
  <c r="R780" i="2"/>
  <c r="S780" i="2"/>
  <c r="U780" i="2"/>
  <c r="V780" i="2"/>
  <c r="AG780" i="2"/>
  <c r="AH780" i="2"/>
  <c r="AD780" i="2"/>
  <c r="AE780" i="2"/>
  <c r="AA780" i="2"/>
  <c r="AB780" i="2"/>
  <c r="X780" i="2"/>
  <c r="Y780" i="2"/>
  <c r="X551" i="2"/>
  <c r="Y551" i="2"/>
  <c r="U551" i="2"/>
  <c r="V551" i="2"/>
  <c r="R551" i="2"/>
  <c r="S551" i="2"/>
  <c r="AI551" i="2" s="1" a="1"/>
  <c r="AI551" i="2" s="1"/>
  <c r="U550" i="2"/>
  <c r="V550" i="2"/>
  <c r="AG550" i="2"/>
  <c r="AH550" i="2"/>
  <c r="R550" i="2"/>
  <c r="S550" i="2"/>
  <c r="AD550" i="2"/>
  <c r="AE550" i="2"/>
  <c r="AA550" i="2"/>
  <c r="AB550" i="2"/>
  <c r="X550" i="2"/>
  <c r="Y550" i="2"/>
  <c r="R549" i="2"/>
  <c r="S549" i="2"/>
  <c r="U549" i="2"/>
  <c r="V549" i="2"/>
  <c r="X549" i="2"/>
  <c r="Y549" i="2"/>
  <c r="AA549" i="2"/>
  <c r="AB549" i="2"/>
  <c r="AD549" i="2"/>
  <c r="AE549" i="2"/>
  <c r="AG549" i="2"/>
  <c r="AH549" i="2"/>
  <c r="U548" i="2"/>
  <c r="V548" i="2"/>
  <c r="X548" i="2"/>
  <c r="Y548" i="2"/>
  <c r="AA548" i="2"/>
  <c r="AB548" i="2"/>
  <c r="AD548" i="2"/>
  <c r="AE548" i="2"/>
  <c r="AG548" i="2"/>
  <c r="AH548" i="2"/>
  <c r="R548" i="2"/>
  <c r="S548" i="2"/>
  <c r="U547" i="2"/>
  <c r="V547" i="2"/>
  <c r="X547" i="2"/>
  <c r="Y547" i="2"/>
  <c r="AA547" i="2"/>
  <c r="AB547" i="2"/>
  <c r="AD547" i="2"/>
  <c r="AE547" i="2"/>
  <c r="R547" i="2"/>
  <c r="S547" i="2"/>
  <c r="AG547" i="2"/>
  <c r="AH547" i="2"/>
  <c r="AG546" i="2"/>
  <c r="AH546" i="2"/>
  <c r="AD546" i="2"/>
  <c r="AE546" i="2"/>
  <c r="AA546" i="2"/>
  <c r="AB546" i="2"/>
  <c r="X546" i="2"/>
  <c r="Y546" i="2"/>
  <c r="R546" i="2"/>
  <c r="S546" i="2"/>
  <c r="U546" i="2"/>
  <c r="V546" i="2"/>
  <c r="AG545" i="2"/>
  <c r="AH545" i="2"/>
  <c r="R545" i="2"/>
  <c r="S545" i="2"/>
  <c r="U545" i="2"/>
  <c r="V545" i="2"/>
  <c r="X545" i="2"/>
  <c r="Y545" i="2"/>
  <c r="AA545" i="2"/>
  <c r="AB545" i="2"/>
  <c r="AD545" i="2"/>
  <c r="AE545" i="2"/>
  <c r="AG544" i="2"/>
  <c r="AH544" i="2"/>
  <c r="AD544" i="2"/>
  <c r="AE544" i="2"/>
  <c r="AA544" i="2"/>
  <c r="AB544" i="2"/>
  <c r="X544" i="2"/>
  <c r="Y544" i="2"/>
  <c r="U544" i="2"/>
  <c r="V544" i="2"/>
  <c r="R544" i="2"/>
  <c r="S544" i="2"/>
  <c r="AA543" i="2"/>
  <c r="AB543" i="2"/>
  <c r="AD543" i="2"/>
  <c r="AE543" i="2"/>
  <c r="AG543" i="2"/>
  <c r="AH543" i="2"/>
  <c r="X543" i="2"/>
  <c r="Y543" i="2"/>
  <c r="U543" i="2"/>
  <c r="V543" i="2"/>
  <c r="R543" i="2"/>
  <c r="S543" i="2"/>
  <c r="AD542" i="2"/>
  <c r="AE542" i="2"/>
  <c r="X542" i="2"/>
  <c r="Y542" i="2"/>
  <c r="U542" i="2"/>
  <c r="V542" i="2"/>
  <c r="AA542" i="2"/>
  <c r="AB542" i="2"/>
  <c r="R542" i="2"/>
  <c r="S542" i="2"/>
  <c r="AG542" i="2"/>
  <c r="AH542" i="2"/>
  <c r="AG541" i="2"/>
  <c r="AH541" i="2"/>
  <c r="AD541" i="2"/>
  <c r="AE541" i="2"/>
  <c r="R541" i="2"/>
  <c r="S541" i="2"/>
  <c r="U541" i="2"/>
  <c r="V541" i="2"/>
  <c r="X541" i="2"/>
  <c r="Y541" i="2"/>
  <c r="AA541" i="2"/>
  <c r="AB541" i="2"/>
  <c r="AD540" i="2"/>
  <c r="AE540" i="2"/>
  <c r="AG540" i="2"/>
  <c r="AH540" i="2"/>
  <c r="R540" i="2"/>
  <c r="S540" i="2"/>
  <c r="U540" i="2"/>
  <c r="V540" i="2"/>
  <c r="X540" i="2"/>
  <c r="Y540" i="2"/>
  <c r="AA540" i="2"/>
  <c r="AB540" i="2"/>
  <c r="R539" i="2"/>
  <c r="S539" i="2"/>
  <c r="U539" i="2"/>
  <c r="V539" i="2"/>
  <c r="AA539" i="2"/>
  <c r="AB539" i="2"/>
  <c r="AD539" i="2"/>
  <c r="AE539" i="2"/>
  <c r="AG539" i="2"/>
  <c r="AH539" i="2"/>
  <c r="X539" i="2"/>
  <c r="Y539" i="2"/>
  <c r="X538" i="2"/>
  <c r="Y538" i="2"/>
  <c r="AA538" i="2"/>
  <c r="AB538" i="2"/>
  <c r="AD538" i="2"/>
  <c r="AE538" i="2"/>
  <c r="AG538" i="2"/>
  <c r="AH538" i="2"/>
  <c r="R538" i="2"/>
  <c r="S538" i="2"/>
  <c r="U538" i="2"/>
  <c r="V538" i="2"/>
  <c r="X537" i="2"/>
  <c r="Y537" i="2"/>
  <c r="AA537" i="2"/>
  <c r="AB537" i="2"/>
  <c r="AG537" i="2"/>
  <c r="AH537" i="2"/>
  <c r="AD537" i="2"/>
  <c r="AE537" i="2"/>
  <c r="R537" i="2"/>
  <c r="S537" i="2"/>
  <c r="U537" i="2"/>
  <c r="V537" i="2"/>
  <c r="AA536" i="2"/>
  <c r="AB536" i="2"/>
  <c r="R536" i="2"/>
  <c r="S536" i="2"/>
  <c r="AG536" i="2"/>
  <c r="AH536" i="2"/>
  <c r="AD536" i="2"/>
  <c r="AE536" i="2"/>
  <c r="X536" i="2"/>
  <c r="Y536" i="2"/>
  <c r="U536" i="2"/>
  <c r="V536" i="2"/>
  <c r="AG535" i="2"/>
  <c r="AH535" i="2"/>
  <c r="AD535" i="2"/>
  <c r="AE535" i="2"/>
  <c r="AA535" i="2"/>
  <c r="AB535" i="2"/>
  <c r="X535" i="2"/>
  <c r="Y535" i="2"/>
  <c r="U535" i="2"/>
  <c r="V535" i="2"/>
  <c r="R535" i="2"/>
  <c r="S535" i="2"/>
  <c r="AG534" i="2"/>
  <c r="AH534" i="2"/>
  <c r="R534" i="2"/>
  <c r="S534" i="2"/>
  <c r="AD534" i="2"/>
  <c r="AE534" i="2"/>
  <c r="U534" i="2"/>
  <c r="V534" i="2"/>
  <c r="X534" i="2"/>
  <c r="Y534" i="2"/>
  <c r="AA534" i="2"/>
  <c r="AB534" i="2"/>
  <c r="X533" i="2"/>
  <c r="Y533" i="2"/>
  <c r="AA533" i="2"/>
  <c r="AB533" i="2"/>
  <c r="AD533" i="2"/>
  <c r="AE533" i="2"/>
  <c r="AG533" i="2"/>
  <c r="AH533" i="2"/>
  <c r="U533" i="2"/>
  <c r="V533" i="2"/>
  <c r="R533" i="2"/>
  <c r="S533" i="2"/>
  <c r="X532" i="2"/>
  <c r="Y532" i="2"/>
  <c r="R532" i="2"/>
  <c r="S532" i="2"/>
  <c r="AA532" i="2"/>
  <c r="AB532" i="2"/>
  <c r="U532" i="2"/>
  <c r="V532" i="2"/>
  <c r="AG532" i="2"/>
  <c r="AH532" i="2"/>
  <c r="AD532" i="2"/>
  <c r="AE532" i="2"/>
  <c r="AD531" i="2"/>
  <c r="AE531" i="2"/>
  <c r="X531" i="2"/>
  <c r="Y531" i="2"/>
  <c r="U531" i="2"/>
  <c r="V531" i="2"/>
  <c r="AG531" i="2"/>
  <c r="AH531" i="2"/>
  <c r="AA531" i="2"/>
  <c r="AB531" i="2"/>
  <c r="R531" i="2"/>
  <c r="S531" i="2"/>
  <c r="R530" i="2"/>
  <c r="S530" i="2"/>
  <c r="X530" i="2"/>
  <c r="Y530" i="2"/>
  <c r="AA530" i="2"/>
  <c r="AB530" i="2"/>
  <c r="AG530" i="2"/>
  <c r="AH530" i="2"/>
  <c r="AD530" i="2"/>
  <c r="AE530" i="2"/>
  <c r="U530" i="2"/>
  <c r="V530" i="2"/>
  <c r="AG529" i="2"/>
  <c r="AH529" i="2"/>
  <c r="U529" i="2"/>
  <c r="V529" i="2"/>
  <c r="AA529" i="2"/>
  <c r="AB529" i="2"/>
  <c r="AD529" i="2"/>
  <c r="AE529" i="2"/>
  <c r="X529" i="2"/>
  <c r="Y529" i="2"/>
  <c r="R529" i="2"/>
  <c r="S529" i="2"/>
  <c r="R528" i="2"/>
  <c r="S528" i="2"/>
  <c r="AG528" i="2"/>
  <c r="AH528" i="2"/>
  <c r="AD528" i="2"/>
  <c r="AE528" i="2"/>
  <c r="AA528" i="2"/>
  <c r="AB528" i="2"/>
  <c r="X528" i="2"/>
  <c r="Y528" i="2"/>
  <c r="U528" i="2"/>
  <c r="V528" i="2"/>
  <c r="AG527" i="2"/>
  <c r="AH527" i="2"/>
  <c r="AD527" i="2"/>
  <c r="AE527" i="2"/>
  <c r="AA527" i="2"/>
  <c r="AB527" i="2"/>
  <c r="X527" i="2"/>
  <c r="Y527" i="2"/>
  <c r="U527" i="2"/>
  <c r="V527" i="2"/>
  <c r="R527" i="2"/>
  <c r="S527" i="2"/>
  <c r="R526" i="2"/>
  <c r="S526" i="2"/>
  <c r="AG526" i="2"/>
  <c r="AH526" i="2"/>
  <c r="AD526" i="2"/>
  <c r="AE526" i="2" s="1"/>
  <c r="AA526" i="2"/>
  <c r="AB526" i="2"/>
  <c r="X526" i="2"/>
  <c r="Y526" i="2" s="1"/>
  <c r="U526" i="2"/>
  <c r="V526" i="2" s="1"/>
  <c r="AI526" i="2" s="1" a="1"/>
  <c r="AI526" i="2" s="1"/>
  <c r="AG525" i="2"/>
  <c r="AH525" i="2" s="1"/>
  <c r="AD525" i="2"/>
  <c r="AE525" i="2" s="1"/>
  <c r="AA525" i="2"/>
  <c r="AB525" i="2" s="1"/>
  <c r="X525" i="2"/>
  <c r="Y525" i="2" s="1"/>
  <c r="U525" i="2"/>
  <c r="V525" i="2" s="1"/>
  <c r="R525" i="2"/>
  <c r="S525" i="2" s="1"/>
  <c r="R524" i="2"/>
  <c r="S524" i="2"/>
  <c r="AG524" i="2"/>
  <c r="AH524" i="2"/>
  <c r="AD524" i="2"/>
  <c r="AE524" i="2" s="1"/>
  <c r="AA524" i="2"/>
  <c r="AB524" i="2" s="1"/>
  <c r="X524" i="2"/>
  <c r="Y524" i="2"/>
  <c r="U524" i="2"/>
  <c r="V524" i="2"/>
  <c r="AG523" i="2"/>
  <c r="AH523" i="2"/>
  <c r="AD523" i="2"/>
  <c r="AE523" i="2" s="1"/>
  <c r="AA523" i="2"/>
  <c r="AB523" i="2"/>
  <c r="X523" i="2"/>
  <c r="Y523" i="2" s="1"/>
  <c r="U523" i="2"/>
  <c r="V523" i="2"/>
  <c r="R523" i="2"/>
  <c r="S523" i="2"/>
  <c r="R522" i="2"/>
  <c r="S522" i="2"/>
  <c r="AG522" i="2"/>
  <c r="AH522" i="2" s="1"/>
  <c r="AD522" i="2"/>
  <c r="AE522" i="2"/>
  <c r="AA522" i="2"/>
  <c r="AB522" i="2"/>
  <c r="X522" i="2"/>
  <c r="Y522" i="2"/>
  <c r="U522" i="2"/>
  <c r="V522" i="2"/>
  <c r="R521" i="2"/>
  <c r="S521" i="2" s="1"/>
  <c r="AI521" i="2" s="1" a="1"/>
  <c r="AI521" i="2" s="1"/>
  <c r="AG521" i="2"/>
  <c r="AH521" i="2"/>
  <c r="AD521" i="2"/>
  <c r="AE521" i="2" s="1"/>
  <c r="AA521" i="2"/>
  <c r="AB521" i="2" s="1"/>
  <c r="X521" i="2"/>
  <c r="Y521" i="2"/>
  <c r="U521" i="2"/>
  <c r="V521" i="2"/>
  <c r="R520" i="2"/>
  <c r="S520" i="2"/>
  <c r="U520" i="2"/>
  <c r="V520" i="2"/>
  <c r="AA520" i="2"/>
  <c r="AB520" i="2" s="1"/>
  <c r="AD520" i="2"/>
  <c r="AE520" i="2"/>
  <c r="AG520" i="2"/>
  <c r="AH520" i="2"/>
  <c r="X520" i="2"/>
  <c r="Y520" i="2" s="1"/>
  <c r="AI520" i="2" s="1" a="1"/>
  <c r="AI520" i="2" s="1"/>
  <c r="R519" i="2"/>
  <c r="S519" i="2"/>
  <c r="U519" i="2"/>
  <c r="V519" i="2"/>
  <c r="X519" i="2"/>
  <c r="Y519" i="2"/>
  <c r="AA519" i="2"/>
  <c r="AB519" i="2"/>
  <c r="AD519" i="2"/>
  <c r="AE519" i="2"/>
  <c r="AG519" i="2"/>
  <c r="AH519" i="2"/>
  <c r="R518" i="2"/>
  <c r="S518" i="2" s="1"/>
  <c r="AI518" i="2" s="1" a="1"/>
  <c r="AI518" i="2" s="1"/>
  <c r="U518" i="2"/>
  <c r="V518" i="2" s="1"/>
  <c r="X518" i="2"/>
  <c r="Y518" i="2"/>
  <c r="AA518" i="2"/>
  <c r="AB518" i="2"/>
  <c r="AD518" i="2"/>
  <c r="AE518" i="2" s="1"/>
  <c r="AG518" i="2"/>
  <c r="AH518" i="2"/>
  <c r="AD517" i="2"/>
  <c r="AE517" i="2"/>
  <c r="U517" i="2"/>
  <c r="V517" i="2"/>
  <c r="X517" i="2"/>
  <c r="Y517" i="2"/>
  <c r="AA517" i="2"/>
  <c r="AB517" i="2"/>
  <c r="AG517" i="2"/>
  <c r="AH517" i="2" s="1"/>
  <c r="R517" i="2"/>
  <c r="S517" i="2"/>
  <c r="R516" i="2"/>
  <c r="S516" i="2"/>
  <c r="U516" i="2"/>
  <c r="V516" i="2" s="1"/>
  <c r="X516" i="2"/>
  <c r="Y516" i="2"/>
  <c r="AA516" i="2"/>
  <c r="AB516" i="2" s="1"/>
  <c r="AD516" i="2"/>
  <c r="AE516" i="2"/>
  <c r="AG516" i="2"/>
  <c r="AH516" i="2" s="1"/>
  <c r="AA515" i="2"/>
  <c r="AB515" i="2"/>
  <c r="R515" i="2"/>
  <c r="S515" i="2"/>
  <c r="U515" i="2"/>
  <c r="V515" i="2"/>
  <c r="X515" i="2"/>
  <c r="Y515" i="2"/>
  <c r="AD515" i="2"/>
  <c r="AE515" i="2"/>
  <c r="AG515" i="2"/>
  <c r="AH515" i="2"/>
  <c r="R514" i="2"/>
  <c r="S514" i="2"/>
  <c r="AA514" i="2"/>
  <c r="AB514" i="2"/>
  <c r="X514" i="2"/>
  <c r="Y514" i="2"/>
  <c r="U514" i="2"/>
  <c r="V514" i="2"/>
  <c r="AG514" i="2"/>
  <c r="AH514" i="2"/>
  <c r="AD514" i="2"/>
  <c r="AE514" i="2"/>
  <c r="U513" i="2"/>
  <c r="V513" i="2"/>
  <c r="X513" i="2"/>
  <c r="Y513" i="2" s="1"/>
  <c r="AA513" i="2"/>
  <c r="AB513" i="2"/>
  <c r="AD513" i="2"/>
  <c r="AE513" i="2"/>
  <c r="AG513" i="2"/>
  <c r="AH513" i="2" s="1"/>
  <c r="R513" i="2"/>
  <c r="S513" i="2" s="1"/>
  <c r="AG512" i="2"/>
  <c r="AH512" i="2"/>
  <c r="AD512" i="2"/>
  <c r="AE512" i="2"/>
  <c r="AA512" i="2"/>
  <c r="AB512" i="2" s="1"/>
  <c r="X512" i="2"/>
  <c r="Y512" i="2"/>
  <c r="U512" i="2"/>
  <c r="V512" i="2" s="1"/>
  <c r="R512" i="2"/>
  <c r="S512" i="2"/>
  <c r="AD511" i="2"/>
  <c r="AE511" i="2" s="1"/>
  <c r="R511" i="2"/>
  <c r="S511" i="2"/>
  <c r="AG511" i="2"/>
  <c r="AH511" i="2"/>
  <c r="AA511" i="2"/>
  <c r="AB511" i="2" s="1"/>
  <c r="AI511" i="2" s="1" a="1"/>
  <c r="AI511" i="2" s="1"/>
  <c r="X511" i="2"/>
  <c r="Y511" i="2"/>
  <c r="U511" i="2"/>
  <c r="V511" i="2"/>
  <c r="R510" i="2"/>
  <c r="S510" i="2"/>
  <c r="AD510" i="2"/>
  <c r="AE510" i="2" s="1"/>
  <c r="AA510" i="2"/>
  <c r="AB510" i="2" s="1"/>
  <c r="X510" i="2"/>
  <c r="Y510" i="2" s="1"/>
  <c r="AI510" i="2" s="1" a="1"/>
  <c r="AI510" i="2" s="1"/>
  <c r="U510" i="2"/>
  <c r="V510" i="2"/>
  <c r="AG510" i="2"/>
  <c r="AH510" i="2"/>
  <c r="R509" i="2"/>
  <c r="S509" i="2"/>
  <c r="AG509" i="2"/>
  <c r="AH509" i="2"/>
  <c r="AD509" i="2"/>
  <c r="AE509" i="2" s="1"/>
  <c r="AA509" i="2"/>
  <c r="AB509" i="2" s="1"/>
  <c r="X509" i="2"/>
  <c r="Y509" i="2" s="1"/>
  <c r="U509" i="2"/>
  <c r="V509" i="2"/>
  <c r="R508" i="2"/>
  <c r="S508" i="2"/>
  <c r="U508" i="2"/>
  <c r="V508" i="2" s="1"/>
  <c r="X508" i="2"/>
  <c r="Y508" i="2" s="1"/>
  <c r="AA508" i="2"/>
  <c r="AB508" i="2" s="1"/>
  <c r="AD508" i="2"/>
  <c r="AE508" i="2"/>
  <c r="AG508" i="2"/>
  <c r="AH508" i="2" s="1"/>
  <c r="AA507" i="2"/>
  <c r="AB507" i="2"/>
  <c r="U507" i="2"/>
  <c r="V507" i="2" s="1"/>
  <c r="X507" i="2"/>
  <c r="Y507" i="2"/>
  <c r="AD507" i="2"/>
  <c r="AE507" i="2" s="1"/>
  <c r="AG507" i="2"/>
  <c r="AH507" i="2"/>
  <c r="R507" i="2"/>
  <c r="S507" i="2" s="1"/>
  <c r="AD506" i="2"/>
  <c r="AE506" i="2" s="1"/>
  <c r="AA506" i="2"/>
  <c r="AB506" i="2" s="1"/>
  <c r="X506" i="2"/>
  <c r="Y506" i="2"/>
  <c r="R506" i="2"/>
  <c r="S506" i="2" s="1"/>
  <c r="AI506" i="2" s="1" a="1"/>
  <c r="AI506" i="2" s="1"/>
  <c r="U506" i="2"/>
  <c r="V506" i="2"/>
  <c r="AG506" i="2"/>
  <c r="AH506" i="2"/>
  <c r="AA505" i="2"/>
  <c r="AB505" i="2" s="1"/>
  <c r="R505" i="2"/>
  <c r="S505" i="2"/>
  <c r="AG505" i="2"/>
  <c r="AH505" i="2"/>
  <c r="AD505" i="2"/>
  <c r="AE505" i="2" s="1"/>
  <c r="U505" i="2"/>
  <c r="V505" i="2"/>
  <c r="X505" i="2"/>
  <c r="Y505" i="2" s="1"/>
  <c r="U504" i="2"/>
  <c r="V504" i="2"/>
  <c r="AA504" i="2"/>
  <c r="AB504" i="2" s="1"/>
  <c r="AD504" i="2"/>
  <c r="AE504" i="2"/>
  <c r="AG504" i="2"/>
  <c r="AH504" i="2" s="1"/>
  <c r="X504" i="2"/>
  <c r="Y504" i="2" s="1"/>
  <c r="R504" i="2"/>
  <c r="S504" i="2" s="1"/>
  <c r="AG503" i="2"/>
  <c r="AH503" i="2" s="1"/>
  <c r="R503" i="2"/>
  <c r="S503" i="2"/>
  <c r="AD503" i="2"/>
  <c r="AE503" i="2" s="1"/>
  <c r="AA503" i="2"/>
  <c r="AB503" i="2" s="1"/>
  <c r="X503" i="2"/>
  <c r="Y503" i="2" s="1"/>
  <c r="AI503" i="2" s="1" a="1"/>
  <c r="AI503" i="2" s="1"/>
  <c r="U503" i="2"/>
  <c r="V503" i="2"/>
  <c r="AG502" i="2"/>
  <c r="AH502" i="2" s="1"/>
  <c r="R502" i="2"/>
  <c r="S502" i="2"/>
  <c r="AD502" i="2"/>
  <c r="AE502" i="2"/>
  <c r="AA502" i="2"/>
  <c r="AB502" i="2" s="1"/>
  <c r="X502" i="2"/>
  <c r="Y502" i="2"/>
  <c r="U502" i="2"/>
  <c r="V502" i="2" s="1"/>
  <c r="U501" i="2"/>
  <c r="V501" i="2"/>
  <c r="X501" i="2"/>
  <c r="Y501" i="2" s="1"/>
  <c r="AA501" i="2"/>
  <c r="AB501" i="2"/>
  <c r="AD501" i="2"/>
  <c r="AE501" i="2"/>
  <c r="AG501" i="2"/>
  <c r="AH501" i="2" s="1"/>
  <c r="R501" i="2"/>
  <c r="S501" i="2"/>
  <c r="U500" i="2"/>
  <c r="V500" i="2"/>
  <c r="R500" i="2"/>
  <c r="S500" i="2" s="1"/>
  <c r="AI500" i="2" s="1" a="1"/>
  <c r="AI500" i="2" s="1"/>
  <c r="AD500" i="2"/>
  <c r="AE500" i="2" s="1"/>
  <c r="AG500" i="2"/>
  <c r="AH500" i="2"/>
  <c r="AA500" i="2"/>
  <c r="AB500" i="2" s="1"/>
  <c r="X500" i="2"/>
  <c r="Y500" i="2"/>
  <c r="U499" i="2"/>
  <c r="V499" i="2" s="1"/>
  <c r="X499" i="2"/>
  <c r="Y499" i="2"/>
  <c r="AA499" i="2"/>
  <c r="AB499" i="2" s="1"/>
  <c r="AD499" i="2"/>
  <c r="AE499" i="2"/>
  <c r="AG499" i="2"/>
  <c r="AH499" i="2" s="1"/>
  <c r="R499" i="2"/>
  <c r="S499" i="2"/>
  <c r="R498" i="2"/>
  <c r="S498" i="2"/>
  <c r="U498" i="2"/>
  <c r="V498" i="2"/>
  <c r="X498" i="2"/>
  <c r="Y498" i="2" s="1"/>
  <c r="AA498" i="2"/>
  <c r="AB498" i="2" s="1"/>
  <c r="AD498" i="2"/>
  <c r="AE498" i="2" s="1"/>
  <c r="AG498" i="2"/>
  <c r="AH498" i="2" s="1"/>
  <c r="U497" i="2"/>
  <c r="V497" i="2"/>
  <c r="X497" i="2"/>
  <c r="Y497" i="2"/>
  <c r="AD497" i="2"/>
  <c r="AE497" i="2"/>
  <c r="AG497" i="2"/>
  <c r="AH497" i="2" s="1"/>
  <c r="R497" i="2"/>
  <c r="S497" i="2"/>
  <c r="AA497" i="2"/>
  <c r="AB497" i="2"/>
  <c r="AA496" i="2"/>
  <c r="AB496" i="2" s="1"/>
  <c r="AD496" i="2"/>
  <c r="AE496" i="2"/>
  <c r="AG496" i="2"/>
  <c r="AH496" i="2" s="1"/>
  <c r="U482" i="2"/>
  <c r="V482" i="2"/>
  <c r="X482" i="2"/>
  <c r="Y482" i="2"/>
  <c r="U481" i="2"/>
  <c r="V481" i="2"/>
  <c r="AD481" i="2"/>
  <c r="AE481" i="2" s="1"/>
  <c r="AA481" i="2"/>
  <c r="AB481" i="2" s="1"/>
  <c r="X481" i="2"/>
  <c r="Y481" i="2" s="1"/>
  <c r="AI481" i="2" s="1" a="1"/>
  <c r="AI481" i="2" s="1"/>
  <c r="R481" i="2"/>
  <c r="S481" i="2"/>
  <c r="AG481" i="2"/>
  <c r="AH481" i="2" s="1"/>
  <c r="R480" i="2"/>
  <c r="S480" i="2"/>
  <c r="AG480" i="2"/>
  <c r="AH480" i="2"/>
  <c r="AD480" i="2"/>
  <c r="AE480" i="2"/>
  <c r="AA480" i="2"/>
  <c r="AB480" i="2" s="1"/>
  <c r="X480" i="2"/>
  <c r="Y480" i="2"/>
  <c r="U480" i="2"/>
  <c r="V480" i="2"/>
  <c r="AG479" i="2"/>
  <c r="AH479" i="2"/>
  <c r="AD479" i="2"/>
  <c r="AE479" i="2" s="1"/>
  <c r="AA479" i="2"/>
  <c r="AB479" i="2" s="1"/>
  <c r="X479" i="2"/>
  <c r="Y479" i="2" s="1"/>
  <c r="U479" i="2"/>
  <c r="V479" i="2" s="1"/>
  <c r="R479" i="2"/>
  <c r="S479" i="2" s="1"/>
  <c r="AA478" i="2"/>
  <c r="AB478" i="2" s="1"/>
  <c r="R478" i="2"/>
  <c r="S478" i="2" s="1"/>
  <c r="AI478" i="2" s="1" a="1"/>
  <c r="AI478" i="2" s="1"/>
  <c r="U478" i="2"/>
  <c r="V478" i="2" s="1"/>
  <c r="X478" i="2"/>
  <c r="Y478" i="2" s="1"/>
  <c r="AD478" i="2"/>
  <c r="AE478" i="2" s="1"/>
  <c r="AG478" i="2"/>
  <c r="AH478" i="2" s="1"/>
  <c r="AA477" i="2"/>
  <c r="AB477" i="2" s="1"/>
  <c r="AD477" i="2"/>
  <c r="AE477" i="2" s="1"/>
  <c r="AG477" i="2"/>
  <c r="AH477" i="2" s="1"/>
  <c r="R477" i="2"/>
  <c r="S477" i="2" s="1"/>
  <c r="AI477" i="2" s="1" a="1"/>
  <c r="AI477" i="2" s="1"/>
  <c r="U477" i="2"/>
  <c r="V477" i="2" s="1"/>
  <c r="X477" i="2"/>
  <c r="Y477" i="2" s="1"/>
  <c r="AA476" i="2"/>
  <c r="AB476" i="2" s="1"/>
  <c r="AG476" i="2"/>
  <c r="AH476" i="2" s="1"/>
  <c r="AD476" i="2"/>
  <c r="AE476" i="2"/>
  <c r="X476" i="2"/>
  <c r="Y476" i="2"/>
  <c r="U476" i="2"/>
  <c r="V476" i="2"/>
  <c r="R476" i="2"/>
  <c r="S476" i="2"/>
  <c r="R475" i="2"/>
  <c r="S475" i="2"/>
  <c r="AG475" i="2"/>
  <c r="AH475" i="2" s="1"/>
  <c r="AD475" i="2"/>
  <c r="AE475" i="2" s="1"/>
  <c r="AA475" i="2"/>
  <c r="AB475" i="2" s="1"/>
  <c r="X475" i="2"/>
  <c r="Y475" i="2" s="1"/>
  <c r="U475" i="2"/>
  <c r="V475" i="2" s="1"/>
  <c r="AI475" i="2" s="1" a="1"/>
  <c r="AI475" i="2" s="1"/>
  <c r="AG474" i="2"/>
  <c r="AH474" i="2" s="1"/>
  <c r="AD474" i="2"/>
  <c r="AE474" i="2"/>
  <c r="AA474" i="2"/>
  <c r="AB474" i="2"/>
  <c r="X474" i="2"/>
  <c r="Y474" i="2"/>
  <c r="U474" i="2"/>
  <c r="V474" i="2" s="1"/>
  <c r="R474" i="2"/>
  <c r="S474" i="2"/>
  <c r="U473" i="2"/>
  <c r="V473" i="2" s="1"/>
  <c r="AA473" i="2"/>
  <c r="AB473" i="2" s="1"/>
  <c r="X473" i="2"/>
  <c r="Y473" i="2"/>
  <c r="R473" i="2"/>
  <c r="S473" i="2"/>
  <c r="AG473" i="2"/>
  <c r="AH473" i="2" s="1"/>
  <c r="AD473" i="2"/>
  <c r="AE473" i="2" s="1"/>
  <c r="AG472" i="2"/>
  <c r="AH472" i="2" s="1"/>
  <c r="AD472" i="2"/>
  <c r="AE472" i="2" s="1"/>
  <c r="AI472" i="2" s="1" a="1"/>
  <c r="AI472" i="2" s="1"/>
  <c r="X472" i="2"/>
  <c r="Y472" i="2"/>
  <c r="U472" i="2"/>
  <c r="V472" i="2"/>
  <c r="R472" i="2"/>
  <c r="S472" i="2"/>
  <c r="AA472" i="2"/>
  <c r="AB472" i="2"/>
  <c r="AA471" i="2"/>
  <c r="AB471" i="2" s="1"/>
  <c r="AG471" i="2"/>
  <c r="AH471" i="2" s="1"/>
  <c r="R471" i="2"/>
  <c r="S471" i="2" s="1"/>
  <c r="AI471" i="2" s="1" a="1"/>
  <c r="AI471" i="2" s="1"/>
  <c r="AD471" i="2"/>
  <c r="AE471" i="2"/>
  <c r="U471" i="2"/>
  <c r="V471" i="2" s="1"/>
  <c r="X471" i="2"/>
  <c r="Y471" i="2" s="1"/>
  <c r="R470" i="2"/>
  <c r="S470" i="2" s="1"/>
  <c r="AI470" i="2" s="1" a="1"/>
  <c r="AI470" i="2" s="1"/>
  <c r="AD470" i="2"/>
  <c r="AE470" i="2"/>
  <c r="AA470" i="2"/>
  <c r="AB470" i="2" s="1"/>
  <c r="X470" i="2"/>
  <c r="Y470" i="2" s="1"/>
  <c r="U470" i="2"/>
  <c r="V470" i="2" s="1"/>
  <c r="AG470" i="2"/>
  <c r="AH470" i="2"/>
  <c r="X469" i="2"/>
  <c r="Y469" i="2" s="1"/>
  <c r="U469" i="2"/>
  <c r="V469" i="2"/>
  <c r="R469" i="2"/>
  <c r="S469" i="2"/>
  <c r="AG469" i="2"/>
  <c r="AH469" i="2" s="1"/>
  <c r="AD469" i="2"/>
  <c r="AE469" i="2"/>
  <c r="AA469" i="2"/>
  <c r="AB469" i="2" s="1"/>
  <c r="AD468" i="2"/>
  <c r="AE468" i="2" s="1"/>
  <c r="U468" i="2"/>
  <c r="V468" i="2"/>
  <c r="X468" i="2"/>
  <c r="Y468" i="2" s="1"/>
  <c r="AI468" i="2" s="1" a="1"/>
  <c r="AI468" i="2" s="1"/>
  <c r="AA468" i="2"/>
  <c r="AB468" i="2" s="1"/>
  <c r="AG468" i="2"/>
  <c r="AH468" i="2" s="1"/>
  <c r="R468" i="2"/>
  <c r="S468" i="2"/>
  <c r="X467" i="2"/>
  <c r="Y467" i="2"/>
  <c r="U467" i="2"/>
  <c r="V467" i="2" s="1"/>
  <c r="R467" i="2"/>
  <c r="S467" i="2" s="1"/>
  <c r="AI467" i="2" s="1" a="1"/>
  <c r="AI467" i="2" s="1"/>
  <c r="AG467" i="2"/>
  <c r="AH467" i="2"/>
  <c r="AD467" i="2"/>
  <c r="AE467" i="2"/>
  <c r="AA467" i="2"/>
  <c r="AB467" i="2" s="1"/>
  <c r="R466" i="2"/>
  <c r="S466" i="2"/>
  <c r="AG466" i="2"/>
  <c r="AH466" i="2"/>
  <c r="AD466" i="2"/>
  <c r="AE466" i="2" s="1"/>
  <c r="AA466" i="2"/>
  <c r="AB466" i="2" s="1"/>
  <c r="X466" i="2"/>
  <c r="Y466" i="2" s="1"/>
  <c r="U466" i="2"/>
  <c r="V466" i="2"/>
  <c r="AG465" i="2"/>
  <c r="AH465" i="2"/>
  <c r="AD465" i="2"/>
  <c r="AE465" i="2" s="1"/>
  <c r="AA465" i="2"/>
  <c r="AB465" i="2" s="1"/>
  <c r="X465" i="2"/>
  <c r="Y465" i="2"/>
  <c r="U465" i="2"/>
  <c r="V465" i="2" s="1"/>
  <c r="R465" i="2"/>
  <c r="S465" i="2"/>
  <c r="R464" i="2"/>
  <c r="S464" i="2" s="1"/>
  <c r="AI464" i="2" s="1" a="1"/>
  <c r="AI464" i="2" s="1"/>
  <c r="AG464" i="2"/>
  <c r="AH464" i="2"/>
  <c r="AD464" i="2"/>
  <c r="AE464" i="2" s="1"/>
  <c r="AA464" i="2"/>
  <c r="AB464" i="2" s="1"/>
  <c r="X464" i="2"/>
  <c r="Y464" i="2"/>
  <c r="U464" i="2"/>
  <c r="V464" i="2"/>
  <c r="X463" i="2"/>
  <c r="Y463" i="2"/>
  <c r="AG463" i="2"/>
  <c r="AH463" i="2" s="1"/>
  <c r="AD463" i="2"/>
  <c r="AE463" i="2" s="1"/>
  <c r="AA463" i="2"/>
  <c r="AB463" i="2" s="1"/>
  <c r="U463" i="2"/>
  <c r="V463" i="2"/>
  <c r="R463" i="2"/>
  <c r="S463" i="2"/>
  <c r="X462" i="2"/>
  <c r="Y462" i="2"/>
  <c r="AA462" i="2"/>
  <c r="AB462" i="2"/>
  <c r="AD462" i="2"/>
  <c r="AE462" i="2"/>
  <c r="AG462" i="2"/>
  <c r="AH462" i="2" s="1"/>
  <c r="AI462" i="2" s="1" a="1"/>
  <c r="AI462" i="2" s="1"/>
  <c r="R462" i="2"/>
  <c r="S462" i="2"/>
  <c r="U462" i="2"/>
  <c r="V462" i="2"/>
  <c r="R461" i="2"/>
  <c r="S461" i="2" s="1"/>
  <c r="U461" i="2"/>
  <c r="V461" i="2"/>
  <c r="X461" i="2"/>
  <c r="Y461" i="2"/>
  <c r="AA461" i="2"/>
  <c r="AB461" i="2" s="1"/>
  <c r="AD461" i="2"/>
  <c r="AE461" i="2"/>
  <c r="AG461" i="2"/>
  <c r="AH461" i="2" s="1"/>
  <c r="R460" i="2"/>
  <c r="S460" i="2" s="1"/>
  <c r="AG460" i="2"/>
  <c r="AH460" i="2" s="1"/>
  <c r="AD460" i="2"/>
  <c r="AE460" i="2"/>
  <c r="AA460" i="2"/>
  <c r="AB460" i="2" s="1"/>
  <c r="X460" i="2"/>
  <c r="Y460" i="2" s="1"/>
  <c r="U460" i="2"/>
  <c r="V460" i="2"/>
  <c r="U459" i="2"/>
  <c r="V459" i="2" s="1"/>
  <c r="X459" i="2"/>
  <c r="Y459" i="2"/>
  <c r="AA459" i="2"/>
  <c r="AB459" i="2"/>
  <c r="AD459" i="2"/>
  <c r="AE459" i="2"/>
  <c r="AG459" i="2"/>
  <c r="AH459" i="2" s="1"/>
  <c r="R459" i="2"/>
  <c r="S459" i="2" s="1"/>
  <c r="R458" i="2"/>
  <c r="S458" i="2" s="1"/>
  <c r="U458" i="2"/>
  <c r="V458" i="2"/>
  <c r="X458" i="2"/>
  <c r="Y458" i="2" s="1"/>
  <c r="AA458" i="2"/>
  <c r="AB458" i="2" s="1"/>
  <c r="AD458" i="2"/>
  <c r="AE458" i="2"/>
  <c r="AG458" i="2"/>
  <c r="AH458" i="2" s="1"/>
  <c r="AG457" i="2"/>
  <c r="AH457" i="2" s="1"/>
  <c r="U457" i="2"/>
  <c r="V457" i="2" s="1"/>
  <c r="X457" i="2"/>
  <c r="Y457" i="2"/>
  <c r="AA457" i="2"/>
  <c r="AB457" i="2" s="1"/>
  <c r="AD457" i="2"/>
  <c r="AE457" i="2"/>
  <c r="R457" i="2"/>
  <c r="S457" i="2" s="1"/>
  <c r="U456" i="2"/>
  <c r="V456" i="2"/>
  <c r="AD456" i="2"/>
  <c r="AE456" i="2" s="1"/>
  <c r="X456" i="2"/>
  <c r="Y456" i="2" s="1"/>
  <c r="AA456" i="2"/>
  <c r="AB456" i="2" s="1"/>
  <c r="R456" i="2"/>
  <c r="S456" i="2" s="1"/>
  <c r="AI456" i="2" s="1" a="1"/>
  <c r="AI456" i="2" s="1"/>
  <c r="AG456" i="2"/>
  <c r="AH456" i="2"/>
  <c r="AD455" i="2"/>
  <c r="AE455" i="2"/>
  <c r="AG455" i="2"/>
  <c r="AH455" i="2" s="1"/>
  <c r="R455" i="2"/>
  <c r="S455" i="2"/>
  <c r="U455" i="2"/>
  <c r="V455" i="2" s="1"/>
  <c r="X455" i="2"/>
  <c r="Y455" i="2" s="1"/>
  <c r="AA455" i="2"/>
  <c r="AB455" i="2" s="1"/>
  <c r="AA454" i="2"/>
  <c r="AB454" i="2"/>
  <c r="X454" i="2"/>
  <c r="Y454" i="2" s="1"/>
  <c r="U454" i="2"/>
  <c r="V454" i="2" s="1"/>
  <c r="AD454" i="2"/>
  <c r="AE454" i="2"/>
  <c r="AG454" i="2"/>
  <c r="AH454" i="2"/>
  <c r="R454" i="2"/>
  <c r="S454" i="2" s="1"/>
  <c r="X453" i="2"/>
  <c r="Y453" i="2"/>
  <c r="R453" i="2"/>
  <c r="S453" i="2" s="1"/>
  <c r="AG453" i="2"/>
  <c r="AH453" i="2" s="1"/>
  <c r="AD453" i="2"/>
  <c r="AE453" i="2"/>
  <c r="AA453" i="2"/>
  <c r="AB453" i="2" s="1"/>
  <c r="U453" i="2"/>
  <c r="V453" i="2"/>
  <c r="R452" i="2"/>
  <c r="S452" i="2" s="1"/>
  <c r="AG452" i="2"/>
  <c r="AH452" i="2" s="1"/>
  <c r="AD452" i="2"/>
  <c r="AE452" i="2"/>
  <c r="AA452" i="2"/>
  <c r="AB452" i="2"/>
  <c r="X452" i="2"/>
  <c r="Y452" i="2"/>
  <c r="U452" i="2"/>
  <c r="V452" i="2"/>
  <c r="AD451" i="2"/>
  <c r="AE451" i="2" s="1"/>
  <c r="AG451" i="2"/>
  <c r="AH451" i="2" s="1"/>
  <c r="R451" i="2"/>
  <c r="S451" i="2" s="1"/>
  <c r="U451" i="2"/>
  <c r="V451" i="2"/>
  <c r="X451" i="2"/>
  <c r="Y451" i="2" s="1"/>
  <c r="AA451" i="2"/>
  <c r="AB451" i="2"/>
  <c r="R450" i="2"/>
  <c r="S450" i="2"/>
  <c r="AG450" i="2"/>
  <c r="AH450" i="2"/>
  <c r="U450" i="2"/>
  <c r="V450" i="2"/>
  <c r="X450" i="2"/>
  <c r="Y450" i="2"/>
  <c r="AA450" i="2"/>
  <c r="AB450" i="2"/>
  <c r="AD450" i="2"/>
  <c r="AE450" i="2"/>
  <c r="R449" i="2"/>
  <c r="S449" i="2"/>
  <c r="AG449" i="2"/>
  <c r="AH449" i="2"/>
  <c r="AD449" i="2"/>
  <c r="AE449" i="2"/>
  <c r="AA449" i="2"/>
  <c r="AB449" i="2"/>
  <c r="X449" i="2"/>
  <c r="Y449" i="2"/>
  <c r="U449" i="2"/>
  <c r="V449" i="2"/>
  <c r="R448" i="2"/>
  <c r="S448" i="2"/>
  <c r="AG448" i="2"/>
  <c r="AH448" i="2"/>
  <c r="AD448" i="2"/>
  <c r="AE448" i="2"/>
  <c r="AA448" i="2"/>
  <c r="AB448" i="2"/>
  <c r="X448" i="2"/>
  <c r="Y448" i="2"/>
  <c r="U448" i="2"/>
  <c r="V448" i="2"/>
  <c r="R447" i="2"/>
  <c r="S447" i="2"/>
  <c r="AG447" i="2"/>
  <c r="AH447" i="2"/>
  <c r="AD447" i="2"/>
  <c r="AE447" i="2"/>
  <c r="AA447" i="2"/>
  <c r="AB447" i="2"/>
  <c r="U447" i="2"/>
  <c r="V447" i="2"/>
  <c r="X447" i="2"/>
  <c r="Y447" i="2"/>
  <c r="U446" i="2"/>
  <c r="V446" i="2"/>
  <c r="X446" i="2"/>
  <c r="Y446" i="2"/>
  <c r="AA446" i="2"/>
  <c r="AB446" i="2"/>
  <c r="AD446" i="2"/>
  <c r="AE446" i="2"/>
  <c r="AG446" i="2"/>
  <c r="AH446" i="2"/>
  <c r="R446" i="2"/>
  <c r="S446" i="2"/>
  <c r="AD445" i="2"/>
  <c r="AE445" i="2"/>
  <c r="AA445" i="2"/>
  <c r="AB445" i="2"/>
  <c r="R445" i="2"/>
  <c r="S445" i="2"/>
  <c r="U445" i="2"/>
  <c r="V445" i="2"/>
  <c r="X445" i="2"/>
  <c r="Y445" i="2"/>
  <c r="AG445" i="2"/>
  <c r="AH445" i="2"/>
  <c r="X444" i="2"/>
  <c r="Y444" i="2"/>
  <c r="U444" i="2"/>
  <c r="V444" i="2"/>
  <c r="R444" i="2"/>
  <c r="S444" i="2"/>
  <c r="AG444" i="2"/>
  <c r="AH444" i="2"/>
  <c r="AD444" i="2"/>
  <c r="AE444" i="2"/>
  <c r="AA444" i="2"/>
  <c r="AB444" i="2"/>
  <c r="X443" i="2"/>
  <c r="Y443" i="2"/>
  <c r="U443" i="2"/>
  <c r="V443" i="2"/>
  <c r="AG443" i="2"/>
  <c r="AH443" i="2"/>
  <c r="AD443" i="2"/>
  <c r="AE443" i="2"/>
  <c r="R443" i="2"/>
  <c r="S443" i="2"/>
  <c r="AA443" i="2"/>
  <c r="AB443" i="2"/>
  <c r="R442" i="2"/>
  <c r="S442" i="2"/>
  <c r="AG442" i="2"/>
  <c r="AH442" i="2"/>
  <c r="AD442" i="2"/>
  <c r="AE442" i="2"/>
  <c r="AA442" i="2"/>
  <c r="AB442" i="2"/>
  <c r="X442" i="2"/>
  <c r="Y442" i="2"/>
  <c r="U442" i="2"/>
  <c r="V442" i="2"/>
  <c r="AD441" i="2"/>
  <c r="AE441" i="2"/>
  <c r="U441" i="2"/>
  <c r="V441" i="2"/>
  <c r="X441" i="2"/>
  <c r="Y441" i="2"/>
  <c r="AA441" i="2"/>
  <c r="AB441" i="2"/>
  <c r="R441" i="2"/>
  <c r="S441" i="2"/>
  <c r="AG441" i="2"/>
  <c r="AH441" i="2"/>
  <c r="AG440" i="2"/>
  <c r="AH440" i="2"/>
  <c r="R440" i="2"/>
  <c r="S440" i="2"/>
  <c r="U440" i="2"/>
  <c r="V440" i="2"/>
  <c r="X440" i="2"/>
  <c r="Y440" i="2"/>
  <c r="AA440" i="2"/>
  <c r="AB440" i="2"/>
  <c r="AD440" i="2"/>
  <c r="AE440" i="2"/>
  <c r="AA439" i="2"/>
  <c r="AB439" i="2"/>
  <c r="AD439" i="2"/>
  <c r="AE439" i="2"/>
  <c r="AG439" i="2"/>
  <c r="AH439" i="2"/>
  <c r="R439" i="2"/>
  <c r="S439" i="2"/>
  <c r="U439" i="2"/>
  <c r="V439" i="2"/>
  <c r="X439" i="2"/>
  <c r="Y439" i="2"/>
  <c r="X438" i="2"/>
  <c r="Y438" i="2"/>
  <c r="U438" i="2"/>
  <c r="V438" i="2"/>
  <c r="R438" i="2"/>
  <c r="S438" i="2"/>
  <c r="AG438" i="2"/>
  <c r="AH438" i="2"/>
  <c r="AD438" i="2"/>
  <c r="AE438" i="2"/>
  <c r="AA438" i="2"/>
  <c r="AB438" i="2"/>
  <c r="R437" i="2"/>
  <c r="S437" i="2"/>
  <c r="U437" i="2"/>
  <c r="V437" i="2"/>
  <c r="AA437" i="2"/>
  <c r="AB437" i="2"/>
  <c r="X437" i="2"/>
  <c r="Y437" i="2"/>
  <c r="AD437" i="2"/>
  <c r="AE437" i="2"/>
  <c r="AG437" i="2"/>
  <c r="AH437" i="2"/>
  <c r="R436" i="2"/>
  <c r="S436" i="2"/>
  <c r="AD436" i="2"/>
  <c r="AE436" i="2"/>
  <c r="AG436" i="2"/>
  <c r="AH436" i="2"/>
  <c r="U436" i="2"/>
  <c r="V436" i="2"/>
  <c r="AA436" i="2"/>
  <c r="AB436" i="2"/>
  <c r="X436" i="2"/>
  <c r="Y436" i="2"/>
  <c r="R397" i="2"/>
  <c r="S397" i="2"/>
  <c r="U397" i="2"/>
  <c r="V397" i="2"/>
  <c r="X397" i="2"/>
  <c r="Y397" i="2"/>
  <c r="AA397" i="2"/>
  <c r="AB397" i="2"/>
  <c r="U396" i="2"/>
  <c r="V396" i="2"/>
  <c r="AG396" i="2"/>
  <c r="AH396" i="2"/>
  <c r="AD396" i="2"/>
  <c r="AE396" i="2"/>
  <c r="AA396" i="2"/>
  <c r="AB396" i="2"/>
  <c r="X396" i="2"/>
  <c r="Y396" i="2"/>
  <c r="R396" i="2"/>
  <c r="S396" i="2"/>
  <c r="R395" i="2"/>
  <c r="S395" i="2"/>
  <c r="U395" i="2"/>
  <c r="V395" i="2"/>
  <c r="AG395" i="2"/>
  <c r="AH395" i="2"/>
  <c r="AD395" i="2"/>
  <c r="AE395" i="2"/>
  <c r="AA395" i="2"/>
  <c r="AB395" i="2"/>
  <c r="X395" i="2"/>
  <c r="Y395" i="2"/>
  <c r="AD394" i="2"/>
  <c r="AE394" i="2"/>
  <c r="U394" i="2"/>
  <c r="V394" i="2"/>
  <c r="X394" i="2"/>
  <c r="Y394" i="2"/>
  <c r="AA394" i="2"/>
  <c r="AB394" i="2"/>
  <c r="AG394" i="2"/>
  <c r="AH394" i="2"/>
  <c r="R394" i="2"/>
  <c r="S394" i="2"/>
  <c r="AD393" i="2"/>
  <c r="AE393" i="2"/>
  <c r="R393" i="2"/>
  <c r="S393" i="2"/>
  <c r="AG393" i="2"/>
  <c r="AH393" i="2"/>
  <c r="X393" i="2"/>
  <c r="Y393" i="2"/>
  <c r="AA393" i="2"/>
  <c r="AB393" i="2"/>
  <c r="U393" i="2"/>
  <c r="V393" i="2"/>
  <c r="AA312" i="2"/>
  <c r="AB312" i="2"/>
  <c r="AD312" i="2"/>
  <c r="AE312" i="2"/>
  <c r="X312" i="2"/>
  <c r="Y312" i="2"/>
  <c r="U312" i="2"/>
  <c r="V312" i="2"/>
  <c r="R312" i="2"/>
  <c r="S312" i="2"/>
  <c r="AG311" i="2"/>
  <c r="AH311" i="2"/>
  <c r="AA311" i="2"/>
  <c r="AB311" i="2"/>
  <c r="X311" i="2"/>
  <c r="Y311" i="2"/>
  <c r="U311" i="2"/>
  <c r="V311" i="2"/>
  <c r="R311" i="2"/>
  <c r="S311" i="2"/>
  <c r="AD311" i="2"/>
  <c r="AE311" i="2"/>
  <c r="AG310" i="2"/>
  <c r="AH310" i="2"/>
  <c r="AA310" i="2"/>
  <c r="AB310" i="2"/>
  <c r="AD310" i="2"/>
  <c r="AE310" i="2"/>
  <c r="X310" i="2"/>
  <c r="Y310" i="2"/>
  <c r="U310" i="2"/>
  <c r="V310" i="2"/>
  <c r="R310" i="2"/>
  <c r="S310" i="2"/>
  <c r="AG309" i="2"/>
  <c r="AH309" i="2"/>
  <c r="AA309" i="2"/>
  <c r="AB309" i="2"/>
  <c r="X309" i="2"/>
  <c r="Y309" i="2"/>
  <c r="U309" i="2"/>
  <c r="V309" i="2"/>
  <c r="R309" i="2"/>
  <c r="S309" i="2"/>
  <c r="AD309" i="2"/>
  <c r="AE309" i="2"/>
  <c r="AA308" i="2"/>
  <c r="AB308" i="2"/>
  <c r="R308" i="2"/>
  <c r="S308" i="2"/>
  <c r="U308" i="2"/>
  <c r="V308" i="2"/>
  <c r="X308" i="2"/>
  <c r="Y308" i="2"/>
  <c r="AD308" i="2"/>
  <c r="AE308" i="2"/>
  <c r="AG308" i="2"/>
  <c r="AH308" i="2"/>
  <c r="R307" i="2"/>
  <c r="S307" i="2"/>
  <c r="U307" i="2"/>
  <c r="V307" i="2"/>
  <c r="X307" i="2"/>
  <c r="Y307" i="2"/>
  <c r="AD307" i="2"/>
  <c r="AE307" i="2"/>
  <c r="AA307" i="2"/>
  <c r="AB307" i="2"/>
  <c r="AG307" i="2"/>
  <c r="AH307" i="2"/>
  <c r="AA306" i="2"/>
  <c r="AB306" i="2"/>
  <c r="AD306" i="2"/>
  <c r="AE306" i="2"/>
  <c r="X306" i="2"/>
  <c r="Y306" i="2"/>
  <c r="U306" i="2"/>
  <c r="V306" i="2"/>
  <c r="R306" i="2"/>
  <c r="S306" i="2"/>
  <c r="AG306" i="2"/>
  <c r="AH306" i="2"/>
  <c r="AA305" i="2"/>
  <c r="AB305" i="2"/>
  <c r="AD305" i="2"/>
  <c r="AE305" i="2"/>
  <c r="X305" i="2"/>
  <c r="Y305" i="2"/>
  <c r="U305" i="2"/>
  <c r="V305" i="2"/>
  <c r="R305" i="2"/>
  <c r="S305" i="2"/>
  <c r="AG305" i="2"/>
  <c r="AH305" i="2"/>
  <c r="AG304" i="2"/>
  <c r="AH304" i="2"/>
  <c r="AA304" i="2"/>
  <c r="AB304" i="2"/>
  <c r="AD304" i="2"/>
  <c r="AE304" i="2"/>
  <c r="X304" i="2"/>
  <c r="Y304" i="2"/>
  <c r="R304" i="2"/>
  <c r="S304" i="2"/>
  <c r="U304" i="2"/>
  <c r="V304" i="2"/>
  <c r="AA303" i="2"/>
  <c r="AB303" i="2"/>
  <c r="AD303" i="2"/>
  <c r="AE303" i="2"/>
  <c r="X303" i="2"/>
  <c r="Y303" i="2"/>
  <c r="U303" i="2"/>
  <c r="V303" i="2"/>
  <c r="R303" i="2"/>
  <c r="S303" i="2"/>
  <c r="AG303" i="2"/>
  <c r="AH303" i="2"/>
  <c r="AA302" i="2"/>
  <c r="AB302" i="2"/>
  <c r="AG302" i="2"/>
  <c r="AH302" i="2"/>
  <c r="AD302" i="2"/>
  <c r="AE302" i="2"/>
  <c r="R302" i="2"/>
  <c r="S302" i="2"/>
  <c r="U302" i="2"/>
  <c r="V302" i="2"/>
  <c r="X302" i="2"/>
  <c r="Y302" i="2"/>
  <c r="R301" i="2"/>
  <c r="S301" i="2"/>
  <c r="U301" i="2"/>
  <c r="V301" i="2"/>
  <c r="X301" i="2"/>
  <c r="Y301" i="2"/>
  <c r="AD301" i="2"/>
  <c r="AE301" i="2"/>
  <c r="AA301" i="2"/>
  <c r="AB301" i="2"/>
  <c r="AG301" i="2"/>
  <c r="AH301" i="2"/>
  <c r="U300" i="2"/>
  <c r="V300" i="2"/>
  <c r="X300" i="2"/>
  <c r="Y300" i="2"/>
  <c r="AD300" i="2"/>
  <c r="AE300" i="2"/>
  <c r="AA300" i="2"/>
  <c r="AB300" i="2"/>
  <c r="AG300" i="2"/>
  <c r="AH300" i="2"/>
  <c r="R300" i="2"/>
  <c r="S300" i="2"/>
  <c r="AG610" i="2"/>
  <c r="AH610" i="2"/>
  <c r="AD610" i="2"/>
  <c r="AE610" i="2"/>
  <c r="AA610" i="2"/>
  <c r="AB610" i="2"/>
  <c r="X610" i="2"/>
  <c r="Y610" i="2"/>
  <c r="U610" i="2"/>
  <c r="V610" i="2"/>
  <c r="R610" i="2"/>
  <c r="S610" i="2"/>
  <c r="X609" i="2"/>
  <c r="Y609" i="2"/>
  <c r="AG609" i="2"/>
  <c r="AH609" i="2"/>
  <c r="AA609" i="2"/>
  <c r="AB609" i="2"/>
  <c r="U609" i="2"/>
  <c r="V609" i="2"/>
  <c r="AD609" i="2"/>
  <c r="AE609" i="2"/>
  <c r="R609" i="2"/>
  <c r="S609" i="2"/>
  <c r="X608" i="2"/>
  <c r="Y608" i="2"/>
  <c r="U608" i="2"/>
  <c r="V608" i="2"/>
  <c r="AG608" i="2"/>
  <c r="AH608" i="2"/>
  <c r="AD608" i="2"/>
  <c r="AE608" i="2"/>
  <c r="AA608" i="2"/>
  <c r="AB608" i="2"/>
  <c r="R608" i="2"/>
  <c r="S608" i="2"/>
  <c r="U607" i="2"/>
  <c r="V607" i="2"/>
  <c r="X607" i="2"/>
  <c r="Y607" i="2"/>
  <c r="AA607" i="2"/>
  <c r="AB607" i="2"/>
  <c r="AD607" i="2"/>
  <c r="AE607" i="2"/>
  <c r="AG607" i="2"/>
  <c r="AH607" i="2"/>
  <c r="R607" i="2"/>
  <c r="S607" i="2"/>
  <c r="R606" i="2"/>
  <c r="S606" i="2"/>
  <c r="AG606" i="2"/>
  <c r="AH606" i="2"/>
  <c r="AD606" i="2"/>
  <c r="AE606" i="2"/>
  <c r="AA606" i="2"/>
  <c r="AB606" i="2"/>
  <c r="X606" i="2"/>
  <c r="Y606" i="2"/>
  <c r="U606" i="2"/>
  <c r="V606" i="2"/>
  <c r="AG605" i="2"/>
  <c r="AH605" i="2"/>
  <c r="U605" i="2"/>
  <c r="V605" i="2"/>
  <c r="R605" i="2"/>
  <c r="S605" i="2"/>
  <c r="AD605" i="2"/>
  <c r="AE605" i="2"/>
  <c r="AA605" i="2"/>
  <c r="AB605" i="2"/>
  <c r="X605" i="2"/>
  <c r="Y605" i="2"/>
  <c r="AD604" i="2"/>
  <c r="AE604" i="2"/>
  <c r="AA604" i="2"/>
  <c r="AB604" i="2"/>
  <c r="AG604" i="2"/>
  <c r="AH604" i="2"/>
  <c r="R604" i="2"/>
  <c r="S604" i="2"/>
  <c r="U604" i="2"/>
  <c r="V604" i="2"/>
  <c r="X604" i="2"/>
  <c r="Y604" i="2"/>
  <c r="R603" i="2"/>
  <c r="S603" i="2"/>
  <c r="U603" i="2"/>
  <c r="V603" i="2"/>
  <c r="X603" i="2"/>
  <c r="Y603" i="2"/>
  <c r="AD603" i="2"/>
  <c r="AE603" i="2"/>
  <c r="AG603" i="2"/>
  <c r="AH603" i="2"/>
  <c r="AA603" i="2"/>
  <c r="AB603" i="2"/>
  <c r="R602" i="2"/>
  <c r="S602" i="2"/>
  <c r="U602" i="2"/>
  <c r="V602" i="2"/>
  <c r="X602" i="2"/>
  <c r="Y602" i="2"/>
  <c r="AA602" i="2"/>
  <c r="AB602" i="2"/>
  <c r="AD602" i="2"/>
  <c r="AE602" i="2"/>
  <c r="AG602" i="2"/>
  <c r="AH602" i="2"/>
  <c r="R601" i="2"/>
  <c r="S601" i="2"/>
  <c r="U601" i="2"/>
  <c r="V601" i="2"/>
  <c r="X601" i="2"/>
  <c r="Y601" i="2"/>
  <c r="AA601" i="2"/>
  <c r="AB601" i="2"/>
  <c r="AG601" i="2"/>
  <c r="AH601" i="2"/>
  <c r="AD601" i="2"/>
  <c r="AE601" i="2"/>
  <c r="AG600" i="2"/>
  <c r="AH600" i="2"/>
  <c r="AD600" i="2"/>
  <c r="AE600" i="2"/>
  <c r="AA600" i="2"/>
  <c r="AB600" i="2"/>
  <c r="U600" i="2"/>
  <c r="V600" i="2"/>
  <c r="R600" i="2"/>
  <c r="S600" i="2"/>
  <c r="X600" i="2"/>
  <c r="Y600" i="2"/>
  <c r="R111" i="2"/>
  <c r="S111" i="2"/>
  <c r="U111" i="2"/>
  <c r="V111" i="2"/>
  <c r="X111" i="2"/>
  <c r="Y111" i="2"/>
  <c r="AD111" i="2"/>
  <c r="AE111" i="2"/>
  <c r="AA111" i="2"/>
  <c r="AB111" i="2"/>
  <c r="AG111" i="2"/>
  <c r="AH111" i="2"/>
  <c r="AG110" i="2"/>
  <c r="AH110" i="2"/>
  <c r="R110" i="2"/>
  <c r="S110" i="2"/>
  <c r="U110" i="2"/>
  <c r="V110" i="2"/>
  <c r="X110" i="2"/>
  <c r="Y110" i="2"/>
  <c r="AD110" i="2"/>
  <c r="AE110" i="2"/>
  <c r="AA110" i="2"/>
  <c r="AB110" i="2"/>
  <c r="U109" i="2"/>
  <c r="V109" i="2"/>
  <c r="X109" i="2"/>
  <c r="Y109" i="2"/>
  <c r="AD109" i="2"/>
  <c r="AE109" i="2"/>
  <c r="AA109" i="2"/>
  <c r="AB109" i="2"/>
  <c r="AG109" i="2"/>
  <c r="AH109" i="2"/>
  <c r="R109" i="2"/>
  <c r="S109" i="2"/>
  <c r="U1051" i="2"/>
  <c r="V1051" i="2"/>
  <c r="R1051" i="2"/>
  <c r="S1051" i="2"/>
  <c r="AG1051" i="2"/>
  <c r="AH1051" i="2"/>
  <c r="AD1051" i="2"/>
  <c r="AE1051" i="2"/>
  <c r="AA1051" i="2"/>
  <c r="AB1051" i="2"/>
  <c r="X1051" i="2"/>
  <c r="Y1051" i="2"/>
  <c r="R1050" i="2"/>
  <c r="S1050" i="2"/>
  <c r="AA1050" i="2"/>
  <c r="AB1050" i="2"/>
  <c r="X1050" i="2"/>
  <c r="Y1050" i="2"/>
  <c r="U1050" i="2"/>
  <c r="V1050" i="2"/>
  <c r="AG1050" i="2"/>
  <c r="AH1050" i="2"/>
  <c r="AD1050" i="2"/>
  <c r="AE1050" i="2"/>
  <c r="AG1049" i="2"/>
  <c r="AH1049" i="2"/>
  <c r="AD1049" i="2"/>
  <c r="AE1049" i="2"/>
  <c r="AA1049" i="2"/>
  <c r="AB1049" i="2"/>
  <c r="X1049" i="2"/>
  <c r="Y1049" i="2"/>
  <c r="U1049" i="2"/>
  <c r="V1049" i="2"/>
  <c r="R1049" i="2"/>
  <c r="S1049" i="2"/>
  <c r="AG1048" i="2"/>
  <c r="AH1048" i="2"/>
  <c r="AD1048" i="2"/>
  <c r="AE1048" i="2"/>
  <c r="AA1048" i="2"/>
  <c r="AB1048" i="2"/>
  <c r="X1048" i="2"/>
  <c r="Y1048" i="2"/>
  <c r="U1048" i="2"/>
  <c r="V1048" i="2"/>
  <c r="R1048" i="2"/>
  <c r="S1048" i="2"/>
  <c r="AD1047" i="2"/>
  <c r="AE1047" i="2"/>
  <c r="R1047" i="2"/>
  <c r="S1047" i="2"/>
  <c r="U1047" i="2"/>
  <c r="V1047" i="2"/>
  <c r="X1047" i="2"/>
  <c r="Y1047" i="2"/>
  <c r="AA1047" i="2"/>
  <c r="AB1047" i="2"/>
  <c r="AG1047" i="2"/>
  <c r="AH1047" i="2"/>
  <c r="R1046" i="2"/>
  <c r="S1046" i="2"/>
  <c r="U1046" i="2"/>
  <c r="V1046" i="2"/>
  <c r="X1046" i="2"/>
  <c r="Y1046" i="2"/>
  <c r="AA1046" i="2"/>
  <c r="AB1046" i="2"/>
  <c r="AD1046" i="2"/>
  <c r="AE1046" i="2"/>
  <c r="AG1046" i="2"/>
  <c r="AH1046" i="2"/>
  <c r="R1045" i="2"/>
  <c r="S1045" i="2"/>
  <c r="U1045" i="2"/>
  <c r="V1045" i="2"/>
  <c r="X1045" i="2"/>
  <c r="Y1045" i="2"/>
  <c r="AA1045" i="2"/>
  <c r="AB1045" i="2"/>
  <c r="AD1045" i="2"/>
  <c r="AE1045" i="2"/>
  <c r="AG1045" i="2"/>
  <c r="AH1045" i="2"/>
  <c r="R1044" i="2"/>
  <c r="S1044" i="2"/>
  <c r="AG1044" i="2"/>
  <c r="AH1044" i="2"/>
  <c r="AD1044" i="2"/>
  <c r="AE1044" i="2"/>
  <c r="AA1044" i="2"/>
  <c r="AB1044" i="2"/>
  <c r="X1044" i="2"/>
  <c r="Y1044" i="2"/>
  <c r="U1044" i="2"/>
  <c r="V1044" i="2"/>
  <c r="AA1043" i="2"/>
  <c r="AB1043" i="2"/>
  <c r="AG1043" i="2"/>
  <c r="AH1043" i="2"/>
  <c r="AD1043" i="2"/>
  <c r="AE1043" i="2"/>
  <c r="X1043" i="2"/>
  <c r="Y1043" i="2"/>
  <c r="U1043" i="2"/>
  <c r="V1043" i="2"/>
  <c r="R1043" i="2"/>
  <c r="S1043" i="2"/>
  <c r="AA1042" i="2"/>
  <c r="AB1042" i="2"/>
  <c r="X1042" i="2"/>
  <c r="Y1042" i="2"/>
  <c r="R1042" i="2"/>
  <c r="S1042" i="2"/>
  <c r="U1042" i="2"/>
  <c r="V1042" i="2"/>
  <c r="AG1042" i="2"/>
  <c r="AH1042" i="2"/>
  <c r="AD1042" i="2"/>
  <c r="AE1042" i="2"/>
  <c r="AD1041" i="2"/>
  <c r="AE1041" i="2"/>
  <c r="AA1041" i="2"/>
  <c r="AB1041" i="2"/>
  <c r="X1041" i="2"/>
  <c r="Y1041" i="2"/>
  <c r="U1041" i="2"/>
  <c r="V1041" i="2"/>
  <c r="R1041" i="2"/>
  <c r="S1041" i="2"/>
  <c r="AG1041" i="2"/>
  <c r="AH1041" i="2"/>
  <c r="U1040" i="2"/>
  <c r="V1040" i="2"/>
  <c r="R1040" i="2"/>
  <c r="S1040" i="2"/>
  <c r="AD1040" i="2"/>
  <c r="AE1040" i="2"/>
  <c r="AA1040" i="2"/>
  <c r="AB1040" i="2"/>
  <c r="X1040" i="2"/>
  <c r="Y1040" i="2"/>
  <c r="AG1040" i="2"/>
  <c r="AH1040" i="2"/>
  <c r="AA1039" i="2"/>
  <c r="AB1039" i="2"/>
  <c r="X1039" i="2"/>
  <c r="Y1039" i="2"/>
  <c r="U1039" i="2"/>
  <c r="V1039" i="2"/>
  <c r="R1039" i="2"/>
  <c r="S1039" i="2"/>
  <c r="AG1039" i="2"/>
  <c r="AH1039" i="2"/>
  <c r="AD1039" i="2"/>
  <c r="AE1039" i="2"/>
  <c r="AA1038" i="2"/>
  <c r="AB1038" i="2"/>
  <c r="X1038" i="2"/>
  <c r="Y1038" i="2"/>
  <c r="U1038" i="2"/>
  <c r="V1038" i="2"/>
  <c r="R1038" i="2"/>
  <c r="S1038" i="2"/>
  <c r="AG1038" i="2"/>
  <c r="AH1038" i="2"/>
  <c r="AD1038" i="2"/>
  <c r="AE1038" i="2"/>
  <c r="AG1037" i="2"/>
  <c r="AH1037" i="2"/>
  <c r="AD1037" i="2"/>
  <c r="AE1037" i="2"/>
  <c r="X1037" i="2"/>
  <c r="Y1037" i="2"/>
  <c r="AA1037" i="2"/>
  <c r="AB1037" i="2"/>
  <c r="U1037" i="2"/>
  <c r="V1037" i="2"/>
  <c r="R1037" i="2"/>
  <c r="S1037" i="2"/>
  <c r="U1036" i="2"/>
  <c r="V1036" i="2"/>
  <c r="R1036" i="2"/>
  <c r="S1036" i="2"/>
  <c r="AG1036" i="2"/>
  <c r="AH1036" i="2"/>
  <c r="AD1036" i="2"/>
  <c r="AE1036" i="2"/>
  <c r="AA1036" i="2"/>
  <c r="AB1036" i="2"/>
  <c r="X1036" i="2"/>
  <c r="Y1036" i="2"/>
  <c r="AA1035" i="2"/>
  <c r="AB1035" i="2"/>
  <c r="X1035" i="2"/>
  <c r="Y1035" i="2"/>
  <c r="U1035" i="2"/>
  <c r="V1035" i="2"/>
  <c r="R1035" i="2"/>
  <c r="S1035" i="2"/>
  <c r="AG1035" i="2"/>
  <c r="AH1035" i="2"/>
  <c r="AD1035" i="2"/>
  <c r="AE1035" i="2"/>
  <c r="AG1034" i="2"/>
  <c r="AH1034" i="2"/>
  <c r="AD1034" i="2"/>
  <c r="AE1034" i="2"/>
  <c r="AA1034" i="2"/>
  <c r="AB1034" i="2"/>
  <c r="X1034" i="2"/>
  <c r="Y1034" i="2" s="1"/>
  <c r="U1034" i="2"/>
  <c r="V1034" i="2"/>
  <c r="R1034" i="2"/>
  <c r="S1034" i="2"/>
  <c r="AI1034" i="2" s="1" a="1"/>
  <c r="AI1034" i="2" s="1"/>
  <c r="R1033" i="2"/>
  <c r="S1033" i="2"/>
  <c r="AA1033" i="2"/>
  <c r="AB1033" i="2"/>
  <c r="AG1033" i="2"/>
  <c r="AH1033" i="2"/>
  <c r="AD1033" i="2"/>
  <c r="AE1033" i="2"/>
  <c r="X1033" i="2"/>
  <c r="Y1033" i="2"/>
  <c r="U1033" i="2"/>
  <c r="V1033" i="2"/>
  <c r="R1032" i="2"/>
  <c r="S1032" i="2"/>
  <c r="U1032" i="2"/>
  <c r="V1032" i="2"/>
  <c r="X1032" i="2"/>
  <c r="Y1032" i="2"/>
  <c r="AA1032" i="2"/>
  <c r="AB1032" i="2"/>
  <c r="AD1032" i="2"/>
  <c r="AE1032" i="2"/>
  <c r="AG1032" i="2"/>
  <c r="AH1032" i="2"/>
  <c r="R1031" i="2"/>
  <c r="S1031" i="2"/>
  <c r="U1031" i="2"/>
  <c r="V1031" i="2"/>
  <c r="X1031" i="2"/>
  <c r="Y1031" i="2"/>
  <c r="AA1031" i="2"/>
  <c r="AB1031" i="2"/>
  <c r="AD1031" i="2"/>
  <c r="AE1031" i="2"/>
  <c r="AG1031" i="2"/>
  <c r="AH1031" i="2"/>
  <c r="AA1030" i="2"/>
  <c r="AB1030" i="2"/>
  <c r="AD1030" i="2"/>
  <c r="AE1030" i="2"/>
  <c r="AG1030" i="2"/>
  <c r="AH1030" i="2"/>
  <c r="X1030" i="2"/>
  <c r="Y1030" i="2"/>
  <c r="U1030" i="2"/>
  <c r="V1030" i="2"/>
  <c r="R1030" i="2"/>
  <c r="S1030" i="2"/>
  <c r="AD1029" i="2"/>
  <c r="AE1029" i="2"/>
  <c r="AG1029" i="2"/>
  <c r="AH1029" i="2"/>
  <c r="AA1029" i="2"/>
  <c r="AB1029" i="2"/>
  <c r="X1029" i="2"/>
  <c r="Y1029" i="2"/>
  <c r="U1029" i="2"/>
  <c r="V1029" i="2"/>
  <c r="R1029" i="2"/>
  <c r="S1029" i="2"/>
  <c r="R1028" i="2"/>
  <c r="S1028" i="2"/>
  <c r="U1028" i="2"/>
  <c r="V1028" i="2"/>
  <c r="X1028" i="2"/>
  <c r="Y1028" i="2"/>
  <c r="AA1028" i="2"/>
  <c r="AB1028" i="2"/>
  <c r="AG1028" i="2"/>
  <c r="AH1028" i="2"/>
  <c r="AD1028" i="2"/>
  <c r="AE1028" i="2"/>
  <c r="X1027" i="2"/>
  <c r="Y1027" i="2"/>
  <c r="AD1027" i="2"/>
  <c r="AE1027" i="2"/>
  <c r="AG1027" i="2"/>
  <c r="AH1027" i="2"/>
  <c r="U1027" i="2"/>
  <c r="V1027" i="2"/>
  <c r="AA1027" i="2"/>
  <c r="AB1027" i="2"/>
  <c r="R1027" i="2"/>
  <c r="S1027" i="2"/>
  <c r="R1026" i="2"/>
  <c r="S1026" i="2"/>
  <c r="U1026" i="2"/>
  <c r="V1026" i="2"/>
  <c r="X1026" i="2"/>
  <c r="Y1026" i="2"/>
  <c r="AA1026" i="2"/>
  <c r="AB1026" i="2"/>
  <c r="AD1026" i="2"/>
  <c r="AE1026" i="2"/>
  <c r="AG1026" i="2"/>
  <c r="AH1026" i="2"/>
  <c r="AG1025" i="2"/>
  <c r="AH1025" i="2"/>
  <c r="AD1025" i="2"/>
  <c r="AE1025" i="2"/>
  <c r="AA1025" i="2"/>
  <c r="AB1025" i="2"/>
  <c r="X1025" i="2"/>
  <c r="Y1025" i="2"/>
  <c r="X946" i="2"/>
  <c r="Y946" i="2"/>
  <c r="U946" i="2"/>
  <c r="V946" i="2"/>
  <c r="R946" i="2"/>
  <c r="S946" i="2"/>
  <c r="AG945" i="2"/>
  <c r="AH945" i="2"/>
  <c r="R945" i="2"/>
  <c r="S945" i="2"/>
  <c r="U945" i="2"/>
  <c r="V945" i="2"/>
  <c r="X945" i="2"/>
  <c r="Y945" i="2"/>
  <c r="AA945" i="2"/>
  <c r="AB945" i="2"/>
  <c r="AD945" i="2"/>
  <c r="AE945" i="2"/>
  <c r="AG944" i="2"/>
  <c r="AH944" i="2"/>
  <c r="R944" i="2"/>
  <c r="S944" i="2"/>
  <c r="AA944" i="2"/>
  <c r="AB944" i="2"/>
  <c r="X944" i="2"/>
  <c r="Y944" i="2"/>
  <c r="AD944" i="2"/>
  <c r="AE944" i="2"/>
  <c r="U944" i="2"/>
  <c r="V944" i="2"/>
  <c r="R943" i="2"/>
  <c r="S943" i="2"/>
  <c r="AG943" i="2"/>
  <c r="AH943" i="2"/>
  <c r="U943" i="2"/>
  <c r="V943" i="2"/>
  <c r="AA943" i="2"/>
  <c r="AB943" i="2"/>
  <c r="X943" i="2"/>
  <c r="Y943" i="2"/>
  <c r="AD943" i="2"/>
  <c r="AE943" i="2"/>
  <c r="AD942" i="2"/>
  <c r="AE942" i="2"/>
  <c r="AG942" i="2"/>
  <c r="AH942" i="2"/>
  <c r="AA942" i="2"/>
  <c r="AB942" i="2"/>
  <c r="X942" i="2"/>
  <c r="Y942" i="2"/>
  <c r="U942" i="2"/>
  <c r="V942" i="2"/>
  <c r="R942" i="2"/>
  <c r="S942" i="2"/>
  <c r="AG941" i="2"/>
  <c r="AH941" i="2"/>
  <c r="AD941" i="2"/>
  <c r="AE941" i="2"/>
  <c r="AA941" i="2"/>
  <c r="AB941" i="2"/>
  <c r="X941" i="2"/>
  <c r="Y941" i="2"/>
  <c r="U941" i="2"/>
  <c r="V941" i="2"/>
  <c r="R941" i="2"/>
  <c r="S941" i="2"/>
  <c r="AI941" i="2" s="1" a="1"/>
  <c r="AI941" i="2" s="1"/>
  <c r="X940" i="2"/>
  <c r="Y940" i="2"/>
  <c r="U940" i="2"/>
  <c r="V940" i="2"/>
  <c r="R940" i="2"/>
  <c r="S940" i="2"/>
  <c r="AI940" i="2" s="1" a="1"/>
  <c r="AI940" i="2" s="1"/>
  <c r="AG940" i="2"/>
  <c r="AH940" i="2"/>
  <c r="AD940" i="2"/>
  <c r="AE940" i="2"/>
  <c r="AA940" i="2"/>
  <c r="AB940" i="2"/>
  <c r="U939" i="2"/>
  <c r="V939" i="2"/>
  <c r="AG939" i="2"/>
  <c r="AH939" i="2"/>
  <c r="AA939" i="2"/>
  <c r="AB939" i="2"/>
  <c r="AD939" i="2"/>
  <c r="AE939" i="2"/>
  <c r="X939" i="2"/>
  <c r="Y939" i="2"/>
  <c r="R939" i="2"/>
  <c r="S939" i="2"/>
  <c r="X938" i="2"/>
  <c r="Y938" i="2"/>
  <c r="AG938" i="2"/>
  <c r="AH938" i="2"/>
  <c r="AD938" i="2"/>
  <c r="AE938" i="2"/>
  <c r="AA938" i="2"/>
  <c r="AB938" i="2"/>
  <c r="U938" i="2"/>
  <c r="V938" i="2"/>
  <c r="R938" i="2"/>
  <c r="S938" i="2"/>
  <c r="AD937" i="2"/>
  <c r="AE937" i="2"/>
  <c r="AG937" i="2"/>
  <c r="AH937" i="2"/>
  <c r="AA937" i="2"/>
  <c r="AB937" i="2"/>
  <c r="X937" i="2"/>
  <c r="Y937" i="2"/>
  <c r="U937" i="2"/>
  <c r="V937" i="2"/>
  <c r="R937" i="2"/>
  <c r="S937" i="2"/>
  <c r="AG936" i="2"/>
  <c r="AH936" i="2"/>
  <c r="AD936" i="2"/>
  <c r="AE936" i="2"/>
  <c r="AA936" i="2"/>
  <c r="AB936" i="2"/>
  <c r="X936" i="2"/>
  <c r="Y936" i="2"/>
  <c r="U936" i="2"/>
  <c r="V936" i="2"/>
  <c r="R936" i="2"/>
  <c r="S936" i="2"/>
  <c r="X935" i="2"/>
  <c r="Y935" i="2"/>
  <c r="U935" i="2"/>
  <c r="V935" i="2"/>
  <c r="R935" i="2"/>
  <c r="S935" i="2"/>
  <c r="AG935" i="2"/>
  <c r="AH935" i="2"/>
  <c r="AD935" i="2"/>
  <c r="AE935" i="2"/>
  <c r="AA935" i="2"/>
  <c r="AB935" i="2"/>
  <c r="AA934" i="2"/>
  <c r="AB934" i="2"/>
  <c r="R934" i="2"/>
  <c r="S934" i="2"/>
  <c r="U934" i="2"/>
  <c r="V934" i="2"/>
  <c r="X934" i="2"/>
  <c r="Y934" i="2"/>
  <c r="AD934" i="2"/>
  <c r="AE934" i="2"/>
  <c r="AG934" i="2"/>
  <c r="AH934" i="2"/>
  <c r="R933" i="2"/>
  <c r="S933" i="2"/>
  <c r="X933" i="2"/>
  <c r="Y933" i="2"/>
  <c r="AA933" i="2"/>
  <c r="AB933" i="2"/>
  <c r="U933" i="2"/>
  <c r="V933" i="2"/>
  <c r="AG933" i="2"/>
  <c r="AH933" i="2"/>
  <c r="AD933" i="2"/>
  <c r="AE933" i="2"/>
  <c r="X932" i="2"/>
  <c r="Y932" i="2"/>
  <c r="R932" i="2"/>
  <c r="S932" i="2"/>
  <c r="U932" i="2"/>
  <c r="V932" i="2"/>
  <c r="AG932" i="2"/>
  <c r="AH932" i="2"/>
  <c r="AD932" i="2"/>
  <c r="AE932" i="2"/>
  <c r="AA932" i="2"/>
  <c r="AB932" i="2"/>
  <c r="AA931" i="2"/>
  <c r="AB931" i="2"/>
  <c r="AD931" i="2"/>
  <c r="AE931" i="2"/>
  <c r="AG931" i="2"/>
  <c r="AH931" i="2"/>
  <c r="X931" i="2"/>
  <c r="Y931" i="2"/>
  <c r="R931" i="2"/>
  <c r="S931" i="2"/>
  <c r="U931" i="2"/>
  <c r="V931" i="2"/>
  <c r="AD930" i="2"/>
  <c r="AE930" i="2"/>
  <c r="R930" i="2"/>
  <c r="S930" i="2"/>
  <c r="U930" i="2"/>
  <c r="V930" i="2"/>
  <c r="X930" i="2"/>
  <c r="Y930" i="2"/>
  <c r="AA930" i="2"/>
  <c r="AB930" i="2"/>
  <c r="AG930" i="2"/>
  <c r="AH930" i="2"/>
  <c r="R929" i="2"/>
  <c r="S929" i="2"/>
  <c r="AG929" i="2"/>
  <c r="AH929" i="2"/>
  <c r="AA929" i="2"/>
  <c r="AB929" i="2"/>
  <c r="X929" i="2"/>
  <c r="Y929" i="2"/>
  <c r="AD929" i="2"/>
  <c r="AE929" i="2"/>
  <c r="U929" i="2"/>
  <c r="V929" i="2"/>
  <c r="R928" i="2"/>
  <c r="S928" i="2"/>
  <c r="U928" i="2"/>
  <c r="V928" i="2"/>
  <c r="X928" i="2"/>
  <c r="Y928" i="2"/>
  <c r="AG928" i="2"/>
  <c r="AH928" i="2"/>
  <c r="AA928" i="2"/>
  <c r="AB928" i="2"/>
  <c r="AD928" i="2"/>
  <c r="AE928" i="2"/>
  <c r="R927" i="2"/>
  <c r="S927" i="2"/>
  <c r="U927" i="2"/>
  <c r="V927" i="2"/>
  <c r="X927" i="2"/>
  <c r="Y927" i="2"/>
  <c r="AA927" i="2"/>
  <c r="AB927" i="2"/>
  <c r="AD927" i="2"/>
  <c r="AE927" i="2"/>
  <c r="AG927" i="2"/>
  <c r="AH927" i="2"/>
  <c r="AA926" i="2"/>
  <c r="AB926" i="2"/>
  <c r="R926" i="2"/>
  <c r="S926" i="2"/>
  <c r="U926" i="2"/>
  <c r="V926" i="2"/>
  <c r="X926" i="2"/>
  <c r="Y926" i="2"/>
  <c r="AD926" i="2"/>
  <c r="AE926" i="2"/>
  <c r="AG926" i="2"/>
  <c r="AH926" i="2"/>
  <c r="R925" i="2"/>
  <c r="S925" i="2"/>
  <c r="U925" i="2"/>
  <c r="V925" i="2"/>
  <c r="X925" i="2"/>
  <c r="Y925" i="2"/>
  <c r="AA925" i="2"/>
  <c r="AB925" i="2"/>
  <c r="AD925" i="2"/>
  <c r="AE925" i="2"/>
  <c r="AG925" i="2"/>
  <c r="AH925" i="2"/>
  <c r="AD924" i="2"/>
  <c r="AE924" i="2"/>
  <c r="U924" i="2"/>
  <c r="V924" i="2"/>
  <c r="X924" i="2"/>
  <c r="Y924" i="2"/>
  <c r="AA924" i="2"/>
  <c r="AB924" i="2"/>
  <c r="AG924" i="2"/>
  <c r="AH924" i="2"/>
  <c r="R924" i="2"/>
  <c r="S924" i="2"/>
  <c r="X923" i="2"/>
  <c r="Y923" i="2"/>
  <c r="U923" i="2"/>
  <c r="V923" i="2"/>
  <c r="R923" i="2"/>
  <c r="S923" i="2"/>
  <c r="AA923" i="2"/>
  <c r="AB923" i="2"/>
  <c r="AG923" i="2"/>
  <c r="AH923" i="2"/>
  <c r="AD923" i="2"/>
  <c r="AE923" i="2"/>
  <c r="U922" i="2"/>
  <c r="V922" i="2"/>
  <c r="R922" i="2"/>
  <c r="S922" i="2"/>
  <c r="AA922" i="2"/>
  <c r="AB922" i="2"/>
  <c r="AG922" i="2"/>
  <c r="AH922" i="2"/>
  <c r="AD922" i="2"/>
  <c r="AE922" i="2"/>
  <c r="X922" i="2"/>
  <c r="Y922" i="2"/>
  <c r="R921" i="2"/>
  <c r="S921" i="2"/>
  <c r="U921" i="2"/>
  <c r="V921" i="2"/>
  <c r="X921" i="2"/>
  <c r="Y921" i="2"/>
  <c r="AA921" i="2"/>
  <c r="AB921" i="2"/>
  <c r="AD921" i="2"/>
  <c r="AE921" i="2"/>
  <c r="AG921" i="2"/>
  <c r="AH921" i="2"/>
  <c r="AA920" i="2"/>
  <c r="AB920" i="2"/>
  <c r="X920" i="2"/>
  <c r="Y920" i="2"/>
  <c r="AD920" i="2"/>
  <c r="AE920" i="2"/>
  <c r="AG920" i="2"/>
  <c r="AH920" i="2"/>
  <c r="AG811" i="2"/>
  <c r="AH811" i="2"/>
  <c r="R811" i="2"/>
  <c r="S811" i="2"/>
  <c r="U811" i="2"/>
  <c r="V811" i="2"/>
  <c r="X811" i="2"/>
  <c r="Y811" i="2"/>
  <c r="AA811" i="2"/>
  <c r="AB811" i="2"/>
  <c r="AD811" i="2"/>
  <c r="AE811" i="2"/>
  <c r="U810" i="2"/>
  <c r="V810" i="2"/>
  <c r="AG810" i="2"/>
  <c r="AH810" i="2"/>
  <c r="AD810" i="2"/>
  <c r="AE810" i="2"/>
  <c r="AA810" i="2"/>
  <c r="AB810" i="2"/>
  <c r="X810" i="2"/>
  <c r="Y810" i="2"/>
  <c r="R810" i="2"/>
  <c r="S810" i="2"/>
  <c r="U809" i="2"/>
  <c r="V809" i="2"/>
  <c r="X809" i="2"/>
  <c r="Y809" i="2"/>
  <c r="AA809" i="2"/>
  <c r="AB809" i="2"/>
  <c r="AD809" i="2"/>
  <c r="AE809" i="2"/>
  <c r="AG809" i="2"/>
  <c r="AH809" i="2"/>
  <c r="R809" i="2"/>
  <c r="S809" i="2"/>
  <c r="R808" i="2"/>
  <c r="S808" i="2"/>
  <c r="U808" i="2"/>
  <c r="V808" i="2"/>
  <c r="X808" i="2"/>
  <c r="Y808" i="2"/>
  <c r="AA808" i="2"/>
  <c r="AB808" i="2"/>
  <c r="AD808" i="2"/>
  <c r="AE808" i="2"/>
  <c r="AG808" i="2"/>
  <c r="AH808" i="2"/>
  <c r="X807" i="2"/>
  <c r="Y807" i="2"/>
  <c r="AG807" i="2"/>
  <c r="AH807" i="2"/>
  <c r="AD807" i="2"/>
  <c r="AE807" i="2"/>
  <c r="AA807" i="2"/>
  <c r="AB807" i="2"/>
  <c r="U807" i="2"/>
  <c r="V807" i="2"/>
  <c r="R807" i="2"/>
  <c r="S807" i="2"/>
  <c r="AD806" i="2"/>
  <c r="AE806" i="2"/>
  <c r="AG806" i="2"/>
  <c r="AH806" i="2"/>
  <c r="AA806" i="2"/>
  <c r="AB806" i="2"/>
  <c r="X806" i="2"/>
  <c r="Y806" i="2"/>
  <c r="R806" i="2"/>
  <c r="S806" i="2"/>
  <c r="U806" i="2"/>
  <c r="V806" i="2"/>
  <c r="AD805" i="2"/>
  <c r="AE805" i="2"/>
  <c r="U805" i="2"/>
  <c r="V805" i="2"/>
  <c r="AG805" i="2"/>
  <c r="AH805" i="2"/>
  <c r="AA805" i="2"/>
  <c r="AB805" i="2"/>
  <c r="R805" i="2"/>
  <c r="S805" i="2"/>
  <c r="X805" i="2"/>
  <c r="Y805" i="2"/>
  <c r="X804" i="2"/>
  <c r="Y804" i="2"/>
  <c r="R804" i="2"/>
  <c r="S804" i="2"/>
  <c r="AG804" i="2"/>
  <c r="AH804" i="2"/>
  <c r="AA804" i="2"/>
  <c r="AB804" i="2"/>
  <c r="AD804" i="2"/>
  <c r="AE804" i="2"/>
  <c r="U804" i="2"/>
  <c r="V804" i="2"/>
  <c r="U803" i="2"/>
  <c r="V803" i="2"/>
  <c r="AA803" i="2"/>
  <c r="AB803" i="2"/>
  <c r="AD803" i="2"/>
  <c r="AE803" i="2"/>
  <c r="AG803" i="2"/>
  <c r="AH803" i="2"/>
  <c r="R803" i="2"/>
  <c r="S803" i="2"/>
  <c r="X803" i="2"/>
  <c r="Y803" i="2"/>
  <c r="U802" i="2"/>
  <c r="V802" i="2"/>
  <c r="X802" i="2"/>
  <c r="Y802" i="2"/>
  <c r="R802" i="2"/>
  <c r="S802" i="2"/>
  <c r="AA802" i="2"/>
  <c r="AB802" i="2"/>
  <c r="AD802" i="2"/>
  <c r="AE802" i="2"/>
  <c r="AG802" i="2"/>
  <c r="AH802" i="2"/>
  <c r="R801" i="2"/>
  <c r="S801" i="2"/>
  <c r="AD801" i="2"/>
  <c r="AE801" i="2"/>
  <c r="X801" i="2"/>
  <c r="Y801" i="2"/>
  <c r="U801" i="2"/>
  <c r="V801" i="2"/>
  <c r="AA801" i="2"/>
  <c r="AB801" i="2"/>
  <c r="AG801" i="2"/>
  <c r="AH801" i="2"/>
  <c r="U800" i="2"/>
  <c r="V800" i="2"/>
  <c r="X800" i="2"/>
  <c r="Y800" i="2"/>
  <c r="AA800" i="2"/>
  <c r="AB800" i="2"/>
  <c r="AD800" i="2"/>
  <c r="AE800" i="2"/>
  <c r="AG800" i="2"/>
  <c r="AH800" i="2"/>
  <c r="R800" i="2"/>
  <c r="S800" i="2"/>
  <c r="AA799" i="2"/>
  <c r="AB799" i="2"/>
  <c r="X799" i="2"/>
  <c r="Y799" i="2"/>
  <c r="U799" i="2"/>
  <c r="V799" i="2"/>
  <c r="R799" i="2"/>
  <c r="S799" i="2"/>
  <c r="AG799" i="2"/>
  <c r="AH799" i="2"/>
  <c r="AD799" i="2"/>
  <c r="AE799" i="2"/>
  <c r="AD798" i="2"/>
  <c r="AE798" i="2"/>
  <c r="AA798" i="2"/>
  <c r="AB798" i="2"/>
  <c r="X798" i="2"/>
  <c r="Y798" i="2"/>
  <c r="U798" i="2"/>
  <c r="V798" i="2"/>
  <c r="R798" i="2"/>
  <c r="S798" i="2"/>
  <c r="AG798" i="2"/>
  <c r="AH798" i="2"/>
  <c r="AG797" i="2"/>
  <c r="AH797" i="2"/>
  <c r="AD797" i="2"/>
  <c r="AE797" i="2"/>
  <c r="AA797" i="2"/>
  <c r="AB797" i="2"/>
  <c r="X797" i="2"/>
  <c r="Y797" i="2"/>
  <c r="U797" i="2"/>
  <c r="V797" i="2"/>
  <c r="R797" i="2"/>
  <c r="S797" i="2"/>
  <c r="AG796" i="2"/>
  <c r="AH796" i="2"/>
  <c r="AD796" i="2"/>
  <c r="AE796" i="2"/>
  <c r="AA796" i="2"/>
  <c r="AB796" i="2"/>
  <c r="X796" i="2"/>
  <c r="Y796" i="2"/>
  <c r="U796" i="2"/>
  <c r="V796" i="2"/>
  <c r="R796" i="2"/>
  <c r="S796" i="2"/>
  <c r="U795" i="2"/>
  <c r="V795" i="2"/>
  <c r="AG795" i="2"/>
  <c r="AH795" i="2"/>
  <c r="AD795" i="2"/>
  <c r="AE795" i="2"/>
  <c r="AA795" i="2"/>
  <c r="AB795" i="2"/>
  <c r="X795" i="2"/>
  <c r="Y795" i="2"/>
  <c r="R795" i="2"/>
  <c r="S795" i="2"/>
  <c r="AD794" i="2"/>
  <c r="AE794" i="2"/>
  <c r="AA794" i="2"/>
  <c r="AB794" i="2"/>
  <c r="X794" i="2"/>
  <c r="Y794" i="2"/>
  <c r="R794" i="2"/>
  <c r="S794" i="2"/>
  <c r="U794" i="2"/>
  <c r="V794" i="2"/>
  <c r="AG794" i="2"/>
  <c r="AH794" i="2"/>
  <c r="AG793" i="2"/>
  <c r="AH793" i="2"/>
  <c r="AD793" i="2"/>
  <c r="AE793" i="2"/>
  <c r="AA554" i="2"/>
  <c r="AB554" i="2"/>
  <c r="X554" i="2"/>
  <c r="Y554" i="2"/>
  <c r="U554" i="2"/>
  <c r="V554" i="2"/>
  <c r="R553" i="2"/>
  <c r="S553" i="2"/>
  <c r="AG553" i="2"/>
  <c r="AH553" i="2"/>
  <c r="X553" i="2"/>
  <c r="Y553" i="2"/>
  <c r="AA553" i="2"/>
  <c r="AB553" i="2"/>
  <c r="AD553" i="2"/>
  <c r="AE553" i="2"/>
  <c r="U553" i="2"/>
  <c r="V553" i="2"/>
  <c r="AD552" i="2"/>
  <c r="AE552" i="2"/>
  <c r="U552" i="2"/>
  <c r="V552" i="2"/>
  <c r="X552" i="2"/>
  <c r="Y552" i="2"/>
  <c r="AA552" i="2"/>
  <c r="AB552" i="2"/>
  <c r="AG552" i="2"/>
  <c r="AH552" i="2"/>
  <c r="R552" i="2"/>
  <c r="S552" i="2"/>
  <c r="AG551" i="2"/>
  <c r="AH551" i="2"/>
  <c r="AD551" i="2"/>
  <c r="AE551" i="2"/>
  <c r="AA551" i="2"/>
  <c r="AB551" i="2"/>
  <c r="X496" i="2"/>
  <c r="Y496" i="2"/>
  <c r="U496" i="2"/>
  <c r="V496" i="2"/>
  <c r="R496" i="2"/>
  <c r="S496" i="2"/>
  <c r="R495" i="2"/>
  <c r="S495" i="2"/>
  <c r="AA495" i="2"/>
  <c r="AB495" i="2"/>
  <c r="X495" i="2"/>
  <c r="Y495" i="2"/>
  <c r="U495" i="2"/>
  <c r="V495" i="2"/>
  <c r="AD495" i="2"/>
  <c r="AE495" i="2"/>
  <c r="AG495" i="2"/>
  <c r="AH495" i="2"/>
  <c r="X494" i="2"/>
  <c r="Y494" i="2"/>
  <c r="AA494" i="2"/>
  <c r="AB494" i="2"/>
  <c r="AG494" i="2"/>
  <c r="AH494" i="2"/>
  <c r="AD494" i="2"/>
  <c r="AE494" i="2"/>
  <c r="R494" i="2"/>
  <c r="S494" i="2"/>
  <c r="U494" i="2"/>
  <c r="V494" i="2"/>
  <c r="U493" i="2"/>
  <c r="V493" i="2"/>
  <c r="X493" i="2"/>
  <c r="Y493" i="2"/>
  <c r="AA493" i="2"/>
  <c r="AB493" i="2"/>
  <c r="AD493" i="2"/>
  <c r="AE493" i="2"/>
  <c r="AG493" i="2"/>
  <c r="AH493" i="2"/>
  <c r="R493" i="2"/>
  <c r="S493" i="2"/>
  <c r="R492" i="2"/>
  <c r="S492" i="2"/>
  <c r="AG492" i="2"/>
  <c r="AH492" i="2"/>
  <c r="U492" i="2"/>
  <c r="V492" i="2"/>
  <c r="X492" i="2"/>
  <c r="Y492" i="2"/>
  <c r="AA492" i="2"/>
  <c r="AB492" i="2"/>
  <c r="AD492" i="2"/>
  <c r="AE492" i="2"/>
  <c r="R491" i="2"/>
  <c r="S491" i="2"/>
  <c r="U491" i="2"/>
  <c r="V491" i="2"/>
  <c r="X491" i="2"/>
  <c r="Y491" i="2"/>
  <c r="AA491" i="2"/>
  <c r="AB491" i="2"/>
  <c r="AG491" i="2"/>
  <c r="AH491" i="2"/>
  <c r="AD491" i="2"/>
  <c r="AE491" i="2"/>
  <c r="AG490" i="2"/>
  <c r="AH490" i="2"/>
  <c r="AA490" i="2"/>
  <c r="AB490" i="2"/>
  <c r="X490" i="2"/>
  <c r="Y490" i="2"/>
  <c r="U490" i="2"/>
  <c r="V490" i="2"/>
  <c r="AD490" i="2"/>
  <c r="AE490" i="2"/>
  <c r="R490" i="2"/>
  <c r="S490" i="2"/>
  <c r="AA489" i="2"/>
  <c r="AB489" i="2"/>
  <c r="X489" i="2"/>
  <c r="Y489" i="2"/>
  <c r="U489" i="2"/>
  <c r="V489" i="2"/>
  <c r="R489" i="2"/>
  <c r="S489" i="2"/>
  <c r="AD489" i="2"/>
  <c r="AE489" i="2"/>
  <c r="AG489" i="2"/>
  <c r="AH489" i="2"/>
  <c r="AA488" i="2"/>
  <c r="AB488" i="2"/>
  <c r="R488" i="2"/>
  <c r="S488" i="2"/>
  <c r="AG488" i="2"/>
  <c r="AH488" i="2"/>
  <c r="AD488" i="2"/>
  <c r="AE488" i="2"/>
  <c r="X488" i="2"/>
  <c r="Y488" i="2"/>
  <c r="U488" i="2"/>
  <c r="V488" i="2"/>
  <c r="AD487" i="2"/>
  <c r="AE487" i="2"/>
  <c r="AG487" i="2"/>
  <c r="AH487" i="2"/>
  <c r="R487" i="2"/>
  <c r="S487" i="2"/>
  <c r="U487" i="2"/>
  <c r="V487" i="2"/>
  <c r="X487" i="2"/>
  <c r="Y487" i="2"/>
  <c r="AA487" i="2"/>
  <c r="AB487" i="2"/>
  <c r="AG486" i="2"/>
  <c r="AH486" i="2"/>
  <c r="AA486" i="2"/>
  <c r="AB486" i="2"/>
  <c r="AD486" i="2"/>
  <c r="AE486" i="2"/>
  <c r="X486" i="2"/>
  <c r="Y486" i="2"/>
  <c r="R486" i="2"/>
  <c r="S486" i="2"/>
  <c r="U486" i="2"/>
  <c r="V486" i="2"/>
  <c r="AG485" i="2"/>
  <c r="AH485" i="2"/>
  <c r="U485" i="2"/>
  <c r="V485" i="2"/>
  <c r="AD485" i="2"/>
  <c r="AE485" i="2"/>
  <c r="AA485" i="2"/>
  <c r="AB485" i="2"/>
  <c r="X485" i="2"/>
  <c r="Y485" i="2"/>
  <c r="R485" i="2"/>
  <c r="S485" i="2"/>
  <c r="R484" i="2"/>
  <c r="S484" i="2"/>
  <c r="AG484" i="2"/>
  <c r="AH484" i="2"/>
  <c r="AD484" i="2"/>
  <c r="AE484" i="2"/>
  <c r="AA484" i="2"/>
  <c r="AB484" i="2"/>
  <c r="X484" i="2"/>
  <c r="Y484" i="2"/>
  <c r="U484" i="2"/>
  <c r="V484" i="2"/>
  <c r="X483" i="2"/>
  <c r="Y483" i="2"/>
  <c r="AA483" i="2"/>
  <c r="AB483" i="2"/>
  <c r="AD483" i="2"/>
  <c r="AE483" i="2"/>
  <c r="AG483" i="2"/>
  <c r="AH483" i="2"/>
  <c r="U483" i="2"/>
  <c r="V483" i="2"/>
  <c r="R483" i="2"/>
  <c r="S483" i="2"/>
  <c r="R482" i="2"/>
  <c r="S482" i="2"/>
  <c r="AG482" i="2"/>
  <c r="AH482" i="2"/>
  <c r="AD482" i="2"/>
  <c r="AE482" i="2"/>
  <c r="AA482" i="2"/>
  <c r="AB482" i="2"/>
  <c r="R418" i="2"/>
  <c r="S418" i="2"/>
  <c r="U418" i="2"/>
  <c r="V418" i="2"/>
  <c r="X418" i="2"/>
  <c r="Y418" i="2"/>
  <c r="X417" i="2"/>
  <c r="Y417" i="2"/>
  <c r="U417" i="2"/>
  <c r="V417" i="2"/>
  <c r="AG417" i="2"/>
  <c r="AH417" i="2"/>
  <c r="R417" i="2"/>
  <c r="S417" i="2"/>
  <c r="AD417" i="2"/>
  <c r="AE417" i="2"/>
  <c r="AA417" i="2"/>
  <c r="AB417" i="2"/>
  <c r="AA416" i="2"/>
  <c r="AB416" i="2"/>
  <c r="AD416" i="2"/>
  <c r="AE416" i="2"/>
  <c r="AG416" i="2"/>
  <c r="AH416" i="2"/>
  <c r="R416" i="2"/>
  <c r="S416" i="2"/>
  <c r="U416" i="2"/>
  <c r="V416" i="2"/>
  <c r="X416" i="2"/>
  <c r="Y416" i="2"/>
  <c r="AG415" i="2"/>
  <c r="AH415" i="2"/>
  <c r="R415" i="2"/>
  <c r="S415" i="2"/>
  <c r="AD415" i="2"/>
  <c r="AE415" i="2"/>
  <c r="AA415" i="2"/>
  <c r="AB415" i="2"/>
  <c r="X415" i="2"/>
  <c r="Y415" i="2"/>
  <c r="U415" i="2"/>
  <c r="V415" i="2"/>
  <c r="AG414" i="2"/>
  <c r="AH414" i="2"/>
  <c r="AD414" i="2"/>
  <c r="AE414" i="2"/>
  <c r="AA414" i="2"/>
  <c r="AB414" i="2"/>
  <c r="X414" i="2"/>
  <c r="Y414" i="2"/>
  <c r="U414" i="2"/>
  <c r="V414" i="2"/>
  <c r="R414" i="2"/>
  <c r="S414" i="2"/>
  <c r="R413" i="2"/>
  <c r="S413" i="2"/>
  <c r="AG413" i="2"/>
  <c r="AH413" i="2"/>
  <c r="AD413" i="2"/>
  <c r="AE413" i="2"/>
  <c r="X413" i="2"/>
  <c r="Y413" i="2"/>
  <c r="U413" i="2"/>
  <c r="V413" i="2"/>
  <c r="AA413" i="2"/>
  <c r="AB413" i="2"/>
  <c r="X412" i="2"/>
  <c r="Y412" i="2"/>
  <c r="AG412" i="2"/>
  <c r="AH412" i="2"/>
  <c r="AA412" i="2"/>
  <c r="AB412" i="2"/>
  <c r="AD412" i="2"/>
  <c r="AE412" i="2"/>
  <c r="R412" i="2"/>
  <c r="S412" i="2"/>
  <c r="U412" i="2"/>
  <c r="V412" i="2"/>
  <c r="X411" i="2"/>
  <c r="Y411" i="2"/>
  <c r="AA411" i="2"/>
  <c r="AB411" i="2"/>
  <c r="AD411" i="2"/>
  <c r="AE411" i="2"/>
  <c r="AG411" i="2"/>
  <c r="AH411" i="2"/>
  <c r="R411" i="2"/>
  <c r="S411" i="2"/>
  <c r="U411" i="2"/>
  <c r="V411" i="2"/>
  <c r="R410" i="2"/>
  <c r="S410" i="2"/>
  <c r="AA410" i="2"/>
  <c r="AB410" i="2"/>
  <c r="AD410" i="2"/>
  <c r="AE410" i="2"/>
  <c r="AG410" i="2"/>
  <c r="AH410" i="2"/>
  <c r="X410" i="2"/>
  <c r="Y410" i="2"/>
  <c r="U410" i="2"/>
  <c r="V410" i="2"/>
  <c r="AD409" i="2"/>
  <c r="AE409" i="2"/>
  <c r="X409" i="2"/>
  <c r="Y409" i="2"/>
  <c r="R409" i="2"/>
  <c r="S409" i="2"/>
  <c r="U409" i="2"/>
  <c r="V409" i="2"/>
  <c r="AG409" i="2"/>
  <c r="AH409" i="2"/>
  <c r="AA409" i="2"/>
  <c r="AB409" i="2"/>
  <c r="AG408" i="2"/>
  <c r="AH408" i="2"/>
  <c r="AD408" i="2"/>
  <c r="AE408" i="2"/>
  <c r="R408" i="2"/>
  <c r="S408" i="2"/>
  <c r="U408" i="2"/>
  <c r="V408" i="2"/>
  <c r="X408" i="2"/>
  <c r="Y408" i="2"/>
  <c r="AA408" i="2"/>
  <c r="AB408" i="2"/>
  <c r="AA407" i="2"/>
  <c r="AB407" i="2"/>
  <c r="R407" i="2"/>
  <c r="S407" i="2"/>
  <c r="AD407" i="2"/>
  <c r="AE407" i="2"/>
  <c r="AG407" i="2"/>
  <c r="AH407" i="2" s="1"/>
  <c r="U407" i="2"/>
  <c r="V407" i="2"/>
  <c r="X407" i="2"/>
  <c r="Y407" i="2"/>
  <c r="AD406" i="2"/>
  <c r="AE406" i="2"/>
  <c r="AA406" i="2"/>
  <c r="AB406" i="2"/>
  <c r="X406" i="2"/>
  <c r="Y406" i="2"/>
  <c r="U406" i="2"/>
  <c r="V406" i="2"/>
  <c r="AG406" i="2"/>
  <c r="AH406" i="2"/>
  <c r="R406" i="2"/>
  <c r="S406" i="2"/>
  <c r="R405" i="2"/>
  <c r="S405" i="2"/>
  <c r="AG405" i="2"/>
  <c r="AH405" i="2"/>
  <c r="AD405" i="2"/>
  <c r="AE405" i="2"/>
  <c r="AA405" i="2"/>
  <c r="AB405" i="2"/>
  <c r="X405" i="2"/>
  <c r="Y405" i="2"/>
  <c r="U405" i="2"/>
  <c r="V405" i="2"/>
  <c r="X404" i="2"/>
  <c r="Y404" i="2"/>
  <c r="R404" i="2"/>
  <c r="S404" i="2"/>
  <c r="U404" i="2"/>
  <c r="V404" i="2"/>
  <c r="AG404" i="2"/>
  <c r="AH404" i="2"/>
  <c r="AD404" i="2"/>
  <c r="AE404" i="2"/>
  <c r="AA404" i="2"/>
  <c r="AB404" i="2"/>
  <c r="AG403" i="2"/>
  <c r="AH403" i="2"/>
  <c r="AD403" i="2"/>
  <c r="AE403" i="2"/>
  <c r="AA403" i="2"/>
  <c r="AB403" i="2"/>
  <c r="X403" i="2"/>
  <c r="Y403" i="2"/>
  <c r="U403" i="2"/>
  <c r="V403" i="2"/>
  <c r="R403" i="2"/>
  <c r="S403" i="2"/>
  <c r="R402" i="2"/>
  <c r="S402" i="2"/>
  <c r="AG402" i="2"/>
  <c r="AH402" i="2"/>
  <c r="AD402" i="2"/>
  <c r="AE402" i="2"/>
  <c r="AA402" i="2"/>
  <c r="AB402" i="2"/>
  <c r="X402" i="2"/>
  <c r="Y402" i="2"/>
  <c r="U402" i="2"/>
  <c r="V402" i="2"/>
  <c r="AG401" i="2"/>
  <c r="AH401" i="2"/>
  <c r="AD401" i="2"/>
  <c r="AE401" i="2"/>
  <c r="AA401" i="2"/>
  <c r="AB401" i="2"/>
  <c r="X401" i="2"/>
  <c r="Y401" i="2"/>
  <c r="U401" i="2"/>
  <c r="V401" i="2"/>
  <c r="R401" i="2"/>
  <c r="S401" i="2"/>
  <c r="U400" i="2"/>
  <c r="V400" i="2"/>
  <c r="X400" i="2"/>
  <c r="Y400" i="2"/>
  <c r="AA400" i="2"/>
  <c r="AB400" i="2"/>
  <c r="AD400" i="2"/>
  <c r="AE400" i="2"/>
  <c r="AG400" i="2"/>
  <c r="AH400" i="2"/>
  <c r="R400" i="2"/>
  <c r="S400" i="2"/>
  <c r="R399" i="2"/>
  <c r="S399" i="2"/>
  <c r="U399" i="2"/>
  <c r="V399" i="2"/>
  <c r="X399" i="2"/>
  <c r="Y399" i="2"/>
  <c r="AD399" i="2"/>
  <c r="AE399" i="2"/>
  <c r="AG399" i="2"/>
  <c r="AH399" i="2"/>
  <c r="AA399" i="2"/>
  <c r="AB399" i="2"/>
  <c r="AA398" i="2"/>
  <c r="AB398" i="2"/>
  <c r="X398" i="2"/>
  <c r="Y398" i="2"/>
  <c r="AD398" i="2"/>
  <c r="AE398" i="2"/>
  <c r="AG398" i="2"/>
  <c r="AH398" i="2"/>
  <c r="R398" i="2"/>
  <c r="S398" i="2"/>
  <c r="U398" i="2"/>
  <c r="V398" i="2"/>
  <c r="AG397" i="2"/>
  <c r="AH397" i="2"/>
  <c r="AD397" i="2"/>
  <c r="AE397" i="2"/>
  <c r="U261" i="2"/>
  <c r="V261" i="2"/>
  <c r="R261" i="2"/>
  <c r="S261" i="2"/>
  <c r="X261" i="2"/>
  <c r="Y261" i="2"/>
  <c r="AG260" i="2"/>
  <c r="AH260" i="2"/>
  <c r="AA260" i="2"/>
  <c r="AB260" i="2"/>
  <c r="AD260" i="2"/>
  <c r="AE260" i="2"/>
  <c r="X260" i="2"/>
  <c r="Y260" i="2"/>
  <c r="U260" i="2"/>
  <c r="V260" i="2"/>
  <c r="R260" i="2"/>
  <c r="S260" i="2"/>
  <c r="AG259" i="2"/>
  <c r="AH259" i="2"/>
  <c r="R259" i="2"/>
  <c r="S259" i="2"/>
  <c r="U259" i="2"/>
  <c r="V259" i="2"/>
  <c r="X259" i="2"/>
  <c r="Y259" i="2"/>
  <c r="AD259" i="2"/>
  <c r="AE259" i="2"/>
  <c r="AA259" i="2"/>
  <c r="AB259" i="2"/>
  <c r="X258" i="2"/>
  <c r="Y258" i="2"/>
  <c r="AA258" i="2"/>
  <c r="AB258" i="2"/>
  <c r="AD258" i="2"/>
  <c r="AE258" i="2"/>
  <c r="AG258" i="2"/>
  <c r="AH258" i="2"/>
  <c r="U258" i="2"/>
  <c r="V258" i="2"/>
  <c r="R258" i="2"/>
  <c r="S258" i="2"/>
  <c r="AI258" i="2" s="1" a="1"/>
  <c r="AI258" i="2" s="1"/>
  <c r="R257" i="2"/>
  <c r="S257" i="2"/>
  <c r="AD257" i="2"/>
  <c r="AE257" i="2" s="1"/>
  <c r="AG257" i="2"/>
  <c r="AH257" i="2"/>
  <c r="AA257" i="2"/>
  <c r="AB257" i="2"/>
  <c r="X257" i="2"/>
  <c r="Y257" i="2"/>
  <c r="U257" i="2"/>
  <c r="V257" i="2"/>
  <c r="AG256" i="2"/>
  <c r="AH256" i="2"/>
  <c r="X256" i="2"/>
  <c r="Y256" i="2"/>
  <c r="R256" i="2"/>
  <c r="S256" i="2"/>
  <c r="AA256" i="2"/>
  <c r="AB256" i="2"/>
  <c r="U256" i="2"/>
  <c r="V256" i="2"/>
  <c r="AD256" i="2"/>
  <c r="AE256" i="2"/>
  <c r="X255" i="2"/>
  <c r="Y255" i="2"/>
  <c r="U255" i="2"/>
  <c r="V255" i="2"/>
  <c r="R255" i="2"/>
  <c r="S255" i="2"/>
  <c r="AD255" i="2"/>
  <c r="AE255" i="2"/>
  <c r="AG255" i="2"/>
  <c r="AH255" i="2"/>
  <c r="AA255" i="2"/>
  <c r="AB255" i="2"/>
  <c r="R254" i="2"/>
  <c r="S254" i="2"/>
  <c r="AG254" i="2"/>
  <c r="AH254" i="2"/>
  <c r="AA254" i="2"/>
  <c r="AB254" i="2"/>
  <c r="AD254" i="2"/>
  <c r="AE254" i="2"/>
  <c r="X254" i="2"/>
  <c r="Y254" i="2"/>
  <c r="U254" i="2"/>
  <c r="V254" i="2"/>
  <c r="R253" i="2"/>
  <c r="S253" i="2"/>
  <c r="U253" i="2"/>
  <c r="V253" i="2"/>
  <c r="X253" i="2"/>
  <c r="Y253" i="2"/>
  <c r="AA253" i="2"/>
  <c r="AB253" i="2"/>
  <c r="AD253" i="2"/>
  <c r="AE253" i="2"/>
  <c r="AG253" i="2"/>
  <c r="AH253" i="2"/>
  <c r="AG252" i="2"/>
  <c r="AH252" i="2"/>
  <c r="AA252" i="2"/>
  <c r="AB252" i="2"/>
  <c r="AD252" i="2"/>
  <c r="AE252" i="2"/>
  <c r="U252" i="2"/>
  <c r="V252" i="2"/>
  <c r="X252" i="2"/>
  <c r="Y252" i="2"/>
  <c r="R252" i="2"/>
  <c r="S252" i="2"/>
  <c r="R251" i="2"/>
  <c r="S251" i="2"/>
  <c r="U251" i="2"/>
  <c r="V251" i="2"/>
  <c r="AA251" i="2"/>
  <c r="AB251" i="2"/>
  <c r="AG251" i="2"/>
  <c r="AH251" i="2"/>
  <c r="AD251" i="2"/>
  <c r="AE251" i="2"/>
  <c r="X251" i="2"/>
  <c r="Y251" i="2"/>
  <c r="X228" i="2"/>
  <c r="Y228" i="2"/>
  <c r="R228" i="2"/>
  <c r="S228" i="2"/>
  <c r="U228" i="2"/>
  <c r="V228" i="2"/>
  <c r="R227" i="2"/>
  <c r="S227" i="2"/>
  <c r="U227" i="2"/>
  <c r="V227" i="2"/>
  <c r="X227" i="2"/>
  <c r="Y227" i="2"/>
  <c r="AD227" i="2"/>
  <c r="AE227" i="2"/>
  <c r="AA227" i="2"/>
  <c r="AB227" i="2"/>
  <c r="AG227" i="2"/>
  <c r="AH227" i="2"/>
  <c r="AA226" i="2"/>
  <c r="AB226" i="2"/>
  <c r="R226" i="2"/>
  <c r="S226" i="2"/>
  <c r="U226" i="2"/>
  <c r="V226" i="2"/>
  <c r="X226" i="2"/>
  <c r="Y226" i="2"/>
  <c r="AD226" i="2"/>
  <c r="AE226" i="2"/>
  <c r="AG226" i="2"/>
  <c r="AH226" i="2"/>
  <c r="R2" i="2"/>
  <c r="S2" i="2"/>
  <c r="AD2" i="2"/>
  <c r="AE2" i="2"/>
  <c r="AA977" i="2"/>
  <c r="AB977" i="2"/>
  <c r="X977" i="2"/>
  <c r="Y977" i="2"/>
  <c r="U977" i="2"/>
  <c r="V977" i="2"/>
  <c r="R977" i="2"/>
  <c r="S977" i="2"/>
  <c r="R976" i="2"/>
  <c r="S976" i="2"/>
  <c r="AG976" i="2"/>
  <c r="AH976" i="2"/>
  <c r="AD976" i="2"/>
  <c r="AE976" i="2"/>
  <c r="AA976" i="2"/>
  <c r="AB976" i="2"/>
  <c r="X976" i="2"/>
  <c r="Y976" i="2"/>
  <c r="U976" i="2"/>
  <c r="V976" i="2"/>
  <c r="X975" i="2"/>
  <c r="Y975" i="2"/>
  <c r="U975" i="2"/>
  <c r="V975" i="2"/>
  <c r="R975" i="2"/>
  <c r="S975" i="2"/>
  <c r="AG975" i="2"/>
  <c r="AH975" i="2"/>
  <c r="AD975" i="2"/>
  <c r="AE975" i="2"/>
  <c r="AA975" i="2"/>
  <c r="AB975" i="2"/>
  <c r="R974" i="2"/>
  <c r="S974" i="2"/>
  <c r="AG974" i="2"/>
  <c r="AH974" i="2"/>
  <c r="AD974" i="2"/>
  <c r="AE974" i="2"/>
  <c r="AA974" i="2"/>
  <c r="AB974" i="2"/>
  <c r="X974" i="2"/>
  <c r="Y974" i="2"/>
  <c r="U974" i="2"/>
  <c r="V974" i="2"/>
  <c r="AG973" i="2"/>
  <c r="AH973" i="2"/>
  <c r="AD973" i="2"/>
  <c r="AE973" i="2"/>
  <c r="AA973" i="2"/>
  <c r="AB973" i="2"/>
  <c r="U973" i="2"/>
  <c r="V973" i="2"/>
  <c r="R973" i="2"/>
  <c r="S973" i="2"/>
  <c r="X973" i="2"/>
  <c r="Y973" i="2"/>
  <c r="R972" i="2"/>
  <c r="S972" i="2"/>
  <c r="AG972" i="2"/>
  <c r="AH972" i="2"/>
  <c r="AA972" i="2"/>
  <c r="AB972" i="2"/>
  <c r="AD972" i="2"/>
  <c r="AE972" i="2"/>
  <c r="X972" i="2"/>
  <c r="Y972" i="2"/>
  <c r="U972" i="2"/>
  <c r="V972" i="2"/>
  <c r="AG971" i="2"/>
  <c r="AH971" i="2"/>
  <c r="AD971" i="2"/>
  <c r="AE971" i="2"/>
  <c r="AA971" i="2"/>
  <c r="AB971" i="2"/>
  <c r="X971" i="2"/>
  <c r="Y971" i="2"/>
  <c r="U971" i="2"/>
  <c r="V971" i="2"/>
  <c r="R971" i="2"/>
  <c r="S971" i="2"/>
  <c r="AA970" i="2"/>
  <c r="AB970" i="2"/>
  <c r="AG970" i="2"/>
  <c r="AH970" i="2"/>
  <c r="R970" i="2"/>
  <c r="S970" i="2"/>
  <c r="U970" i="2"/>
  <c r="V970" i="2"/>
  <c r="X970" i="2"/>
  <c r="Y970" i="2"/>
  <c r="AD970" i="2"/>
  <c r="AE970" i="2"/>
  <c r="R969" i="2"/>
  <c r="S969" i="2"/>
  <c r="AD969" i="2"/>
  <c r="AE969" i="2"/>
  <c r="AG969" i="2"/>
  <c r="AH969" i="2"/>
  <c r="AA969" i="2"/>
  <c r="AB969" i="2"/>
  <c r="U969" i="2"/>
  <c r="V969" i="2"/>
  <c r="X969" i="2"/>
  <c r="Y969" i="2"/>
  <c r="AD968" i="2"/>
  <c r="AE968" i="2"/>
  <c r="R968" i="2"/>
  <c r="S968" i="2"/>
  <c r="U968" i="2"/>
  <c r="V968" i="2"/>
  <c r="X968" i="2"/>
  <c r="Y968" i="2"/>
  <c r="AA968" i="2"/>
  <c r="AB968" i="2"/>
  <c r="AG968" i="2"/>
  <c r="AH968" i="2"/>
  <c r="AD967" i="2"/>
  <c r="AE967" i="2"/>
  <c r="AG967" i="2"/>
  <c r="AH967" i="2"/>
  <c r="AA967" i="2"/>
  <c r="AB967" i="2"/>
  <c r="X967" i="2"/>
  <c r="Y967" i="2"/>
  <c r="U967" i="2"/>
  <c r="V967" i="2"/>
  <c r="R967" i="2"/>
  <c r="S967" i="2"/>
  <c r="R966" i="2"/>
  <c r="S966" i="2"/>
  <c r="AG966" i="2"/>
  <c r="AH966" i="2"/>
  <c r="AD966" i="2"/>
  <c r="AE966" i="2"/>
  <c r="AA966" i="2"/>
  <c r="AB966" i="2"/>
  <c r="X966" i="2"/>
  <c r="Y966" i="2"/>
  <c r="U966" i="2"/>
  <c r="V966" i="2"/>
  <c r="X965" i="2"/>
  <c r="Y965" i="2"/>
  <c r="R965" i="2"/>
  <c r="S965" i="2"/>
  <c r="AA965" i="2"/>
  <c r="AB965" i="2"/>
  <c r="AG965" i="2"/>
  <c r="AH965" i="2"/>
  <c r="AD965" i="2"/>
  <c r="AE965" i="2"/>
  <c r="U965" i="2"/>
  <c r="V965" i="2"/>
  <c r="U964" i="2"/>
  <c r="V964" i="2"/>
  <c r="X964" i="2"/>
  <c r="Y964" i="2"/>
  <c r="AA964" i="2"/>
  <c r="AB964" i="2"/>
  <c r="AD964" i="2"/>
  <c r="AE964" i="2"/>
  <c r="AG964" i="2"/>
  <c r="AH964" i="2"/>
  <c r="R964" i="2"/>
  <c r="S964" i="2"/>
  <c r="R963" i="2"/>
  <c r="S963" i="2"/>
  <c r="AG963" i="2"/>
  <c r="AH963" i="2"/>
  <c r="AD963" i="2"/>
  <c r="AE963" i="2"/>
  <c r="AA963" i="2"/>
  <c r="AB963" i="2"/>
  <c r="X963" i="2"/>
  <c r="Y963" i="2"/>
  <c r="U963" i="2"/>
  <c r="V963" i="2"/>
  <c r="AA962" i="2"/>
  <c r="AB962" i="2"/>
  <c r="AG962" i="2"/>
  <c r="AH962" i="2"/>
  <c r="AD962" i="2"/>
  <c r="AE962" i="2"/>
  <c r="U962" i="2"/>
  <c r="V962" i="2"/>
  <c r="X962" i="2"/>
  <c r="Y962" i="2"/>
  <c r="R962" i="2"/>
  <c r="S962" i="2"/>
  <c r="AG961" i="2"/>
  <c r="AH961" i="2"/>
  <c r="AD961" i="2"/>
  <c r="AE961" i="2"/>
  <c r="AA961" i="2"/>
  <c r="AB961" i="2"/>
  <c r="X961" i="2"/>
  <c r="Y961" i="2"/>
  <c r="R961" i="2"/>
  <c r="S961" i="2"/>
  <c r="U961" i="2"/>
  <c r="V961" i="2"/>
  <c r="X960" i="2"/>
  <c r="Y960" i="2"/>
  <c r="R960" i="2"/>
  <c r="S960" i="2"/>
  <c r="AD960" i="2"/>
  <c r="AE960" i="2"/>
  <c r="AA960" i="2"/>
  <c r="AB960" i="2"/>
  <c r="U960" i="2"/>
  <c r="V960" i="2"/>
  <c r="AG960" i="2"/>
  <c r="AH960" i="2"/>
  <c r="AA959" i="2"/>
  <c r="AB959" i="2"/>
  <c r="U959" i="2"/>
  <c r="V959" i="2"/>
  <c r="R959" i="2"/>
  <c r="S959" i="2"/>
  <c r="X959" i="2"/>
  <c r="Y959" i="2"/>
  <c r="AG959" i="2"/>
  <c r="AH959" i="2"/>
  <c r="AD959" i="2"/>
  <c r="AE959" i="2"/>
  <c r="U958" i="2"/>
  <c r="V958" i="2"/>
  <c r="X958" i="2"/>
  <c r="Y958" i="2"/>
  <c r="AA958" i="2"/>
  <c r="AB958" i="2"/>
  <c r="AD958" i="2"/>
  <c r="AE958" i="2"/>
  <c r="AG958" i="2"/>
  <c r="AH958" i="2"/>
  <c r="R958" i="2"/>
  <c r="S958" i="2"/>
  <c r="AG957" i="2"/>
  <c r="AH957" i="2"/>
  <c r="AD957" i="2"/>
  <c r="AE957" i="2"/>
  <c r="R957" i="2"/>
  <c r="S957" i="2"/>
  <c r="U957" i="2"/>
  <c r="V957" i="2"/>
  <c r="X957" i="2"/>
  <c r="Y957" i="2"/>
  <c r="AA957" i="2"/>
  <c r="AB957" i="2"/>
  <c r="R956" i="2"/>
  <c r="S956" i="2"/>
  <c r="U956" i="2"/>
  <c r="V956" i="2"/>
  <c r="X956" i="2"/>
  <c r="Y956" i="2"/>
  <c r="AA956" i="2"/>
  <c r="AB956" i="2"/>
  <c r="AD956" i="2"/>
  <c r="AE956" i="2"/>
  <c r="AG956" i="2"/>
  <c r="AH956" i="2"/>
  <c r="R955" i="2"/>
  <c r="S955" i="2"/>
  <c r="U955" i="2"/>
  <c r="V955" i="2"/>
  <c r="X955" i="2"/>
  <c r="Y955" i="2"/>
  <c r="AA955" i="2"/>
  <c r="AB955" i="2"/>
  <c r="AG955" i="2"/>
  <c r="AH955" i="2"/>
  <c r="AD955" i="2"/>
  <c r="AE955" i="2"/>
  <c r="R954" i="2"/>
  <c r="S954" i="2"/>
  <c r="U954" i="2"/>
  <c r="V954" i="2"/>
  <c r="AA954" i="2"/>
  <c r="AB954" i="2"/>
  <c r="AD954" i="2"/>
  <c r="AE954" i="2"/>
  <c r="AG954" i="2"/>
  <c r="AH954" i="2"/>
  <c r="X954" i="2"/>
  <c r="Y954" i="2"/>
  <c r="R953" i="2"/>
  <c r="S953" i="2"/>
  <c r="U953" i="2"/>
  <c r="V953" i="2"/>
  <c r="X953" i="2"/>
  <c r="Y953" i="2"/>
  <c r="AA953" i="2"/>
  <c r="AB953" i="2"/>
  <c r="AD953" i="2"/>
  <c r="AE953" i="2"/>
  <c r="AG953" i="2"/>
  <c r="AH953" i="2"/>
  <c r="AD952" i="2"/>
  <c r="AE952" i="2"/>
  <c r="AA952" i="2"/>
  <c r="AB952" i="2"/>
  <c r="AG952" i="2"/>
  <c r="AH952" i="2"/>
  <c r="R952" i="2"/>
  <c r="S952" i="2"/>
  <c r="U952" i="2"/>
  <c r="V952" i="2"/>
  <c r="X952" i="2"/>
  <c r="Y952" i="2"/>
  <c r="R951" i="2"/>
  <c r="S951" i="2"/>
  <c r="U951" i="2"/>
  <c r="V951" i="2"/>
  <c r="X951" i="2"/>
  <c r="Y951" i="2"/>
  <c r="AA951" i="2"/>
  <c r="AB951" i="2"/>
  <c r="AD951" i="2"/>
  <c r="AE951" i="2"/>
  <c r="AG951" i="2"/>
  <c r="AH951" i="2"/>
  <c r="R950" i="2"/>
  <c r="S950" i="2"/>
  <c r="U950" i="2"/>
  <c r="V950" i="2"/>
  <c r="X950" i="2"/>
  <c r="Y950" i="2"/>
  <c r="AA950" i="2"/>
  <c r="AB950" i="2"/>
  <c r="AG950" i="2"/>
  <c r="AH950" i="2"/>
  <c r="AD950" i="2"/>
  <c r="AE950" i="2"/>
  <c r="AG949" i="2"/>
  <c r="AH949" i="2"/>
  <c r="AA949" i="2"/>
  <c r="AB949" i="2"/>
  <c r="X949" i="2"/>
  <c r="Y949" i="2"/>
  <c r="AD949" i="2"/>
  <c r="AE949" i="2"/>
  <c r="AD878" i="2"/>
  <c r="AE878" i="2"/>
  <c r="X878" i="2"/>
  <c r="Y878" i="2"/>
  <c r="U878" i="2"/>
  <c r="V878" i="2"/>
  <c r="R878" i="2"/>
  <c r="S878" i="2"/>
  <c r="AA878" i="2"/>
  <c r="AB878" i="2"/>
  <c r="AG877" i="2"/>
  <c r="AH877" i="2"/>
  <c r="AA877" i="2"/>
  <c r="AB877" i="2"/>
  <c r="X877" i="2"/>
  <c r="Y877" i="2"/>
  <c r="U877" i="2"/>
  <c r="V877" i="2"/>
  <c r="R877" i="2"/>
  <c r="S877" i="2"/>
  <c r="AD877" i="2"/>
  <c r="AE877" i="2"/>
  <c r="U876" i="2"/>
  <c r="V876" i="2"/>
  <c r="X876" i="2"/>
  <c r="Y876" i="2"/>
  <c r="AA876" i="2"/>
  <c r="AB876" i="2"/>
  <c r="AD876" i="2"/>
  <c r="AE876" i="2"/>
  <c r="AG876" i="2"/>
  <c r="AH876" i="2"/>
  <c r="R876" i="2"/>
  <c r="S876" i="2"/>
  <c r="AD875" i="2"/>
  <c r="AE875" i="2"/>
  <c r="AA875" i="2"/>
  <c r="AB875" i="2"/>
  <c r="X875" i="2"/>
  <c r="Y875" i="2"/>
  <c r="AG875" i="2"/>
  <c r="AH875" i="2"/>
  <c r="R875" i="2"/>
  <c r="S875" i="2"/>
  <c r="U875" i="2"/>
  <c r="V875" i="2"/>
  <c r="AG860" i="2"/>
  <c r="AH860" i="2"/>
  <c r="AD860" i="2"/>
  <c r="AE860" i="2"/>
  <c r="AA860" i="2"/>
  <c r="AB860" i="2"/>
  <c r="X860" i="2"/>
  <c r="Y860" i="2"/>
  <c r="U860" i="2"/>
  <c r="V860" i="2"/>
  <c r="R860" i="2"/>
  <c r="S860" i="2"/>
  <c r="AG859" i="2"/>
  <c r="AH859" i="2"/>
  <c r="AD859" i="2"/>
  <c r="AE859" i="2"/>
  <c r="AA859" i="2"/>
  <c r="AB859" i="2"/>
  <c r="X859" i="2"/>
  <c r="Y859" i="2"/>
  <c r="U859" i="2"/>
  <c r="V859" i="2"/>
  <c r="R859" i="2"/>
  <c r="S859" i="2"/>
  <c r="R858" i="2"/>
  <c r="S858" i="2"/>
  <c r="AG858" i="2"/>
  <c r="AH858" i="2"/>
  <c r="AD858" i="2"/>
  <c r="AE858" i="2"/>
  <c r="AA858" i="2"/>
  <c r="AB858" i="2"/>
  <c r="X858" i="2"/>
  <c r="Y858" i="2"/>
  <c r="U858" i="2"/>
  <c r="V858" i="2"/>
  <c r="X857" i="2"/>
  <c r="Y857" i="2"/>
  <c r="AG857" i="2"/>
  <c r="AH857" i="2"/>
  <c r="AD857" i="2"/>
  <c r="AE857" i="2"/>
  <c r="U857" i="2"/>
  <c r="V857" i="2"/>
  <c r="R857" i="2"/>
  <c r="S857" i="2"/>
  <c r="AA857" i="2"/>
  <c r="AB857" i="2"/>
  <c r="AG856" i="2"/>
  <c r="AH856" i="2"/>
  <c r="AD856" i="2"/>
  <c r="AE856" i="2"/>
  <c r="AA856" i="2"/>
  <c r="AB856" i="2"/>
  <c r="X856" i="2"/>
  <c r="Y856" i="2"/>
  <c r="U856" i="2"/>
  <c r="V856" i="2"/>
  <c r="R856" i="2"/>
  <c r="S856" i="2"/>
  <c r="AG855" i="2"/>
  <c r="AH855" i="2"/>
  <c r="AD855" i="2"/>
  <c r="AE855" i="2"/>
  <c r="AA855" i="2"/>
  <c r="AB855" i="2"/>
  <c r="X855" i="2"/>
  <c r="Y855" i="2"/>
  <c r="U855" i="2"/>
  <c r="V855" i="2"/>
  <c r="R855" i="2"/>
  <c r="S855" i="2"/>
  <c r="AG854" i="2"/>
  <c r="AH854" i="2"/>
  <c r="AD854" i="2"/>
  <c r="AE854" i="2"/>
  <c r="AA854" i="2"/>
  <c r="AB854" i="2"/>
  <c r="X854" i="2"/>
  <c r="Y854" i="2"/>
  <c r="U854" i="2"/>
  <c r="V854" i="2"/>
  <c r="R854" i="2"/>
  <c r="S854" i="2"/>
  <c r="R853" i="2"/>
  <c r="S853" i="2"/>
  <c r="U853" i="2"/>
  <c r="V853" i="2"/>
  <c r="X853" i="2"/>
  <c r="Y853" i="2"/>
  <c r="AA853" i="2"/>
  <c r="AB853" i="2"/>
  <c r="AD853" i="2"/>
  <c r="AE853" i="2"/>
  <c r="AG853" i="2"/>
  <c r="AH853" i="2"/>
  <c r="AG852" i="2"/>
  <c r="AH852" i="2"/>
  <c r="R852" i="2"/>
  <c r="S852" i="2"/>
  <c r="U852" i="2"/>
  <c r="V852" i="2"/>
  <c r="X852" i="2"/>
  <c r="Y852" i="2"/>
  <c r="AA852" i="2"/>
  <c r="AB852" i="2"/>
  <c r="AD852" i="2"/>
  <c r="AE852" i="2"/>
  <c r="U851" i="2"/>
  <c r="V851" i="2"/>
  <c r="AA851" i="2"/>
  <c r="AB851" i="2"/>
  <c r="AD851" i="2"/>
  <c r="AE851" i="2"/>
  <c r="AG851" i="2"/>
  <c r="AH851" i="2"/>
  <c r="X851" i="2"/>
  <c r="Y851" i="2"/>
  <c r="R851" i="2"/>
  <c r="S851" i="2"/>
  <c r="R850" i="2"/>
  <c r="S850" i="2"/>
  <c r="U850" i="2"/>
  <c r="V850" i="2"/>
  <c r="X850" i="2"/>
  <c r="Y850" i="2"/>
  <c r="AA850" i="2"/>
  <c r="AB850" i="2"/>
  <c r="AD850" i="2"/>
  <c r="AE850" i="2"/>
  <c r="AG850" i="2"/>
  <c r="AH850" i="2"/>
  <c r="AA849" i="2"/>
  <c r="AB849" i="2"/>
  <c r="R849" i="2"/>
  <c r="S849" i="2"/>
  <c r="U849" i="2"/>
  <c r="V849" i="2"/>
  <c r="AG849" i="2"/>
  <c r="AH849" i="2"/>
  <c r="AD849" i="2"/>
  <c r="AE849" i="2"/>
  <c r="X849" i="2"/>
  <c r="Y849" i="2"/>
  <c r="AD848" i="2"/>
  <c r="AE848" i="2"/>
  <c r="AA848" i="2"/>
  <c r="AB848" i="2"/>
  <c r="X848" i="2"/>
  <c r="Y848" i="2"/>
  <c r="R848" i="2"/>
  <c r="S848" i="2"/>
  <c r="U848" i="2"/>
  <c r="V848" i="2"/>
  <c r="AG848" i="2"/>
  <c r="AH848" i="2"/>
  <c r="AD847" i="2"/>
  <c r="AE847" i="2"/>
  <c r="AA847" i="2"/>
  <c r="AB847" i="2"/>
  <c r="X847" i="2"/>
  <c r="Y847" i="2"/>
  <c r="U847" i="2"/>
  <c r="V847" i="2"/>
  <c r="R847" i="2"/>
  <c r="S847" i="2"/>
  <c r="AG847" i="2"/>
  <c r="AH847" i="2"/>
  <c r="AG846" i="2"/>
  <c r="AH846" i="2"/>
  <c r="AD846" i="2"/>
  <c r="AE846" i="2"/>
  <c r="U846" i="2"/>
  <c r="V846" i="2"/>
  <c r="X846" i="2"/>
  <c r="Y846" i="2"/>
  <c r="R846" i="2"/>
  <c r="S846" i="2"/>
  <c r="AA846" i="2"/>
  <c r="AB846" i="2"/>
  <c r="AG845" i="2"/>
  <c r="AH845" i="2"/>
  <c r="R845" i="2"/>
  <c r="S845" i="2"/>
  <c r="U845" i="2"/>
  <c r="V845" i="2"/>
  <c r="X845" i="2"/>
  <c r="Y845" i="2"/>
  <c r="AA845" i="2"/>
  <c r="AB845" i="2"/>
  <c r="AD845" i="2"/>
  <c r="AE845" i="2"/>
  <c r="R844" i="2"/>
  <c r="S844" i="2"/>
  <c r="U844" i="2"/>
  <c r="V844" i="2"/>
  <c r="X844" i="2"/>
  <c r="Y844" i="2"/>
  <c r="AA844" i="2"/>
  <c r="AB844" i="2"/>
  <c r="AG844" i="2"/>
  <c r="AH844" i="2"/>
  <c r="AD844" i="2"/>
  <c r="AE844" i="2"/>
  <c r="U843" i="2"/>
  <c r="V843" i="2"/>
  <c r="X843" i="2"/>
  <c r="Y843" i="2"/>
  <c r="AG843" i="2"/>
  <c r="AH843" i="2"/>
  <c r="R843" i="2"/>
  <c r="S843" i="2"/>
  <c r="AD843" i="2"/>
  <c r="AE843" i="2"/>
  <c r="AA843" i="2"/>
  <c r="AB843" i="2"/>
  <c r="AD842" i="2"/>
  <c r="AE842" i="2"/>
  <c r="AG842" i="2"/>
  <c r="AH842" i="2"/>
  <c r="R842" i="2"/>
  <c r="S842" i="2"/>
  <c r="U842" i="2"/>
  <c r="V842" i="2"/>
  <c r="X842" i="2"/>
  <c r="Y842" i="2"/>
  <c r="AA842" i="2"/>
  <c r="AB842" i="2"/>
  <c r="AG841" i="2"/>
  <c r="AH841" i="2"/>
  <c r="U841" i="2"/>
  <c r="V841" i="2"/>
  <c r="R841" i="2"/>
  <c r="S841" i="2"/>
  <c r="X841" i="2"/>
  <c r="Y841" i="2"/>
  <c r="AA841" i="2"/>
  <c r="AB841" i="2"/>
  <c r="AD841" i="2"/>
  <c r="AE841" i="2"/>
  <c r="X840" i="2"/>
  <c r="Y840" i="2"/>
  <c r="AA840" i="2"/>
  <c r="AB840" i="2"/>
  <c r="AD840" i="2"/>
  <c r="AE840" i="2"/>
  <c r="AG840" i="2"/>
  <c r="AH840" i="2"/>
  <c r="U840" i="2"/>
  <c r="V840" i="2"/>
  <c r="R840" i="2"/>
  <c r="S840" i="2"/>
  <c r="AA839" i="2"/>
  <c r="AB839" i="2"/>
  <c r="X839" i="2"/>
  <c r="Y839" i="2"/>
  <c r="U839" i="2"/>
  <c r="V839" i="2"/>
  <c r="R839" i="2"/>
  <c r="S839" i="2"/>
  <c r="AG839" i="2"/>
  <c r="AH839" i="2"/>
  <c r="AD839" i="2"/>
  <c r="AE839" i="2"/>
  <c r="AG838" i="2"/>
  <c r="AH838" i="2"/>
  <c r="AD838" i="2"/>
  <c r="AE838" i="2"/>
  <c r="AA838" i="2"/>
  <c r="AB838" i="2"/>
  <c r="X838" i="2"/>
  <c r="Y838" i="2"/>
  <c r="R838" i="2"/>
  <c r="S838" i="2"/>
  <c r="U838" i="2"/>
  <c r="V838" i="2"/>
  <c r="AG837" i="2"/>
  <c r="AH837" i="2"/>
  <c r="AD837" i="2"/>
  <c r="AE837" i="2"/>
  <c r="AA837" i="2"/>
  <c r="AB837" i="2"/>
  <c r="X837" i="2"/>
  <c r="Y837" i="2"/>
  <c r="U837" i="2"/>
  <c r="V837" i="2"/>
  <c r="R837" i="2"/>
  <c r="S837" i="2"/>
  <c r="AG836" i="2"/>
  <c r="AH836" i="2"/>
  <c r="AD836" i="2"/>
  <c r="AE836" i="2"/>
  <c r="AA836" i="2"/>
  <c r="AB836" i="2"/>
  <c r="X836" i="2"/>
  <c r="Y836" i="2"/>
  <c r="U836" i="2"/>
  <c r="V836" i="2"/>
  <c r="R836" i="2"/>
  <c r="S836" i="2"/>
  <c r="AG835" i="2"/>
  <c r="AH835" i="2"/>
  <c r="AD835" i="2"/>
  <c r="AE835" i="2"/>
  <c r="AA835" i="2"/>
  <c r="AB835" i="2"/>
  <c r="X835" i="2"/>
  <c r="Y835" i="2"/>
  <c r="R835" i="2"/>
  <c r="S835" i="2"/>
  <c r="U835" i="2"/>
  <c r="V835" i="2"/>
  <c r="U834" i="2"/>
  <c r="V834" i="2"/>
  <c r="AA834" i="2"/>
  <c r="AB834" i="2"/>
  <c r="R834" i="2"/>
  <c r="S834" i="2"/>
  <c r="X834" i="2"/>
  <c r="Y834" i="2"/>
  <c r="AD834" i="2"/>
  <c r="AE834" i="2"/>
  <c r="AG834" i="2"/>
  <c r="AH834" i="2"/>
  <c r="AG833" i="2"/>
  <c r="AH833" i="2"/>
  <c r="AD833" i="2"/>
  <c r="AE833" i="2"/>
  <c r="AA833" i="2"/>
  <c r="AB833" i="2"/>
  <c r="X833" i="2"/>
  <c r="Y833" i="2"/>
  <c r="U833" i="2"/>
  <c r="V833" i="2"/>
  <c r="R833" i="2"/>
  <c r="S833" i="2"/>
  <c r="AI833" i="2" s="1" a="1"/>
  <c r="AI833" i="2" s="1"/>
  <c r="U832" i="2"/>
  <c r="V832" i="2"/>
  <c r="AD832" i="2"/>
  <c r="AE832" i="2"/>
  <c r="R832" i="2"/>
  <c r="S832" i="2"/>
  <c r="AG832" i="2"/>
  <c r="AH832" i="2"/>
  <c r="AA832" i="2"/>
  <c r="AB832" i="2"/>
  <c r="X832" i="2"/>
  <c r="Y832" i="2"/>
  <c r="AA831" i="2"/>
  <c r="AB831" i="2"/>
  <c r="X831" i="2"/>
  <c r="Y831" i="2"/>
  <c r="U831" i="2"/>
  <c r="V831" i="2"/>
  <c r="AG831" i="2"/>
  <c r="AH831" i="2"/>
  <c r="R831" i="2"/>
  <c r="S831" i="2"/>
  <c r="AD831" i="2"/>
  <c r="AE831" i="2"/>
  <c r="X830" i="2"/>
  <c r="Y830" i="2"/>
  <c r="U830" i="2"/>
  <c r="V830" i="2"/>
  <c r="R830" i="2"/>
  <c r="S830" i="2"/>
  <c r="AG830" i="2"/>
  <c r="AH830" i="2"/>
  <c r="AD830" i="2"/>
  <c r="AE830" i="2"/>
  <c r="AA830" i="2"/>
  <c r="AB830" i="2"/>
  <c r="X829" i="2"/>
  <c r="Y829" i="2"/>
  <c r="U829" i="2"/>
  <c r="V829" i="2"/>
  <c r="R829" i="2"/>
  <c r="S829" i="2"/>
  <c r="AG829" i="2"/>
  <c r="AH829" i="2"/>
  <c r="AD829" i="2"/>
  <c r="AE829" i="2"/>
  <c r="AA829" i="2"/>
  <c r="AB829" i="2"/>
  <c r="AD828" i="2"/>
  <c r="AE828" i="2"/>
  <c r="R828" i="2"/>
  <c r="S828" i="2"/>
  <c r="AA828" i="2"/>
  <c r="AB828" i="2"/>
  <c r="X828" i="2"/>
  <c r="Y828" i="2"/>
  <c r="U828" i="2"/>
  <c r="V828" i="2"/>
  <c r="AG828" i="2"/>
  <c r="AH828" i="2"/>
  <c r="U827" i="2"/>
  <c r="V827" i="2"/>
  <c r="R827" i="2"/>
  <c r="S827" i="2"/>
  <c r="AG827" i="2"/>
  <c r="AH827" i="2"/>
  <c r="AD827" i="2"/>
  <c r="AE827" i="2"/>
  <c r="AA827" i="2"/>
  <c r="AB827" i="2"/>
  <c r="X827" i="2"/>
  <c r="Y827" i="2"/>
  <c r="AG826" i="2"/>
  <c r="AH826" i="2"/>
  <c r="AD826" i="2"/>
  <c r="AE826" i="2"/>
  <c r="AA826" i="2"/>
  <c r="AB826" i="2"/>
  <c r="X826" i="2"/>
  <c r="Y826" i="2"/>
  <c r="U826" i="2"/>
  <c r="V826" i="2"/>
  <c r="R826" i="2"/>
  <c r="S826" i="2"/>
  <c r="AG825" i="2"/>
  <c r="AH825" i="2"/>
  <c r="AD825" i="2"/>
  <c r="AE825" i="2"/>
  <c r="AA825" i="2"/>
  <c r="AB825" i="2"/>
  <c r="X825" i="2"/>
  <c r="Y825" i="2"/>
  <c r="U825" i="2"/>
  <c r="V825" i="2"/>
  <c r="R825" i="2"/>
  <c r="S825" i="2"/>
  <c r="AG824" i="2"/>
  <c r="AH824" i="2"/>
  <c r="AD824" i="2"/>
  <c r="AE824" i="2"/>
  <c r="AA824" i="2"/>
  <c r="AB824" i="2"/>
  <c r="U824" i="2"/>
  <c r="V824" i="2"/>
  <c r="R824" i="2"/>
  <c r="S824" i="2"/>
  <c r="AI824" i="2" s="1" a="1"/>
  <c r="AI824" i="2" s="1"/>
  <c r="X824" i="2"/>
  <c r="Y824" i="2"/>
  <c r="U823" i="2"/>
  <c r="V823" i="2"/>
  <c r="R823" i="2"/>
  <c r="S823" i="2"/>
  <c r="AG823" i="2"/>
  <c r="AH823" i="2"/>
  <c r="AD823" i="2"/>
  <c r="AE823" i="2"/>
  <c r="AA823" i="2"/>
  <c r="AB823" i="2" s="1"/>
  <c r="X823" i="2"/>
  <c r="Y823" i="2"/>
  <c r="AA822" i="2"/>
  <c r="AB822" i="2"/>
  <c r="X822" i="2"/>
  <c r="Y822" i="2"/>
  <c r="U822" i="2"/>
  <c r="V822" i="2"/>
  <c r="AG822" i="2"/>
  <c r="AH822" i="2"/>
  <c r="R822" i="2"/>
  <c r="S822" i="2"/>
  <c r="AD822" i="2"/>
  <c r="AE822" i="2"/>
  <c r="AG821" i="2"/>
  <c r="AH821" i="2"/>
  <c r="AD821" i="2"/>
  <c r="AE821" i="2"/>
  <c r="AA821" i="2"/>
  <c r="AB821" i="2"/>
  <c r="X821" i="2"/>
  <c r="Y821" i="2"/>
  <c r="AD746" i="2"/>
  <c r="AE746" i="2"/>
  <c r="X746" i="2"/>
  <c r="Y746" i="2"/>
  <c r="U746" i="2"/>
  <c r="V746" i="2"/>
  <c r="R746" i="2"/>
  <c r="S746" i="2"/>
  <c r="AA746" i="2"/>
  <c r="AB746" i="2"/>
  <c r="AG745" i="2"/>
  <c r="AH745" i="2"/>
  <c r="AD745" i="2"/>
  <c r="AE745" i="2"/>
  <c r="AA745" i="2"/>
  <c r="AB745" i="2"/>
  <c r="X745" i="2"/>
  <c r="Y745" i="2"/>
  <c r="U745" i="2"/>
  <c r="V745" i="2"/>
  <c r="R745" i="2"/>
  <c r="S745" i="2"/>
  <c r="AG744" i="2"/>
  <c r="AH744" i="2"/>
  <c r="AD744" i="2"/>
  <c r="AE744" i="2"/>
  <c r="AA744" i="2"/>
  <c r="AB744" i="2"/>
  <c r="X744" i="2"/>
  <c r="Y744" i="2"/>
  <c r="U744" i="2"/>
  <c r="V744" i="2"/>
  <c r="R744" i="2"/>
  <c r="S744" i="2"/>
  <c r="AG743" i="2"/>
  <c r="AH743" i="2"/>
  <c r="AD743" i="2"/>
  <c r="AE743" i="2"/>
  <c r="AA743" i="2"/>
  <c r="AB743" i="2"/>
  <c r="X743" i="2"/>
  <c r="Y743" i="2"/>
  <c r="U743" i="2"/>
  <c r="V743" i="2"/>
  <c r="R743" i="2"/>
  <c r="S743" i="2"/>
  <c r="AG742" i="2"/>
  <c r="AH742" i="2"/>
  <c r="AD742" i="2"/>
  <c r="AE742" i="2"/>
  <c r="AA742" i="2"/>
  <c r="AB742" i="2"/>
  <c r="X742" i="2"/>
  <c r="Y742" i="2"/>
  <c r="U742" i="2"/>
  <c r="V742" i="2"/>
  <c r="R742" i="2"/>
  <c r="S742" i="2"/>
  <c r="AG741" i="2"/>
  <c r="AH741" i="2"/>
  <c r="AD741" i="2"/>
  <c r="AE741" i="2"/>
  <c r="AA741" i="2"/>
  <c r="AB741" i="2"/>
  <c r="X741" i="2"/>
  <c r="Y741" i="2"/>
  <c r="U741" i="2"/>
  <c r="V741" i="2"/>
  <c r="R741" i="2"/>
  <c r="S741" i="2"/>
  <c r="AG740" i="2"/>
  <c r="AH740" i="2"/>
  <c r="AD740" i="2"/>
  <c r="AE740" i="2"/>
  <c r="AA740" i="2"/>
  <c r="AB740" i="2"/>
  <c r="X740" i="2"/>
  <c r="Y740" i="2"/>
  <c r="U740" i="2"/>
  <c r="V740" i="2"/>
  <c r="R740" i="2"/>
  <c r="S740" i="2"/>
  <c r="AG739" i="2"/>
  <c r="AH739" i="2"/>
  <c r="AD739" i="2"/>
  <c r="AE739" i="2"/>
  <c r="AA739" i="2"/>
  <c r="AB739" i="2"/>
  <c r="X739" i="2"/>
  <c r="Y739" i="2"/>
  <c r="U739" i="2"/>
  <c r="V739" i="2"/>
  <c r="R739" i="2"/>
  <c r="S739" i="2"/>
  <c r="AG738" i="2"/>
  <c r="AH738" i="2"/>
  <c r="AD738" i="2"/>
  <c r="AE738" i="2"/>
  <c r="AA738" i="2"/>
  <c r="AB738" i="2"/>
  <c r="X738" i="2"/>
  <c r="Y738" i="2"/>
  <c r="U738" i="2"/>
  <c r="V738" i="2"/>
  <c r="R738" i="2"/>
  <c r="S738" i="2"/>
  <c r="AG737" i="2"/>
  <c r="AH737" i="2"/>
  <c r="AD737" i="2"/>
  <c r="AE737" i="2"/>
  <c r="AA737" i="2"/>
  <c r="AB737" i="2"/>
  <c r="X737" i="2"/>
  <c r="Y737" i="2"/>
  <c r="U737" i="2"/>
  <c r="V737" i="2"/>
  <c r="R737" i="2"/>
  <c r="S737" i="2"/>
  <c r="AG736" i="2"/>
  <c r="AH736" i="2"/>
  <c r="AD736" i="2"/>
  <c r="AE736" i="2"/>
  <c r="AA736" i="2"/>
  <c r="AB736" i="2"/>
  <c r="X736" i="2"/>
  <c r="Y736" i="2"/>
  <c r="U736" i="2"/>
  <c r="V736" i="2"/>
  <c r="R736" i="2"/>
  <c r="S736" i="2"/>
  <c r="AG735" i="2"/>
  <c r="AH735" i="2"/>
  <c r="AD735" i="2"/>
  <c r="AE735" i="2"/>
  <c r="AA735" i="2"/>
  <c r="AB735" i="2"/>
  <c r="X735" i="2"/>
  <c r="Y735" i="2"/>
  <c r="U735" i="2"/>
  <c r="V735" i="2"/>
  <c r="R735" i="2"/>
  <c r="S735" i="2"/>
  <c r="AG734" i="2"/>
  <c r="AH734" i="2"/>
  <c r="AD734" i="2"/>
  <c r="AE734" i="2"/>
  <c r="AA734" i="2"/>
  <c r="AB734" i="2"/>
  <c r="X734" i="2"/>
  <c r="Y734" i="2"/>
  <c r="U734" i="2"/>
  <c r="V734" i="2"/>
  <c r="R734" i="2"/>
  <c r="S734" i="2"/>
  <c r="AG733" i="2"/>
  <c r="AH733" i="2"/>
  <c r="AD733" i="2"/>
  <c r="AE733" i="2"/>
  <c r="AA733" i="2"/>
  <c r="AB733" i="2"/>
  <c r="X733" i="2"/>
  <c r="Y733" i="2"/>
  <c r="U733" i="2"/>
  <c r="V733" i="2"/>
  <c r="R733" i="2"/>
  <c r="S733" i="2"/>
  <c r="AG732" i="2"/>
  <c r="AH732" i="2"/>
  <c r="AD732" i="2"/>
  <c r="AE732" i="2"/>
  <c r="AA732" i="2"/>
  <c r="AB732" i="2"/>
  <c r="X732" i="2"/>
  <c r="Y732" i="2"/>
  <c r="U732" i="2"/>
  <c r="V732" i="2"/>
  <c r="R732" i="2"/>
  <c r="S732" i="2"/>
  <c r="AG731" i="2"/>
  <c r="AH731" i="2"/>
  <c r="AD731" i="2"/>
  <c r="AE731" i="2"/>
  <c r="AA731" i="2"/>
  <c r="AB731" i="2"/>
  <c r="X731" i="2"/>
  <c r="Y731" i="2"/>
  <c r="U731" i="2"/>
  <c r="V731" i="2"/>
  <c r="R731" i="2"/>
  <c r="S731" i="2"/>
  <c r="AG730" i="2"/>
  <c r="AH730" i="2"/>
  <c r="AD730" i="2"/>
  <c r="AE730" i="2"/>
  <c r="AA730" i="2"/>
  <c r="AB730" i="2"/>
  <c r="X730" i="2"/>
  <c r="Y730" i="2"/>
  <c r="U730" i="2"/>
  <c r="V730" i="2"/>
  <c r="R730" i="2"/>
  <c r="S730" i="2"/>
  <c r="AG729" i="2"/>
  <c r="AH729" i="2"/>
  <c r="AD729" i="2"/>
  <c r="AE729" i="2"/>
  <c r="AA729" i="2"/>
  <c r="AB729" i="2"/>
  <c r="X729" i="2"/>
  <c r="Y729" i="2"/>
  <c r="U729" i="2"/>
  <c r="V729" i="2"/>
  <c r="R729" i="2"/>
  <c r="S729" i="2"/>
  <c r="AG728" i="2"/>
  <c r="AH728" i="2"/>
  <c r="AD728" i="2"/>
  <c r="AE728" i="2"/>
  <c r="AA728" i="2"/>
  <c r="AB728" i="2"/>
  <c r="X728" i="2"/>
  <c r="Y728" i="2"/>
  <c r="U728" i="2"/>
  <c r="V728" i="2"/>
  <c r="R728" i="2"/>
  <c r="S728" i="2"/>
  <c r="AG727" i="2"/>
  <c r="AH727" i="2"/>
  <c r="AD727" i="2"/>
  <c r="AE727" i="2"/>
  <c r="AA727" i="2"/>
  <c r="AB727" i="2"/>
  <c r="X727" i="2"/>
  <c r="Y727" i="2"/>
  <c r="U727" i="2"/>
  <c r="V727" i="2"/>
  <c r="R727" i="2"/>
  <c r="S727" i="2"/>
  <c r="AG726" i="2"/>
  <c r="AH726" i="2"/>
  <c r="AD726" i="2"/>
  <c r="AE726" i="2"/>
  <c r="AA726" i="2"/>
  <c r="AB726" i="2"/>
  <c r="X726" i="2"/>
  <c r="Y726" i="2"/>
  <c r="U726" i="2"/>
  <c r="V726" i="2"/>
  <c r="R726" i="2"/>
  <c r="S726" i="2"/>
  <c r="AG725" i="2"/>
  <c r="AH725" i="2"/>
  <c r="AD725" i="2"/>
  <c r="AE725" i="2"/>
  <c r="AA725" i="2"/>
  <c r="AB725" i="2"/>
  <c r="X725" i="2"/>
  <c r="Y725" i="2"/>
  <c r="U725" i="2"/>
  <c r="V725" i="2"/>
  <c r="R725" i="2"/>
  <c r="S725" i="2"/>
  <c r="AG724" i="2"/>
  <c r="AH724" i="2"/>
  <c r="AD724" i="2"/>
  <c r="AE724" i="2"/>
  <c r="AA724" i="2"/>
  <c r="AB724" i="2"/>
  <c r="X724" i="2"/>
  <c r="Y724" i="2"/>
  <c r="U724" i="2"/>
  <c r="V724" i="2"/>
  <c r="R724" i="2"/>
  <c r="S724" i="2"/>
  <c r="AG723" i="2"/>
  <c r="AH723" i="2"/>
  <c r="AD723" i="2"/>
  <c r="AE723" i="2"/>
  <c r="AA723" i="2"/>
  <c r="AB723" i="2"/>
  <c r="X723" i="2"/>
  <c r="Y723" i="2"/>
  <c r="U723" i="2"/>
  <c r="V723" i="2"/>
  <c r="R723" i="2"/>
  <c r="S723" i="2"/>
  <c r="AG722" i="2"/>
  <c r="AH722" i="2"/>
  <c r="AD722" i="2"/>
  <c r="AE722" i="2"/>
  <c r="AA722" i="2"/>
  <c r="AB722" i="2"/>
  <c r="X722" i="2"/>
  <c r="Y722" i="2"/>
  <c r="U722" i="2"/>
  <c r="V722" i="2"/>
  <c r="R722" i="2"/>
  <c r="S722" i="2"/>
  <c r="AG721" i="2"/>
  <c r="AH721" i="2"/>
  <c r="AD721" i="2"/>
  <c r="AE721" i="2"/>
  <c r="AA721" i="2"/>
  <c r="AB721" i="2"/>
  <c r="X721" i="2"/>
  <c r="Y721" i="2"/>
  <c r="U721" i="2"/>
  <c r="V721" i="2"/>
  <c r="R721" i="2"/>
  <c r="S721" i="2"/>
  <c r="AG720" i="2"/>
  <c r="AH720" i="2"/>
  <c r="AD720" i="2"/>
  <c r="AE720" i="2"/>
  <c r="AA720" i="2"/>
  <c r="AB720" i="2"/>
  <c r="X720" i="2"/>
  <c r="Y720" i="2"/>
  <c r="U720" i="2"/>
  <c r="V720" i="2"/>
  <c r="R720" i="2"/>
  <c r="S720" i="2"/>
  <c r="AG719" i="2"/>
  <c r="AH719" i="2"/>
  <c r="AD719" i="2"/>
  <c r="AE719" i="2"/>
  <c r="AA719" i="2"/>
  <c r="AB719" i="2"/>
  <c r="X719" i="2"/>
  <c r="Y719" i="2"/>
  <c r="U719" i="2"/>
  <c r="V719" i="2"/>
  <c r="R719" i="2"/>
  <c r="S719" i="2"/>
  <c r="AG718" i="2"/>
  <c r="AH718" i="2"/>
  <c r="AD718" i="2"/>
  <c r="AE718" i="2"/>
  <c r="AA718" i="2"/>
  <c r="AB718" i="2"/>
  <c r="X718" i="2"/>
  <c r="Y718" i="2"/>
  <c r="U718" i="2"/>
  <c r="V718" i="2"/>
  <c r="R718" i="2"/>
  <c r="S718" i="2"/>
  <c r="AA717" i="2"/>
  <c r="AB717" i="2"/>
  <c r="AG717" i="2"/>
  <c r="AH717" i="2"/>
  <c r="AD717" i="2"/>
  <c r="AE717" i="2"/>
  <c r="X717" i="2"/>
  <c r="Y717" i="2"/>
  <c r="U717" i="2"/>
  <c r="V717" i="2"/>
  <c r="R717" i="2"/>
  <c r="S717" i="2"/>
  <c r="AG716" i="2"/>
  <c r="AH716" i="2"/>
  <c r="AD716" i="2"/>
  <c r="AE716" i="2"/>
  <c r="AA716" i="2"/>
  <c r="AB716" i="2"/>
  <c r="X716" i="2"/>
  <c r="Y716" i="2"/>
  <c r="U716" i="2"/>
  <c r="V716" i="2"/>
  <c r="R716" i="2"/>
  <c r="S716" i="2"/>
  <c r="AG715" i="2"/>
  <c r="AH715" i="2"/>
  <c r="AD715" i="2"/>
  <c r="AE715" i="2"/>
  <c r="AA715" i="2"/>
  <c r="AB715" i="2"/>
  <c r="X715" i="2"/>
  <c r="Y715" i="2"/>
  <c r="U715" i="2"/>
  <c r="V715" i="2"/>
  <c r="R715" i="2"/>
  <c r="S715" i="2"/>
  <c r="U714" i="2"/>
  <c r="V714" i="2"/>
  <c r="AG714" i="2"/>
  <c r="AH714" i="2"/>
  <c r="AA714" i="2"/>
  <c r="AB714" i="2"/>
  <c r="X714" i="2"/>
  <c r="Y714" i="2"/>
  <c r="AD714" i="2"/>
  <c r="AE714" i="2"/>
  <c r="R714" i="2"/>
  <c r="S714" i="2"/>
  <c r="AG713" i="2"/>
  <c r="AH713" i="2"/>
  <c r="AD713" i="2"/>
  <c r="AE713" i="2"/>
  <c r="AA713" i="2"/>
  <c r="AB713" i="2"/>
  <c r="X713" i="2"/>
  <c r="Y713" i="2"/>
  <c r="U713" i="2"/>
  <c r="V713" i="2"/>
  <c r="R713" i="2"/>
  <c r="S713" i="2"/>
  <c r="X712" i="2"/>
  <c r="Y712" i="2"/>
  <c r="U712" i="2"/>
  <c r="V712" i="2"/>
  <c r="R712" i="2"/>
  <c r="S712" i="2"/>
  <c r="AG712" i="2"/>
  <c r="AH712" i="2"/>
  <c r="AD712" i="2"/>
  <c r="AE712" i="2"/>
  <c r="AA712" i="2"/>
  <c r="AB712" i="2"/>
  <c r="AA711" i="2"/>
  <c r="AB711" i="2"/>
  <c r="U711" i="2"/>
  <c r="V711" i="2"/>
  <c r="R711" i="2"/>
  <c r="S711" i="2"/>
  <c r="X711" i="2"/>
  <c r="Y711" i="2"/>
  <c r="AG711" i="2"/>
  <c r="AH711" i="2"/>
  <c r="AD711" i="2"/>
  <c r="AE711" i="2"/>
  <c r="AG710" i="2"/>
  <c r="AH710" i="2"/>
  <c r="AD710" i="2"/>
  <c r="AE710" i="2"/>
  <c r="AA710" i="2"/>
  <c r="AB710" i="2"/>
  <c r="X710" i="2"/>
  <c r="Y710" i="2"/>
  <c r="U710" i="2"/>
  <c r="V710" i="2"/>
  <c r="R710" i="2"/>
  <c r="S710" i="2"/>
  <c r="AG709" i="2"/>
  <c r="AH709" i="2"/>
  <c r="AD709" i="2"/>
  <c r="AE709" i="2"/>
  <c r="AA709" i="2"/>
  <c r="AB709" i="2"/>
  <c r="X709" i="2"/>
  <c r="Y709" i="2"/>
  <c r="U709" i="2"/>
  <c r="V709" i="2"/>
  <c r="R709" i="2"/>
  <c r="S709" i="2"/>
  <c r="X708" i="2"/>
  <c r="Y708" i="2"/>
  <c r="AD708" i="2"/>
  <c r="AE708" i="2"/>
  <c r="AA708" i="2"/>
  <c r="AB708" i="2"/>
  <c r="AG708" i="2"/>
  <c r="AH708" i="2"/>
  <c r="U708" i="2"/>
  <c r="V708" i="2"/>
  <c r="R708" i="2"/>
  <c r="S708" i="2"/>
  <c r="AG707" i="2"/>
  <c r="AH707" i="2"/>
  <c r="AD707" i="2"/>
  <c r="AE707" i="2"/>
  <c r="AA707" i="2"/>
  <c r="AB707" i="2"/>
  <c r="X707" i="2"/>
  <c r="Y707" i="2"/>
  <c r="U707" i="2"/>
  <c r="V707" i="2"/>
  <c r="R707" i="2"/>
  <c r="S707" i="2"/>
  <c r="AG706" i="2"/>
  <c r="AH706" i="2"/>
  <c r="AD706" i="2"/>
  <c r="AE706" i="2"/>
  <c r="AA706" i="2"/>
  <c r="AB706" i="2"/>
  <c r="X706" i="2"/>
  <c r="Y706" i="2"/>
  <c r="U706" i="2"/>
  <c r="V706" i="2"/>
  <c r="R706" i="2"/>
  <c r="S706" i="2"/>
  <c r="U705" i="2"/>
  <c r="V705" i="2"/>
  <c r="R705" i="2"/>
  <c r="S705" i="2"/>
  <c r="X705" i="2"/>
  <c r="Y705" i="2"/>
  <c r="AG705" i="2"/>
  <c r="AH705" i="2"/>
  <c r="AD705" i="2"/>
  <c r="AE705" i="2"/>
  <c r="AA705" i="2"/>
  <c r="AB705" i="2"/>
  <c r="AG704" i="2"/>
  <c r="AH704" i="2"/>
  <c r="AA704" i="2"/>
  <c r="AB704" i="2"/>
  <c r="AD704" i="2"/>
  <c r="AE704" i="2"/>
  <c r="R704" i="2"/>
  <c r="S704" i="2"/>
  <c r="U704" i="2"/>
  <c r="V704" i="2"/>
  <c r="X704" i="2"/>
  <c r="Y704" i="2"/>
  <c r="AG703" i="2"/>
  <c r="AH703" i="2"/>
  <c r="AD703" i="2"/>
  <c r="AE703" i="2"/>
  <c r="AA703" i="2"/>
  <c r="AB703" i="2"/>
  <c r="R599" i="2"/>
  <c r="S599" i="2"/>
  <c r="AG599" i="2"/>
  <c r="AH599" i="2"/>
  <c r="AD599" i="2"/>
  <c r="AE599" i="2"/>
  <c r="AA599" i="2"/>
  <c r="AB599" i="2"/>
  <c r="X599" i="2"/>
  <c r="Y599" i="2"/>
  <c r="U599" i="2"/>
  <c r="V599" i="2"/>
  <c r="U598" i="2"/>
  <c r="V598" i="2"/>
  <c r="R598" i="2"/>
  <c r="S598" i="2"/>
  <c r="AG598" i="2"/>
  <c r="AH598" i="2"/>
  <c r="AD598" i="2"/>
  <c r="AE598" i="2"/>
  <c r="AA598" i="2"/>
  <c r="AB598" i="2"/>
  <c r="X598" i="2"/>
  <c r="Y598" i="2"/>
  <c r="R597" i="2"/>
  <c r="S597" i="2"/>
  <c r="AG597" i="2"/>
  <c r="AH597" i="2"/>
  <c r="AD597" i="2"/>
  <c r="AE597" i="2"/>
  <c r="AA597" i="2"/>
  <c r="AB597" i="2"/>
  <c r="X597" i="2"/>
  <c r="Y597" i="2"/>
  <c r="U597" i="2"/>
  <c r="V597" i="2"/>
  <c r="AG596" i="2"/>
  <c r="AH596" i="2"/>
  <c r="AD596" i="2"/>
  <c r="AE596" i="2"/>
  <c r="AA596" i="2"/>
  <c r="AB596" i="2"/>
  <c r="X596" i="2"/>
  <c r="Y596" i="2"/>
  <c r="U596" i="2"/>
  <c r="V596" i="2"/>
  <c r="R596" i="2"/>
  <c r="S596" i="2"/>
  <c r="AD595" i="2"/>
  <c r="AE595" i="2"/>
  <c r="AG595" i="2"/>
  <c r="AH595" i="2"/>
  <c r="R595" i="2"/>
  <c r="S595" i="2"/>
  <c r="AA595" i="2"/>
  <c r="AB595" i="2"/>
  <c r="X595" i="2"/>
  <c r="Y595" i="2"/>
  <c r="U595" i="2"/>
  <c r="V595" i="2"/>
  <c r="AD594" i="2"/>
  <c r="AE594" i="2"/>
  <c r="AA594" i="2"/>
  <c r="AB594" i="2"/>
  <c r="X594" i="2"/>
  <c r="Y594" i="2"/>
  <c r="U594" i="2"/>
  <c r="V594" i="2"/>
  <c r="R594" i="2"/>
  <c r="S594" i="2"/>
  <c r="AG594" i="2"/>
  <c r="AH594" i="2"/>
  <c r="X593" i="2"/>
  <c r="Y593" i="2"/>
  <c r="R593" i="2"/>
  <c r="S593" i="2"/>
  <c r="U593" i="2"/>
  <c r="V593" i="2"/>
  <c r="AG593" i="2"/>
  <c r="AH593" i="2"/>
  <c r="AD593" i="2"/>
  <c r="AE593" i="2"/>
  <c r="AA593" i="2"/>
  <c r="AB593" i="2"/>
  <c r="U592" i="2"/>
  <c r="V592" i="2"/>
  <c r="R592" i="2"/>
  <c r="S592" i="2"/>
  <c r="AG592" i="2"/>
  <c r="AH592" i="2"/>
  <c r="AD592" i="2"/>
  <c r="AE592" i="2"/>
  <c r="AA592" i="2"/>
  <c r="AB592" i="2"/>
  <c r="X592" i="2"/>
  <c r="Y592" i="2"/>
  <c r="AG591" i="2"/>
  <c r="AH591" i="2"/>
  <c r="AD591" i="2"/>
  <c r="AE591" i="2"/>
  <c r="AA591" i="2"/>
  <c r="AB591" i="2"/>
  <c r="X591" i="2"/>
  <c r="Y591" i="2"/>
  <c r="U591" i="2"/>
  <c r="V591" i="2"/>
  <c r="R591" i="2"/>
  <c r="S591" i="2"/>
  <c r="AG590" i="2"/>
  <c r="AH590" i="2" s="1"/>
  <c r="AD590" i="2"/>
  <c r="AE590" i="2" s="1"/>
  <c r="AA590" i="2"/>
  <c r="AB590" i="2"/>
  <c r="X590" i="2"/>
  <c r="Y590" i="2"/>
  <c r="U590" i="2"/>
  <c r="V590" i="2"/>
  <c r="R590" i="2"/>
  <c r="S590" i="2"/>
  <c r="AI590" i="2" s="1" a="1"/>
  <c r="AI590" i="2" s="1"/>
  <c r="U589" i="2"/>
  <c r="V589" i="2"/>
  <c r="R589" i="2"/>
  <c r="S589" i="2"/>
  <c r="AA589" i="2"/>
  <c r="AB589" i="2"/>
  <c r="AG589" i="2"/>
  <c r="AH589" i="2"/>
  <c r="AD589" i="2"/>
  <c r="AE589" i="2"/>
  <c r="X589" i="2"/>
  <c r="Y589" i="2"/>
  <c r="U588" i="2"/>
  <c r="V588" i="2"/>
  <c r="AG588" i="2"/>
  <c r="AH588" i="2"/>
  <c r="AD588" i="2"/>
  <c r="AE588" i="2"/>
  <c r="AA588" i="2"/>
  <c r="AB588" i="2"/>
  <c r="X588" i="2"/>
  <c r="Y588" i="2"/>
  <c r="R588" i="2"/>
  <c r="S588" i="2"/>
  <c r="AG587" i="2"/>
  <c r="AH587" i="2"/>
  <c r="AD587" i="2"/>
  <c r="AE587" i="2"/>
  <c r="AA587" i="2"/>
  <c r="AB587" i="2"/>
  <c r="X587" i="2"/>
  <c r="Y587" i="2"/>
  <c r="R587" i="2"/>
  <c r="S587" i="2"/>
  <c r="U587" i="2"/>
  <c r="V587" i="2"/>
  <c r="R586" i="2"/>
  <c r="S586" i="2" s="1"/>
  <c r="AG586" i="2"/>
  <c r="AH586" i="2"/>
  <c r="U586" i="2"/>
  <c r="V586" i="2"/>
  <c r="X586" i="2"/>
  <c r="Y586" i="2"/>
  <c r="AA586" i="2"/>
  <c r="AB586" i="2"/>
  <c r="AD586" i="2"/>
  <c r="AE586" i="2"/>
  <c r="U585" i="2"/>
  <c r="V585" i="2"/>
  <c r="AG585" i="2"/>
  <c r="AH585" i="2"/>
  <c r="AD585" i="2"/>
  <c r="AE585" i="2"/>
  <c r="AA585" i="2"/>
  <c r="AB585" i="2"/>
  <c r="R585" i="2"/>
  <c r="S585" i="2"/>
  <c r="X585" i="2"/>
  <c r="Y585" i="2"/>
  <c r="AA584" i="2"/>
  <c r="AB584" i="2"/>
  <c r="AD584" i="2"/>
  <c r="AE584" i="2"/>
  <c r="AG584" i="2"/>
  <c r="AH584" i="2"/>
  <c r="R584" i="2"/>
  <c r="S584" i="2" s="1"/>
  <c r="U584" i="2"/>
  <c r="V584" i="2"/>
  <c r="X584" i="2"/>
  <c r="Y584" i="2"/>
  <c r="AA583" i="2"/>
  <c r="AB583" i="2"/>
  <c r="AD583" i="2"/>
  <c r="AE583" i="2"/>
  <c r="AG583" i="2"/>
  <c r="AH583" i="2"/>
  <c r="U583" i="2"/>
  <c r="V583" i="2"/>
  <c r="R583" i="2"/>
  <c r="S583" i="2"/>
  <c r="X583" i="2"/>
  <c r="Y583" i="2"/>
  <c r="R582" i="2"/>
  <c r="S582" i="2"/>
  <c r="U582" i="2"/>
  <c r="V582" i="2"/>
  <c r="X582" i="2"/>
  <c r="Y582" i="2"/>
  <c r="AG582" i="2"/>
  <c r="AH582" i="2"/>
  <c r="AD582" i="2"/>
  <c r="AE582" i="2"/>
  <c r="AA582" i="2"/>
  <c r="AB582" i="2" s="1"/>
  <c r="AD581" i="2"/>
  <c r="AE581" i="2" s="1"/>
  <c r="AG581" i="2"/>
  <c r="AH581" i="2" s="1"/>
  <c r="AA581" i="2"/>
  <c r="AB581" i="2"/>
  <c r="U581" i="2"/>
  <c r="V581" i="2"/>
  <c r="R581" i="2"/>
  <c r="S581" i="2"/>
  <c r="X581" i="2"/>
  <c r="Y581" i="2" s="1"/>
  <c r="R580" i="2"/>
  <c r="S580" i="2" s="1"/>
  <c r="X580" i="2"/>
  <c r="Y580" i="2"/>
  <c r="U580" i="2"/>
  <c r="V580" i="2" s="1"/>
  <c r="AA580" i="2"/>
  <c r="AB580" i="2"/>
  <c r="AD580" i="2"/>
  <c r="AE580" i="2"/>
  <c r="AG580" i="2"/>
  <c r="AH580" i="2"/>
  <c r="AG579" i="2"/>
  <c r="AH579" i="2"/>
  <c r="AA579" i="2"/>
  <c r="AB579" i="2" s="1"/>
  <c r="X579" i="2"/>
  <c r="Y579" i="2" s="1"/>
  <c r="U579" i="2"/>
  <c r="V579" i="2"/>
  <c r="R579" i="2"/>
  <c r="S579" i="2" s="1"/>
  <c r="AD579" i="2"/>
  <c r="AE579" i="2"/>
  <c r="AG578" i="2"/>
  <c r="AH578" i="2"/>
  <c r="AD578" i="2"/>
  <c r="AE578" i="2"/>
  <c r="AA578" i="2"/>
  <c r="AB578" i="2"/>
  <c r="X578" i="2"/>
  <c r="Y578" i="2"/>
  <c r="U578" i="2"/>
  <c r="V578" i="2"/>
  <c r="R578" i="2"/>
  <c r="S578" i="2"/>
  <c r="AG577" i="2"/>
  <c r="AH577" i="2"/>
  <c r="AD577" i="2"/>
  <c r="AE577" i="2"/>
  <c r="AA577" i="2"/>
  <c r="AB577" i="2"/>
  <c r="X577" i="2"/>
  <c r="Y577" i="2"/>
  <c r="U577" i="2"/>
  <c r="V577" i="2"/>
  <c r="R577" i="2"/>
  <c r="S577" i="2"/>
  <c r="AG576" i="2"/>
  <c r="AH576" i="2"/>
  <c r="AD576" i="2"/>
  <c r="AE576" i="2"/>
  <c r="AA576" i="2"/>
  <c r="AB576" i="2"/>
  <c r="X576" i="2"/>
  <c r="Y576" i="2"/>
  <c r="U576" i="2"/>
  <c r="V576" i="2"/>
  <c r="R576" i="2"/>
  <c r="S576" i="2"/>
  <c r="AD575" i="2"/>
  <c r="AE575" i="2"/>
  <c r="AA575" i="2"/>
  <c r="AB575" i="2"/>
  <c r="X575" i="2"/>
  <c r="Y575" i="2"/>
  <c r="U575" i="2"/>
  <c r="V575" i="2"/>
  <c r="R575" i="2"/>
  <c r="S575" i="2"/>
  <c r="AG575" i="2"/>
  <c r="AH575" i="2"/>
  <c r="AD574" i="2"/>
  <c r="AE574" i="2"/>
  <c r="AA574" i="2"/>
  <c r="AB574" i="2"/>
  <c r="X574" i="2"/>
  <c r="Y574" i="2"/>
  <c r="U574" i="2"/>
  <c r="V574" i="2"/>
  <c r="R574" i="2"/>
  <c r="S574" i="2"/>
  <c r="AG574" i="2"/>
  <c r="AH574" i="2"/>
  <c r="U573" i="2"/>
  <c r="V573" i="2"/>
  <c r="AG573" i="2"/>
  <c r="AH573" i="2"/>
  <c r="AD573" i="2"/>
  <c r="AE573" i="2"/>
  <c r="AA573" i="2"/>
  <c r="AB573" i="2"/>
  <c r="R573" i="2"/>
  <c r="S573" i="2"/>
  <c r="X573" i="2"/>
  <c r="Y573" i="2"/>
  <c r="AA572" i="2"/>
  <c r="AB572" i="2"/>
  <c r="X572" i="2"/>
  <c r="Y572" i="2"/>
  <c r="U572" i="2"/>
  <c r="V572" i="2"/>
  <c r="R572" i="2"/>
  <c r="S572" i="2"/>
  <c r="AG572" i="2"/>
  <c r="AH572" i="2"/>
  <c r="AD572" i="2"/>
  <c r="AE572" i="2"/>
  <c r="R571" i="2"/>
  <c r="S571" i="2"/>
  <c r="U571" i="2"/>
  <c r="V571" i="2"/>
  <c r="X571" i="2"/>
  <c r="Y571" i="2"/>
  <c r="AA571" i="2"/>
  <c r="AB571" i="2"/>
  <c r="AD571" i="2"/>
  <c r="AE571" i="2"/>
  <c r="AG571" i="2"/>
  <c r="AH571" i="2"/>
  <c r="AA570" i="2"/>
  <c r="AB570" i="2"/>
  <c r="X570" i="2"/>
  <c r="Y570" i="2"/>
  <c r="U570" i="2"/>
  <c r="V570" i="2"/>
  <c r="R570" i="2"/>
  <c r="S570" i="2"/>
  <c r="AD570" i="2"/>
  <c r="AE570" i="2"/>
  <c r="AG570" i="2"/>
  <c r="AH570" i="2"/>
  <c r="AG569" i="2"/>
  <c r="AH569" i="2"/>
  <c r="AD569" i="2"/>
  <c r="AE569" i="2"/>
  <c r="AA569" i="2"/>
  <c r="AB569" i="2"/>
  <c r="X569" i="2"/>
  <c r="Y569" i="2"/>
  <c r="U569" i="2"/>
  <c r="V569" i="2"/>
  <c r="R569" i="2"/>
  <c r="S569" i="2"/>
  <c r="AG568" i="2"/>
  <c r="AH568" i="2"/>
  <c r="AD568" i="2"/>
  <c r="AE568" i="2"/>
  <c r="R568" i="2"/>
  <c r="S568" i="2"/>
  <c r="U568" i="2"/>
  <c r="V568" i="2"/>
  <c r="X568" i="2"/>
  <c r="Y568" i="2"/>
  <c r="AA568" i="2"/>
  <c r="AB568" i="2"/>
  <c r="U567" i="2"/>
  <c r="V567" i="2"/>
  <c r="AD567" i="2"/>
  <c r="AE567" i="2"/>
  <c r="R567" i="2"/>
  <c r="S567" i="2"/>
  <c r="AG567" i="2"/>
  <c r="AH567" i="2"/>
  <c r="X567" i="2"/>
  <c r="Y567" i="2"/>
  <c r="AA567" i="2"/>
  <c r="AB567" i="2"/>
  <c r="AD566" i="2"/>
  <c r="AE566" i="2"/>
  <c r="AA566" i="2"/>
  <c r="AB566" i="2"/>
  <c r="X566" i="2"/>
  <c r="Y566" i="2"/>
  <c r="U566" i="2"/>
  <c r="V566" i="2"/>
  <c r="R566" i="2"/>
  <c r="S566" i="2"/>
  <c r="AG566" i="2"/>
  <c r="AH566" i="2"/>
  <c r="AD565" i="2"/>
  <c r="AE565" i="2"/>
  <c r="AA565" i="2"/>
  <c r="AB565" i="2"/>
  <c r="X565" i="2"/>
  <c r="Y565" i="2"/>
  <c r="U565" i="2"/>
  <c r="V565" i="2"/>
  <c r="R565" i="2"/>
  <c r="S565" i="2"/>
  <c r="AG565" i="2"/>
  <c r="AH565" i="2"/>
  <c r="AD564" i="2"/>
  <c r="AE564" i="2"/>
  <c r="AA564" i="2"/>
  <c r="AB564" i="2"/>
  <c r="X564" i="2"/>
  <c r="Y564" i="2"/>
  <c r="U564" i="2"/>
  <c r="V564" i="2"/>
  <c r="R564" i="2"/>
  <c r="S564" i="2"/>
  <c r="AG564" i="2"/>
  <c r="AH564" i="2"/>
  <c r="AD563" i="2"/>
  <c r="AE563" i="2"/>
  <c r="AA563" i="2"/>
  <c r="AB563" i="2"/>
  <c r="X563" i="2"/>
  <c r="Y563" i="2"/>
  <c r="U563" i="2"/>
  <c r="V563" i="2"/>
  <c r="R563" i="2"/>
  <c r="S563" i="2"/>
  <c r="AG563" i="2"/>
  <c r="AH563" i="2"/>
  <c r="AG562" i="2"/>
  <c r="AH562" i="2"/>
  <c r="AD562" i="2"/>
  <c r="AE562" i="2"/>
  <c r="AA562" i="2"/>
  <c r="AB562" i="2"/>
  <c r="X562" i="2"/>
  <c r="Y562" i="2"/>
  <c r="U562" i="2"/>
  <c r="V562" i="2"/>
  <c r="R562" i="2"/>
  <c r="S562" i="2"/>
  <c r="R561" i="2"/>
  <c r="S561" i="2"/>
  <c r="U561" i="2"/>
  <c r="V561" i="2"/>
  <c r="X561" i="2"/>
  <c r="Y561" i="2"/>
  <c r="AA561" i="2"/>
  <c r="AB561" i="2"/>
  <c r="AD561" i="2"/>
  <c r="AE561" i="2"/>
  <c r="AG561" i="2"/>
  <c r="AH561" i="2"/>
  <c r="AG560" i="2"/>
  <c r="AH560" i="2" s="1"/>
  <c r="AD560" i="2"/>
  <c r="AE560" i="2"/>
  <c r="AA560" i="2"/>
  <c r="AB560" i="2" s="1"/>
  <c r="X560" i="2"/>
  <c r="Y560" i="2"/>
  <c r="U560" i="2"/>
  <c r="V560" i="2"/>
  <c r="R560" i="2"/>
  <c r="S560" i="2"/>
  <c r="AD559" i="2"/>
  <c r="AE559" i="2"/>
  <c r="AG559" i="2"/>
  <c r="AH559" i="2"/>
  <c r="AA559" i="2"/>
  <c r="AB559" i="2"/>
  <c r="X559" i="2"/>
  <c r="Y559" i="2"/>
  <c r="U559" i="2"/>
  <c r="V559" i="2"/>
  <c r="R559" i="2"/>
  <c r="S559" i="2"/>
  <c r="X558" i="2"/>
  <c r="Y558" i="2"/>
  <c r="U558" i="2"/>
  <c r="V558" i="2"/>
  <c r="AA558" i="2"/>
  <c r="AB558" i="2"/>
  <c r="AD558" i="2"/>
  <c r="AE558" i="2"/>
  <c r="AG558" i="2"/>
  <c r="AH558" i="2"/>
  <c r="R558" i="2"/>
  <c r="S558" i="2"/>
  <c r="AG557" i="2"/>
  <c r="AH557" i="2"/>
  <c r="AA557" i="2"/>
  <c r="AB557" i="2"/>
  <c r="X557" i="2"/>
  <c r="Y557" i="2"/>
  <c r="U557" i="2"/>
  <c r="V557" i="2"/>
  <c r="R557" i="2"/>
  <c r="S557" i="2"/>
  <c r="AD557" i="2"/>
  <c r="AE557" i="2"/>
  <c r="R556" i="2"/>
  <c r="S556" i="2"/>
  <c r="U556" i="2"/>
  <c r="V556" i="2"/>
  <c r="AG556" i="2"/>
  <c r="AH556" i="2"/>
  <c r="X556" i="2"/>
  <c r="Y556" i="2"/>
  <c r="AA556" i="2"/>
  <c r="AB556" i="2"/>
  <c r="AD556" i="2"/>
  <c r="AE556" i="2"/>
  <c r="U555" i="2"/>
  <c r="V555" i="2"/>
  <c r="AA555" i="2"/>
  <c r="AB555" i="2"/>
  <c r="X555" i="2"/>
  <c r="Y555" i="2"/>
  <c r="AD555" i="2"/>
  <c r="AE555" i="2"/>
  <c r="AG555" i="2"/>
  <c r="AH555" i="2"/>
  <c r="R555" i="2"/>
  <c r="S555" i="2"/>
  <c r="AD554" i="2"/>
  <c r="AE554" i="2"/>
  <c r="AG554" i="2"/>
  <c r="AH554" i="2"/>
  <c r="R554" i="2"/>
  <c r="S554" i="2"/>
  <c r="R295" i="2"/>
  <c r="S295" i="2"/>
  <c r="U295" i="2"/>
  <c r="V295" i="2"/>
  <c r="AD295" i="2"/>
  <c r="AE295" i="2"/>
  <c r="AA295" i="2"/>
  <c r="AB295" i="2"/>
  <c r="AG295" i="2"/>
  <c r="AH295" i="2"/>
  <c r="X295" i="2"/>
  <c r="Y295" i="2"/>
  <c r="R294" i="2"/>
  <c r="S294" i="2"/>
  <c r="AA294" i="2"/>
  <c r="AB294" i="2"/>
  <c r="AG294" i="2"/>
  <c r="AH294" i="2"/>
  <c r="X294" i="2"/>
  <c r="Y294" i="2"/>
  <c r="U294" i="2"/>
  <c r="V294" i="2"/>
  <c r="AD294" i="2"/>
  <c r="AE294" i="2"/>
  <c r="R293" i="2"/>
  <c r="S293" i="2"/>
  <c r="AA293" i="2"/>
  <c r="AB293" i="2"/>
  <c r="AG293" i="2"/>
  <c r="AH293" i="2"/>
  <c r="AD293" i="2"/>
  <c r="AE293" i="2"/>
  <c r="X293" i="2"/>
  <c r="Y293" i="2"/>
  <c r="U293" i="2"/>
  <c r="V293" i="2"/>
  <c r="R292" i="2"/>
  <c r="S292" i="2"/>
  <c r="U292" i="2"/>
  <c r="V292" i="2"/>
  <c r="X292" i="2"/>
  <c r="Y292" i="2"/>
  <c r="AD292" i="2"/>
  <c r="AE292" i="2"/>
  <c r="AG292" i="2"/>
  <c r="AH292" i="2"/>
  <c r="AA292" i="2"/>
  <c r="AB292" i="2"/>
  <c r="U291" i="2"/>
  <c r="V291" i="2"/>
  <c r="X291" i="2"/>
  <c r="Y291" i="2"/>
  <c r="AD291" i="2"/>
  <c r="AE291" i="2"/>
  <c r="AG291" i="2"/>
  <c r="AH291" i="2"/>
  <c r="AA291" i="2"/>
  <c r="AB291" i="2"/>
  <c r="R291" i="2"/>
  <c r="S291" i="2"/>
  <c r="AA290" i="2"/>
  <c r="AB290" i="2"/>
  <c r="AG290" i="2"/>
  <c r="AH290" i="2"/>
  <c r="AD290" i="2"/>
  <c r="AE290" i="2"/>
  <c r="X290" i="2"/>
  <c r="Y290" i="2"/>
  <c r="U290" i="2"/>
  <c r="V290" i="2"/>
  <c r="R290" i="2"/>
  <c r="S290" i="2"/>
  <c r="X289" i="2"/>
  <c r="Y289" i="2"/>
  <c r="AG289" i="2"/>
  <c r="AH289" i="2"/>
  <c r="AA289" i="2"/>
  <c r="AB289" i="2"/>
  <c r="AD289" i="2"/>
  <c r="AE289" i="2"/>
  <c r="U289" i="2"/>
  <c r="V289" i="2"/>
  <c r="R289" i="2"/>
  <c r="S289" i="2"/>
  <c r="AA288" i="2"/>
  <c r="AB288" i="2"/>
  <c r="AG288" i="2"/>
  <c r="AH288" i="2"/>
  <c r="AD288" i="2"/>
  <c r="AE288" i="2"/>
  <c r="X288" i="2"/>
  <c r="Y288" i="2"/>
  <c r="U288" i="2"/>
  <c r="V288" i="2"/>
  <c r="R288" i="2"/>
  <c r="S288" i="2"/>
  <c r="AG287" i="2"/>
  <c r="AH287" i="2"/>
  <c r="AA287" i="2"/>
  <c r="AB287" i="2"/>
  <c r="AD287" i="2"/>
  <c r="AE287" i="2"/>
  <c r="X287" i="2"/>
  <c r="Y287" i="2"/>
  <c r="U287" i="2"/>
  <c r="V287" i="2"/>
  <c r="R287" i="2"/>
  <c r="S287" i="2"/>
  <c r="X286" i="2"/>
  <c r="Y286" i="2"/>
  <c r="U286" i="2"/>
  <c r="V286" i="2"/>
  <c r="R286" i="2"/>
  <c r="S286" i="2"/>
  <c r="AG286" i="2"/>
  <c r="AH286" i="2"/>
  <c r="AA286" i="2"/>
  <c r="AB286" i="2"/>
  <c r="AD286" i="2"/>
  <c r="AE286" i="2"/>
  <c r="U285" i="2"/>
  <c r="V285" i="2"/>
  <c r="AG285" i="2"/>
  <c r="AH285" i="2"/>
  <c r="R285" i="2"/>
  <c r="S285" i="2"/>
  <c r="AA285" i="2"/>
  <c r="AB285" i="2"/>
  <c r="AD285" i="2"/>
  <c r="AE285" i="2"/>
  <c r="X285" i="2"/>
  <c r="Y285" i="2"/>
  <c r="AG284" i="2"/>
  <c r="AH284" i="2"/>
  <c r="AA284" i="2"/>
  <c r="AB284" i="2"/>
  <c r="AD284" i="2"/>
  <c r="AE284" i="2"/>
  <c r="X284" i="2"/>
  <c r="Y284" i="2"/>
  <c r="U284" i="2"/>
  <c r="V284" i="2"/>
  <c r="R284" i="2"/>
  <c r="S284" i="2"/>
  <c r="AG283" i="2"/>
  <c r="AH283" i="2"/>
  <c r="AA283" i="2"/>
  <c r="AB283" i="2"/>
  <c r="AD283" i="2"/>
  <c r="AE283" i="2"/>
  <c r="X283" i="2"/>
  <c r="Y283" i="2"/>
  <c r="U283" i="2"/>
  <c r="V283" i="2"/>
  <c r="R283" i="2"/>
  <c r="S283" i="2"/>
  <c r="AA282" i="2"/>
  <c r="AB282" i="2"/>
  <c r="AG282" i="2"/>
  <c r="AH282" i="2"/>
  <c r="AD282" i="2"/>
  <c r="AE282" i="2"/>
  <c r="X282" i="2"/>
  <c r="Y282" i="2"/>
  <c r="U282" i="2"/>
  <c r="V282" i="2"/>
  <c r="R282" i="2"/>
  <c r="S282" i="2"/>
  <c r="AA281" i="2"/>
  <c r="AB281" i="2"/>
  <c r="AG281" i="2"/>
  <c r="AH281" i="2"/>
  <c r="AD281" i="2"/>
  <c r="AE281" i="2"/>
  <c r="X281" i="2"/>
  <c r="Y281" i="2"/>
  <c r="U281" i="2"/>
  <c r="V281" i="2"/>
  <c r="R281" i="2"/>
  <c r="S281" i="2"/>
  <c r="R280" i="2"/>
  <c r="S280" i="2"/>
  <c r="U280" i="2"/>
  <c r="V280" i="2"/>
  <c r="AA280" i="2"/>
  <c r="AB280" i="2"/>
  <c r="AG280" i="2"/>
  <c r="AH280" i="2"/>
  <c r="AD280" i="2"/>
  <c r="AE280" i="2"/>
  <c r="X280" i="2"/>
  <c r="Y280" i="2"/>
  <c r="AA279" i="2"/>
  <c r="AB279" i="2"/>
  <c r="AG279" i="2"/>
  <c r="AH279" i="2"/>
  <c r="R279" i="2"/>
  <c r="S279" i="2"/>
  <c r="U279" i="2"/>
  <c r="V279" i="2"/>
  <c r="X279" i="2"/>
  <c r="Y279" i="2"/>
  <c r="AD279" i="2"/>
  <c r="AE279" i="2"/>
  <c r="AA278" i="2"/>
  <c r="AB278" i="2"/>
  <c r="AG278" i="2"/>
  <c r="AH278" i="2"/>
  <c r="AD278" i="2"/>
  <c r="AE278" i="2"/>
  <c r="X278" i="2"/>
  <c r="Y278" i="2"/>
  <c r="U278" i="2"/>
  <c r="V278" i="2"/>
  <c r="R278" i="2"/>
  <c r="S278" i="2"/>
  <c r="AG277" i="2"/>
  <c r="AH277" i="2"/>
  <c r="AA277" i="2"/>
  <c r="AB277" i="2"/>
  <c r="AD277" i="2"/>
  <c r="AE277" i="2"/>
  <c r="X277" i="2"/>
  <c r="Y277" i="2"/>
  <c r="U277" i="2"/>
  <c r="V277" i="2"/>
  <c r="R277" i="2"/>
  <c r="S277" i="2"/>
  <c r="X276" i="2"/>
  <c r="Y276" i="2"/>
  <c r="AG276" i="2"/>
  <c r="AH276" i="2"/>
  <c r="AA276" i="2"/>
  <c r="AB276" i="2"/>
  <c r="AD276" i="2"/>
  <c r="AE276" i="2"/>
  <c r="U276" i="2"/>
  <c r="V276" i="2"/>
  <c r="R276" i="2"/>
  <c r="S276" i="2"/>
  <c r="AG275" i="2"/>
  <c r="AH275" i="2"/>
  <c r="AA275" i="2"/>
  <c r="AB275" i="2"/>
  <c r="AD275" i="2"/>
  <c r="AE275" i="2"/>
  <c r="X275" i="2"/>
  <c r="Y275" i="2"/>
  <c r="U275" i="2"/>
  <c r="V275" i="2"/>
  <c r="R275" i="2"/>
  <c r="S275" i="2"/>
  <c r="U274" i="2"/>
  <c r="V274" i="2"/>
  <c r="R274" i="2"/>
  <c r="S274" i="2"/>
  <c r="AG274" i="2"/>
  <c r="AH274" i="2"/>
  <c r="AA274" i="2"/>
  <c r="AB274" i="2"/>
  <c r="AD274" i="2"/>
  <c r="AE274" i="2"/>
  <c r="X274" i="2"/>
  <c r="Y274" i="2"/>
  <c r="R273" i="2"/>
  <c r="S273" i="2"/>
  <c r="X273" i="2"/>
  <c r="Y273" i="2"/>
  <c r="AG273" i="2"/>
  <c r="AH273" i="2"/>
  <c r="AD273" i="2"/>
  <c r="AE273" i="2"/>
  <c r="AA273" i="2"/>
  <c r="AB273" i="2"/>
  <c r="U273" i="2"/>
  <c r="V273" i="2"/>
  <c r="AA272" i="2"/>
  <c r="AB272" i="2"/>
  <c r="AG272" i="2"/>
  <c r="AH272" i="2"/>
  <c r="AD272" i="2"/>
  <c r="AE272" i="2"/>
  <c r="X272" i="2"/>
  <c r="Y272" i="2"/>
  <c r="U272" i="2"/>
  <c r="V272" i="2"/>
  <c r="R272" i="2"/>
  <c r="S272" i="2"/>
  <c r="AA271" i="2"/>
  <c r="AB271" i="2"/>
  <c r="AG271" i="2"/>
  <c r="AH271" i="2"/>
  <c r="AD271" i="2"/>
  <c r="AE271" i="2"/>
  <c r="X271" i="2"/>
  <c r="Y271" i="2"/>
  <c r="U271" i="2"/>
  <c r="V271" i="2"/>
  <c r="R271" i="2"/>
  <c r="S271" i="2"/>
  <c r="AG270" i="2"/>
  <c r="AH270" i="2"/>
  <c r="AA270" i="2"/>
  <c r="AB270" i="2"/>
  <c r="AD270" i="2"/>
  <c r="AE270" i="2"/>
  <c r="X270" i="2"/>
  <c r="Y270" i="2"/>
  <c r="U270" i="2"/>
  <c r="V270" i="2"/>
  <c r="R270" i="2"/>
  <c r="S270" i="2"/>
  <c r="AG269" i="2"/>
  <c r="AH269" i="2"/>
  <c r="AA269" i="2"/>
  <c r="AB269" i="2"/>
  <c r="AD269" i="2"/>
  <c r="AE269" i="2"/>
  <c r="X269" i="2"/>
  <c r="Y269" i="2"/>
  <c r="U269" i="2"/>
  <c r="V269" i="2"/>
  <c r="R269" i="2"/>
  <c r="S269" i="2"/>
  <c r="U268" i="2"/>
  <c r="V268" i="2"/>
  <c r="R268" i="2"/>
  <c r="S268" i="2"/>
  <c r="AA268" i="2"/>
  <c r="AB268" i="2"/>
  <c r="AG268" i="2"/>
  <c r="AH268" i="2"/>
  <c r="AD268" i="2"/>
  <c r="AE268" i="2"/>
  <c r="X268" i="2"/>
  <c r="Y268" i="2"/>
  <c r="U267" i="2"/>
  <c r="V267" i="2"/>
  <c r="R267" i="2"/>
  <c r="S267" i="2"/>
  <c r="AA267" i="2"/>
  <c r="AB267" i="2"/>
  <c r="AG267" i="2"/>
  <c r="AH267" i="2"/>
  <c r="AD267" i="2"/>
  <c r="AE267" i="2"/>
  <c r="X267" i="2"/>
  <c r="Y267" i="2"/>
  <c r="AG266" i="2"/>
  <c r="AH266" i="2"/>
  <c r="U266" i="2"/>
  <c r="V266" i="2"/>
  <c r="R266" i="2"/>
  <c r="S266" i="2"/>
  <c r="AA266" i="2"/>
  <c r="AB266" i="2"/>
  <c r="AD266" i="2"/>
  <c r="AE266" i="2"/>
  <c r="X266" i="2"/>
  <c r="Y266" i="2"/>
  <c r="U265" i="2"/>
  <c r="V265" i="2"/>
  <c r="R265" i="2"/>
  <c r="S265" i="2"/>
  <c r="AG265" i="2"/>
  <c r="AH265" i="2"/>
  <c r="AA265" i="2"/>
  <c r="AB265" i="2"/>
  <c r="AD265" i="2"/>
  <c r="AE265" i="2"/>
  <c r="X265" i="2"/>
  <c r="Y265" i="2"/>
  <c r="AD264" i="2"/>
  <c r="AE264" i="2"/>
  <c r="AG264" i="2"/>
  <c r="AH264" i="2"/>
  <c r="AA264" i="2"/>
  <c r="AB264" i="2"/>
  <c r="X264" i="2"/>
  <c r="Y264" i="2"/>
  <c r="U264" i="2"/>
  <c r="V264" i="2"/>
  <c r="R264" i="2"/>
  <c r="S264" i="2"/>
  <c r="AG263" i="2"/>
  <c r="AH263" i="2"/>
  <c r="AA263" i="2"/>
  <c r="AB263" i="2"/>
  <c r="AD263" i="2"/>
  <c r="AE263" i="2"/>
  <c r="X263" i="2"/>
  <c r="Y263" i="2"/>
  <c r="U263" i="2"/>
  <c r="V263" i="2"/>
  <c r="R263" i="2"/>
  <c r="S263" i="2"/>
  <c r="U262" i="2"/>
  <c r="V262" i="2"/>
  <c r="AG262" i="2"/>
  <c r="AH262" i="2"/>
  <c r="AA262" i="2"/>
  <c r="AB262" i="2"/>
  <c r="AD262" i="2"/>
  <c r="AE262" i="2"/>
  <c r="X262" i="2"/>
  <c r="Y262" i="2"/>
  <c r="R262" i="2"/>
  <c r="S262" i="2"/>
  <c r="AD261" i="2"/>
  <c r="AE261" i="2"/>
  <c r="AG261" i="2"/>
  <c r="AH261" i="2"/>
  <c r="AA261" i="2"/>
  <c r="AB261" i="2"/>
  <c r="U225" i="2"/>
  <c r="V225" i="2"/>
  <c r="R225" i="2"/>
  <c r="S225" i="2"/>
  <c r="AA225" i="2"/>
  <c r="AB225" i="2"/>
  <c r="AG225" i="2"/>
  <c r="AH225" i="2"/>
  <c r="AD225" i="2"/>
  <c r="AE225" i="2"/>
  <c r="X225" i="2"/>
  <c r="Y225" i="2"/>
  <c r="AG224" i="2"/>
  <c r="AH224" i="2"/>
  <c r="AA224" i="2"/>
  <c r="AB224" i="2"/>
  <c r="AD224" i="2"/>
  <c r="AE224" i="2"/>
  <c r="X224" i="2"/>
  <c r="Y224" i="2"/>
  <c r="U224" i="2"/>
  <c r="V224" i="2"/>
  <c r="R224" i="2"/>
  <c r="S224" i="2"/>
  <c r="AG223" i="2"/>
  <c r="AH223" i="2"/>
  <c r="AA223" i="2"/>
  <c r="AB223" i="2"/>
  <c r="AD223" i="2"/>
  <c r="AE223" i="2"/>
  <c r="X223" i="2"/>
  <c r="Y223" i="2"/>
  <c r="U223" i="2"/>
  <c r="V223" i="2"/>
  <c r="R223" i="2"/>
  <c r="S223" i="2"/>
  <c r="AG170" i="2"/>
  <c r="AH170" i="2"/>
  <c r="AA170" i="2"/>
  <c r="AB170" i="2"/>
  <c r="AD170" i="2"/>
  <c r="AE170" i="2"/>
  <c r="X170" i="2"/>
  <c r="Y170" i="2"/>
  <c r="U170" i="2"/>
  <c r="V170" i="2"/>
  <c r="R170" i="2"/>
  <c r="S170" i="2"/>
  <c r="R169" i="2"/>
  <c r="S169" i="2"/>
  <c r="X169" i="2"/>
  <c r="Y169" i="2"/>
  <c r="AA169" i="2"/>
  <c r="AB169" i="2"/>
  <c r="AG169" i="2"/>
  <c r="AH169" i="2"/>
  <c r="AD169" i="2"/>
  <c r="AE169" i="2"/>
  <c r="U169" i="2"/>
  <c r="V169" i="2"/>
  <c r="AG168" i="2"/>
  <c r="AH168" i="2"/>
  <c r="AA168" i="2"/>
  <c r="AB168" i="2"/>
  <c r="AD168" i="2"/>
  <c r="AE168" i="2"/>
  <c r="X168" i="2"/>
  <c r="Y168" i="2"/>
  <c r="U168" i="2"/>
  <c r="V168" i="2"/>
  <c r="R168" i="2"/>
  <c r="S168" i="2"/>
  <c r="AD167" i="2"/>
  <c r="AE167" i="2"/>
  <c r="AG167" i="2"/>
  <c r="AH167" i="2"/>
  <c r="AA167" i="2"/>
  <c r="AB167" i="2"/>
  <c r="X167" i="2"/>
  <c r="Y167" i="2"/>
  <c r="U167" i="2"/>
  <c r="V167" i="2"/>
  <c r="R167" i="2"/>
  <c r="S167" i="2"/>
  <c r="R166" i="2"/>
  <c r="S166" i="2"/>
  <c r="U166" i="2"/>
  <c r="V166" i="2"/>
  <c r="X166" i="2"/>
  <c r="Y166" i="2"/>
  <c r="AD166" i="2"/>
  <c r="AE166" i="2"/>
  <c r="AG166" i="2"/>
  <c r="AH166" i="2"/>
  <c r="AA166" i="2"/>
  <c r="AB166" i="2"/>
  <c r="AD165" i="2"/>
  <c r="AE165" i="2"/>
  <c r="X165" i="2"/>
  <c r="Y165" i="2"/>
  <c r="R165" i="2"/>
  <c r="S165" i="2"/>
  <c r="U165" i="2"/>
  <c r="V165" i="2"/>
  <c r="AG165" i="2"/>
  <c r="AH165" i="2"/>
  <c r="AA165" i="2"/>
  <c r="AB165" i="2"/>
  <c r="R164" i="2"/>
  <c r="S164" i="2"/>
  <c r="AA164" i="2"/>
  <c r="AB164" i="2"/>
  <c r="AG164" i="2"/>
  <c r="AH164" i="2"/>
  <c r="AD164" i="2"/>
  <c r="AE164" i="2"/>
  <c r="X164" i="2"/>
  <c r="Y164" i="2"/>
  <c r="U164" i="2"/>
  <c r="V164" i="2" s="1"/>
  <c r="R163" i="2"/>
  <c r="S163" i="2" s="1"/>
  <c r="AG163" i="2"/>
  <c r="AH163" i="2"/>
  <c r="AA163" i="2"/>
  <c r="AB163" i="2"/>
  <c r="AD163" i="2"/>
  <c r="AE163" i="2"/>
  <c r="X163" i="2"/>
  <c r="Y163" i="2"/>
  <c r="U163" i="2"/>
  <c r="V163" i="2" s="1"/>
  <c r="R162" i="2"/>
  <c r="S162" i="2"/>
  <c r="AG162" i="2"/>
  <c r="AH162" i="2" s="1"/>
  <c r="AD162" i="2"/>
  <c r="AE162" i="2"/>
  <c r="X162" i="2"/>
  <c r="Y162" i="2" s="1"/>
  <c r="U162" i="2"/>
  <c r="V162" i="2"/>
  <c r="AA162" i="2"/>
  <c r="AB162" i="2"/>
  <c r="AD161" i="2"/>
  <c r="AE161" i="2"/>
  <c r="AG161" i="2"/>
  <c r="AH161" i="2"/>
  <c r="AA161" i="2"/>
  <c r="AB161" i="2"/>
  <c r="X161" i="2"/>
  <c r="Y161" i="2"/>
  <c r="U161" i="2"/>
  <c r="V161" i="2" s="1"/>
  <c r="R161" i="2"/>
  <c r="S161" i="2" s="1"/>
  <c r="AD160" i="2"/>
  <c r="AE160" i="2"/>
  <c r="U160" i="2"/>
  <c r="V160" i="2" s="1"/>
  <c r="X160" i="2"/>
  <c r="Y160" i="2"/>
  <c r="AG160" i="2"/>
  <c r="AH160" i="2"/>
  <c r="R160" i="2"/>
  <c r="S160" i="2"/>
  <c r="AA160" i="2"/>
  <c r="AB160" i="2"/>
  <c r="U159" i="2"/>
  <c r="V159" i="2"/>
  <c r="X159" i="2"/>
  <c r="Y159" i="2"/>
  <c r="AD159" i="2"/>
  <c r="AE159" i="2"/>
  <c r="AA159" i="2"/>
  <c r="AB159" i="2"/>
  <c r="AG159" i="2"/>
  <c r="AH159" i="2" s="1"/>
  <c r="R159" i="2"/>
  <c r="S159" i="2" s="1"/>
  <c r="R158" i="2"/>
  <c r="S158" i="2"/>
  <c r="AG158" i="2"/>
  <c r="AH158" i="2"/>
  <c r="U158" i="2"/>
  <c r="V158" i="2"/>
  <c r="X158" i="2"/>
  <c r="Y158" i="2" s="1"/>
  <c r="AD158" i="2"/>
  <c r="AE158" i="2"/>
  <c r="AA158" i="2"/>
  <c r="AB158" i="2"/>
  <c r="AG157" i="2"/>
  <c r="AH157" i="2" s="1"/>
  <c r="AA157" i="2"/>
  <c r="AB157" i="2"/>
  <c r="AD157" i="2"/>
  <c r="AE157" i="2" s="1"/>
  <c r="X157" i="2"/>
  <c r="Y157" i="2"/>
  <c r="U157" i="2"/>
  <c r="V157" i="2"/>
  <c r="R157" i="2"/>
  <c r="S157" i="2" s="1"/>
  <c r="X156" i="2"/>
  <c r="Y156" i="2" s="1"/>
  <c r="U156" i="2"/>
  <c r="V156" i="2"/>
  <c r="AA156" i="2"/>
  <c r="AB156" i="2"/>
  <c r="AG156" i="2"/>
  <c r="AH156" i="2"/>
  <c r="R156" i="2"/>
  <c r="S156" i="2"/>
  <c r="AD156" i="2"/>
  <c r="AE156" i="2" s="1"/>
  <c r="AG155" i="2"/>
  <c r="AH155" i="2"/>
  <c r="AA155" i="2"/>
  <c r="AB155" i="2" s="1"/>
  <c r="AD155" i="2"/>
  <c r="AE155" i="2"/>
  <c r="X155" i="2"/>
  <c r="Y155" i="2"/>
  <c r="U155" i="2"/>
  <c r="V155" i="2" s="1"/>
  <c r="R155" i="2"/>
  <c r="S155" i="2"/>
  <c r="AI155" i="2" s="1" a="1"/>
  <c r="AI155" i="2" s="1"/>
  <c r="AA154" i="2"/>
  <c r="AB154" i="2"/>
  <c r="AG154" i="2"/>
  <c r="AH154" i="2"/>
  <c r="AD154" i="2"/>
  <c r="AE154" i="2"/>
  <c r="X154" i="2"/>
  <c r="Y154" i="2"/>
  <c r="U154" i="2"/>
  <c r="V154" i="2"/>
  <c r="R154" i="2"/>
  <c r="S154" i="2" s="1"/>
  <c r="AG153" i="2"/>
  <c r="AH153" i="2" s="1"/>
  <c r="AA153" i="2"/>
  <c r="AB153" i="2"/>
  <c r="AD153" i="2"/>
  <c r="AE153" i="2" s="1"/>
  <c r="X153" i="2"/>
  <c r="Y153" i="2" s="1"/>
  <c r="U153" i="2"/>
  <c r="V153" i="2"/>
  <c r="R153" i="2"/>
  <c r="S153" i="2"/>
  <c r="AA152" i="2"/>
  <c r="AB152" i="2"/>
  <c r="AG152" i="2"/>
  <c r="AH152" i="2"/>
  <c r="AD152" i="2"/>
  <c r="AE152" i="2"/>
  <c r="X152" i="2"/>
  <c r="Y152" i="2"/>
  <c r="U152" i="2"/>
  <c r="V152" i="2"/>
  <c r="R152" i="2"/>
  <c r="S152" i="2"/>
  <c r="AG151" i="2"/>
  <c r="AH151" i="2"/>
  <c r="AA151" i="2"/>
  <c r="AB151" i="2"/>
  <c r="AD151" i="2"/>
  <c r="AE151" i="2"/>
  <c r="X151" i="2"/>
  <c r="Y151" i="2"/>
  <c r="U151" i="2"/>
  <c r="V151" i="2"/>
  <c r="R151" i="2"/>
  <c r="S151" i="2"/>
  <c r="AG150" i="2"/>
  <c r="AH150" i="2"/>
  <c r="R150" i="2"/>
  <c r="S150" i="2"/>
  <c r="U150" i="2"/>
  <c r="V150" i="2"/>
  <c r="X150" i="2"/>
  <c r="Y150" i="2"/>
  <c r="AD150" i="2"/>
  <c r="AE150" i="2"/>
  <c r="AA150" i="2"/>
  <c r="AB150" i="2"/>
  <c r="R149" i="2"/>
  <c r="S149" i="2"/>
  <c r="U149" i="2"/>
  <c r="V149" i="2"/>
  <c r="X149" i="2"/>
  <c r="Y149" i="2"/>
  <c r="AD149" i="2"/>
  <c r="AE149" i="2"/>
  <c r="AA149" i="2"/>
  <c r="AB149" i="2"/>
  <c r="AG149" i="2"/>
  <c r="AH149" i="2"/>
  <c r="X148" i="2"/>
  <c r="Y148" i="2"/>
  <c r="R148" i="2"/>
  <c r="S148" i="2"/>
  <c r="U148" i="2"/>
  <c r="V148" i="2"/>
  <c r="AD148" i="2"/>
  <c r="AE148" i="2"/>
  <c r="AG148" i="2"/>
  <c r="AH148" i="2"/>
  <c r="AA148" i="2"/>
  <c r="AB148" i="2"/>
  <c r="U147" i="2"/>
  <c r="V147" i="2"/>
  <c r="X147" i="2"/>
  <c r="Y147" i="2"/>
  <c r="AD147" i="2"/>
  <c r="AE147" i="2"/>
  <c r="AG147" i="2"/>
  <c r="AH147" i="2"/>
  <c r="AA147" i="2"/>
  <c r="AB147" i="2"/>
  <c r="R147" i="2"/>
  <c r="S147" i="2"/>
  <c r="AA146" i="2"/>
  <c r="AB146" i="2"/>
  <c r="AG146" i="2"/>
  <c r="AH146" i="2"/>
  <c r="AD146" i="2"/>
  <c r="AE146" i="2"/>
  <c r="X146" i="2"/>
  <c r="Y146" i="2"/>
  <c r="U146" i="2"/>
  <c r="V146" i="2"/>
  <c r="R146" i="2"/>
  <c r="S146" i="2"/>
  <c r="U145" i="2"/>
  <c r="V145" i="2"/>
  <c r="R145" i="2"/>
  <c r="S145" i="2"/>
  <c r="AG145" i="2"/>
  <c r="AH145" i="2"/>
  <c r="AA145" i="2"/>
  <c r="AB145" i="2"/>
  <c r="AD145" i="2"/>
  <c r="AE145" i="2"/>
  <c r="X145" i="2"/>
  <c r="Y145" i="2"/>
  <c r="AD144" i="2"/>
  <c r="AE144" i="2"/>
  <c r="R144" i="2"/>
  <c r="S144" i="2"/>
  <c r="U144" i="2"/>
  <c r="V144" i="2"/>
  <c r="X144" i="2"/>
  <c r="Y144" i="2"/>
  <c r="AG144" i="2"/>
  <c r="AH144" i="2"/>
  <c r="AA144" i="2"/>
  <c r="AB144" i="2"/>
  <c r="R143" i="2"/>
  <c r="S143" i="2"/>
  <c r="U143" i="2"/>
  <c r="V143" i="2"/>
  <c r="X143" i="2"/>
  <c r="Y143" i="2"/>
  <c r="AA143" i="2"/>
  <c r="AB143" i="2"/>
  <c r="AG143" i="2"/>
  <c r="AH143" i="2"/>
  <c r="AD143" i="2"/>
  <c r="AE143" i="2"/>
  <c r="AD142" i="2"/>
  <c r="AE142" i="2"/>
  <c r="AG142" i="2"/>
  <c r="AH142" i="2"/>
  <c r="AA142" i="2"/>
  <c r="AB142" i="2"/>
  <c r="X142" i="2"/>
  <c r="Y142" i="2"/>
  <c r="U142" i="2"/>
  <c r="V142" i="2"/>
  <c r="R142" i="2"/>
  <c r="S142" i="2"/>
  <c r="AD141" i="2"/>
  <c r="AE141" i="2"/>
  <c r="AG141" i="2"/>
  <c r="AH141" i="2"/>
  <c r="AA141" i="2"/>
  <c r="AB141" i="2"/>
  <c r="X141" i="2"/>
  <c r="Y141" i="2"/>
  <c r="U141" i="2"/>
  <c r="V141" i="2"/>
  <c r="R141" i="2"/>
  <c r="S141" i="2"/>
  <c r="R140" i="2"/>
  <c r="S140" i="2"/>
  <c r="U140" i="2"/>
  <c r="V140" i="2"/>
  <c r="X140" i="2"/>
  <c r="Y140" i="2"/>
  <c r="AD140" i="2"/>
  <c r="AE140" i="2"/>
  <c r="AA140" i="2"/>
  <c r="AB140" i="2"/>
  <c r="AG140" i="2"/>
  <c r="AH140" i="2"/>
  <c r="X139" i="2"/>
  <c r="Y139" i="2"/>
  <c r="AD139" i="2"/>
  <c r="AE139" i="2"/>
  <c r="AG139" i="2"/>
  <c r="AH139" i="2"/>
  <c r="AA139" i="2"/>
  <c r="AB139" i="2"/>
  <c r="R139" i="2"/>
  <c r="S139" i="2"/>
  <c r="U139" i="2"/>
  <c r="V139" i="2"/>
  <c r="AD138" i="2"/>
  <c r="AE138" i="2"/>
  <c r="AA138" i="2"/>
  <c r="AB138" i="2"/>
  <c r="R138" i="2"/>
  <c r="S138" i="2"/>
  <c r="U138" i="2"/>
  <c r="V138" i="2"/>
  <c r="X138" i="2"/>
  <c r="Y138" i="2"/>
  <c r="AG138" i="2"/>
  <c r="AH138" i="2"/>
  <c r="U137" i="2"/>
  <c r="V137" i="2"/>
  <c r="R137" i="2"/>
  <c r="S137" i="2"/>
  <c r="AG137" i="2"/>
  <c r="AH137" i="2"/>
  <c r="AA137" i="2"/>
  <c r="AB137" i="2"/>
  <c r="AD137" i="2"/>
  <c r="AE137" i="2"/>
  <c r="X137" i="2"/>
  <c r="Y137" i="2"/>
  <c r="U136" i="2"/>
  <c r="V136" i="2"/>
  <c r="R136" i="2"/>
  <c r="S136" i="2"/>
  <c r="X136" i="2"/>
  <c r="Y136" i="2"/>
  <c r="AA136" i="2"/>
  <c r="AB136" i="2"/>
  <c r="AG136" i="2"/>
  <c r="AH136" i="2"/>
  <c r="AD136" i="2"/>
  <c r="AE136" i="2"/>
  <c r="AG135" i="2"/>
  <c r="AH135" i="2"/>
  <c r="AA135" i="2"/>
  <c r="AB135" i="2"/>
  <c r="AD135" i="2"/>
  <c r="AE135" i="2"/>
  <c r="X135" i="2"/>
  <c r="Y135" i="2"/>
  <c r="U135" i="2"/>
  <c r="V135" i="2"/>
  <c r="R135" i="2"/>
  <c r="S135" i="2"/>
  <c r="AA134" i="2"/>
  <c r="AB134" i="2"/>
  <c r="AG134" i="2"/>
  <c r="AH134" i="2"/>
  <c r="AD134" i="2"/>
  <c r="AE134" i="2"/>
  <c r="X134" i="2"/>
  <c r="Y134" i="2"/>
  <c r="U134" i="2"/>
  <c r="V134" i="2"/>
  <c r="R134" i="2"/>
  <c r="S134" i="2"/>
  <c r="AA133" i="2"/>
  <c r="AB133" i="2"/>
  <c r="AD133" i="2"/>
  <c r="AE133" i="2"/>
  <c r="X133" i="2"/>
  <c r="Y133" i="2"/>
  <c r="U133" i="2"/>
  <c r="V133" i="2"/>
  <c r="R133" i="2"/>
  <c r="S133" i="2"/>
  <c r="AG133" i="2"/>
  <c r="AH133" i="2"/>
  <c r="U132" i="2"/>
  <c r="V132" i="2"/>
  <c r="AG132" i="2"/>
  <c r="AH132" i="2"/>
  <c r="AA132" i="2"/>
  <c r="AB132" i="2"/>
  <c r="AD132" i="2"/>
  <c r="AE132" i="2"/>
  <c r="X132" i="2"/>
  <c r="Y132" i="2"/>
  <c r="R132" i="2"/>
  <c r="S132" i="2"/>
  <c r="R131" i="2"/>
  <c r="S131" i="2"/>
  <c r="X131" i="2"/>
  <c r="Y131" i="2"/>
  <c r="U131" i="2"/>
  <c r="V131" i="2"/>
  <c r="AG131" i="2"/>
  <c r="AH131" i="2"/>
  <c r="AA131" i="2"/>
  <c r="AB131" i="2"/>
  <c r="AD131" i="2"/>
  <c r="AE131" i="2"/>
  <c r="X130" i="2"/>
  <c r="Y130" i="2"/>
  <c r="R130" i="2"/>
  <c r="S130" i="2"/>
  <c r="U130" i="2"/>
  <c r="V130" i="2"/>
  <c r="AD130" i="2"/>
  <c r="AE130" i="2"/>
  <c r="AA130" i="2"/>
  <c r="AB130" i="2"/>
  <c r="AG130" i="2"/>
  <c r="AH130" i="2"/>
  <c r="R129" i="2"/>
  <c r="S129" i="2"/>
  <c r="U129" i="2"/>
  <c r="V129" i="2"/>
  <c r="X129" i="2"/>
  <c r="Y129" i="2"/>
  <c r="AD129" i="2"/>
  <c r="AE129" i="2"/>
  <c r="AA129" i="2"/>
  <c r="AB129" i="2"/>
  <c r="AG129" i="2"/>
  <c r="AH129" i="2"/>
  <c r="R128" i="2"/>
  <c r="S128" i="2"/>
  <c r="AA128" i="2"/>
  <c r="AB128" i="2"/>
  <c r="U128" i="2"/>
  <c r="V128" i="2"/>
  <c r="X128" i="2"/>
  <c r="Y128" i="2"/>
  <c r="AD128" i="2"/>
  <c r="AE128" i="2"/>
  <c r="AG128" i="2"/>
  <c r="AH128" i="2"/>
  <c r="X127" i="2"/>
  <c r="Y127" i="2"/>
  <c r="R127" i="2"/>
  <c r="S127" i="2"/>
  <c r="AG127" i="2"/>
  <c r="AH127" i="2"/>
  <c r="U127" i="2"/>
  <c r="V127" i="2"/>
  <c r="AD127" i="2"/>
  <c r="AE127" i="2"/>
  <c r="AA127" i="2"/>
  <c r="AB127" i="2"/>
  <c r="R126" i="2"/>
  <c r="S126" i="2"/>
  <c r="AA126" i="2"/>
  <c r="AB126" i="2"/>
  <c r="AG126" i="2"/>
  <c r="AH126" i="2"/>
  <c r="AD126" i="2"/>
  <c r="AE126" i="2"/>
  <c r="X126" i="2"/>
  <c r="Y126" i="2"/>
  <c r="U126" i="2"/>
  <c r="V126" i="2"/>
  <c r="AD125" i="2"/>
  <c r="AE125" i="2"/>
  <c r="AA125" i="2"/>
  <c r="AB125" i="2"/>
  <c r="AG125" i="2"/>
  <c r="AH125" i="2"/>
  <c r="X125" i="2"/>
  <c r="Y125" i="2"/>
  <c r="U125" i="2"/>
  <c r="V125" i="2"/>
  <c r="R125" i="2"/>
  <c r="S125" i="2"/>
  <c r="AG124" i="2"/>
  <c r="AH124" i="2"/>
  <c r="AD124" i="2"/>
  <c r="AE124" i="2"/>
  <c r="X124" i="2"/>
  <c r="Y124" i="2"/>
  <c r="U124" i="2"/>
  <c r="V124" i="2"/>
  <c r="R124" i="2"/>
  <c r="S124" i="2"/>
  <c r="AA124" i="2"/>
  <c r="AB124" i="2"/>
  <c r="AG123" i="2"/>
  <c r="AH123" i="2"/>
  <c r="AA123" i="2"/>
  <c r="AB123" i="2"/>
  <c r="AD123" i="2"/>
  <c r="AE123" i="2"/>
  <c r="X123" i="2"/>
  <c r="Y123" i="2"/>
  <c r="U123" i="2"/>
  <c r="V123" i="2"/>
  <c r="R123" i="2"/>
  <c r="S123" i="2"/>
  <c r="R122" i="2"/>
  <c r="S122" i="2"/>
  <c r="U122" i="2"/>
  <c r="V122" i="2"/>
  <c r="AG122" i="2"/>
  <c r="AH122" i="2"/>
  <c r="AA122" i="2"/>
  <c r="AB122" i="2"/>
  <c r="AD122" i="2"/>
  <c r="AE122" i="2"/>
  <c r="X122" i="2"/>
  <c r="Y122" i="2"/>
  <c r="X121" i="2"/>
  <c r="Y121" i="2"/>
  <c r="U121" i="2"/>
  <c r="V121" i="2"/>
  <c r="R121" i="2"/>
  <c r="S121" i="2"/>
  <c r="AD121" i="2"/>
  <c r="AE121" i="2"/>
  <c r="AG121" i="2"/>
  <c r="AH121" i="2"/>
  <c r="AA121" i="2"/>
  <c r="AB121" i="2"/>
  <c r="AA120" i="2"/>
  <c r="AB120" i="2"/>
  <c r="AG120" i="2"/>
  <c r="AH120" i="2"/>
  <c r="AD120" i="2"/>
  <c r="AE120" i="2"/>
  <c r="X120" i="2"/>
  <c r="Y120" i="2"/>
  <c r="U120" i="2"/>
  <c r="V120" i="2"/>
  <c r="R120" i="2"/>
  <c r="S120" i="2"/>
  <c r="AG119" i="2"/>
  <c r="AH119" i="2"/>
  <c r="AA119" i="2"/>
  <c r="AB119" i="2"/>
  <c r="AD119" i="2"/>
  <c r="AE119" i="2"/>
  <c r="X119" i="2"/>
  <c r="Y119" i="2"/>
  <c r="U119" i="2"/>
  <c r="V119" i="2"/>
  <c r="R119" i="2"/>
  <c r="S119" i="2"/>
  <c r="R118" i="2"/>
  <c r="S118" i="2"/>
  <c r="X118" i="2"/>
  <c r="Y118" i="2"/>
  <c r="U118" i="2"/>
  <c r="V118" i="2"/>
  <c r="AD118" i="2"/>
  <c r="AE118" i="2"/>
  <c r="AA118" i="2"/>
  <c r="AB118" i="2"/>
  <c r="AG118" i="2"/>
  <c r="AH118" i="2"/>
  <c r="U117" i="2"/>
  <c r="V117" i="2"/>
  <c r="X117" i="2"/>
  <c r="Y117" i="2"/>
  <c r="AD117" i="2"/>
  <c r="AE117" i="2"/>
  <c r="AG117" i="2"/>
  <c r="AH117" i="2"/>
  <c r="AA117" i="2"/>
  <c r="AB117" i="2"/>
  <c r="R117" i="2"/>
  <c r="S117" i="2"/>
  <c r="AA116" i="2"/>
  <c r="AB116" i="2"/>
  <c r="AD116" i="2"/>
  <c r="AE116" i="2"/>
  <c r="AG116" i="2"/>
  <c r="AH116" i="2"/>
  <c r="X116" i="2"/>
  <c r="Y116" i="2"/>
  <c r="U116" i="2"/>
  <c r="V116" i="2"/>
  <c r="R116" i="2"/>
  <c r="S116" i="2"/>
  <c r="AA115" i="2"/>
  <c r="AB115" i="2"/>
  <c r="AG115" i="2"/>
  <c r="AH115" i="2"/>
  <c r="AD115" i="2"/>
  <c r="AE115" i="2"/>
  <c r="X115" i="2"/>
  <c r="Y115" i="2"/>
  <c r="U115" i="2"/>
  <c r="V115" i="2"/>
  <c r="R115" i="2"/>
  <c r="S115" i="2"/>
  <c r="U114" i="2"/>
  <c r="V114" i="2"/>
  <c r="X114" i="2"/>
  <c r="Y114" i="2"/>
  <c r="AD114" i="2"/>
  <c r="AE114" i="2"/>
  <c r="R114" i="2"/>
  <c r="S114" i="2"/>
  <c r="AA114" i="2"/>
  <c r="AB114" i="2"/>
  <c r="AG114" i="2"/>
  <c r="AH114" i="2"/>
  <c r="R113" i="2"/>
  <c r="S113" i="2"/>
  <c r="U113" i="2"/>
  <c r="V113" i="2"/>
  <c r="X113" i="2"/>
  <c r="Y113" i="2"/>
  <c r="AD113" i="2"/>
  <c r="AE113" i="2"/>
  <c r="AA113" i="2"/>
  <c r="AB113" i="2"/>
  <c r="AG113" i="2"/>
  <c r="AH113" i="2"/>
  <c r="AD112" i="2"/>
  <c r="AE112" i="2"/>
  <c r="AA112" i="2"/>
  <c r="AB112" i="2"/>
  <c r="AG112" i="2"/>
  <c r="AH112" i="2"/>
  <c r="X112" i="2"/>
  <c r="Y112" i="2"/>
  <c r="U112" i="2"/>
  <c r="V112" i="2"/>
  <c r="R112" i="2"/>
  <c r="S112" i="2"/>
  <c r="AA102" i="2"/>
  <c r="AB102" i="2"/>
  <c r="AD102" i="2"/>
  <c r="AE102" i="2"/>
  <c r="X102" i="2"/>
  <c r="Y102" i="2"/>
  <c r="U102" i="2"/>
  <c r="V102" i="2"/>
  <c r="R102" i="2"/>
  <c r="S102" i="2"/>
  <c r="AG102" i="2"/>
  <c r="AH102" i="2"/>
  <c r="AA101" i="2"/>
  <c r="AB101" i="2"/>
  <c r="AD101" i="2"/>
  <c r="AE101" i="2"/>
  <c r="X101" i="2"/>
  <c r="Y101" i="2"/>
  <c r="U101" i="2"/>
  <c r="V101" i="2"/>
  <c r="R101" i="2"/>
  <c r="S101" i="2"/>
  <c r="AG101" i="2"/>
  <c r="AH101" i="2"/>
  <c r="AA100" i="2"/>
  <c r="AB100" i="2"/>
  <c r="AG100" i="2"/>
  <c r="AH100" i="2"/>
  <c r="AD100" i="2"/>
  <c r="AE100" i="2"/>
  <c r="X100" i="2"/>
  <c r="Y100" i="2"/>
  <c r="U100" i="2"/>
  <c r="V100" i="2"/>
  <c r="R100" i="2"/>
  <c r="S100" i="2"/>
  <c r="AD99" i="2"/>
  <c r="AE99" i="2"/>
  <c r="X99" i="2"/>
  <c r="Y99" i="2"/>
  <c r="U99" i="2"/>
  <c r="V99" i="2"/>
  <c r="AG99" i="2"/>
  <c r="AH99" i="2"/>
  <c r="R99" i="2"/>
  <c r="S99" i="2"/>
  <c r="AA99" i="2"/>
  <c r="AB99" i="2"/>
  <c r="X98" i="2"/>
  <c r="Y98" i="2"/>
  <c r="R98" i="2"/>
  <c r="S98" i="2"/>
  <c r="U98" i="2"/>
  <c r="V98" i="2"/>
  <c r="AA98" i="2"/>
  <c r="AB98" i="2"/>
  <c r="AD98" i="2"/>
  <c r="AE98" i="2"/>
  <c r="AG98" i="2"/>
  <c r="AH98" i="2"/>
  <c r="AD97" i="2"/>
  <c r="AE97" i="2"/>
  <c r="X97" i="2"/>
  <c r="Y97" i="2"/>
  <c r="U97" i="2"/>
  <c r="V97" i="2"/>
  <c r="AG97" i="2"/>
  <c r="AH97" i="2"/>
  <c r="R97" i="2"/>
  <c r="S97" i="2"/>
  <c r="AA97" i="2"/>
  <c r="AB97" i="2"/>
  <c r="X96" i="2"/>
  <c r="Y96" i="2"/>
  <c r="AD96" i="2"/>
  <c r="AE96" i="2"/>
  <c r="R96" i="2"/>
  <c r="S96" i="2"/>
  <c r="AA96" i="2"/>
  <c r="AB96" i="2"/>
  <c r="AG96" i="2"/>
  <c r="AH96" i="2"/>
  <c r="U96" i="2"/>
  <c r="V96" i="2"/>
  <c r="AG95" i="2"/>
  <c r="AH95" i="2"/>
  <c r="AA95" i="2"/>
  <c r="AB95" i="2"/>
  <c r="AD95" i="2"/>
  <c r="AE95" i="2"/>
  <c r="U95" i="2"/>
  <c r="V95" i="2"/>
  <c r="R95" i="2"/>
  <c r="S95" i="2"/>
  <c r="X95" i="2"/>
  <c r="Y95" i="2"/>
  <c r="AD94" i="2"/>
  <c r="AE94" i="2"/>
  <c r="R94" i="2"/>
  <c r="S94" i="2"/>
  <c r="X94" i="2"/>
  <c r="Y94" i="2"/>
  <c r="AA94" i="2"/>
  <c r="AB94" i="2"/>
  <c r="AG94" i="2"/>
  <c r="AH94" i="2"/>
  <c r="U94" i="2"/>
  <c r="V94" i="2"/>
  <c r="U93" i="2"/>
  <c r="V93" i="2"/>
  <c r="X93" i="2"/>
  <c r="Y93" i="2"/>
  <c r="AD93" i="2"/>
  <c r="AE93" i="2"/>
  <c r="R93" i="2"/>
  <c r="S93" i="2"/>
  <c r="AA93" i="2"/>
  <c r="AB93" i="2"/>
  <c r="AG93" i="2"/>
  <c r="AH93" i="2"/>
  <c r="U92" i="2"/>
  <c r="V92" i="2"/>
  <c r="AD92" i="2"/>
  <c r="AE92" i="2"/>
  <c r="R92" i="2"/>
  <c r="S92" i="2"/>
  <c r="AG92" i="2"/>
  <c r="AH92" i="2"/>
  <c r="X92" i="2"/>
  <c r="Y92" i="2"/>
  <c r="AA92" i="2"/>
  <c r="AB92" i="2"/>
  <c r="U91" i="2"/>
  <c r="V91" i="2"/>
  <c r="X91" i="2"/>
  <c r="Y91" i="2"/>
  <c r="AD91" i="2"/>
  <c r="AE91" i="2"/>
  <c r="AG91" i="2"/>
  <c r="AH91" i="2"/>
  <c r="AA91" i="2"/>
  <c r="AB91" i="2"/>
  <c r="R91" i="2"/>
  <c r="S91" i="2"/>
  <c r="AG90" i="2"/>
  <c r="AH90" i="2"/>
  <c r="X90" i="2"/>
  <c r="Y90" i="2"/>
  <c r="R90" i="2"/>
  <c r="S90" i="2"/>
  <c r="U90" i="2"/>
  <c r="V90" i="2"/>
  <c r="AD90" i="2"/>
  <c r="AE90" i="2"/>
  <c r="AA90" i="2"/>
  <c r="AB90" i="2"/>
  <c r="AG89" i="2"/>
  <c r="AH89" i="2"/>
  <c r="AA89" i="2"/>
  <c r="AB89" i="2"/>
  <c r="AD89" i="2"/>
  <c r="AE89" i="2"/>
  <c r="X89" i="2"/>
  <c r="Y89" i="2"/>
  <c r="U89" i="2"/>
  <c r="V89" i="2"/>
  <c r="R89" i="2"/>
  <c r="S89" i="2"/>
  <c r="X88" i="2"/>
  <c r="Y88" i="2"/>
  <c r="U88" i="2"/>
  <c r="V88" i="2"/>
  <c r="AG88" i="2"/>
  <c r="AH88" i="2"/>
  <c r="AA88" i="2"/>
  <c r="AB88" i="2"/>
  <c r="AD88" i="2"/>
  <c r="AE88" i="2"/>
  <c r="R88" i="2"/>
  <c r="S88" i="2"/>
  <c r="AG87" i="2"/>
  <c r="AH87" i="2"/>
  <c r="AA87" i="2"/>
  <c r="AB87" i="2"/>
  <c r="AD87" i="2"/>
  <c r="AE87" i="2"/>
  <c r="X87" i="2"/>
  <c r="Y87" i="2"/>
  <c r="U87" i="2"/>
  <c r="V87" i="2"/>
  <c r="R87" i="2"/>
  <c r="S87" i="2"/>
  <c r="AG86" i="2"/>
  <c r="AH86" i="2"/>
  <c r="AA86" i="2"/>
  <c r="AB86" i="2"/>
  <c r="AD86" i="2"/>
  <c r="AE86" i="2"/>
  <c r="X86" i="2"/>
  <c r="Y86" i="2"/>
  <c r="U86" i="2"/>
  <c r="V86" i="2"/>
  <c r="R86" i="2"/>
  <c r="S86" i="2"/>
  <c r="AG85" i="2"/>
  <c r="AH85" i="2"/>
  <c r="AA85" i="2"/>
  <c r="AB85" i="2"/>
  <c r="U71" i="2"/>
  <c r="V71" i="2"/>
  <c r="X71" i="2"/>
  <c r="Y71" i="2"/>
  <c r="R71" i="2"/>
  <c r="S71" i="2"/>
  <c r="R70" i="2"/>
  <c r="S70" i="2"/>
  <c r="U70" i="2"/>
  <c r="V70" i="2"/>
  <c r="X70" i="2"/>
  <c r="Y70" i="2"/>
  <c r="AD70" i="2"/>
  <c r="AE70" i="2"/>
  <c r="AG70" i="2"/>
  <c r="AH70" i="2"/>
  <c r="AA70" i="2"/>
  <c r="AB70" i="2"/>
  <c r="AD69" i="2"/>
  <c r="AE69" i="2"/>
  <c r="R69" i="2"/>
  <c r="S69" i="2"/>
  <c r="U69" i="2"/>
  <c r="V69" i="2"/>
  <c r="X69" i="2"/>
  <c r="Y69" i="2"/>
  <c r="AA69" i="2"/>
  <c r="AB69" i="2"/>
  <c r="AG69" i="2"/>
  <c r="AH69" i="2"/>
  <c r="AG68" i="2"/>
  <c r="AH68" i="2"/>
  <c r="X68" i="2"/>
  <c r="Y68" i="2"/>
  <c r="AD68" i="2"/>
  <c r="AE68" i="2"/>
  <c r="U68" i="2"/>
  <c r="V68" i="2"/>
  <c r="R68" i="2"/>
  <c r="S68" i="2"/>
  <c r="AA68" i="2"/>
  <c r="AB68" i="2"/>
  <c r="X67" i="2"/>
  <c r="Y67" i="2"/>
  <c r="R67" i="2"/>
  <c r="S67" i="2"/>
  <c r="AG67" i="2"/>
  <c r="AH67" i="2"/>
  <c r="AA67" i="2"/>
  <c r="AB67" i="2"/>
  <c r="AD67" i="2"/>
  <c r="AE67" i="2"/>
  <c r="U67" i="2"/>
  <c r="V67" i="2"/>
  <c r="AD66" i="2"/>
  <c r="AE66" i="2"/>
  <c r="X66" i="2"/>
  <c r="Y66" i="2"/>
  <c r="U66" i="2"/>
  <c r="V66" i="2"/>
  <c r="R66" i="2"/>
  <c r="S66" i="2"/>
  <c r="AG66" i="2"/>
  <c r="AH66" i="2"/>
  <c r="AA66" i="2"/>
  <c r="AB66" i="2"/>
  <c r="R65" i="2"/>
  <c r="S65" i="2"/>
  <c r="AG65" i="2"/>
  <c r="AH65" i="2"/>
  <c r="AA65" i="2"/>
  <c r="AB65" i="2"/>
  <c r="AD65" i="2"/>
  <c r="AE65" i="2"/>
  <c r="X65" i="2"/>
  <c r="Y65" i="2"/>
  <c r="U65" i="2"/>
  <c r="V65" i="2"/>
  <c r="AG64" i="2"/>
  <c r="AH64" i="2"/>
  <c r="AA64" i="2"/>
  <c r="AB64" i="2"/>
  <c r="AD64" i="2"/>
  <c r="AE64" i="2"/>
  <c r="X64" i="2"/>
  <c r="Y64" i="2"/>
  <c r="U64" i="2"/>
  <c r="V64" i="2"/>
  <c r="R64" i="2"/>
  <c r="S64" i="2"/>
  <c r="AG63" i="2"/>
  <c r="AH63" i="2"/>
  <c r="U63" i="2"/>
  <c r="V63" i="2"/>
  <c r="AD63" i="2"/>
  <c r="AE63" i="2"/>
  <c r="X63" i="2"/>
  <c r="Y63" i="2"/>
  <c r="R63" i="2"/>
  <c r="S63" i="2"/>
  <c r="AA63" i="2"/>
  <c r="AB63" i="2"/>
  <c r="U62" i="2"/>
  <c r="V62" i="2"/>
  <c r="X62" i="2"/>
  <c r="Y62" i="2"/>
  <c r="AD62" i="2"/>
  <c r="AE62" i="2"/>
  <c r="AA62" i="2"/>
  <c r="AB62" i="2"/>
  <c r="AG62" i="2"/>
  <c r="AH62" i="2"/>
  <c r="R62" i="2"/>
  <c r="S62" i="2"/>
  <c r="AG61" i="2"/>
  <c r="AH61" i="2"/>
  <c r="AA61" i="2"/>
  <c r="AB61" i="2"/>
  <c r="AD61" i="2"/>
  <c r="AE61" i="2"/>
  <c r="X61" i="2"/>
  <c r="Y61" i="2"/>
  <c r="U61" i="2"/>
  <c r="V61" i="2"/>
  <c r="R61" i="2"/>
  <c r="S61" i="2"/>
  <c r="AD60" i="2"/>
  <c r="AE60" i="2"/>
  <c r="X60" i="2"/>
  <c r="Y60" i="2"/>
  <c r="U60" i="2"/>
  <c r="V60" i="2"/>
  <c r="R60" i="2"/>
  <c r="S60" i="2"/>
  <c r="AG60" i="2"/>
  <c r="AH60" i="2"/>
  <c r="AA60" i="2"/>
  <c r="AB60" i="2"/>
  <c r="AA59" i="2"/>
  <c r="AB59" i="2"/>
  <c r="R59" i="2"/>
  <c r="S59" i="2"/>
  <c r="U59" i="2"/>
  <c r="V59" i="2"/>
  <c r="X59" i="2"/>
  <c r="Y59" i="2"/>
  <c r="AD59" i="2"/>
  <c r="AE59" i="2"/>
  <c r="AG59" i="2"/>
  <c r="AH59" i="2"/>
  <c r="U58" i="2"/>
  <c r="V58" i="2"/>
  <c r="AG58" i="2"/>
  <c r="AH58" i="2"/>
  <c r="AA58" i="2"/>
  <c r="AB58" i="2"/>
  <c r="AD58" i="2"/>
  <c r="AE58" i="2"/>
  <c r="X58" i="2"/>
  <c r="Y58" i="2"/>
  <c r="R58" i="2"/>
  <c r="S58" i="2"/>
  <c r="AA57" i="2"/>
  <c r="AB57" i="2"/>
  <c r="R57" i="2"/>
  <c r="S57" i="2"/>
  <c r="U57" i="2"/>
  <c r="V57" i="2"/>
  <c r="X57" i="2"/>
  <c r="Y57" i="2"/>
  <c r="AD57" i="2"/>
  <c r="AE57" i="2"/>
  <c r="AG57" i="2"/>
  <c r="AH57" i="2"/>
  <c r="R56" i="2"/>
  <c r="S56" i="2"/>
  <c r="U56" i="2"/>
  <c r="V56" i="2"/>
  <c r="X56" i="2"/>
  <c r="Y56" i="2"/>
  <c r="AD56" i="2"/>
  <c r="AE56" i="2"/>
  <c r="AA56" i="2"/>
  <c r="AB56" i="2"/>
  <c r="AG56" i="2"/>
  <c r="AH56" i="2"/>
  <c r="AD55" i="2"/>
  <c r="AE55" i="2"/>
  <c r="AG55" i="2"/>
  <c r="AH55" i="2"/>
  <c r="X55" i="2"/>
  <c r="Y55" i="2"/>
  <c r="U55" i="2"/>
  <c r="V55" i="2"/>
  <c r="R55" i="2"/>
  <c r="S55" i="2"/>
  <c r="AA55" i="2"/>
  <c r="AB55" i="2"/>
  <c r="AA54" i="2"/>
  <c r="AB54" i="2"/>
  <c r="AG54" i="2"/>
  <c r="AH54" i="2"/>
  <c r="AD54" i="2"/>
  <c r="AE54" i="2"/>
  <c r="X54" i="2"/>
  <c r="Y54" i="2"/>
  <c r="U54" i="2"/>
  <c r="V54" i="2"/>
  <c r="R54" i="2"/>
  <c r="S54" i="2"/>
  <c r="AG53" i="2"/>
  <c r="AH53" i="2"/>
  <c r="AA53" i="2"/>
  <c r="AB53" i="2"/>
  <c r="AD53" i="2"/>
  <c r="AE53" i="2"/>
  <c r="X53" i="2"/>
  <c r="Y53" i="2"/>
  <c r="U53" i="2"/>
  <c r="V53" i="2"/>
  <c r="R53" i="2"/>
  <c r="S53" i="2"/>
  <c r="AA52" i="2"/>
  <c r="AB52" i="2"/>
  <c r="AD52" i="2"/>
  <c r="AE52" i="2"/>
  <c r="AG52" i="2"/>
  <c r="AH52" i="2"/>
  <c r="X52" i="2"/>
  <c r="Y52" i="2" s="1"/>
  <c r="U52" i="2"/>
  <c r="V52" i="2" s="1"/>
  <c r="R52" i="2"/>
  <c r="S52" i="2" s="1"/>
  <c r="AG51" i="2"/>
  <c r="AH51" i="2" s="1"/>
  <c r="AA51" i="2"/>
  <c r="AB51" i="2" s="1"/>
  <c r="AD51" i="2"/>
  <c r="AE51" i="2" s="1"/>
  <c r="X51" i="2"/>
  <c r="Y51" i="2"/>
  <c r="U51" i="2"/>
  <c r="V51" i="2"/>
  <c r="R51" i="2"/>
  <c r="S51" i="2" s="1"/>
  <c r="AG50" i="2"/>
  <c r="AH50" i="2" s="1"/>
  <c r="AA50" i="2"/>
  <c r="AB50" i="2"/>
  <c r="AD50" i="2"/>
  <c r="AE50" i="2"/>
  <c r="X50" i="2"/>
  <c r="Y50" i="2"/>
  <c r="U50" i="2"/>
  <c r="V50" i="2" s="1"/>
  <c r="R50" i="2"/>
  <c r="S50" i="2"/>
  <c r="AG49" i="2"/>
  <c r="AH49" i="2" s="1"/>
  <c r="AA49" i="2"/>
  <c r="AB49" i="2"/>
  <c r="AD49" i="2"/>
  <c r="AE49" i="2"/>
  <c r="X49" i="2"/>
  <c r="Y49" i="2"/>
  <c r="U49" i="2"/>
  <c r="V49" i="2"/>
  <c r="R49" i="2"/>
  <c r="S49" i="2"/>
  <c r="AI49" i="2" s="1" a="1"/>
  <c r="AI49" i="2" s="1"/>
  <c r="AD48" i="2"/>
  <c r="AE48" i="2"/>
  <c r="AG48" i="2"/>
  <c r="AH48" i="2"/>
  <c r="AA48" i="2"/>
  <c r="AB48" i="2"/>
  <c r="X48" i="2"/>
  <c r="Y48" i="2"/>
  <c r="U48" i="2"/>
  <c r="V48" i="2"/>
  <c r="R48" i="2"/>
  <c r="S48" i="2"/>
  <c r="X47" i="2"/>
  <c r="Y47" i="2"/>
  <c r="AG47" i="2"/>
  <c r="AH47" i="2"/>
  <c r="AD47" i="2"/>
  <c r="AE47" i="2"/>
  <c r="AA47" i="2"/>
  <c r="AB47" i="2"/>
  <c r="R47" i="2"/>
  <c r="S47" i="2"/>
  <c r="U47" i="2"/>
  <c r="V47" i="2"/>
  <c r="U46" i="2"/>
  <c r="V46" i="2"/>
  <c r="R46" i="2"/>
  <c r="S46" i="2"/>
  <c r="AD46" i="2"/>
  <c r="AE46" i="2"/>
  <c r="X46" i="2"/>
  <c r="Y46" i="2"/>
  <c r="AA46" i="2"/>
  <c r="AB46" i="2"/>
  <c r="AG46" i="2"/>
  <c r="AH46" i="2"/>
  <c r="X45" i="2"/>
  <c r="Y45" i="2"/>
  <c r="R45" i="2"/>
  <c r="S45" i="2"/>
  <c r="U45" i="2"/>
  <c r="V45" i="2"/>
  <c r="AD45" i="2"/>
  <c r="AE45" i="2"/>
  <c r="AA45" i="2"/>
  <c r="AB45" i="2"/>
  <c r="AG45" i="2"/>
  <c r="AH45" i="2"/>
  <c r="AD44" i="2"/>
  <c r="AE44" i="2"/>
  <c r="R44" i="2"/>
  <c r="S44" i="2"/>
  <c r="U44" i="2"/>
  <c r="V44" i="2"/>
  <c r="AA44" i="2"/>
  <c r="AB44" i="2"/>
  <c r="AG44" i="2"/>
  <c r="AH44" i="2"/>
  <c r="X44" i="2"/>
  <c r="Y44" i="2"/>
  <c r="AA43" i="2"/>
  <c r="AB43" i="2"/>
  <c r="AD43" i="2"/>
  <c r="AE43" i="2"/>
  <c r="AG43" i="2"/>
  <c r="AH43" i="2"/>
  <c r="X43" i="2"/>
  <c r="Y43" i="2"/>
  <c r="U43" i="2"/>
  <c r="V43" i="2"/>
  <c r="R43" i="2"/>
  <c r="S43" i="2"/>
  <c r="AD42" i="2"/>
  <c r="AE42" i="2"/>
  <c r="AA42" i="2"/>
  <c r="AB42" i="2"/>
  <c r="U42" i="2"/>
  <c r="V42" i="2"/>
  <c r="X42" i="2"/>
  <c r="Y42" i="2"/>
  <c r="AG42" i="2"/>
  <c r="AH42" i="2"/>
  <c r="R42" i="2"/>
  <c r="S42" i="2"/>
  <c r="U41" i="2"/>
  <c r="V41" i="2"/>
  <c r="X41" i="2"/>
  <c r="Y41" i="2"/>
  <c r="AD41" i="2"/>
  <c r="AE41" i="2"/>
  <c r="AA41" i="2"/>
  <c r="AB41" i="2"/>
  <c r="R41" i="2"/>
  <c r="S41" i="2"/>
  <c r="AG41" i="2"/>
  <c r="AH41" i="2"/>
  <c r="R40" i="2"/>
  <c r="S40" i="2"/>
  <c r="U40" i="2"/>
  <c r="V40" i="2"/>
  <c r="X40" i="2"/>
  <c r="Y40" i="2"/>
  <c r="AD40" i="2"/>
  <c r="AE40" i="2"/>
  <c r="AG40" i="2"/>
  <c r="AH40" i="2"/>
  <c r="AA40" i="2"/>
  <c r="AB40" i="2"/>
  <c r="R39" i="2"/>
  <c r="S39" i="2"/>
  <c r="AA39" i="2"/>
  <c r="AB39" i="2"/>
  <c r="AG39" i="2"/>
  <c r="AH39" i="2"/>
  <c r="AD39" i="2"/>
  <c r="AE39" i="2"/>
  <c r="X39" i="2"/>
  <c r="Y39" i="2"/>
  <c r="U39" i="2"/>
  <c r="V39" i="2"/>
  <c r="U38" i="2"/>
  <c r="V38" i="2"/>
  <c r="R38" i="2"/>
  <c r="S38" i="2"/>
  <c r="AG38" i="2"/>
  <c r="AH38" i="2"/>
  <c r="AA38" i="2"/>
  <c r="AB38" i="2"/>
  <c r="AD38" i="2"/>
  <c r="AE38" i="2"/>
  <c r="X38" i="2"/>
  <c r="Y38" i="2"/>
  <c r="AA37" i="2"/>
  <c r="AB37" i="2"/>
  <c r="X37" i="2"/>
  <c r="Y37" i="2"/>
  <c r="AD37" i="2"/>
  <c r="AE37" i="2"/>
  <c r="AG37" i="2"/>
  <c r="AH37" i="2"/>
  <c r="R37" i="2"/>
  <c r="S37" i="2"/>
  <c r="U37" i="2"/>
  <c r="V37" i="2"/>
  <c r="X36" i="2"/>
  <c r="Y36" i="2"/>
  <c r="AG36" i="2"/>
  <c r="AH36" i="2"/>
  <c r="AA36" i="2"/>
  <c r="AB36" i="2"/>
  <c r="AD36" i="2"/>
  <c r="AE36" i="2"/>
  <c r="U36" i="2"/>
  <c r="V36" i="2"/>
  <c r="R36" i="2"/>
  <c r="S36" i="2"/>
  <c r="U35" i="2"/>
  <c r="V35" i="2"/>
  <c r="R35" i="2"/>
  <c r="S35" i="2"/>
  <c r="AA35" i="2"/>
  <c r="AB35" i="2"/>
  <c r="AG35" i="2"/>
  <c r="AH35" i="2"/>
  <c r="AD35" i="2"/>
  <c r="AE35" i="2"/>
  <c r="X35" i="2"/>
  <c r="Y35" i="2"/>
  <c r="AG34" i="2"/>
  <c r="AH34" i="2"/>
  <c r="AD34" i="2"/>
  <c r="AE34" i="2"/>
  <c r="AA34" i="2"/>
  <c r="AB34" i="2"/>
  <c r="X34" i="2"/>
  <c r="Y34" i="2"/>
  <c r="U34" i="2"/>
  <c r="V34" i="2"/>
  <c r="R34" i="2"/>
  <c r="S34" i="2"/>
  <c r="AI34" i="2" s="1" a="1"/>
  <c r="AI34" i="2" s="1"/>
  <c r="AD33" i="2"/>
  <c r="AE33" i="2"/>
  <c r="U33" i="2"/>
  <c r="V33" i="2"/>
  <c r="R33" i="2"/>
  <c r="S33" i="2"/>
  <c r="X33" i="2"/>
  <c r="Y33" i="2"/>
  <c r="AA33" i="2"/>
  <c r="AB33" i="2"/>
  <c r="AG33" i="2"/>
  <c r="AH33" i="2"/>
  <c r="AA32" i="2"/>
  <c r="AB32" i="2"/>
  <c r="AD32" i="2"/>
  <c r="AE32" i="2"/>
  <c r="U32" i="2"/>
  <c r="V32" i="2"/>
  <c r="R32" i="2"/>
  <c r="S32" i="2"/>
  <c r="X32" i="2"/>
  <c r="Y32" i="2"/>
  <c r="AG32" i="2"/>
  <c r="AH32" i="2"/>
  <c r="X31" i="2"/>
  <c r="Y31" i="2"/>
  <c r="AD31" i="2"/>
  <c r="AE31" i="2"/>
  <c r="AA31" i="2"/>
  <c r="AB31" i="2"/>
  <c r="AG31" i="2"/>
  <c r="AH31" i="2"/>
  <c r="R31" i="2"/>
  <c r="S31" i="2"/>
  <c r="AI31" i="2" s="1" a="1"/>
  <c r="AI31" i="2" s="1"/>
  <c r="U31" i="2"/>
  <c r="V31" i="2"/>
  <c r="U30" i="2"/>
  <c r="V30" i="2" s="1"/>
  <c r="X30" i="2"/>
  <c r="Y30" i="2" s="1"/>
  <c r="AD30" i="2"/>
  <c r="AE30" i="2"/>
  <c r="AA30" i="2"/>
  <c r="AB30" i="2" s="1"/>
  <c r="AG30" i="2"/>
  <c r="AH30" i="2"/>
  <c r="R30" i="2"/>
  <c r="S30" i="2"/>
  <c r="R29" i="2"/>
  <c r="S29" i="2"/>
  <c r="U29" i="2"/>
  <c r="V29" i="2"/>
  <c r="X29" i="2"/>
  <c r="Y29" i="2"/>
  <c r="AD29" i="2"/>
  <c r="AE29" i="2"/>
  <c r="AA29" i="2"/>
  <c r="AB29" i="2"/>
  <c r="AG29" i="2"/>
  <c r="AH29" i="2"/>
  <c r="AG28" i="2"/>
  <c r="AH28" i="2"/>
  <c r="R28" i="2"/>
  <c r="S28" i="2"/>
  <c r="X28" i="2"/>
  <c r="Y28" i="2"/>
  <c r="AD28" i="2"/>
  <c r="AE28" i="2"/>
  <c r="U28" i="2"/>
  <c r="V28" i="2" s="1"/>
  <c r="AI28" i="2" s="1" a="1"/>
  <c r="AI28" i="2" s="1"/>
  <c r="AA28" i="2"/>
  <c r="AB28" i="2" s="1"/>
  <c r="AG27" i="2"/>
  <c r="AH27" i="2"/>
  <c r="AD27" i="2"/>
  <c r="AE27" i="2" s="1"/>
  <c r="X27" i="2"/>
  <c r="Y27" i="2"/>
  <c r="U27" i="2"/>
  <c r="V27" i="2" s="1"/>
  <c r="AI27" i="2" s="1" a="1"/>
  <c r="AI27" i="2" s="1"/>
  <c r="R27" i="2"/>
  <c r="S27" i="2"/>
  <c r="AA27" i="2"/>
  <c r="AB27" i="2"/>
  <c r="AD26" i="2"/>
  <c r="AE26" i="2"/>
  <c r="U26" i="2"/>
  <c r="V26" i="2"/>
  <c r="R26" i="2"/>
  <c r="S26" i="2"/>
  <c r="AG26" i="2"/>
  <c r="AH26" i="2"/>
  <c r="X26" i="2"/>
  <c r="Y26" i="2"/>
  <c r="AA26" i="2"/>
  <c r="AB26" i="2"/>
  <c r="R25" i="2"/>
  <c r="S25" i="2"/>
  <c r="U25" i="2"/>
  <c r="V25" i="2"/>
  <c r="X25" i="2"/>
  <c r="Y25" i="2"/>
  <c r="AD25" i="2"/>
  <c r="AE25" i="2"/>
  <c r="AA25" i="2"/>
  <c r="AB25" i="2"/>
  <c r="AG25" i="2"/>
  <c r="AH25" i="2"/>
  <c r="AD24" i="2"/>
  <c r="AE24" i="2"/>
  <c r="U24" i="2"/>
  <c r="V24" i="2"/>
  <c r="X24" i="2"/>
  <c r="Y24" i="2"/>
  <c r="AG24" i="2"/>
  <c r="AH24" i="2"/>
  <c r="AA24" i="2"/>
  <c r="AB24" i="2"/>
  <c r="R24" i="2"/>
  <c r="S24" i="2"/>
  <c r="R23" i="2"/>
  <c r="S23" i="2"/>
  <c r="AG23" i="2"/>
  <c r="AH23" i="2"/>
  <c r="X23" i="2"/>
  <c r="Y23" i="2"/>
  <c r="AD23" i="2"/>
  <c r="AE23" i="2"/>
  <c r="AA23" i="2"/>
  <c r="AB23" i="2"/>
  <c r="U23" i="2"/>
  <c r="V23" i="2"/>
  <c r="AG22" i="2"/>
  <c r="AH22" i="2"/>
  <c r="X22" i="2"/>
  <c r="Y22" i="2"/>
  <c r="AD22" i="2"/>
  <c r="AE22" i="2"/>
  <c r="U22" i="2"/>
  <c r="V22" i="2"/>
  <c r="R22" i="2"/>
  <c r="S22" i="2"/>
  <c r="AA22" i="2"/>
  <c r="AB22" i="2"/>
  <c r="AG21" i="2"/>
  <c r="AH21" i="2"/>
  <c r="R21" i="2"/>
  <c r="S21" i="2"/>
  <c r="U21" i="2"/>
  <c r="V21" i="2"/>
  <c r="X21" i="2"/>
  <c r="Y21" i="2"/>
  <c r="AD21" i="2"/>
  <c r="AE21" i="2"/>
  <c r="AA21" i="2"/>
  <c r="AB21" i="2"/>
  <c r="AA20" i="2"/>
  <c r="AB20" i="2"/>
  <c r="AG20" i="2"/>
  <c r="AH20" i="2"/>
  <c r="AD20" i="2"/>
  <c r="AE20" i="2"/>
  <c r="X20" i="2"/>
  <c r="Y20" i="2"/>
  <c r="U20" i="2"/>
  <c r="V20" i="2"/>
  <c r="R20" i="2"/>
  <c r="S20" i="2"/>
  <c r="AG19" i="2"/>
  <c r="AH19" i="2"/>
  <c r="AA19" i="2"/>
  <c r="AB19" i="2"/>
  <c r="AD19" i="2"/>
  <c r="AE19" i="2"/>
  <c r="X19" i="2"/>
  <c r="Y19" i="2"/>
  <c r="U19" i="2"/>
  <c r="V19" i="2"/>
  <c r="R19" i="2"/>
  <c r="S19" i="2"/>
  <c r="R18" i="2"/>
  <c r="S18" i="2"/>
  <c r="AA18" i="2"/>
  <c r="AB18" i="2"/>
  <c r="AG18" i="2"/>
  <c r="AH18" i="2"/>
  <c r="AD18" i="2"/>
  <c r="AE18" i="2"/>
  <c r="X18" i="2"/>
  <c r="Y18" i="2"/>
  <c r="U18" i="2"/>
  <c r="V18" i="2"/>
  <c r="AA17" i="2"/>
  <c r="AB17" i="2"/>
  <c r="AG17" i="2"/>
  <c r="AH17" i="2"/>
  <c r="AD17" i="2"/>
  <c r="AE17" i="2"/>
  <c r="X17" i="2"/>
  <c r="Y17" i="2"/>
  <c r="U17" i="2"/>
  <c r="V17" i="2"/>
  <c r="R17" i="2"/>
  <c r="S17" i="2"/>
  <c r="X16" i="2"/>
  <c r="Y16" i="2"/>
  <c r="U16" i="2"/>
  <c r="V16" i="2"/>
  <c r="R16" i="2"/>
  <c r="S16" i="2"/>
  <c r="AA16" i="2"/>
  <c r="AB16" i="2"/>
  <c r="AG16" i="2"/>
  <c r="AH16" i="2"/>
  <c r="AD16" i="2"/>
  <c r="AE16" i="2"/>
  <c r="X15" i="2"/>
  <c r="Y15" i="2"/>
  <c r="U15" i="2"/>
  <c r="V15" i="2"/>
  <c r="AD15" i="2"/>
  <c r="AE15" i="2"/>
  <c r="AG15" i="2"/>
  <c r="AH15" i="2"/>
  <c r="AA15" i="2"/>
  <c r="AB15" i="2"/>
  <c r="R15" i="2"/>
  <c r="S15" i="2"/>
  <c r="AG14" i="2"/>
  <c r="AH14" i="2"/>
  <c r="AA14" i="2"/>
  <c r="AB14" i="2"/>
  <c r="AD14" i="2"/>
  <c r="AE14" i="2"/>
  <c r="X14" i="2"/>
  <c r="Y14" i="2"/>
  <c r="U14" i="2"/>
  <c r="V14" i="2"/>
  <c r="R14" i="2"/>
  <c r="S14" i="2"/>
  <c r="AG13" i="2"/>
  <c r="AH13" i="2"/>
  <c r="AA13" i="2"/>
  <c r="AB13" i="2"/>
  <c r="AD13" i="2"/>
  <c r="AE13" i="2"/>
  <c r="X13" i="2"/>
  <c r="Y13" i="2"/>
  <c r="U13" i="2"/>
  <c r="V13" i="2"/>
  <c r="R13" i="2"/>
  <c r="S13" i="2"/>
  <c r="X12" i="2"/>
  <c r="Y12" i="2"/>
  <c r="AG12" i="2"/>
  <c r="AH12" i="2"/>
  <c r="AD12" i="2"/>
  <c r="AE12" i="2"/>
  <c r="AA12" i="2"/>
  <c r="AB12" i="2"/>
  <c r="U12" i="2"/>
  <c r="V12" i="2"/>
  <c r="R12" i="2"/>
  <c r="S12" i="2"/>
  <c r="AG11" i="2"/>
  <c r="AH11" i="2"/>
  <c r="AA11" i="2"/>
  <c r="AB11" i="2"/>
  <c r="AD11" i="2"/>
  <c r="AE11" i="2"/>
  <c r="X11" i="2"/>
  <c r="Y11" i="2"/>
  <c r="U11" i="2"/>
  <c r="V11" i="2"/>
  <c r="R11" i="2"/>
  <c r="S11" i="2"/>
  <c r="AG10" i="2"/>
  <c r="AH10" i="2"/>
  <c r="AA10" i="2"/>
  <c r="AB10" i="2"/>
  <c r="AD10" i="2"/>
  <c r="AE10" i="2"/>
  <c r="X10" i="2"/>
  <c r="Y10" i="2"/>
  <c r="U10" i="2"/>
  <c r="V10" i="2"/>
  <c r="R10" i="2"/>
  <c r="S10" i="2"/>
  <c r="X9" i="2"/>
  <c r="Y9" i="2"/>
  <c r="U9" i="2"/>
  <c r="V9" i="2"/>
  <c r="AA9" i="2"/>
  <c r="AB9" i="2"/>
  <c r="AG9" i="2"/>
  <c r="AH9" i="2"/>
  <c r="R9" i="2"/>
  <c r="S9" i="2"/>
  <c r="AD9" i="2"/>
  <c r="AE9" i="2"/>
  <c r="X8" i="2"/>
  <c r="Y8" i="2"/>
  <c r="U8" i="2"/>
  <c r="V8" i="2"/>
  <c r="R8" i="2"/>
  <c r="S8" i="2"/>
  <c r="AG8" i="2"/>
  <c r="AH8" i="2"/>
  <c r="AA8" i="2"/>
  <c r="AB8" i="2"/>
  <c r="AD8" i="2"/>
  <c r="AE8" i="2"/>
  <c r="U7" i="2"/>
  <c r="V7" i="2"/>
  <c r="AG7" i="2"/>
  <c r="AH7" i="2"/>
  <c r="AA7" i="2"/>
  <c r="AB7" i="2"/>
  <c r="AD7" i="2"/>
  <c r="AE7" i="2"/>
  <c r="X7" i="2"/>
  <c r="Y7" i="2"/>
  <c r="R7" i="2"/>
  <c r="S7" i="2"/>
  <c r="X6" i="2"/>
  <c r="Y6" i="2"/>
  <c r="AG6" i="2"/>
  <c r="AH6" i="2"/>
  <c r="AA6" i="2"/>
  <c r="AB6" i="2"/>
  <c r="AD6" i="2"/>
  <c r="AE6" i="2"/>
  <c r="X2" i="2"/>
  <c r="Y2" i="2"/>
  <c r="U2" i="2"/>
  <c r="V2" i="2"/>
  <c r="AA2" i="2"/>
  <c r="AB2" i="2"/>
  <c r="U989" i="2"/>
  <c r="V989" i="2"/>
  <c r="X989" i="2"/>
  <c r="Y989" i="2"/>
  <c r="AD989" i="2"/>
  <c r="AE989" i="2"/>
  <c r="AG989" i="2"/>
  <c r="AH989" i="2"/>
  <c r="AA989" i="2"/>
  <c r="AB989" i="2"/>
  <c r="R989" i="2"/>
  <c r="S989" i="2"/>
  <c r="X988" i="2"/>
  <c r="Y988" i="2"/>
  <c r="U988" i="2"/>
  <c r="V988" i="2"/>
  <c r="R988" i="2"/>
  <c r="S988" i="2"/>
  <c r="AA988" i="2"/>
  <c r="AB988" i="2"/>
  <c r="AG988" i="2"/>
  <c r="AH988" i="2"/>
  <c r="AD988" i="2"/>
  <c r="AE988" i="2"/>
  <c r="AG987" i="2"/>
  <c r="AH987" i="2"/>
  <c r="AD987" i="2"/>
  <c r="AE987" i="2"/>
  <c r="X987" i="2"/>
  <c r="Y987" i="2"/>
  <c r="AA987" i="2"/>
  <c r="AB987" i="2"/>
  <c r="AG874" i="2"/>
  <c r="AH874" i="2"/>
  <c r="AD874" i="2"/>
  <c r="AE874" i="2"/>
  <c r="X874" i="2"/>
  <c r="Y874" i="2"/>
  <c r="U874" i="2"/>
  <c r="V874" i="2"/>
  <c r="R874" i="2"/>
  <c r="S874" i="2"/>
  <c r="AA874" i="2"/>
  <c r="AB874" i="2"/>
  <c r="AG873" i="2"/>
  <c r="AH873" i="2"/>
  <c r="AD873" i="2"/>
  <c r="AE873" i="2"/>
  <c r="X873" i="2"/>
  <c r="Y873" i="2"/>
  <c r="AA873" i="2"/>
  <c r="AB873" i="2"/>
  <c r="U873" i="2"/>
  <c r="V873" i="2"/>
  <c r="R873" i="2"/>
  <c r="S873" i="2"/>
  <c r="AD872" i="2"/>
  <c r="AE872" i="2"/>
  <c r="AG872" i="2"/>
  <c r="AH872" i="2"/>
  <c r="R872" i="2"/>
  <c r="S872" i="2"/>
  <c r="U872" i="2"/>
  <c r="V872" i="2"/>
  <c r="X872" i="2"/>
  <c r="Y872" i="2"/>
  <c r="AA872" i="2"/>
  <c r="AB872" i="2"/>
  <c r="R871" i="2"/>
  <c r="S871" i="2"/>
  <c r="X871" i="2"/>
  <c r="Y871" i="2"/>
  <c r="AG871" i="2"/>
  <c r="AH871" i="2"/>
  <c r="AD871" i="2"/>
  <c r="AE871" i="2"/>
  <c r="U871" i="2"/>
  <c r="V871" i="2"/>
  <c r="AA871" i="2"/>
  <c r="AB871" i="2"/>
  <c r="AG870" i="2"/>
  <c r="AH870" i="2"/>
  <c r="AD870" i="2"/>
  <c r="AE870" i="2"/>
  <c r="AA870" i="2"/>
  <c r="AB870" i="2"/>
  <c r="X870" i="2"/>
  <c r="Y870" i="2"/>
  <c r="U870" i="2"/>
  <c r="V870" i="2"/>
  <c r="R870" i="2"/>
  <c r="S870" i="2"/>
  <c r="R869" i="2"/>
  <c r="S869" i="2"/>
  <c r="AG869" i="2"/>
  <c r="AH869" i="2"/>
  <c r="AD869" i="2"/>
  <c r="AE869" i="2"/>
  <c r="AA869" i="2"/>
  <c r="AB869" i="2"/>
  <c r="X869" i="2"/>
  <c r="Y869" i="2"/>
  <c r="U869" i="2"/>
  <c r="V869" i="2"/>
  <c r="AG868" i="2"/>
  <c r="AH868" i="2"/>
  <c r="AD868" i="2"/>
  <c r="AE868" i="2"/>
  <c r="AA868" i="2"/>
  <c r="AB868" i="2"/>
  <c r="X868" i="2"/>
  <c r="Y868" i="2"/>
  <c r="R868" i="2"/>
  <c r="S868" i="2"/>
  <c r="U868" i="2"/>
  <c r="V868" i="2"/>
  <c r="U867" i="2"/>
  <c r="V867" i="2"/>
  <c r="AA867" i="2"/>
  <c r="AB867" i="2"/>
  <c r="AD867" i="2"/>
  <c r="AE867" i="2"/>
  <c r="AG867" i="2"/>
  <c r="AH867" i="2"/>
  <c r="R867" i="2"/>
  <c r="S867" i="2"/>
  <c r="X867" i="2"/>
  <c r="Y867" i="2"/>
  <c r="R866" i="2"/>
  <c r="S866" i="2"/>
  <c r="U866" i="2"/>
  <c r="V866" i="2"/>
  <c r="X866" i="2"/>
  <c r="Y866" i="2"/>
  <c r="AA866" i="2"/>
  <c r="AB866" i="2"/>
  <c r="AD866" i="2"/>
  <c r="AE866" i="2"/>
  <c r="AG866" i="2"/>
  <c r="AH866" i="2"/>
  <c r="AD865" i="2"/>
  <c r="AE865" i="2"/>
  <c r="AA865" i="2"/>
  <c r="AB865" i="2"/>
  <c r="X865" i="2"/>
  <c r="Y865" i="2"/>
  <c r="U865" i="2"/>
  <c r="V865" i="2"/>
  <c r="R865" i="2"/>
  <c r="S865" i="2"/>
  <c r="AG865" i="2"/>
  <c r="AH865" i="2"/>
  <c r="U864" i="2"/>
  <c r="V864" i="2"/>
  <c r="R864" i="2"/>
  <c r="S864" i="2"/>
  <c r="AG864" i="2"/>
  <c r="AH864" i="2"/>
  <c r="AD864" i="2"/>
  <c r="AE864" i="2"/>
  <c r="AA864" i="2"/>
  <c r="AB864" i="2"/>
  <c r="X864" i="2"/>
  <c r="Y864" i="2"/>
  <c r="AG863" i="2"/>
  <c r="AH863" i="2"/>
  <c r="AA863" i="2"/>
  <c r="AB863" i="2"/>
  <c r="R863" i="2"/>
  <c r="S863" i="2"/>
  <c r="U863" i="2"/>
  <c r="V863" i="2"/>
  <c r="X863" i="2"/>
  <c r="Y863" i="2"/>
  <c r="AD863" i="2"/>
  <c r="AE863" i="2"/>
  <c r="AD862" i="2"/>
  <c r="AE862" i="2"/>
  <c r="AA862" i="2"/>
  <c r="AB862" i="2"/>
  <c r="X862" i="2"/>
  <c r="Y862" i="2"/>
  <c r="U862" i="2"/>
  <c r="V862" i="2"/>
  <c r="R862" i="2"/>
  <c r="S862" i="2"/>
  <c r="AG862" i="2"/>
  <c r="AH862" i="2"/>
  <c r="AG861" i="2"/>
  <c r="AH861" i="2"/>
  <c r="AD861" i="2"/>
  <c r="AE861" i="2"/>
  <c r="AA861" i="2"/>
  <c r="AB861" i="2"/>
  <c r="X861" i="2"/>
  <c r="Y861" i="2"/>
  <c r="U861" i="2"/>
  <c r="V861" i="2"/>
  <c r="R861" i="2"/>
  <c r="S861" i="2"/>
  <c r="R777" i="2"/>
  <c r="S777" i="2"/>
  <c r="U777" i="2"/>
  <c r="V777" i="2"/>
  <c r="X777" i="2"/>
  <c r="Y777" i="2"/>
  <c r="AG777" i="2"/>
  <c r="AH777" i="2"/>
  <c r="AD777" i="2"/>
  <c r="AE777" i="2"/>
  <c r="AA777" i="2"/>
  <c r="AB777" i="2"/>
  <c r="U776" i="2"/>
  <c r="V776" i="2"/>
  <c r="X776" i="2"/>
  <c r="Y776" i="2"/>
  <c r="AA776" i="2"/>
  <c r="AB776" i="2"/>
  <c r="AD776" i="2"/>
  <c r="AE776" i="2"/>
  <c r="AG776" i="2"/>
  <c r="AH776" i="2"/>
  <c r="R776" i="2"/>
  <c r="S776" i="2"/>
  <c r="R775" i="2"/>
  <c r="S775" i="2"/>
  <c r="AG775" i="2"/>
  <c r="AH775" i="2"/>
  <c r="AD775" i="2"/>
  <c r="AE775" i="2"/>
  <c r="AA775" i="2"/>
  <c r="AB775" i="2"/>
  <c r="X775" i="2"/>
  <c r="Y775" i="2"/>
  <c r="U775" i="2"/>
  <c r="V775" i="2"/>
  <c r="R774" i="2"/>
  <c r="S774" i="2"/>
  <c r="AG774" i="2"/>
  <c r="AH774" i="2"/>
  <c r="U774" i="2"/>
  <c r="V774" i="2"/>
  <c r="X774" i="2"/>
  <c r="Y774" i="2"/>
  <c r="AD774" i="2"/>
  <c r="AE774" i="2"/>
  <c r="AA774" i="2"/>
  <c r="AB774" i="2"/>
  <c r="AD773" i="2"/>
  <c r="AE773" i="2"/>
  <c r="R773" i="2"/>
  <c r="S773" i="2"/>
  <c r="U773" i="2"/>
  <c r="V773" i="2"/>
  <c r="X773" i="2"/>
  <c r="Y773" i="2"/>
  <c r="AA773" i="2"/>
  <c r="AB773" i="2"/>
  <c r="AG773" i="2"/>
  <c r="AH773" i="2"/>
  <c r="AG772" i="2"/>
  <c r="AH772" i="2"/>
  <c r="AD772" i="2"/>
  <c r="AE772" i="2"/>
  <c r="AA772" i="2"/>
  <c r="AB772" i="2"/>
  <c r="X772" i="2"/>
  <c r="Y772" i="2"/>
  <c r="U772" i="2"/>
  <c r="V772" i="2"/>
  <c r="R772" i="2"/>
  <c r="S772" i="2"/>
  <c r="AG771" i="2"/>
  <c r="AH771" i="2"/>
  <c r="AD771" i="2"/>
  <c r="AE771" i="2"/>
  <c r="R771" i="2"/>
  <c r="S771" i="2"/>
  <c r="U771" i="2"/>
  <c r="V771" i="2"/>
  <c r="X771" i="2"/>
  <c r="Y771" i="2"/>
  <c r="AA771" i="2"/>
  <c r="AB771" i="2"/>
  <c r="R770" i="2"/>
  <c r="S770" i="2"/>
  <c r="AG770" i="2"/>
  <c r="AH770" i="2"/>
  <c r="AD770" i="2"/>
  <c r="AE770" i="2"/>
  <c r="AA770" i="2"/>
  <c r="AB770" i="2"/>
  <c r="X770" i="2"/>
  <c r="Y770" i="2"/>
  <c r="U770" i="2"/>
  <c r="V770" i="2"/>
  <c r="AG769" i="2"/>
  <c r="AH769" i="2"/>
  <c r="R769" i="2"/>
  <c r="S769" i="2"/>
  <c r="U769" i="2"/>
  <c r="V769" i="2"/>
  <c r="X769" i="2"/>
  <c r="Y769" i="2"/>
  <c r="AA769" i="2"/>
  <c r="AB769" i="2"/>
  <c r="AD769" i="2"/>
  <c r="AE769" i="2"/>
  <c r="AD768" i="2"/>
  <c r="AE768" i="2"/>
  <c r="AG768" i="2"/>
  <c r="AH768" i="2"/>
  <c r="AA768" i="2"/>
  <c r="AB768" i="2"/>
  <c r="X768" i="2"/>
  <c r="Y768" i="2"/>
  <c r="U768" i="2"/>
  <c r="V768" i="2"/>
  <c r="R768" i="2"/>
  <c r="S768" i="2"/>
  <c r="X767" i="2"/>
  <c r="Y767" i="2"/>
  <c r="R767" i="2"/>
  <c r="S767" i="2"/>
  <c r="U767" i="2"/>
  <c r="V767" i="2"/>
  <c r="AA767" i="2"/>
  <c r="AB767" i="2"/>
  <c r="AD767" i="2"/>
  <c r="AE767" i="2"/>
  <c r="AG767" i="2"/>
  <c r="AH767" i="2"/>
  <c r="R766" i="2"/>
  <c r="S766" i="2"/>
  <c r="U766" i="2"/>
  <c r="V766" i="2"/>
  <c r="X766" i="2"/>
  <c r="Y766" i="2"/>
  <c r="AA766" i="2"/>
  <c r="AB766" i="2"/>
  <c r="AD766" i="2"/>
  <c r="AE766" i="2"/>
  <c r="AG766" i="2"/>
  <c r="AH766" i="2"/>
  <c r="AA765" i="2"/>
  <c r="AB765" i="2"/>
  <c r="AG765" i="2"/>
  <c r="AH765" i="2"/>
  <c r="U765" i="2"/>
  <c r="V765" i="2"/>
  <c r="R765" i="2"/>
  <c r="S765" i="2"/>
  <c r="X765" i="2"/>
  <c r="Y765" i="2"/>
  <c r="AD765" i="2"/>
  <c r="AE765" i="2"/>
  <c r="AG764" i="2"/>
  <c r="AH764" i="2"/>
  <c r="R764" i="2"/>
  <c r="S764" i="2"/>
  <c r="U764" i="2"/>
  <c r="V764" i="2"/>
  <c r="AA764" i="2"/>
  <c r="AB764" i="2"/>
  <c r="AD764" i="2"/>
  <c r="AE764" i="2"/>
  <c r="X764" i="2"/>
  <c r="Y764" i="2"/>
  <c r="AD763" i="2"/>
  <c r="AE763" i="2"/>
  <c r="AA763" i="2"/>
  <c r="AB763" i="2"/>
  <c r="AG763" i="2"/>
  <c r="AH763" i="2"/>
  <c r="X763" i="2"/>
  <c r="Y763" i="2"/>
  <c r="U763" i="2"/>
  <c r="V763" i="2"/>
  <c r="R763" i="2"/>
  <c r="S763" i="2"/>
  <c r="U762" i="2"/>
  <c r="V762" i="2"/>
  <c r="X762" i="2"/>
  <c r="Y762" i="2"/>
  <c r="AA762" i="2"/>
  <c r="AB762" i="2"/>
  <c r="AD762" i="2"/>
  <c r="AE762" i="2"/>
  <c r="AG762" i="2"/>
  <c r="AH762" i="2"/>
  <c r="R762" i="2"/>
  <c r="S762" i="2"/>
  <c r="R761" i="2"/>
  <c r="S761" i="2"/>
  <c r="U761" i="2"/>
  <c r="V761" i="2"/>
  <c r="X761" i="2"/>
  <c r="Y761" i="2"/>
  <c r="AA761" i="2"/>
  <c r="AB761" i="2"/>
  <c r="AD761" i="2"/>
  <c r="AE761" i="2"/>
  <c r="AG761" i="2"/>
  <c r="AH761" i="2"/>
  <c r="AA760" i="2"/>
  <c r="AB760" i="2"/>
  <c r="AD760" i="2"/>
  <c r="AE760" i="2"/>
  <c r="R760" i="2"/>
  <c r="S760" i="2"/>
  <c r="U760" i="2"/>
  <c r="V760" i="2"/>
  <c r="X760" i="2"/>
  <c r="Y760" i="2"/>
  <c r="AG760" i="2"/>
  <c r="AH760" i="2"/>
  <c r="R759" i="2"/>
  <c r="S759" i="2"/>
  <c r="U759" i="2"/>
  <c r="V759" i="2"/>
  <c r="AA759" i="2"/>
  <c r="AB759" i="2"/>
  <c r="AD759" i="2"/>
  <c r="AE759" i="2"/>
  <c r="AG759" i="2"/>
  <c r="AH759" i="2"/>
  <c r="X759" i="2"/>
  <c r="Y759" i="2"/>
  <c r="U758" i="2"/>
  <c r="V758" i="2"/>
  <c r="X758" i="2"/>
  <c r="Y758" i="2"/>
  <c r="AA758" i="2"/>
  <c r="AB758" i="2"/>
  <c r="AD758" i="2"/>
  <c r="AE758" i="2"/>
  <c r="AG758" i="2"/>
  <c r="AH758" i="2"/>
  <c r="R758" i="2"/>
  <c r="S758" i="2"/>
  <c r="U757" i="2"/>
  <c r="V757" i="2"/>
  <c r="X757" i="2"/>
  <c r="Y757" i="2"/>
  <c r="AA757" i="2"/>
  <c r="AB757" i="2"/>
  <c r="AD757" i="2"/>
  <c r="AE757" i="2"/>
  <c r="AG757" i="2"/>
  <c r="AH757" i="2"/>
  <c r="R757" i="2"/>
  <c r="S757" i="2"/>
  <c r="AI757" i="2" s="1" a="1"/>
  <c r="AI757" i="2" s="1"/>
  <c r="U756" i="2"/>
  <c r="V756" i="2"/>
  <c r="R756" i="2"/>
  <c r="S756" i="2"/>
  <c r="AG756" i="2"/>
  <c r="AH756" i="2"/>
  <c r="AD756" i="2"/>
  <c r="AE756" i="2"/>
  <c r="AA756" i="2"/>
  <c r="AB756" i="2"/>
  <c r="X756" i="2"/>
  <c r="Y756" i="2"/>
  <c r="AG755" i="2"/>
  <c r="AH755" i="2"/>
  <c r="AD755" i="2"/>
  <c r="AE755" i="2"/>
  <c r="AA755" i="2"/>
  <c r="AB755" i="2"/>
  <c r="X755" i="2"/>
  <c r="Y755" i="2"/>
  <c r="U755" i="2"/>
  <c r="V755" i="2"/>
  <c r="R755" i="2"/>
  <c r="S755" i="2"/>
  <c r="U754" i="2"/>
  <c r="V754" i="2"/>
  <c r="X754" i="2"/>
  <c r="Y754" i="2"/>
  <c r="R754" i="2"/>
  <c r="S754" i="2"/>
  <c r="AA754" i="2"/>
  <c r="AB754" i="2"/>
  <c r="AD754" i="2"/>
  <c r="AE754" i="2"/>
  <c r="AG754" i="2"/>
  <c r="AH754" i="2"/>
  <c r="R753" i="2"/>
  <c r="S753" i="2"/>
  <c r="AG753" i="2"/>
  <c r="AH753" i="2"/>
  <c r="AD753" i="2"/>
  <c r="AE753" i="2"/>
  <c r="AA753" i="2"/>
  <c r="AB753" i="2"/>
  <c r="X753" i="2"/>
  <c r="Y753" i="2"/>
  <c r="U753" i="2"/>
  <c r="V753" i="2"/>
  <c r="AG752" i="2"/>
  <c r="AH752" i="2"/>
  <c r="AD752" i="2"/>
  <c r="AE752" i="2"/>
  <c r="X752" i="2"/>
  <c r="Y752" i="2"/>
  <c r="U752" i="2"/>
  <c r="V752" i="2"/>
  <c r="R752" i="2"/>
  <c r="S752" i="2"/>
  <c r="AA752" i="2"/>
  <c r="AB752" i="2"/>
  <c r="AA701" i="2"/>
  <c r="AB701" i="2"/>
  <c r="X701" i="2"/>
  <c r="Y701" i="2"/>
  <c r="U701" i="2"/>
  <c r="V701" i="2"/>
  <c r="R701" i="2"/>
  <c r="S701" i="2"/>
  <c r="AA700" i="2"/>
  <c r="AB700" i="2"/>
  <c r="X700" i="2"/>
  <c r="Y700" i="2"/>
  <c r="U700" i="2"/>
  <c r="V700" i="2"/>
  <c r="R700" i="2"/>
  <c r="S700" i="2"/>
  <c r="AG700" i="2"/>
  <c r="AH700" i="2"/>
  <c r="AD700" i="2"/>
  <c r="AE700" i="2"/>
  <c r="AG699" i="2"/>
  <c r="AH699" i="2"/>
  <c r="AD699" i="2"/>
  <c r="AE699" i="2"/>
  <c r="AA699" i="2"/>
  <c r="AB699" i="2"/>
  <c r="X699" i="2"/>
  <c r="Y699" i="2"/>
  <c r="U699" i="2"/>
  <c r="V699" i="2"/>
  <c r="R699" i="2"/>
  <c r="S699" i="2"/>
  <c r="R698" i="2"/>
  <c r="S698" i="2"/>
  <c r="U698" i="2"/>
  <c r="V698" i="2"/>
  <c r="X698" i="2"/>
  <c r="Y698" i="2"/>
  <c r="AA698" i="2"/>
  <c r="AB698" i="2"/>
  <c r="AD698" i="2"/>
  <c r="AE698" i="2"/>
  <c r="AG698" i="2"/>
  <c r="AH698" i="2"/>
  <c r="R697" i="2"/>
  <c r="S697" i="2"/>
  <c r="AG697" i="2"/>
  <c r="AH697" i="2"/>
  <c r="U697" i="2"/>
  <c r="V697" i="2"/>
  <c r="X697" i="2"/>
  <c r="Y697" i="2"/>
  <c r="AA697" i="2"/>
  <c r="AB697" i="2"/>
  <c r="AD697" i="2"/>
  <c r="AE697" i="2"/>
  <c r="AD696" i="2"/>
  <c r="AE696" i="2"/>
  <c r="AA696" i="2"/>
  <c r="AB696" i="2"/>
  <c r="X696" i="2"/>
  <c r="Y696" i="2"/>
  <c r="U696" i="2"/>
  <c r="V696" i="2"/>
  <c r="R696" i="2"/>
  <c r="S696" i="2"/>
  <c r="AG696" i="2"/>
  <c r="AH696" i="2"/>
  <c r="AG695" i="2"/>
  <c r="AH695" i="2"/>
  <c r="AD695" i="2"/>
  <c r="AE695" i="2"/>
  <c r="R695" i="2"/>
  <c r="S695" i="2"/>
  <c r="U695" i="2"/>
  <c r="V695" i="2"/>
  <c r="X695" i="2"/>
  <c r="Y695" i="2"/>
  <c r="AA695" i="2"/>
  <c r="AB695" i="2"/>
  <c r="R694" i="2"/>
  <c r="S694" i="2"/>
  <c r="U694" i="2"/>
  <c r="V694" i="2"/>
  <c r="X694" i="2"/>
  <c r="Y694" i="2"/>
  <c r="AA694" i="2"/>
  <c r="AB694" i="2"/>
  <c r="AD694" i="2"/>
  <c r="AE694" i="2"/>
  <c r="AG694" i="2"/>
  <c r="AH694" i="2"/>
  <c r="AD693" i="2"/>
  <c r="AE693" i="2"/>
  <c r="AA693" i="2"/>
  <c r="AB693" i="2"/>
  <c r="X693" i="2"/>
  <c r="Y693" i="2"/>
  <c r="R693" i="2"/>
  <c r="S693" i="2"/>
  <c r="U693" i="2"/>
  <c r="V693" i="2"/>
  <c r="AG693" i="2"/>
  <c r="AH693" i="2"/>
  <c r="AG692" i="2"/>
  <c r="AH692" i="2"/>
  <c r="AD692" i="2"/>
  <c r="AE692" i="2"/>
  <c r="AA692" i="2"/>
  <c r="AB692" i="2"/>
  <c r="X692" i="2"/>
  <c r="Y692" i="2"/>
  <c r="U692" i="2"/>
  <c r="V692" i="2"/>
  <c r="R692" i="2"/>
  <c r="S692" i="2"/>
  <c r="AI692" i="2" s="1" a="1"/>
  <c r="AI692" i="2" s="1"/>
  <c r="X691" i="2"/>
  <c r="Y691" i="2"/>
  <c r="U691" i="2"/>
  <c r="V691" i="2"/>
  <c r="AD691" i="2"/>
  <c r="AE691" i="2"/>
  <c r="AG691" i="2"/>
  <c r="AH691" i="2"/>
  <c r="R691" i="2"/>
  <c r="S691" i="2"/>
  <c r="AA691" i="2"/>
  <c r="AB691" i="2"/>
  <c r="AA690" i="2"/>
  <c r="AB690" i="2"/>
  <c r="AD690" i="2"/>
  <c r="AE690" i="2"/>
  <c r="AG690" i="2"/>
  <c r="AH690" i="2"/>
  <c r="U690" i="2"/>
  <c r="V690" i="2"/>
  <c r="R690" i="2"/>
  <c r="S690" i="2"/>
  <c r="X690" i="2"/>
  <c r="Y690" i="2"/>
  <c r="AG689" i="2"/>
  <c r="AH689" i="2"/>
  <c r="AA689" i="2"/>
  <c r="AB689" i="2"/>
  <c r="X689" i="2"/>
  <c r="Y689" i="2"/>
  <c r="U689" i="2"/>
  <c r="V689" i="2"/>
  <c r="R689" i="2"/>
  <c r="S689" i="2"/>
  <c r="AD689" i="2"/>
  <c r="AE689" i="2"/>
  <c r="U688" i="2"/>
  <c r="V688" i="2"/>
  <c r="X688" i="2"/>
  <c r="Y688" i="2"/>
  <c r="AA688" i="2"/>
  <c r="AB688" i="2"/>
  <c r="AD688" i="2"/>
  <c r="AE688" i="2"/>
  <c r="AG688" i="2"/>
  <c r="AH688" i="2"/>
  <c r="R688" i="2"/>
  <c r="S688" i="2"/>
  <c r="R687" i="2"/>
  <c r="S687" i="2"/>
  <c r="AD687" i="2"/>
  <c r="AE687" i="2"/>
  <c r="U687" i="2"/>
  <c r="V687" i="2"/>
  <c r="X687" i="2"/>
  <c r="Y687" i="2"/>
  <c r="AA687" i="2"/>
  <c r="AB687" i="2"/>
  <c r="AG687" i="2"/>
  <c r="AH687" i="2"/>
  <c r="AA686" i="2"/>
  <c r="AB686" i="2"/>
  <c r="X686" i="2"/>
  <c r="Y686" i="2"/>
  <c r="U686" i="2"/>
  <c r="V686" i="2"/>
  <c r="R686" i="2"/>
  <c r="S686" i="2"/>
  <c r="AG686" i="2"/>
  <c r="AH686" i="2"/>
  <c r="AD686" i="2"/>
  <c r="AE686" i="2"/>
  <c r="X685" i="2"/>
  <c r="Y685" i="2"/>
  <c r="AA685" i="2"/>
  <c r="AB685" i="2"/>
  <c r="AG685" i="2"/>
  <c r="AH685" i="2"/>
  <c r="AD685" i="2"/>
  <c r="AE685" i="2"/>
  <c r="R685" i="2"/>
  <c r="S685" i="2"/>
  <c r="AI685" i="2" s="1" a="1"/>
  <c r="AI685" i="2" s="1"/>
  <c r="U685" i="2"/>
  <c r="V685" i="2"/>
  <c r="R684" i="2"/>
  <c r="S684" i="2"/>
  <c r="U684" i="2"/>
  <c r="V684" i="2"/>
  <c r="X684" i="2"/>
  <c r="Y684" i="2"/>
  <c r="AA684" i="2"/>
  <c r="AB684" i="2"/>
  <c r="AG684" i="2"/>
  <c r="AH684" i="2"/>
  <c r="AD684" i="2"/>
  <c r="AE684" i="2"/>
  <c r="AA683" i="2"/>
  <c r="AB683" i="2"/>
  <c r="X683" i="2"/>
  <c r="Y683" i="2"/>
  <c r="U683" i="2"/>
  <c r="V683" i="2"/>
  <c r="AD683" i="2"/>
  <c r="AE683" i="2"/>
  <c r="AG683" i="2"/>
  <c r="AH683" i="2"/>
  <c r="R683" i="2"/>
  <c r="S683" i="2"/>
  <c r="R682" i="2"/>
  <c r="S682" i="2"/>
  <c r="U682" i="2"/>
  <c r="V682" i="2"/>
  <c r="AD682" i="2"/>
  <c r="AE682" i="2"/>
  <c r="X682" i="2"/>
  <c r="Y682" i="2"/>
  <c r="AA682" i="2"/>
  <c r="AB682" i="2"/>
  <c r="AG682" i="2"/>
  <c r="AH682" i="2"/>
  <c r="AG681" i="2"/>
  <c r="AH681" i="2"/>
  <c r="R681" i="2"/>
  <c r="S681" i="2"/>
  <c r="U681" i="2"/>
  <c r="V681" i="2"/>
  <c r="X681" i="2"/>
  <c r="Y681" i="2"/>
  <c r="AA681" i="2"/>
  <c r="AB681" i="2"/>
  <c r="AD681" i="2"/>
  <c r="AE681" i="2"/>
  <c r="AD680" i="2"/>
  <c r="AE680" i="2"/>
  <c r="AG680" i="2"/>
  <c r="AH680" i="2"/>
  <c r="AA680" i="2"/>
  <c r="AB680" i="2"/>
  <c r="X680" i="2"/>
  <c r="Y680" i="2"/>
  <c r="U680" i="2"/>
  <c r="V680" i="2"/>
  <c r="R680" i="2"/>
  <c r="S680" i="2"/>
  <c r="AG679" i="2"/>
  <c r="AH679" i="2"/>
  <c r="AD679" i="2"/>
  <c r="AE679" i="2"/>
  <c r="AA679" i="2"/>
  <c r="AB679" i="2"/>
  <c r="X679" i="2"/>
  <c r="Y679" i="2"/>
  <c r="U679" i="2"/>
  <c r="V679" i="2"/>
  <c r="R679" i="2"/>
  <c r="S679" i="2"/>
  <c r="AG678" i="2"/>
  <c r="AH678" i="2"/>
  <c r="AD678" i="2"/>
  <c r="AE678" i="2"/>
  <c r="AA678" i="2"/>
  <c r="AB678" i="2"/>
  <c r="X678" i="2"/>
  <c r="Y678" i="2" s="1"/>
  <c r="U678" i="2"/>
  <c r="V678" i="2"/>
  <c r="R678" i="2"/>
  <c r="S678" i="2"/>
  <c r="AG677" i="2"/>
  <c r="AH677" i="2"/>
  <c r="AD677" i="2"/>
  <c r="AE677" i="2"/>
  <c r="AA677" i="2"/>
  <c r="AB677" i="2"/>
  <c r="X677" i="2"/>
  <c r="Y677" i="2"/>
  <c r="U677" i="2"/>
  <c r="V677" i="2"/>
  <c r="R677" i="2"/>
  <c r="S677" i="2"/>
  <c r="AG676" i="2"/>
  <c r="AH676" i="2"/>
  <c r="AD676" i="2"/>
  <c r="AE676" i="2"/>
  <c r="AA676" i="2"/>
  <c r="AB676" i="2"/>
  <c r="X676" i="2"/>
  <c r="Y676" i="2"/>
  <c r="R676" i="2"/>
  <c r="S676" i="2"/>
  <c r="AI676" i="2" s="1" a="1"/>
  <c r="AI676" i="2" s="1"/>
  <c r="U676" i="2"/>
  <c r="V676" i="2"/>
  <c r="AG675" i="2"/>
  <c r="AH675" i="2"/>
  <c r="R675" i="2"/>
  <c r="S675" i="2"/>
  <c r="U675" i="2"/>
  <c r="V675" i="2"/>
  <c r="X675" i="2"/>
  <c r="Y675" i="2"/>
  <c r="AA675" i="2"/>
  <c r="AB675" i="2"/>
  <c r="AD675" i="2"/>
  <c r="AE675" i="2"/>
  <c r="AA674" i="2"/>
  <c r="AB674" i="2"/>
  <c r="AG674" i="2"/>
  <c r="AH674" i="2"/>
  <c r="AD674" i="2"/>
  <c r="AE674" i="2"/>
  <c r="X674" i="2"/>
  <c r="Y674" i="2"/>
  <c r="U674" i="2"/>
  <c r="V674" i="2"/>
  <c r="R674" i="2"/>
  <c r="S674" i="2"/>
  <c r="AA673" i="2"/>
  <c r="AB673" i="2"/>
  <c r="AD673" i="2"/>
  <c r="AE673" i="2"/>
  <c r="R673" i="2"/>
  <c r="S673" i="2"/>
  <c r="U673" i="2"/>
  <c r="V673" i="2"/>
  <c r="X673" i="2"/>
  <c r="Y673" i="2"/>
  <c r="AG673" i="2"/>
  <c r="AH673" i="2"/>
  <c r="R672" i="2"/>
  <c r="S672" i="2"/>
  <c r="U672" i="2"/>
  <c r="V672" i="2"/>
  <c r="X672" i="2"/>
  <c r="Y672" i="2"/>
  <c r="AA672" i="2"/>
  <c r="AB672" i="2"/>
  <c r="AG672" i="2"/>
  <c r="AH672" i="2"/>
  <c r="AD672" i="2"/>
  <c r="AE672" i="2"/>
  <c r="X671" i="2"/>
  <c r="Y671" i="2"/>
  <c r="U671" i="2"/>
  <c r="V671" i="2"/>
  <c r="R671" i="2"/>
  <c r="S671" i="2"/>
  <c r="AG671" i="2"/>
  <c r="AH671" i="2"/>
  <c r="AA671" i="2"/>
  <c r="AB671" i="2"/>
  <c r="AD671" i="2"/>
  <c r="AE671" i="2"/>
  <c r="AG670" i="2"/>
  <c r="AH670" i="2"/>
  <c r="AD670" i="2"/>
  <c r="AE670" i="2"/>
  <c r="AA670" i="2"/>
  <c r="AB670" i="2"/>
  <c r="U670" i="2"/>
  <c r="V670" i="2"/>
  <c r="R670" i="2"/>
  <c r="S670" i="2"/>
  <c r="AI670" i="2" s="1" a="1"/>
  <c r="AI670" i="2" s="1"/>
  <c r="X670" i="2"/>
  <c r="Y670" i="2"/>
  <c r="AG669" i="2"/>
  <c r="AH669" i="2"/>
  <c r="R669" i="2"/>
  <c r="S669" i="2"/>
  <c r="U669" i="2"/>
  <c r="V669" i="2" s="1"/>
  <c r="X669" i="2"/>
  <c r="Y669" i="2" s="1"/>
  <c r="AA669" i="2"/>
  <c r="AB669" i="2"/>
  <c r="AD669" i="2"/>
  <c r="AE669" i="2" s="1"/>
  <c r="AD668" i="2"/>
  <c r="AE668" i="2"/>
  <c r="AG668" i="2"/>
  <c r="AH668" i="2"/>
  <c r="AA668" i="2"/>
  <c r="AB668" i="2"/>
  <c r="U668" i="2"/>
  <c r="V668" i="2" s="1"/>
  <c r="R668" i="2"/>
  <c r="S668" i="2"/>
  <c r="X668" i="2"/>
  <c r="Y668" i="2" s="1"/>
  <c r="R667" i="2"/>
  <c r="S667" i="2"/>
  <c r="U667" i="2"/>
  <c r="V667" i="2" s="1"/>
  <c r="X667" i="2"/>
  <c r="Y667" i="2"/>
  <c r="AD667" i="2"/>
  <c r="AE667" i="2"/>
  <c r="AG667" i="2"/>
  <c r="AH667" i="2"/>
  <c r="AA667" i="2"/>
  <c r="AB667" i="2"/>
  <c r="AD666" i="2"/>
  <c r="AE666" i="2"/>
  <c r="AA666" i="2"/>
  <c r="AB666" i="2"/>
  <c r="X666" i="2"/>
  <c r="Y666" i="2" s="1"/>
  <c r="U666" i="2"/>
  <c r="V666" i="2"/>
  <c r="R666" i="2"/>
  <c r="S666" i="2" s="1"/>
  <c r="AI666" i="2" s="1" a="1"/>
  <c r="AI666" i="2" s="1"/>
  <c r="AG666" i="2"/>
  <c r="AH666" i="2"/>
  <c r="AD665" i="2"/>
  <c r="AE665" i="2"/>
  <c r="AG665" i="2"/>
  <c r="AH665" i="2" s="1"/>
  <c r="R665" i="2"/>
  <c r="S665" i="2" s="1"/>
  <c r="AI665" i="2" s="1" a="1"/>
  <c r="AI665" i="2" s="1"/>
  <c r="U665" i="2"/>
  <c r="V665" i="2" s="1"/>
  <c r="X665" i="2"/>
  <c r="Y665" i="2" s="1"/>
  <c r="AA665" i="2"/>
  <c r="AB665" i="2" s="1"/>
  <c r="U664" i="2"/>
  <c r="V664" i="2"/>
  <c r="X664" i="2"/>
  <c r="Y664" i="2"/>
  <c r="AA664" i="2"/>
  <c r="AB664" i="2"/>
  <c r="AG664" i="2"/>
  <c r="AH664" i="2" s="1"/>
  <c r="R664" i="2"/>
  <c r="S664" i="2"/>
  <c r="AD664" i="2"/>
  <c r="AE664" i="2" s="1"/>
  <c r="AD663" i="2"/>
  <c r="AE663" i="2"/>
  <c r="AG663" i="2"/>
  <c r="AH663" i="2"/>
  <c r="AA663" i="2"/>
  <c r="AB663" i="2"/>
  <c r="X663" i="2"/>
  <c r="Y663" i="2"/>
  <c r="R663" i="2"/>
  <c r="S663" i="2"/>
  <c r="AI663" i="2" s="1" a="1"/>
  <c r="AI663" i="2" s="1"/>
  <c r="U663" i="2"/>
  <c r="V663" i="2"/>
  <c r="AD662" i="2"/>
  <c r="AE662" i="2" s="1"/>
  <c r="AI662" i="2" s="1" a="1"/>
  <c r="AI662" i="2" s="1"/>
  <c r="AA662" i="2"/>
  <c r="AB662" i="2"/>
  <c r="X662" i="2"/>
  <c r="Y662" i="2"/>
  <c r="U662" i="2"/>
  <c r="V662" i="2"/>
  <c r="R662" i="2"/>
  <c r="S662" i="2"/>
  <c r="AG662" i="2"/>
  <c r="AH662" i="2"/>
  <c r="X661" i="2"/>
  <c r="Y661" i="2"/>
  <c r="AD661" i="2"/>
  <c r="AE661" i="2"/>
  <c r="AG661" i="2"/>
  <c r="AH661" i="2"/>
  <c r="AA661" i="2"/>
  <c r="AB661" i="2"/>
  <c r="U661" i="2"/>
  <c r="V661" i="2"/>
  <c r="R661" i="2"/>
  <c r="S661" i="2"/>
  <c r="R660" i="2"/>
  <c r="S660" i="2"/>
  <c r="AG660" i="2"/>
  <c r="AH660" i="2" s="1"/>
  <c r="AD660" i="2"/>
  <c r="AE660" i="2"/>
  <c r="AA660" i="2"/>
  <c r="AB660" i="2"/>
  <c r="X660" i="2"/>
  <c r="Y660" i="2" s="1"/>
  <c r="U660" i="2"/>
  <c r="V660" i="2" s="1"/>
  <c r="AG659" i="2"/>
  <c r="AH659" i="2"/>
  <c r="AD659" i="2"/>
  <c r="AE659" i="2" s="1"/>
  <c r="X659" i="2"/>
  <c r="Y659" i="2"/>
  <c r="U659" i="2"/>
  <c r="V659" i="2" s="1"/>
  <c r="R659" i="2"/>
  <c r="S659" i="2"/>
  <c r="AA659" i="2"/>
  <c r="AB659" i="2"/>
  <c r="R658" i="2"/>
  <c r="S658" i="2" s="1"/>
  <c r="AI658" i="2" s="1" a="1"/>
  <c r="AI658" i="2" s="1"/>
  <c r="U658" i="2"/>
  <c r="V658" i="2" s="1"/>
  <c r="X658" i="2"/>
  <c r="Y658" i="2"/>
  <c r="AA658" i="2"/>
  <c r="AB658" i="2" s="1"/>
  <c r="AD658" i="2"/>
  <c r="AE658" i="2"/>
  <c r="AG658" i="2"/>
  <c r="AH658" i="2" s="1"/>
  <c r="AG657" i="2"/>
  <c r="AH657" i="2"/>
  <c r="AD657" i="2"/>
  <c r="AE657" i="2" s="1"/>
  <c r="AA657" i="2"/>
  <c r="AB657" i="2"/>
  <c r="X657" i="2"/>
  <c r="Y657" i="2"/>
  <c r="U657" i="2"/>
  <c r="V657" i="2"/>
  <c r="R657" i="2"/>
  <c r="S657" i="2" s="1"/>
  <c r="X656" i="2"/>
  <c r="Y656" i="2" s="1"/>
  <c r="AG656" i="2"/>
  <c r="AH656" i="2"/>
  <c r="AD656" i="2"/>
  <c r="AE656" i="2"/>
  <c r="AA656" i="2"/>
  <c r="AB656" i="2" s="1"/>
  <c r="U656" i="2"/>
  <c r="V656" i="2"/>
  <c r="R656" i="2"/>
  <c r="S656" i="2" s="1"/>
  <c r="AA655" i="2"/>
  <c r="AB655" i="2"/>
  <c r="U655" i="2"/>
  <c r="V655" i="2"/>
  <c r="R655" i="2"/>
  <c r="S655" i="2"/>
  <c r="X655" i="2"/>
  <c r="Y655" i="2" s="1"/>
  <c r="AG655" i="2"/>
  <c r="AH655" i="2" s="1"/>
  <c r="AD655" i="2"/>
  <c r="AE655" i="2"/>
  <c r="X654" i="2"/>
  <c r="Y654" i="2" s="1"/>
  <c r="AD654" i="2"/>
  <c r="AE654" i="2"/>
  <c r="AG654" i="2"/>
  <c r="AH654" i="2"/>
  <c r="U654" i="2"/>
  <c r="V654" i="2"/>
  <c r="AA654" i="2"/>
  <c r="AB654" i="2" s="1"/>
  <c r="R654" i="2"/>
  <c r="S654" i="2"/>
  <c r="AA653" i="2"/>
  <c r="AB653" i="2" s="1"/>
  <c r="R653" i="2"/>
  <c r="S653" i="2" s="1"/>
  <c r="AI653" i="2" s="1" a="1"/>
  <c r="AI653" i="2" s="1"/>
  <c r="AG653" i="2"/>
  <c r="AH653" i="2"/>
  <c r="AD653" i="2"/>
  <c r="AE653" i="2"/>
  <c r="X653" i="2"/>
  <c r="Y653" i="2"/>
  <c r="U653" i="2"/>
  <c r="V653" i="2"/>
  <c r="AG652" i="2"/>
  <c r="AH652" i="2"/>
  <c r="R652" i="2"/>
  <c r="S652" i="2" s="1"/>
  <c r="AI652" i="2" s="1" a="1"/>
  <c r="AI652" i="2" s="1"/>
  <c r="AA652" i="2"/>
  <c r="AB652" i="2"/>
  <c r="AD652" i="2"/>
  <c r="AE652" i="2" s="1"/>
  <c r="X652" i="2"/>
  <c r="Y652" i="2"/>
  <c r="U652" i="2"/>
  <c r="V652" i="2"/>
  <c r="AG651" i="2"/>
  <c r="AH651" i="2"/>
  <c r="R651" i="2"/>
  <c r="S651" i="2" s="1"/>
  <c r="AI651" i="2" s="1" a="1"/>
  <c r="AI651" i="2" s="1"/>
  <c r="U651" i="2"/>
  <c r="V651" i="2"/>
  <c r="X651" i="2"/>
  <c r="Y651" i="2" s="1"/>
  <c r="AA651" i="2"/>
  <c r="AB651" i="2"/>
  <c r="AD651" i="2"/>
  <c r="AE651" i="2" s="1"/>
  <c r="AA650" i="2"/>
  <c r="AB650" i="2"/>
  <c r="AD650" i="2"/>
  <c r="AE650" i="2"/>
  <c r="AG650" i="2"/>
  <c r="AH650" i="2"/>
  <c r="X650" i="2"/>
  <c r="Y650" i="2"/>
  <c r="AD434" i="2"/>
  <c r="AE434" i="2"/>
  <c r="AG434" i="2"/>
  <c r="AH434" i="2"/>
  <c r="AA434" i="2"/>
  <c r="AB434" i="2" s="1"/>
  <c r="X434" i="2"/>
  <c r="Y434" i="2"/>
  <c r="U434" i="2"/>
  <c r="V434" i="2" s="1"/>
  <c r="R434" i="2"/>
  <c r="S434" i="2"/>
  <c r="AG432" i="2"/>
  <c r="AH432" i="2" s="1"/>
  <c r="AD432" i="2"/>
  <c r="AE432" i="2"/>
  <c r="AA432" i="2"/>
  <c r="AB432" i="2"/>
  <c r="X432" i="2"/>
  <c r="Y432" i="2"/>
  <c r="U432" i="2"/>
  <c r="V432" i="2" s="1"/>
  <c r="R432" i="2"/>
  <c r="S432" i="2"/>
  <c r="R431" i="2"/>
  <c r="S431" i="2"/>
  <c r="AG431" i="2"/>
  <c r="AH431" i="2" s="1"/>
  <c r="AD431" i="2"/>
  <c r="AE431" i="2" s="1"/>
  <c r="AA431" i="2"/>
  <c r="AB431" i="2" s="1"/>
  <c r="X431" i="2"/>
  <c r="Y431" i="2"/>
  <c r="U431" i="2"/>
  <c r="V431" i="2" s="1"/>
  <c r="AI431" i="2" s="1" a="1"/>
  <c r="AI431" i="2" s="1"/>
  <c r="X430" i="2"/>
  <c r="Y430" i="2" s="1"/>
  <c r="U430" i="2"/>
  <c r="V430" i="2" s="1"/>
  <c r="R430" i="2"/>
  <c r="S430" i="2" s="1"/>
  <c r="AI430" i="2" s="1" a="1"/>
  <c r="AI430" i="2" s="1"/>
  <c r="AG430" i="2"/>
  <c r="AH430" i="2"/>
  <c r="AD430" i="2"/>
  <c r="AE430" i="2"/>
  <c r="AA430" i="2"/>
  <c r="AB430" i="2" s="1"/>
  <c r="AD429" i="2"/>
  <c r="AE429" i="2"/>
  <c r="U429" i="2"/>
  <c r="V429" i="2" s="1"/>
  <c r="AA429" i="2"/>
  <c r="AB429" i="2" s="1"/>
  <c r="X429" i="2"/>
  <c r="Y429" i="2"/>
  <c r="R429" i="2"/>
  <c r="S429" i="2" s="1"/>
  <c r="AI429" i="2" s="1" a="1"/>
  <c r="AI429" i="2" s="1"/>
  <c r="AG429" i="2"/>
  <c r="AH429" i="2" s="1"/>
  <c r="AD428" i="2"/>
  <c r="AE428" i="2" s="1"/>
  <c r="AG428" i="2"/>
  <c r="AH428" i="2" s="1"/>
  <c r="R428" i="2"/>
  <c r="S428" i="2"/>
  <c r="AA428" i="2"/>
  <c r="AB428" i="2"/>
  <c r="U428" i="2"/>
  <c r="V428" i="2"/>
  <c r="X428" i="2"/>
  <c r="Y428" i="2" s="1"/>
  <c r="X427" i="2"/>
  <c r="Y427" i="2" s="1"/>
  <c r="AD427" i="2"/>
  <c r="AE427" i="2" s="1"/>
  <c r="U427" i="2"/>
  <c r="V427" i="2"/>
  <c r="AG427" i="2"/>
  <c r="AH427" i="2"/>
  <c r="R427" i="2"/>
  <c r="S427" i="2" s="1"/>
  <c r="AI427" i="2" s="1" a="1"/>
  <c r="AI427" i="2" s="1"/>
  <c r="AA427" i="2"/>
  <c r="AB427" i="2"/>
  <c r="R426" i="2"/>
  <c r="S426" i="2"/>
  <c r="U426" i="2"/>
  <c r="V426" i="2"/>
  <c r="AG426" i="2"/>
  <c r="AH426" i="2" s="1"/>
  <c r="AD426" i="2"/>
  <c r="AE426" i="2" s="1"/>
  <c r="AA426" i="2"/>
  <c r="AB426" i="2"/>
  <c r="X426" i="2"/>
  <c r="Y426" i="2" s="1"/>
  <c r="AI426" i="2" s="1" a="1"/>
  <c r="AI426" i="2" s="1"/>
  <c r="AA425" i="2"/>
  <c r="AB425" i="2"/>
  <c r="AG425" i="2"/>
  <c r="AH425" i="2"/>
  <c r="AD425" i="2"/>
  <c r="AE425" i="2"/>
  <c r="X425" i="2"/>
  <c r="Y425" i="2"/>
  <c r="U425" i="2"/>
  <c r="V425" i="2"/>
  <c r="R425" i="2"/>
  <c r="S425" i="2"/>
  <c r="U424" i="2"/>
  <c r="V424" i="2"/>
  <c r="AD424" i="2"/>
  <c r="AE424" i="2" s="1"/>
  <c r="X424" i="2"/>
  <c r="Y424" i="2"/>
  <c r="AG424" i="2"/>
  <c r="AH424" i="2"/>
  <c r="R424" i="2"/>
  <c r="S424" i="2" s="1"/>
  <c r="AI424" i="2" s="1" a="1"/>
  <c r="AI424" i="2" s="1"/>
  <c r="AA424" i="2"/>
  <c r="AB424" i="2"/>
  <c r="AA423" i="2"/>
  <c r="AB423" i="2" s="1"/>
  <c r="AG423" i="2"/>
  <c r="AH423" i="2" s="1"/>
  <c r="R423" i="2"/>
  <c r="S423" i="2"/>
  <c r="U423" i="2"/>
  <c r="V423" i="2"/>
  <c r="X423" i="2"/>
  <c r="Y423" i="2"/>
  <c r="AD423" i="2"/>
  <c r="AE423" i="2" s="1"/>
  <c r="AG422" i="2"/>
  <c r="AH422" i="2"/>
  <c r="R422" i="2"/>
  <c r="S422" i="2"/>
  <c r="U422" i="2"/>
  <c r="V422" i="2"/>
  <c r="X422" i="2"/>
  <c r="Y422" i="2" s="1"/>
  <c r="AI422" i="2" s="1" a="1"/>
  <c r="AI422" i="2" s="1"/>
  <c r="AD422" i="2"/>
  <c r="AE422" i="2"/>
  <c r="AA422" i="2"/>
  <c r="AB422" i="2" s="1"/>
  <c r="AG421" i="2"/>
  <c r="AH421" i="2"/>
  <c r="AA421" i="2"/>
  <c r="AB421" i="2" s="1"/>
  <c r="AD421" i="2"/>
  <c r="AE421" i="2"/>
  <c r="R421" i="2"/>
  <c r="S421" i="2" s="1"/>
  <c r="AI421" i="2" s="1" a="1"/>
  <c r="AI421" i="2" s="1"/>
  <c r="X421" i="2"/>
  <c r="Y421" i="2" s="1"/>
  <c r="U421" i="2"/>
  <c r="V421" i="2"/>
  <c r="X420" i="2"/>
  <c r="Y420" i="2" s="1"/>
  <c r="AA420" i="2"/>
  <c r="AB420" i="2" s="1"/>
  <c r="AD420" i="2"/>
  <c r="AE420" i="2" s="1"/>
  <c r="R420" i="2"/>
  <c r="S420" i="2"/>
  <c r="AG420" i="2"/>
  <c r="AH420" i="2" s="1"/>
  <c r="U420" i="2"/>
  <c r="V420" i="2" s="1"/>
  <c r="AI420" i="2" s="1" a="1"/>
  <c r="AI420" i="2" s="1"/>
  <c r="R419" i="2"/>
  <c r="S419" i="2"/>
  <c r="AG419" i="2"/>
  <c r="AH419" i="2" s="1"/>
  <c r="AD419" i="2"/>
  <c r="AE419" i="2"/>
  <c r="AA419" i="2"/>
  <c r="AB419" i="2" s="1"/>
  <c r="X419" i="2"/>
  <c r="Y419" i="2"/>
  <c r="U419" i="2"/>
  <c r="V419" i="2" s="1"/>
  <c r="AI419" i="2" s="1" a="1"/>
  <c r="AI419" i="2" s="1"/>
  <c r="AG418" i="2"/>
  <c r="AH418" i="2" s="1"/>
  <c r="AD418" i="2"/>
  <c r="AE418" i="2" s="1"/>
  <c r="AA418" i="2"/>
  <c r="AB418" i="2"/>
  <c r="AA222" i="2"/>
  <c r="AB222" i="2" s="1"/>
  <c r="AD222" i="2"/>
  <c r="AE222" i="2" s="1"/>
  <c r="X222" i="2"/>
  <c r="Y222" i="2"/>
  <c r="U222" i="2"/>
  <c r="V222" i="2" s="1"/>
  <c r="R222" i="2"/>
  <c r="S222" i="2"/>
  <c r="AG221" i="2"/>
  <c r="AH221" i="2"/>
  <c r="AA221" i="2"/>
  <c r="AB221" i="2"/>
  <c r="X221" i="2"/>
  <c r="Y221" i="2"/>
  <c r="U221" i="2"/>
  <c r="V221" i="2" s="1"/>
  <c r="R221" i="2"/>
  <c r="S221" i="2"/>
  <c r="AD221" i="2"/>
  <c r="AE221" i="2"/>
  <c r="AG220" i="2"/>
  <c r="AH220" i="2" s="1"/>
  <c r="AA220" i="2"/>
  <c r="AB220" i="2"/>
  <c r="AD220" i="2"/>
  <c r="AE220" i="2"/>
  <c r="X220" i="2"/>
  <c r="Y220" i="2"/>
  <c r="U220" i="2"/>
  <c r="V220" i="2"/>
  <c r="R220" i="2"/>
  <c r="S220" i="2"/>
  <c r="AA219" i="2"/>
  <c r="AB219" i="2"/>
  <c r="AG219" i="2"/>
  <c r="AH219" i="2"/>
  <c r="AD219" i="2"/>
  <c r="AE219" i="2"/>
  <c r="X219" i="2"/>
  <c r="Y219" i="2"/>
  <c r="U219" i="2"/>
  <c r="V219" i="2" s="1"/>
  <c r="R219" i="2"/>
  <c r="S219" i="2" s="1"/>
  <c r="AG218" i="2"/>
  <c r="AH218" i="2"/>
  <c r="AA218" i="2"/>
  <c r="AB218" i="2" s="1"/>
  <c r="X218" i="2"/>
  <c r="Y218" i="2" s="1"/>
  <c r="AD218" i="2"/>
  <c r="AE218" i="2"/>
  <c r="U218" i="2"/>
  <c r="V218" i="2" s="1"/>
  <c r="R218" i="2"/>
  <c r="S218" i="2"/>
  <c r="AD217" i="2"/>
  <c r="AE217" i="2"/>
  <c r="AA217" i="2"/>
  <c r="AB217" i="2" s="1"/>
  <c r="AG217" i="2"/>
  <c r="AH217" i="2"/>
  <c r="X217" i="2"/>
  <c r="Y217" i="2"/>
  <c r="U217" i="2"/>
  <c r="V217" i="2"/>
  <c r="R217" i="2"/>
  <c r="S217" i="2"/>
  <c r="X216" i="2"/>
  <c r="Y216" i="2"/>
  <c r="U216" i="2"/>
  <c r="V216" i="2" s="1"/>
  <c r="R216" i="2"/>
  <c r="S216" i="2"/>
  <c r="AD216" i="2"/>
  <c r="AE216" i="2" s="1"/>
  <c r="AA216" i="2"/>
  <c r="AB216" i="2" s="1"/>
  <c r="AG216" i="2"/>
  <c r="AH216" i="2"/>
  <c r="U215" i="2"/>
  <c r="V215" i="2"/>
  <c r="AA215" i="2"/>
  <c r="AB215" i="2" s="1"/>
  <c r="X215" i="2"/>
  <c r="Y215" i="2"/>
  <c r="AD215" i="2"/>
  <c r="AE215" i="2"/>
  <c r="AG215" i="2"/>
  <c r="AH215" i="2"/>
  <c r="R215" i="2"/>
  <c r="S215" i="2"/>
  <c r="AG214" i="2"/>
  <c r="AH214" i="2" s="1"/>
  <c r="AA214" i="2"/>
  <c r="AB214" i="2"/>
  <c r="AD214" i="2"/>
  <c r="AE214" i="2"/>
  <c r="R214" i="2"/>
  <c r="S214" i="2" s="1"/>
  <c r="U214" i="2"/>
  <c r="V214" i="2"/>
  <c r="X214" i="2"/>
  <c r="Y214" i="2" s="1"/>
  <c r="AG213" i="2"/>
  <c r="AH213" i="2" s="1"/>
  <c r="AD213" i="2"/>
  <c r="AE213" i="2" s="1"/>
  <c r="X213" i="2"/>
  <c r="Y213" i="2"/>
  <c r="U213" i="2"/>
  <c r="V213" i="2" s="1"/>
  <c r="R213" i="2"/>
  <c r="S213" i="2" s="1"/>
  <c r="AA213" i="2"/>
  <c r="AB213" i="2"/>
  <c r="X212" i="2"/>
  <c r="Y212" i="2"/>
  <c r="R212" i="2"/>
  <c r="S212" i="2"/>
  <c r="AD212" i="2"/>
  <c r="AE212" i="2" s="1"/>
  <c r="U212" i="2"/>
  <c r="V212" i="2" s="1"/>
  <c r="AI212" i="2" s="1" a="1"/>
  <c r="AI212" i="2" s="1"/>
  <c r="AG212" i="2"/>
  <c r="AH212" i="2" s="1"/>
  <c r="AA212" i="2"/>
  <c r="AB212" i="2"/>
  <c r="AA211" i="2"/>
  <c r="AB211" i="2" s="1"/>
  <c r="AG211" i="2"/>
  <c r="AH211" i="2"/>
  <c r="AD211" i="2"/>
  <c r="AE211" i="2" s="1"/>
  <c r="X211" i="2"/>
  <c r="Y211" i="2"/>
  <c r="U211" i="2"/>
  <c r="V211" i="2"/>
  <c r="R211" i="2"/>
  <c r="S211" i="2" s="1"/>
  <c r="X210" i="2"/>
  <c r="Y210" i="2"/>
  <c r="AD210" i="2"/>
  <c r="AE210" i="2" s="1"/>
  <c r="AA210" i="2"/>
  <c r="AB210" i="2"/>
  <c r="AG210" i="2"/>
  <c r="AH210" i="2"/>
  <c r="R210" i="2"/>
  <c r="S210" i="2" s="1"/>
  <c r="AI210" i="2" s="1" a="1"/>
  <c r="AI210" i="2" s="1"/>
  <c r="U210" i="2"/>
  <c r="V210" i="2"/>
  <c r="AA209" i="2"/>
  <c r="AB209" i="2"/>
  <c r="X209" i="2"/>
  <c r="Y209" i="2"/>
  <c r="U209" i="2"/>
  <c r="V209" i="2" s="1"/>
  <c r="R209" i="2"/>
  <c r="S209" i="2"/>
  <c r="AD209" i="2"/>
  <c r="AE209" i="2"/>
  <c r="AG209" i="2"/>
  <c r="AH209" i="2" s="1"/>
  <c r="R208" i="2"/>
  <c r="S208" i="2"/>
  <c r="U208" i="2"/>
  <c r="V208" i="2" s="1"/>
  <c r="X208" i="2"/>
  <c r="Y208" i="2" s="1"/>
  <c r="AD208" i="2"/>
  <c r="AE208" i="2" s="1"/>
  <c r="AA208" i="2"/>
  <c r="AB208" i="2"/>
  <c r="AG208" i="2"/>
  <c r="AH208" i="2" s="1"/>
  <c r="AG207" i="2"/>
  <c r="AH207" i="2" s="1"/>
  <c r="AD207" i="2"/>
  <c r="AE207" i="2" s="1"/>
  <c r="X207" i="2"/>
  <c r="Y207" i="2"/>
  <c r="U207" i="2"/>
  <c r="V207" i="2" s="1"/>
  <c r="R207" i="2"/>
  <c r="S207" i="2"/>
  <c r="AA207" i="2"/>
  <c r="AB207" i="2"/>
  <c r="U206" i="2"/>
  <c r="V206" i="2" s="1"/>
  <c r="AA206" i="2"/>
  <c r="AB206" i="2" s="1"/>
  <c r="AG206" i="2"/>
  <c r="AH206" i="2"/>
  <c r="AD206" i="2"/>
  <c r="AE206" i="2" s="1"/>
  <c r="X206" i="2"/>
  <c r="Y206" i="2" s="1"/>
  <c r="R206" i="2"/>
  <c r="S206" i="2"/>
  <c r="AG205" i="2"/>
  <c r="AH205" i="2" s="1"/>
  <c r="AA205" i="2"/>
  <c r="AB205" i="2"/>
  <c r="AD205" i="2"/>
  <c r="AE205" i="2" s="1"/>
  <c r="X205" i="2"/>
  <c r="Y205" i="2"/>
  <c r="U205" i="2"/>
  <c r="V205" i="2" s="1"/>
  <c r="R205" i="2"/>
  <c r="S205" i="2" s="1"/>
  <c r="AD204" i="2"/>
  <c r="AE204" i="2" s="1"/>
  <c r="X204" i="2"/>
  <c r="Y204" i="2" s="1"/>
  <c r="R204" i="2"/>
  <c r="S204" i="2" s="1"/>
  <c r="AI204" i="2" s="1" a="1"/>
  <c r="AI204" i="2" s="1"/>
  <c r="AG204" i="2"/>
  <c r="AH204" i="2" s="1"/>
  <c r="AA204" i="2"/>
  <c r="AB204" i="2"/>
  <c r="U204" i="2"/>
  <c r="V204" i="2"/>
  <c r="AG203" i="2"/>
  <c r="AH203" i="2" s="1"/>
  <c r="R203" i="2"/>
  <c r="S203" i="2" s="1"/>
  <c r="AI203" i="2" s="1" a="1"/>
  <c r="AI203" i="2" s="1"/>
  <c r="AA203" i="2"/>
  <c r="AB203" i="2"/>
  <c r="AD203" i="2"/>
  <c r="AE203" i="2" s="1"/>
  <c r="X203" i="2"/>
  <c r="Y203" i="2"/>
  <c r="U203" i="2"/>
  <c r="V203" i="2" s="1"/>
  <c r="AD202" i="2"/>
  <c r="AE202" i="2" s="1"/>
  <c r="AA202" i="2"/>
  <c r="AB202" i="2"/>
  <c r="AG202" i="2"/>
  <c r="AH202" i="2"/>
  <c r="U202" i="2"/>
  <c r="V202" i="2"/>
  <c r="R202" i="2"/>
  <c r="S202" i="2"/>
  <c r="X202" i="2"/>
  <c r="Y202" i="2"/>
  <c r="U201" i="2"/>
  <c r="V201" i="2"/>
  <c r="AG201" i="2"/>
  <c r="AH201" i="2" s="1"/>
  <c r="AA201" i="2"/>
  <c r="AB201" i="2"/>
  <c r="AD201" i="2"/>
  <c r="AE201" i="2" s="1"/>
  <c r="X201" i="2"/>
  <c r="Y201" i="2"/>
  <c r="R201" i="2"/>
  <c r="S201" i="2"/>
  <c r="AG200" i="2"/>
  <c r="AH200" i="2" s="1"/>
  <c r="AA200" i="2"/>
  <c r="AB200" i="2"/>
  <c r="AD200" i="2"/>
  <c r="AE200" i="2"/>
  <c r="X200" i="2"/>
  <c r="Y200" i="2"/>
  <c r="U200" i="2"/>
  <c r="V200" i="2"/>
  <c r="R200" i="2"/>
  <c r="S200" i="2" s="1"/>
  <c r="AA199" i="2"/>
  <c r="AB199" i="2"/>
  <c r="R199" i="2"/>
  <c r="S199" i="2"/>
  <c r="U199" i="2"/>
  <c r="V199" i="2" s="1"/>
  <c r="X199" i="2"/>
  <c r="Y199" i="2"/>
  <c r="AD199" i="2"/>
  <c r="AE199" i="2"/>
  <c r="AG199" i="2"/>
  <c r="AH199" i="2"/>
  <c r="AG198" i="2"/>
  <c r="AH198" i="2" s="1"/>
  <c r="U198" i="2"/>
  <c r="V198" i="2" s="1"/>
  <c r="R198" i="2"/>
  <c r="S198" i="2" s="1"/>
  <c r="X198" i="2"/>
  <c r="Y198" i="2"/>
  <c r="AD198" i="2"/>
  <c r="AE198" i="2" s="1"/>
  <c r="AA198" i="2"/>
  <c r="AB198" i="2"/>
  <c r="U197" i="2"/>
  <c r="V197" i="2" s="1"/>
  <c r="AD197" i="2"/>
  <c r="AE197" i="2" s="1"/>
  <c r="X197" i="2"/>
  <c r="Y197" i="2" s="1"/>
  <c r="AA197" i="2"/>
  <c r="AB197" i="2" s="1"/>
  <c r="AG197" i="2"/>
  <c r="AH197" i="2"/>
  <c r="R197" i="2"/>
  <c r="S197" i="2" s="1"/>
  <c r="U196" i="2"/>
  <c r="V196" i="2" s="1"/>
  <c r="AG196" i="2"/>
  <c r="AH196" i="2" s="1"/>
  <c r="AA196" i="2"/>
  <c r="AB196" i="2" s="1"/>
  <c r="AD196" i="2"/>
  <c r="AE196" i="2" s="1"/>
  <c r="X196" i="2"/>
  <c r="Y196" i="2"/>
  <c r="R196" i="2"/>
  <c r="S196" i="2" s="1"/>
  <c r="R195" i="2"/>
  <c r="S195" i="2" s="1"/>
  <c r="AA195" i="2"/>
  <c r="AB195" i="2" s="1"/>
  <c r="AG195" i="2"/>
  <c r="AH195" i="2" s="1"/>
  <c r="AD195" i="2"/>
  <c r="AE195" i="2"/>
  <c r="X195" i="2"/>
  <c r="Y195" i="2"/>
  <c r="U195" i="2"/>
  <c r="V195" i="2"/>
  <c r="R194" i="2"/>
  <c r="S194" i="2"/>
  <c r="U194" i="2"/>
  <c r="V194" i="2"/>
  <c r="AA194" i="2"/>
  <c r="AB194" i="2"/>
  <c r="AG194" i="2"/>
  <c r="AH194" i="2"/>
  <c r="AD194" i="2"/>
  <c r="AE194" i="2"/>
  <c r="X194" i="2"/>
  <c r="Y194" i="2" s="1"/>
  <c r="AI194" i="2" s="1" a="1"/>
  <c r="AI194" i="2" s="1"/>
  <c r="R193" i="2"/>
  <c r="S193" i="2"/>
  <c r="U193" i="2"/>
  <c r="V193" i="2" s="1"/>
  <c r="AI193" i="2" s="1" a="1"/>
  <c r="AI193" i="2" s="1"/>
  <c r="X193" i="2"/>
  <c r="Y193" i="2"/>
  <c r="AA193" i="2"/>
  <c r="AB193" i="2"/>
  <c r="AG193" i="2"/>
  <c r="AH193" i="2"/>
  <c r="AD193" i="2"/>
  <c r="AE193" i="2"/>
  <c r="AA192" i="2"/>
  <c r="AB192" i="2"/>
  <c r="AG192" i="2"/>
  <c r="AH192" i="2"/>
  <c r="R192" i="2"/>
  <c r="S192" i="2" s="1"/>
  <c r="U192" i="2"/>
  <c r="V192" i="2"/>
  <c r="X192" i="2"/>
  <c r="Y192" i="2" s="1"/>
  <c r="AD192" i="2"/>
  <c r="AE192" i="2"/>
  <c r="AA191" i="2"/>
  <c r="AB191" i="2"/>
  <c r="X191" i="2"/>
  <c r="Y191" i="2"/>
  <c r="AD191" i="2"/>
  <c r="AE191" i="2"/>
  <c r="R191" i="2"/>
  <c r="S191" i="2"/>
  <c r="U191" i="2"/>
  <c r="V191" i="2"/>
  <c r="AG191" i="2"/>
  <c r="AH191" i="2"/>
  <c r="AA190" i="2"/>
  <c r="AB190" i="2"/>
  <c r="R190" i="2"/>
  <c r="S190" i="2"/>
  <c r="U190" i="2"/>
  <c r="V190" i="2"/>
  <c r="X190" i="2"/>
  <c r="Y190" i="2"/>
  <c r="AD190" i="2"/>
  <c r="AE190" i="2"/>
  <c r="AG190" i="2"/>
  <c r="AH190" i="2"/>
  <c r="AG189" i="2"/>
  <c r="AH189" i="2"/>
  <c r="AA189" i="2"/>
  <c r="AB189" i="2"/>
  <c r="AD189" i="2"/>
  <c r="AE189" i="2"/>
  <c r="R189" i="2"/>
  <c r="S189" i="2"/>
  <c r="X189" i="2"/>
  <c r="Y189" i="2"/>
  <c r="U189" i="2"/>
  <c r="V189" i="2"/>
  <c r="U188" i="2"/>
  <c r="V188" i="2"/>
  <c r="X188" i="2"/>
  <c r="Y188" i="2"/>
  <c r="AD188" i="2"/>
  <c r="AE188" i="2"/>
  <c r="AA188" i="2"/>
  <c r="AB188" i="2"/>
  <c r="AG188" i="2"/>
  <c r="AH188" i="2"/>
  <c r="R188" i="2"/>
  <c r="S188" i="2"/>
  <c r="AG187" i="2"/>
  <c r="AH187" i="2"/>
  <c r="AA187" i="2"/>
  <c r="AB187" i="2"/>
  <c r="AD187" i="2"/>
  <c r="AE187" i="2"/>
  <c r="X187" i="2"/>
  <c r="Y187" i="2"/>
  <c r="U187" i="2"/>
  <c r="V187" i="2"/>
  <c r="R187" i="2"/>
  <c r="S187" i="2"/>
  <c r="R186" i="2"/>
  <c r="S186" i="2"/>
  <c r="AA186" i="2"/>
  <c r="AB186" i="2"/>
  <c r="AG186" i="2"/>
  <c r="AH186" i="2"/>
  <c r="AD186" i="2"/>
  <c r="AE186" i="2"/>
  <c r="X186" i="2"/>
  <c r="Y186" i="2"/>
  <c r="U186" i="2"/>
  <c r="V186" i="2"/>
  <c r="AG185" i="2"/>
  <c r="AH185" i="2"/>
  <c r="AA185" i="2"/>
  <c r="AB185" i="2"/>
  <c r="AD185" i="2"/>
  <c r="AE185" i="2"/>
  <c r="X185" i="2"/>
  <c r="Y185" i="2"/>
  <c r="R185" i="2"/>
  <c r="S185" i="2"/>
  <c r="U185" i="2"/>
  <c r="V185" i="2"/>
  <c r="AD184" i="2"/>
  <c r="AE184" i="2"/>
  <c r="AG184" i="2"/>
  <c r="AH184" i="2"/>
  <c r="AA184" i="2"/>
  <c r="AB184" i="2"/>
  <c r="X184" i="2"/>
  <c r="Y184" i="2"/>
  <c r="U184" i="2"/>
  <c r="V184" i="2"/>
  <c r="R184" i="2"/>
  <c r="S184" i="2"/>
  <c r="R183" i="2"/>
  <c r="S183" i="2"/>
  <c r="U183" i="2"/>
  <c r="V183" i="2"/>
  <c r="X183" i="2"/>
  <c r="Y183" i="2"/>
  <c r="AD183" i="2"/>
  <c r="AE183" i="2"/>
  <c r="AA183" i="2"/>
  <c r="AB183" i="2"/>
  <c r="AG183" i="2"/>
  <c r="AH183" i="2"/>
  <c r="R182" i="2"/>
  <c r="S182" i="2"/>
  <c r="U182" i="2"/>
  <c r="V182" i="2"/>
  <c r="X182" i="2"/>
  <c r="Y182" i="2"/>
  <c r="AD182" i="2"/>
  <c r="AE182" i="2"/>
  <c r="AA182" i="2"/>
  <c r="AB182" i="2"/>
  <c r="AG182" i="2"/>
  <c r="AH182" i="2"/>
  <c r="X181" i="2"/>
  <c r="Y181" i="2"/>
  <c r="AA181" i="2"/>
  <c r="AB181" i="2"/>
  <c r="AD181" i="2"/>
  <c r="AE181" i="2"/>
  <c r="AG181" i="2"/>
  <c r="AH181" i="2"/>
  <c r="R181" i="2"/>
  <c r="S181" i="2"/>
  <c r="U181" i="2"/>
  <c r="V181" i="2"/>
  <c r="AG180" i="2"/>
  <c r="AH180" i="2"/>
  <c r="R180" i="2"/>
  <c r="S180" i="2"/>
  <c r="U180" i="2"/>
  <c r="V180" i="2"/>
  <c r="X180" i="2"/>
  <c r="Y180" i="2"/>
  <c r="AD180" i="2"/>
  <c r="AE180" i="2"/>
  <c r="AA180" i="2"/>
  <c r="AB180" i="2"/>
  <c r="U179" i="2"/>
  <c r="V179" i="2"/>
  <c r="AD179" i="2"/>
  <c r="AE179" i="2"/>
  <c r="R179" i="2"/>
  <c r="S179" i="2"/>
  <c r="AA179" i="2"/>
  <c r="AB179" i="2"/>
  <c r="AG179" i="2"/>
  <c r="AH179" i="2"/>
  <c r="X179" i="2"/>
  <c r="Y179" i="2"/>
  <c r="R178" i="2"/>
  <c r="S178" i="2"/>
  <c r="AG178" i="2"/>
  <c r="AH178" i="2"/>
  <c r="AA178" i="2"/>
  <c r="AB178" i="2"/>
  <c r="AD178" i="2"/>
  <c r="AE178" i="2"/>
  <c r="X178" i="2"/>
  <c r="Y178" i="2"/>
  <c r="U178" i="2"/>
  <c r="V178" i="2"/>
  <c r="R177" i="2"/>
  <c r="S177" i="2"/>
  <c r="U177" i="2"/>
  <c r="V177" i="2"/>
  <c r="X177" i="2"/>
  <c r="Y177" i="2"/>
  <c r="AD177" i="2"/>
  <c r="AE177" i="2"/>
  <c r="AG177" i="2"/>
  <c r="AH177" i="2"/>
  <c r="AA177" i="2"/>
  <c r="AB177" i="2"/>
  <c r="AD176" i="2"/>
  <c r="AE176" i="2"/>
  <c r="AA176" i="2"/>
  <c r="AB176" i="2"/>
  <c r="AG176" i="2"/>
  <c r="AH176" i="2"/>
  <c r="U176" i="2"/>
  <c r="V176" i="2"/>
  <c r="R176" i="2"/>
  <c r="S176" i="2"/>
  <c r="X176" i="2"/>
  <c r="Y176" i="2"/>
  <c r="AG175" i="2"/>
  <c r="AH175" i="2"/>
  <c r="AA175" i="2"/>
  <c r="AB175" i="2"/>
  <c r="AD175" i="2"/>
  <c r="AE175" i="2"/>
  <c r="X175" i="2"/>
  <c r="Y175" i="2"/>
  <c r="U175" i="2"/>
  <c r="V175" i="2"/>
  <c r="R175" i="2"/>
  <c r="S175" i="2"/>
  <c r="AG174" i="2"/>
  <c r="AH174" i="2"/>
  <c r="AD174" i="2"/>
  <c r="AE174" i="2"/>
  <c r="X174" i="2"/>
  <c r="Y174" i="2"/>
  <c r="U174" i="2"/>
  <c r="V174" i="2"/>
  <c r="R174" i="2"/>
  <c r="S174" i="2"/>
  <c r="AA174" i="2"/>
  <c r="AB174" i="2"/>
  <c r="U173" i="2"/>
  <c r="V173" i="2"/>
  <c r="AD173" i="2"/>
  <c r="AE173" i="2"/>
  <c r="AA173" i="2"/>
  <c r="AB173" i="2"/>
  <c r="AG173" i="2"/>
  <c r="AH173" i="2"/>
  <c r="X173" i="2"/>
  <c r="Y173" i="2"/>
  <c r="R173" i="2"/>
  <c r="S173" i="2"/>
  <c r="R172" i="2"/>
  <c r="S172" i="2"/>
  <c r="U172" i="2"/>
  <c r="V172" i="2"/>
  <c r="AD172" i="2"/>
  <c r="AE172" i="2"/>
  <c r="AG172" i="2"/>
  <c r="AH172" i="2"/>
  <c r="AA172" i="2"/>
  <c r="AB172" i="2"/>
  <c r="X172" i="2"/>
  <c r="Y172" i="2"/>
  <c r="AD171" i="2"/>
  <c r="AE171" i="2"/>
  <c r="AG171" i="2"/>
  <c r="AH171" i="2"/>
  <c r="AA171" i="2"/>
  <c r="AB171" i="2"/>
  <c r="R171" i="2"/>
  <c r="S171" i="2"/>
  <c r="U171" i="2"/>
  <c r="V171" i="2"/>
  <c r="X171" i="2"/>
  <c r="Y171" i="2"/>
  <c r="X85" i="2"/>
  <c r="Y85" i="2"/>
  <c r="U85" i="2"/>
  <c r="V85" i="2"/>
  <c r="R85" i="2"/>
  <c r="S85" i="2"/>
  <c r="AD85" i="2"/>
  <c r="AE85" i="2"/>
  <c r="AG84" i="2"/>
  <c r="AH84" i="2"/>
  <c r="AA84" i="2"/>
  <c r="AB84" i="2"/>
  <c r="AD84" i="2"/>
  <c r="AE84" i="2"/>
  <c r="X84" i="2"/>
  <c r="Y84" i="2"/>
  <c r="U84" i="2"/>
  <c r="V84" i="2"/>
  <c r="R84" i="2"/>
  <c r="S84" i="2"/>
  <c r="AG83" i="2"/>
  <c r="AH83" i="2"/>
  <c r="AD83" i="2"/>
  <c r="AE83" i="2"/>
  <c r="X83" i="2"/>
  <c r="Y83" i="2"/>
  <c r="U83" i="2"/>
  <c r="V83" i="2"/>
  <c r="R83" i="2"/>
  <c r="S83" i="2"/>
  <c r="AA83" i="2"/>
  <c r="AB83" i="2"/>
  <c r="AG82" i="2"/>
  <c r="AH82" i="2"/>
  <c r="AA82" i="2"/>
  <c r="AB82" i="2"/>
  <c r="AD82" i="2"/>
  <c r="AE82" i="2"/>
  <c r="X82" i="2"/>
  <c r="Y82" i="2"/>
  <c r="U82" i="2"/>
  <c r="V82" i="2"/>
  <c r="R82" i="2"/>
  <c r="S82" i="2" s="1"/>
  <c r="U81" i="2"/>
  <c r="V81" i="2"/>
  <c r="AG81" i="2"/>
  <c r="AH81" i="2" s="1"/>
  <c r="AA81" i="2"/>
  <c r="AB81" i="2"/>
  <c r="AD81" i="2"/>
  <c r="AE81" i="2"/>
  <c r="X81" i="2"/>
  <c r="Y81" i="2"/>
  <c r="R81" i="2"/>
  <c r="S81" i="2"/>
  <c r="R80" i="2"/>
  <c r="S80" i="2" s="1"/>
  <c r="AI80" i="2" s="1" a="1"/>
  <c r="AI80" i="2" s="1"/>
  <c r="U80" i="2"/>
  <c r="V80" i="2" s="1"/>
  <c r="X80" i="2"/>
  <c r="Y80" i="2"/>
  <c r="AD80" i="2"/>
  <c r="AE80" i="2" s="1"/>
  <c r="AA80" i="2"/>
  <c r="AB80" i="2" s="1"/>
  <c r="AG80" i="2"/>
  <c r="AH80" i="2"/>
  <c r="AA79" i="2"/>
  <c r="AB79" i="2" s="1"/>
  <c r="R79" i="2"/>
  <c r="S79" i="2"/>
  <c r="U79" i="2"/>
  <c r="V79" i="2" s="1"/>
  <c r="AI79" i="2" s="1" a="1"/>
  <c r="AI79" i="2" s="1"/>
  <c r="X79" i="2"/>
  <c r="Y79" i="2"/>
  <c r="AD79" i="2"/>
  <c r="AE79" i="2"/>
  <c r="AG79" i="2"/>
  <c r="AH79" i="2" s="1"/>
  <c r="AG78" i="2"/>
  <c r="AH78" i="2" s="1"/>
  <c r="R78" i="2"/>
  <c r="S78" i="2"/>
  <c r="U78" i="2"/>
  <c r="V78" i="2"/>
  <c r="X78" i="2"/>
  <c r="Y78" i="2"/>
  <c r="AD78" i="2"/>
  <c r="AE78" i="2" s="1"/>
  <c r="AI78" i="2" s="1" a="1"/>
  <c r="AI78" i="2" s="1"/>
  <c r="AA78" i="2"/>
  <c r="AB78" i="2"/>
  <c r="AD77" i="2"/>
  <c r="AE77" i="2" s="1"/>
  <c r="X77" i="2"/>
  <c r="Y77" i="2"/>
  <c r="R77" i="2"/>
  <c r="S77" i="2" s="1"/>
  <c r="AI77" i="2" s="1" a="1"/>
  <c r="AI77" i="2" s="1"/>
  <c r="U77" i="2"/>
  <c r="V77" i="2"/>
  <c r="AA77" i="2"/>
  <c r="AB77" i="2" s="1"/>
  <c r="AG77" i="2"/>
  <c r="AH77" i="2"/>
  <c r="AD76" i="2"/>
  <c r="AE76" i="2" s="1"/>
  <c r="U76" i="2"/>
  <c r="V76" i="2" s="1"/>
  <c r="R76" i="2"/>
  <c r="S76" i="2" s="1"/>
  <c r="AI76" i="2" s="1" a="1"/>
  <c r="AI76" i="2" s="1"/>
  <c r="X76" i="2"/>
  <c r="Y76" i="2" s="1"/>
  <c r="AA76" i="2"/>
  <c r="AB76" i="2" s="1"/>
  <c r="AG76" i="2"/>
  <c r="AH76" i="2"/>
  <c r="X75" i="2"/>
  <c r="Y75" i="2" s="1"/>
  <c r="R75" i="2"/>
  <c r="S75" i="2"/>
  <c r="U75" i="2"/>
  <c r="V75" i="2"/>
  <c r="AD75" i="2"/>
  <c r="AE75" i="2" s="1"/>
  <c r="AA75" i="2"/>
  <c r="AB75" i="2"/>
  <c r="AG75" i="2"/>
  <c r="AH75" i="2" s="1"/>
  <c r="R74" i="2"/>
  <c r="S74" i="2"/>
  <c r="U74" i="2"/>
  <c r="V74" i="2"/>
  <c r="AD74" i="2"/>
  <c r="AE74" i="2"/>
  <c r="AA74" i="2"/>
  <c r="AB74" i="2"/>
  <c r="AG74" i="2"/>
  <c r="AH74" i="2" s="1"/>
  <c r="X74" i="2"/>
  <c r="Y74" i="2" s="1"/>
  <c r="AI74" i="2" s="1" a="1"/>
  <c r="AI74" i="2" s="1"/>
  <c r="R73" i="2"/>
  <c r="S73" i="2" s="1"/>
  <c r="AI73" i="2" s="1" a="1"/>
  <c r="AI73" i="2" s="1"/>
  <c r="U73" i="2"/>
  <c r="V73" i="2"/>
  <c r="X73" i="2"/>
  <c r="Y73" i="2"/>
  <c r="AA73" i="2"/>
  <c r="AB73" i="2"/>
  <c r="AG73" i="2"/>
  <c r="AH73" i="2"/>
  <c r="AD73" i="2"/>
  <c r="AE73" i="2"/>
  <c r="R72" i="2"/>
  <c r="S72" i="2"/>
  <c r="X72" i="2"/>
  <c r="Y72" i="2"/>
  <c r="AG72" i="2"/>
  <c r="AH72" i="2" s="1"/>
  <c r="AD72" i="2"/>
  <c r="AE72" i="2" s="1"/>
  <c r="AA72" i="2"/>
  <c r="AB72" i="2" s="1"/>
  <c r="U72" i="2"/>
  <c r="V72" i="2"/>
  <c r="AD71" i="2"/>
  <c r="AE71" i="2"/>
  <c r="AG71" i="2"/>
  <c r="AH71" i="2"/>
  <c r="AA71" i="2"/>
  <c r="AB71" i="2" s="1"/>
  <c r="R1349" i="2"/>
  <c r="S1349" i="2"/>
  <c r="U1349" i="2"/>
  <c r="V1349" i="2"/>
  <c r="X1349" i="2"/>
  <c r="Y1349" i="2"/>
  <c r="AA1349" i="2"/>
  <c r="AB1349" i="2" s="1"/>
  <c r="AD1349" i="2"/>
  <c r="AE1349" i="2"/>
  <c r="AG1349" i="2"/>
  <c r="AH1349" i="2" s="1"/>
  <c r="U1348" i="2"/>
  <c r="V1348" i="2"/>
  <c r="X1348" i="2"/>
  <c r="Y1348" i="2"/>
  <c r="AA1348" i="2"/>
  <c r="AB1348" i="2"/>
  <c r="AG1348" i="2"/>
  <c r="AH1348" i="2" s="1"/>
  <c r="AD1348" i="2"/>
  <c r="AE1348" i="2"/>
  <c r="R1348" i="2"/>
  <c r="S1348" i="2" s="1"/>
  <c r="R1347" i="2"/>
  <c r="S1347" i="2" s="1"/>
  <c r="AI1347" i="2" s="1" a="1"/>
  <c r="AI1347" i="2" s="1"/>
  <c r="U1347" i="2"/>
  <c r="V1347" i="2" s="1"/>
  <c r="X1347" i="2"/>
  <c r="Y1347" i="2" s="1"/>
  <c r="AA1347" i="2"/>
  <c r="AB1347" i="2" s="1"/>
  <c r="AG1347" i="2"/>
  <c r="AH1347" i="2" s="1"/>
  <c r="AD1347" i="2"/>
  <c r="AE1347" i="2"/>
  <c r="U1346" i="2"/>
  <c r="V1346" i="2" s="1"/>
  <c r="X1346" i="2"/>
  <c r="Y1346" i="2" s="1"/>
  <c r="AA1346" i="2"/>
  <c r="AB1346" i="2" s="1"/>
  <c r="AD1346" i="2"/>
  <c r="AE1346" i="2"/>
  <c r="AG1346" i="2"/>
  <c r="AH1346" i="2" s="1"/>
  <c r="R1346" i="2"/>
  <c r="S1346" i="2" s="1"/>
  <c r="R1345" i="2"/>
  <c r="S1345" i="2"/>
  <c r="U1345" i="2"/>
  <c r="V1345" i="2"/>
  <c r="X1345" i="2"/>
  <c r="Y1345" i="2"/>
  <c r="AA1345" i="2"/>
  <c r="AB1345" i="2"/>
  <c r="AD1345" i="2"/>
  <c r="AE1345" i="2" s="1"/>
  <c r="AI1345" i="2" s="1" a="1"/>
  <c r="AI1345" i="2" s="1"/>
  <c r="AG1345" i="2"/>
  <c r="AH1345" i="2" s="1"/>
  <c r="U1344" i="2"/>
  <c r="V1344" i="2" s="1"/>
  <c r="X1344" i="2"/>
  <c r="Y1344" i="2"/>
  <c r="AA1344" i="2"/>
  <c r="AB1344" i="2"/>
  <c r="AD1344" i="2"/>
  <c r="AE1344" i="2"/>
  <c r="AG1344" i="2"/>
  <c r="AH1344" i="2"/>
  <c r="R1344" i="2"/>
  <c r="S1344" i="2"/>
  <c r="R1343" i="2"/>
  <c r="S1343" i="2"/>
  <c r="U1343" i="2"/>
  <c r="V1343" i="2" s="1"/>
  <c r="AI1343" i="2" s="1" a="1"/>
  <c r="AI1343" i="2" s="1"/>
  <c r="X1343" i="2"/>
  <c r="Y1343" i="2"/>
  <c r="AA1343" i="2"/>
  <c r="AB1343" i="2"/>
  <c r="AG1343" i="2"/>
  <c r="AH1343" i="2" s="1"/>
  <c r="AD1343" i="2"/>
  <c r="AE1343" i="2" s="1"/>
  <c r="U1342" i="2"/>
  <c r="V1342" i="2"/>
  <c r="X1342" i="2"/>
  <c r="Y1342" i="2" s="1"/>
  <c r="AA1342" i="2"/>
  <c r="AB1342" i="2"/>
  <c r="AD1342" i="2"/>
  <c r="AE1342" i="2"/>
  <c r="AG1342" i="2"/>
  <c r="AH1342" i="2" s="1"/>
  <c r="R1342" i="2"/>
  <c r="S1342" i="2"/>
  <c r="R1341" i="2"/>
  <c r="S1341" i="2"/>
  <c r="U1341" i="2"/>
  <c r="V1341" i="2" s="1"/>
  <c r="X1341" i="2"/>
  <c r="Y1341" i="2" s="1"/>
  <c r="AA1341" i="2"/>
  <c r="AB1341" i="2" s="1"/>
  <c r="AG1341" i="2"/>
  <c r="AH1341" i="2" s="1"/>
  <c r="AD1341" i="2"/>
  <c r="AE1341" i="2"/>
  <c r="U1340" i="2"/>
  <c r="V1340" i="2" s="1"/>
  <c r="X1340" i="2"/>
  <c r="Y1340" i="2"/>
  <c r="AA1340" i="2"/>
  <c r="AB1340" i="2" s="1"/>
  <c r="AD1340" i="2"/>
  <c r="AE1340" i="2" s="1"/>
  <c r="AG1340" i="2"/>
  <c r="AH1340" i="2"/>
  <c r="R1340" i="2"/>
  <c r="S1340" i="2" s="1"/>
  <c r="AI1340" i="2" s="1" a="1"/>
  <c r="AI1340" i="2" s="1"/>
  <c r="R1339" i="2"/>
  <c r="S1339" i="2"/>
  <c r="U1339" i="2"/>
  <c r="V1339" i="2" s="1"/>
  <c r="X1339" i="2"/>
  <c r="Y1339" i="2" s="1"/>
  <c r="AA1339" i="2"/>
  <c r="AB1339" i="2"/>
  <c r="AG1339" i="2"/>
  <c r="AH1339" i="2" s="1"/>
  <c r="AD1339" i="2"/>
  <c r="AE1339" i="2"/>
  <c r="U1338" i="2"/>
  <c r="V1338" i="2"/>
  <c r="X1338" i="2"/>
  <c r="Y1338" i="2" s="1"/>
  <c r="AA1338" i="2"/>
  <c r="AB1338" i="2" s="1"/>
  <c r="AD1338" i="2"/>
  <c r="AE1338" i="2"/>
  <c r="AG1338" i="2"/>
  <c r="AH1338" i="2"/>
  <c r="R1338" i="2"/>
  <c r="S1338" i="2" s="1"/>
  <c r="U1337" i="2"/>
  <c r="V1337" i="2"/>
  <c r="X1337" i="2"/>
  <c r="Y1337" i="2"/>
  <c r="AA1337" i="2"/>
  <c r="AB1337" i="2" s="1"/>
  <c r="AG1337" i="2"/>
  <c r="AH1337" i="2" s="1"/>
  <c r="AD1337" i="2"/>
  <c r="AE1337" i="2"/>
  <c r="R1337" i="2"/>
  <c r="S1337" i="2"/>
  <c r="AI1337" i="2" s="1" a="1"/>
  <c r="AI1337" i="2" s="1"/>
  <c r="R1336" i="2"/>
  <c r="S1336" i="2" s="1"/>
  <c r="U1336" i="2"/>
  <c r="V1336" i="2" s="1"/>
  <c r="X1336" i="2"/>
  <c r="Y1336" i="2" s="1"/>
  <c r="AA1336" i="2"/>
  <c r="AB1336" i="2" s="1"/>
  <c r="AD1336" i="2"/>
  <c r="AE1336" i="2" s="1"/>
  <c r="AG1336" i="2"/>
  <c r="AH1336" i="2"/>
  <c r="U1335" i="2"/>
  <c r="V1335" i="2" s="1"/>
  <c r="X1335" i="2"/>
  <c r="Y1335" i="2" s="1"/>
  <c r="AA1335" i="2"/>
  <c r="AB1335" i="2" s="1"/>
  <c r="AD1335" i="2"/>
  <c r="AE1335" i="2" s="1"/>
  <c r="AG1335" i="2"/>
  <c r="AH1335" i="2" s="1"/>
  <c r="R1335" i="2"/>
  <c r="S1335" i="2" s="1"/>
  <c r="AI1335" i="2" s="1" a="1"/>
  <c r="AI1335" i="2" s="1"/>
  <c r="R1334" i="2"/>
  <c r="S1334" i="2" s="1"/>
  <c r="U1334" i="2"/>
  <c r="V1334" i="2" s="1"/>
  <c r="X1334" i="2"/>
  <c r="Y1334" i="2"/>
  <c r="AA1334" i="2"/>
  <c r="AB1334" i="2" s="1"/>
  <c r="AD1334" i="2"/>
  <c r="AE1334" i="2"/>
  <c r="AG1334" i="2"/>
  <c r="AH1334" i="2" s="1"/>
  <c r="U1333" i="2"/>
  <c r="V1333" i="2" s="1"/>
  <c r="AJ1333" i="2" s="1" a="1"/>
  <c r="AJ1333" i="2" s="1"/>
  <c r="X1333" i="2"/>
  <c r="Y1333" i="2"/>
  <c r="AA1333" i="2"/>
  <c r="AB1333" i="2"/>
  <c r="AG1333" i="2"/>
  <c r="AH1333" i="2" s="1"/>
  <c r="AD1333" i="2"/>
  <c r="AE1333" i="2"/>
  <c r="R1333" i="2"/>
  <c r="S1333" i="2"/>
  <c r="AI1333" i="2" s="1" a="1"/>
  <c r="AI1333" i="2" s="1"/>
  <c r="R1332" i="2"/>
  <c r="S1332" i="2"/>
  <c r="U1332" i="2"/>
  <c r="V1332" i="2"/>
  <c r="X1332" i="2"/>
  <c r="Y1332" i="2" s="1"/>
  <c r="AA1332" i="2"/>
  <c r="AB1332" i="2"/>
  <c r="AG1332" i="2"/>
  <c r="AH1332" i="2" s="1"/>
  <c r="AD1332" i="2"/>
  <c r="AE1332" i="2"/>
  <c r="U1331" i="2"/>
  <c r="V1331" i="2" s="1"/>
  <c r="X1331" i="2"/>
  <c r="Y1331" i="2" s="1"/>
  <c r="AA1331" i="2"/>
  <c r="AB1331" i="2" s="1"/>
  <c r="AG1331" i="2"/>
  <c r="AH1331" i="2" s="1"/>
  <c r="AD1331" i="2"/>
  <c r="AE1331" i="2" s="1"/>
  <c r="R1331" i="2"/>
  <c r="S1331" i="2" s="1"/>
  <c r="R1330" i="2"/>
  <c r="S1330" i="2"/>
  <c r="U1330" i="2"/>
  <c r="V1330" i="2" s="1"/>
  <c r="X1330" i="2"/>
  <c r="Y1330" i="2" s="1"/>
  <c r="AA1330" i="2"/>
  <c r="AB1330" i="2" s="1"/>
  <c r="AD1330" i="2"/>
  <c r="AE1330" i="2" s="1"/>
  <c r="AG1330" i="2"/>
  <c r="AH1330" i="2" s="1"/>
  <c r="U1329" i="2"/>
  <c r="V1329" i="2" s="1"/>
  <c r="X1329" i="2"/>
  <c r="Y1329" i="2" s="1"/>
  <c r="AA1329" i="2"/>
  <c r="AB1329" i="2"/>
  <c r="AG1329" i="2"/>
  <c r="AH1329" i="2" s="1"/>
  <c r="AD1329" i="2"/>
  <c r="AE1329" i="2" s="1"/>
  <c r="R1329" i="2"/>
  <c r="S1329" i="2" s="1"/>
  <c r="R1328" i="2"/>
  <c r="S1328" i="2" s="1"/>
  <c r="AI1328" i="2" s="1" a="1"/>
  <c r="AI1328" i="2" s="1"/>
  <c r="U1328" i="2"/>
  <c r="V1328" i="2"/>
  <c r="X1328" i="2"/>
  <c r="Y1328" i="2"/>
  <c r="AA1328" i="2"/>
  <c r="AB1328" i="2"/>
  <c r="AD1328" i="2"/>
  <c r="AE1328" i="2" s="1"/>
  <c r="AG1328" i="2"/>
  <c r="AH1328" i="2" s="1"/>
  <c r="U1327" i="2"/>
  <c r="V1327" i="2" s="1"/>
  <c r="X1327" i="2"/>
  <c r="Y1327" i="2"/>
  <c r="AA1327" i="2"/>
  <c r="AB1327" i="2" s="1"/>
  <c r="AD1327" i="2"/>
  <c r="AE1327" i="2" s="1"/>
  <c r="AG1327" i="2"/>
  <c r="AH1327" i="2" s="1"/>
  <c r="R1327" i="2"/>
  <c r="S1327" i="2" s="1"/>
  <c r="R1326" i="2"/>
  <c r="S1326" i="2" s="1"/>
  <c r="U1326" i="2"/>
  <c r="V1326" i="2" s="1"/>
  <c r="X1326" i="2"/>
  <c r="Y1326" i="2"/>
  <c r="AA1326" i="2"/>
  <c r="AB1326" i="2" s="1"/>
  <c r="AG1326" i="2"/>
  <c r="AH1326" i="2"/>
  <c r="AD1326" i="2"/>
  <c r="AE1326" i="2" s="1"/>
  <c r="U1325" i="2"/>
  <c r="V1325" i="2"/>
  <c r="X1325" i="2"/>
  <c r="Y1325" i="2" s="1"/>
  <c r="AA1325" i="2"/>
  <c r="AB1325" i="2" s="1"/>
  <c r="AD1325" i="2"/>
  <c r="AE1325" i="2" s="1"/>
  <c r="AG1325" i="2"/>
  <c r="AH1325" i="2"/>
  <c r="R1325" i="2"/>
  <c r="S1325" i="2"/>
  <c r="AI1325" i="2" s="1" a="1"/>
  <c r="AI1325" i="2" s="1"/>
  <c r="R1324" i="2"/>
  <c r="S1324" i="2" s="1"/>
  <c r="AI1324" i="2" s="1" a="1"/>
  <c r="AI1324" i="2" s="1"/>
  <c r="U1324" i="2"/>
  <c r="V1324" i="2"/>
  <c r="X1324" i="2"/>
  <c r="Y1324" i="2"/>
  <c r="AA1324" i="2"/>
  <c r="AB1324" i="2"/>
  <c r="AD1324" i="2"/>
  <c r="AE1324" i="2"/>
  <c r="AG1324" i="2"/>
  <c r="AH1324" i="2" s="1"/>
  <c r="U1323" i="2"/>
  <c r="V1323" i="2" s="1"/>
  <c r="X1323" i="2"/>
  <c r="Y1323" i="2"/>
  <c r="AA1323" i="2"/>
  <c r="AB1323" i="2"/>
  <c r="AG1323" i="2"/>
  <c r="AH1323" i="2" s="1"/>
  <c r="AD1323" i="2"/>
  <c r="AE1323" i="2"/>
  <c r="R1323" i="2"/>
  <c r="S1323" i="2" s="1"/>
  <c r="R1322" i="2"/>
  <c r="S1322" i="2"/>
  <c r="U1322" i="2"/>
  <c r="V1322" i="2" s="1"/>
  <c r="X1322" i="2"/>
  <c r="Y1322" i="2"/>
  <c r="AA1322" i="2"/>
  <c r="AB1322" i="2"/>
  <c r="AD1322" i="2"/>
  <c r="AE1322" i="2"/>
  <c r="AG1322" i="2"/>
  <c r="AH1322" i="2"/>
  <c r="U1321" i="2"/>
  <c r="V1321" i="2"/>
  <c r="X1321" i="2"/>
  <c r="Y1321" i="2"/>
  <c r="AA1321" i="2"/>
  <c r="AB1321" i="2" s="1"/>
  <c r="AD1321" i="2"/>
  <c r="AE1321" i="2"/>
  <c r="AG1321" i="2"/>
  <c r="AH1321" i="2"/>
  <c r="R1321" i="2"/>
  <c r="S1321" i="2"/>
  <c r="R1320" i="2"/>
  <c r="S1320" i="2"/>
  <c r="U1320" i="2"/>
  <c r="V1320" i="2" s="1"/>
  <c r="X1320" i="2"/>
  <c r="Y1320" i="2"/>
  <c r="AA1320" i="2"/>
  <c r="AB1320" i="2"/>
  <c r="AD1320" i="2"/>
  <c r="AE1320" i="2"/>
  <c r="AG1320" i="2"/>
  <c r="AH1320" i="2" s="1"/>
  <c r="U1319" i="2"/>
  <c r="V1319" i="2"/>
  <c r="X1319" i="2"/>
  <c r="Y1319" i="2"/>
  <c r="AA1319" i="2"/>
  <c r="AB1319" i="2"/>
  <c r="AD1319" i="2"/>
  <c r="AE1319" i="2"/>
  <c r="AG1319" i="2"/>
  <c r="AH1319" i="2" s="1"/>
  <c r="R1319" i="2"/>
  <c r="S1319" i="2" s="1"/>
  <c r="R1318" i="2"/>
  <c r="S1318" i="2"/>
  <c r="U1318" i="2"/>
  <c r="V1318" i="2" s="1"/>
  <c r="X1318" i="2"/>
  <c r="Y1318" i="2"/>
  <c r="AA1318" i="2"/>
  <c r="AB1318" i="2"/>
  <c r="AD1318" i="2"/>
  <c r="AE1318" i="2"/>
  <c r="AG1318" i="2"/>
  <c r="AH1318" i="2" s="1"/>
  <c r="U1317" i="2"/>
  <c r="V1317" i="2" s="1"/>
  <c r="X1317" i="2"/>
  <c r="Y1317" i="2" s="1"/>
  <c r="AA1317" i="2"/>
  <c r="AB1317" i="2"/>
  <c r="AG1317" i="2"/>
  <c r="AH1317" i="2" s="1"/>
  <c r="AD1317" i="2"/>
  <c r="AE1317" i="2" s="1"/>
  <c r="R1317" i="2"/>
  <c r="S1317" i="2" s="1"/>
  <c r="R1316" i="2"/>
  <c r="S1316" i="2"/>
  <c r="U1316" i="2"/>
  <c r="V1316" i="2" s="1"/>
  <c r="X1316" i="2"/>
  <c r="Y1316" i="2"/>
  <c r="AA1316" i="2"/>
  <c r="AB1316" i="2"/>
  <c r="AG1316" i="2"/>
  <c r="AH1316" i="2"/>
  <c r="AD1316" i="2"/>
  <c r="AE1316" i="2"/>
  <c r="U1315" i="2"/>
  <c r="V1315" i="2" s="1"/>
  <c r="X1315" i="2"/>
  <c r="Y1315" i="2"/>
  <c r="AA1315" i="2"/>
  <c r="AB1315" i="2"/>
  <c r="AD1315" i="2"/>
  <c r="AE1315" i="2"/>
  <c r="AG1315" i="2"/>
  <c r="AH1315" i="2" s="1"/>
  <c r="R1315" i="2"/>
  <c r="S1315" i="2" s="1"/>
  <c r="R1314" i="2"/>
  <c r="S1314" i="2"/>
  <c r="U1314" i="2"/>
  <c r="V1314" i="2"/>
  <c r="X1314" i="2"/>
  <c r="Y1314" i="2" s="1"/>
  <c r="AA1314" i="2"/>
  <c r="AB1314" i="2"/>
  <c r="AG1314" i="2"/>
  <c r="AH1314" i="2" s="1"/>
  <c r="AD1314" i="2"/>
  <c r="AE1314" i="2" s="1"/>
  <c r="U1313" i="2"/>
  <c r="V1313" i="2" s="1"/>
  <c r="X1313" i="2"/>
  <c r="Y1313" i="2"/>
  <c r="AA1313" i="2"/>
  <c r="AB1313" i="2"/>
  <c r="AD1313" i="2"/>
  <c r="AE1313" i="2" s="1"/>
  <c r="AG1313" i="2"/>
  <c r="AH1313" i="2" s="1"/>
  <c r="R1313" i="2"/>
  <c r="S1313" i="2"/>
  <c r="R1312" i="2"/>
  <c r="S1312" i="2"/>
  <c r="U1312" i="2"/>
  <c r="V1312" i="2" s="1"/>
  <c r="X1312" i="2"/>
  <c r="Y1312" i="2"/>
  <c r="AA1312" i="2"/>
  <c r="AB1312" i="2" s="1"/>
  <c r="AG1312" i="2"/>
  <c r="AH1312" i="2"/>
  <c r="AD1312" i="2"/>
  <c r="AE1312" i="2" s="1"/>
  <c r="U1311" i="2"/>
  <c r="V1311" i="2" s="1"/>
  <c r="X1311" i="2"/>
  <c r="Y1311" i="2" s="1"/>
  <c r="AA1311" i="2"/>
  <c r="AB1311" i="2"/>
  <c r="AG1311" i="2"/>
  <c r="AH1311" i="2" s="1"/>
  <c r="AD1311" i="2"/>
  <c r="AE1311" i="2"/>
  <c r="R1311" i="2"/>
  <c r="S1311" i="2"/>
  <c r="R1310" i="2"/>
  <c r="S1310" i="2" s="1"/>
  <c r="U1310" i="2"/>
  <c r="V1310" i="2" s="1"/>
  <c r="X1310" i="2"/>
  <c r="Y1310" i="2"/>
  <c r="AA1310" i="2"/>
  <c r="AB1310" i="2" s="1"/>
  <c r="AD1310" i="2"/>
  <c r="AE1310" i="2"/>
  <c r="AG1310" i="2"/>
  <c r="AH1310" i="2"/>
  <c r="U1309" i="2"/>
  <c r="V1309" i="2" s="1"/>
  <c r="X1309" i="2"/>
  <c r="Y1309" i="2" s="1"/>
  <c r="AA1309" i="2"/>
  <c r="AB1309" i="2"/>
  <c r="AG1309" i="2"/>
  <c r="AH1309" i="2"/>
  <c r="AD1309" i="2"/>
  <c r="AE1309" i="2" s="1"/>
  <c r="R1309" i="2"/>
  <c r="S1309" i="2"/>
  <c r="R1308" i="2"/>
  <c r="S1308" i="2" s="1"/>
  <c r="U1308" i="2"/>
  <c r="V1308" i="2"/>
  <c r="X1308" i="2"/>
  <c r="Y1308" i="2"/>
  <c r="AA1308" i="2"/>
  <c r="AB1308" i="2"/>
  <c r="AG1308" i="2"/>
  <c r="AH1308" i="2" s="1"/>
  <c r="AD1308" i="2"/>
  <c r="AE1308" i="2" s="1"/>
  <c r="R1307" i="2"/>
  <c r="S1307" i="2" s="1"/>
  <c r="U1307" i="2"/>
  <c r="V1307" i="2" s="1"/>
  <c r="X1307" i="2"/>
  <c r="Y1307" i="2"/>
  <c r="AA1307" i="2"/>
  <c r="AB1307" i="2"/>
  <c r="AD1307" i="2"/>
  <c r="AE1307" i="2" s="1"/>
  <c r="AG1307" i="2"/>
  <c r="AH1307" i="2" s="1"/>
  <c r="U1306" i="2"/>
  <c r="V1306" i="2"/>
  <c r="X1306" i="2"/>
  <c r="Y1306" i="2"/>
  <c r="AA1306" i="2"/>
  <c r="AB1306" i="2"/>
  <c r="AD1306" i="2"/>
  <c r="AE1306" i="2"/>
  <c r="AG1306" i="2"/>
  <c r="AH1306" i="2" s="1"/>
  <c r="R1306" i="2"/>
  <c r="S1306" i="2" s="1"/>
  <c r="R1305" i="2"/>
  <c r="S1305" i="2"/>
  <c r="U1305" i="2"/>
  <c r="V1305" i="2" s="1"/>
  <c r="X1305" i="2"/>
  <c r="Y1305" i="2" s="1"/>
  <c r="AA1305" i="2"/>
  <c r="AB1305" i="2"/>
  <c r="AD1305" i="2"/>
  <c r="AE1305" i="2" s="1"/>
  <c r="AG1305" i="2"/>
  <c r="AH1305" i="2" s="1"/>
  <c r="U1304" i="2"/>
  <c r="V1304" i="2"/>
  <c r="X1304" i="2"/>
  <c r="Y1304" i="2" s="1"/>
  <c r="AA1304" i="2"/>
  <c r="AB1304" i="2" s="1"/>
  <c r="AD1304" i="2"/>
  <c r="AE1304" i="2"/>
  <c r="AG1304" i="2"/>
  <c r="AH1304" i="2" s="1"/>
  <c r="R1304" i="2"/>
  <c r="S1304" i="2" s="1"/>
  <c r="R1303" i="2"/>
  <c r="S1303" i="2" s="1"/>
  <c r="AI1303" i="2" s="1" a="1"/>
  <c r="AI1303" i="2" s="1"/>
  <c r="U1303" i="2"/>
  <c r="V1303" i="2"/>
  <c r="X1303" i="2"/>
  <c r="Y1303" i="2"/>
  <c r="AA1303" i="2"/>
  <c r="AB1303" i="2"/>
  <c r="AD1303" i="2"/>
  <c r="AE1303" i="2"/>
  <c r="AG1303" i="2"/>
  <c r="AH1303" i="2"/>
  <c r="U1302" i="2"/>
  <c r="V1302" i="2"/>
  <c r="X1302" i="2"/>
  <c r="Y1302" i="2"/>
  <c r="AA1302" i="2"/>
  <c r="AB1302" i="2"/>
  <c r="AD1302" i="2"/>
  <c r="AE1302" i="2"/>
  <c r="AG1302" i="2"/>
  <c r="AH1302" i="2"/>
  <c r="R1302" i="2"/>
  <c r="S1302" i="2"/>
  <c r="R1301" i="2"/>
  <c r="S1301" i="2"/>
  <c r="U1301" i="2"/>
  <c r="V1301" i="2"/>
  <c r="X1301" i="2"/>
  <c r="Y1301" i="2"/>
  <c r="AA1301" i="2"/>
  <c r="AB1301" i="2"/>
  <c r="AG1301" i="2"/>
  <c r="AH1301" i="2"/>
  <c r="AD1301" i="2"/>
  <c r="AE1301" i="2"/>
  <c r="U1300" i="2"/>
  <c r="V1300" i="2"/>
  <c r="X1300" i="2"/>
  <c r="Y1300" i="2"/>
  <c r="AA1300" i="2"/>
  <c r="AB1300" i="2"/>
  <c r="AG1300" i="2"/>
  <c r="AH1300" i="2"/>
  <c r="AD1300" i="2"/>
  <c r="AE1300" i="2"/>
  <c r="R1300" i="2"/>
  <c r="S1300" i="2"/>
  <c r="U1299" i="2"/>
  <c r="V1299" i="2"/>
  <c r="X1299" i="2"/>
  <c r="Y1299" i="2"/>
  <c r="AA1299" i="2"/>
  <c r="AB1299" i="2"/>
  <c r="AG1299" i="2"/>
  <c r="AH1299" i="2"/>
  <c r="AD1299" i="2"/>
  <c r="AE1299" i="2"/>
  <c r="R1299" i="2"/>
  <c r="S1299" i="2"/>
  <c r="R1298" i="2"/>
  <c r="S1298" i="2"/>
  <c r="U1298" i="2"/>
  <c r="V1298" i="2"/>
  <c r="X1298" i="2"/>
  <c r="Y1298" i="2"/>
  <c r="AA1298" i="2"/>
  <c r="AB1298" i="2"/>
  <c r="AD1298" i="2"/>
  <c r="AE1298" i="2"/>
  <c r="AG1298" i="2"/>
  <c r="AH1298" i="2"/>
  <c r="R1297" i="2"/>
  <c r="S1297" i="2"/>
  <c r="U1297" i="2"/>
  <c r="V1297" i="2"/>
  <c r="X1297" i="2"/>
  <c r="Y1297" i="2"/>
  <c r="AA1297" i="2"/>
  <c r="AB1297" i="2"/>
  <c r="AD1297" i="2"/>
  <c r="AE1297" i="2"/>
  <c r="AG1297" i="2"/>
  <c r="AH1297" i="2"/>
  <c r="R1296" i="2"/>
  <c r="S1296" i="2"/>
  <c r="U1296" i="2"/>
  <c r="V1296" i="2"/>
  <c r="X1296" i="2"/>
  <c r="Y1296" i="2"/>
  <c r="AA1296" i="2"/>
  <c r="AB1296" i="2"/>
  <c r="AD1296" i="2"/>
  <c r="AE1296" i="2"/>
  <c r="AG1296" i="2"/>
  <c r="AH1296" i="2"/>
  <c r="U1295" i="2"/>
  <c r="V1295" i="2"/>
  <c r="X1295" i="2"/>
  <c r="Y1295" i="2"/>
  <c r="AA1295" i="2"/>
  <c r="AB1295" i="2"/>
  <c r="AD1295" i="2"/>
  <c r="AE1295" i="2"/>
  <c r="AG1295" i="2"/>
  <c r="AH1295" i="2"/>
  <c r="R1295" i="2"/>
  <c r="S1295" i="2"/>
  <c r="R1294" i="2"/>
  <c r="S1294" i="2"/>
  <c r="U1294" i="2"/>
  <c r="V1294" i="2"/>
  <c r="X1294" i="2"/>
  <c r="Y1294" i="2"/>
  <c r="AA1294" i="2"/>
  <c r="AB1294" i="2"/>
  <c r="AG1294" i="2"/>
  <c r="AH1294" i="2"/>
  <c r="AD1294" i="2"/>
  <c r="AE1294" i="2"/>
  <c r="U1293" i="2"/>
  <c r="V1293" i="2"/>
  <c r="X1293" i="2"/>
  <c r="Y1293" i="2"/>
  <c r="AA1293" i="2"/>
  <c r="AB1293" i="2"/>
  <c r="AD1293" i="2"/>
  <c r="AE1293" i="2"/>
  <c r="AG1293" i="2"/>
  <c r="AH1293" i="2"/>
  <c r="R1293" i="2"/>
  <c r="S1293" i="2"/>
  <c r="R1292" i="2"/>
  <c r="S1292" i="2"/>
  <c r="U1292" i="2"/>
  <c r="V1292" i="2"/>
  <c r="X1292" i="2"/>
  <c r="Y1292" i="2"/>
  <c r="AA1292" i="2"/>
  <c r="AB1292" i="2"/>
  <c r="AG1292" i="2"/>
  <c r="AH1292" i="2"/>
  <c r="AD1292" i="2"/>
  <c r="AE1292" i="2"/>
  <c r="U1291" i="2"/>
  <c r="V1291" i="2"/>
  <c r="X1291" i="2"/>
  <c r="Y1291" i="2"/>
  <c r="AA1291" i="2"/>
  <c r="AB1291" i="2"/>
  <c r="AG1291" i="2"/>
  <c r="AH1291" i="2"/>
  <c r="AD1291" i="2"/>
  <c r="AE1291" i="2"/>
  <c r="R1291" i="2"/>
  <c r="S1291" i="2"/>
  <c r="R1290" i="2"/>
  <c r="S1290" i="2"/>
  <c r="U1290" i="2"/>
  <c r="V1290" i="2"/>
  <c r="X1290" i="2"/>
  <c r="Y1290" i="2"/>
  <c r="AA1290" i="2"/>
  <c r="AB1290" i="2"/>
  <c r="AD1290" i="2"/>
  <c r="AE1290" i="2"/>
  <c r="AG1290" i="2"/>
  <c r="AH1290" i="2"/>
  <c r="R1289" i="2"/>
  <c r="S1289" i="2"/>
  <c r="U1289" i="2"/>
  <c r="V1289" i="2"/>
  <c r="X1289" i="2"/>
  <c r="Y1289" i="2"/>
  <c r="AA1289" i="2"/>
  <c r="AB1289" i="2"/>
  <c r="AD1289" i="2"/>
  <c r="AE1289" i="2"/>
  <c r="AG1289" i="2"/>
  <c r="AH1289" i="2"/>
  <c r="R1288" i="2"/>
  <c r="S1288" i="2"/>
  <c r="U1288" i="2"/>
  <c r="V1288" i="2"/>
  <c r="X1288" i="2"/>
  <c r="Y1288" i="2"/>
  <c r="AA1288" i="2"/>
  <c r="AB1288" i="2"/>
  <c r="AD1288" i="2"/>
  <c r="AE1288" i="2"/>
  <c r="AG1288" i="2"/>
  <c r="AH1288" i="2"/>
  <c r="R1287" i="2"/>
  <c r="S1287" i="2"/>
  <c r="U1287" i="2"/>
  <c r="V1287" i="2"/>
  <c r="X1287" i="2"/>
  <c r="Y1287" i="2"/>
  <c r="AA1287" i="2"/>
  <c r="AB1287" i="2"/>
  <c r="AD1287" i="2"/>
  <c r="AE1287" i="2"/>
  <c r="AG1287" i="2"/>
  <c r="AH1287" i="2"/>
  <c r="U1286" i="2"/>
  <c r="V1286" i="2"/>
  <c r="X1286" i="2"/>
  <c r="Y1286" i="2"/>
  <c r="AA1286" i="2"/>
  <c r="AB1286" i="2"/>
  <c r="AG1286" i="2"/>
  <c r="AH1286" i="2"/>
  <c r="AD1286" i="2"/>
  <c r="AE1286" i="2"/>
  <c r="R1286" i="2"/>
  <c r="S1286" i="2"/>
  <c r="R1285" i="2"/>
  <c r="S1285" i="2"/>
  <c r="U1285" i="2"/>
  <c r="V1285" i="2"/>
  <c r="X1285" i="2"/>
  <c r="Y1285" i="2"/>
  <c r="AA1285" i="2"/>
  <c r="AB1285" i="2"/>
  <c r="AD1285" i="2"/>
  <c r="AE1285" i="2"/>
  <c r="AG1285" i="2"/>
  <c r="AH1285" i="2"/>
  <c r="U1284" i="2"/>
  <c r="V1284" i="2"/>
  <c r="X1284" i="2"/>
  <c r="Y1284" i="2"/>
  <c r="AA1284" i="2"/>
  <c r="AB1284" i="2"/>
  <c r="AD1284" i="2"/>
  <c r="AE1284" i="2"/>
  <c r="AG1284" i="2"/>
  <c r="AH1284" i="2"/>
  <c r="R1284" i="2"/>
  <c r="S1284" i="2"/>
  <c r="R1283" i="2"/>
  <c r="S1283" i="2"/>
  <c r="U1283" i="2"/>
  <c r="V1283" i="2"/>
  <c r="X1283" i="2"/>
  <c r="Y1283" i="2"/>
  <c r="AA1283" i="2"/>
  <c r="AB1283" i="2"/>
  <c r="AD1283" i="2"/>
  <c r="AE1283" i="2"/>
  <c r="AG1283" i="2"/>
  <c r="AH1283" i="2"/>
  <c r="U1282" i="2"/>
  <c r="V1282" i="2"/>
  <c r="X1282" i="2"/>
  <c r="Y1282" i="2"/>
  <c r="AA1282" i="2"/>
  <c r="AB1282" i="2"/>
  <c r="AD1282" i="2"/>
  <c r="AE1282" i="2"/>
  <c r="AG1282" i="2"/>
  <c r="AH1282" i="2"/>
  <c r="R1282" i="2"/>
  <c r="S1282" i="2"/>
  <c r="R1281" i="2"/>
  <c r="S1281" i="2"/>
  <c r="U1281" i="2"/>
  <c r="V1281" i="2"/>
  <c r="X1281" i="2"/>
  <c r="Y1281" i="2"/>
  <c r="AA1281" i="2"/>
  <c r="AB1281" i="2"/>
  <c r="AD1281" i="2"/>
  <c r="AE1281" i="2"/>
  <c r="AG1281" i="2"/>
  <c r="AH1281" i="2"/>
  <c r="R1280" i="2"/>
  <c r="S1280" i="2"/>
  <c r="U1280" i="2"/>
  <c r="V1280" i="2"/>
  <c r="X1280" i="2"/>
  <c r="Y1280" i="2"/>
  <c r="AA1280" i="2"/>
  <c r="AB1280" i="2"/>
  <c r="AG1280" i="2"/>
  <c r="AH1280" i="2"/>
  <c r="AD1280" i="2"/>
  <c r="AE1280" i="2"/>
  <c r="R1279" i="2"/>
  <c r="S1279" i="2"/>
  <c r="U1279" i="2"/>
  <c r="V1279" i="2"/>
  <c r="X1279" i="2"/>
  <c r="Y1279" i="2"/>
  <c r="AA1279" i="2"/>
  <c r="AB1279" i="2"/>
  <c r="AD1279" i="2"/>
  <c r="AE1279" i="2"/>
  <c r="AG1279" i="2"/>
  <c r="AH1279" i="2"/>
  <c r="R1278" i="2"/>
  <c r="S1278" i="2"/>
  <c r="U1278" i="2"/>
  <c r="V1278" i="2"/>
  <c r="X1278" i="2"/>
  <c r="Y1278" i="2"/>
  <c r="AA1278" i="2"/>
  <c r="AB1278" i="2"/>
  <c r="AD1278" i="2"/>
  <c r="AE1278" i="2"/>
  <c r="AG1278" i="2"/>
  <c r="AH1278" i="2"/>
  <c r="R1277" i="2"/>
  <c r="S1277" i="2"/>
  <c r="U1277" i="2"/>
  <c r="V1277" i="2"/>
  <c r="X1277" i="2"/>
  <c r="Y1277" i="2"/>
  <c r="AA1277" i="2"/>
  <c r="AB1277" i="2"/>
  <c r="AD1277" i="2"/>
  <c r="AE1277" i="2"/>
  <c r="AG1277" i="2"/>
  <c r="AH1277" i="2"/>
  <c r="R1276" i="2"/>
  <c r="S1276" i="2"/>
  <c r="U1276" i="2"/>
  <c r="V1276" i="2"/>
  <c r="X1276" i="2"/>
  <c r="Y1276" i="2"/>
  <c r="AA1276" i="2"/>
  <c r="AB1276" i="2"/>
  <c r="AG1276" i="2"/>
  <c r="AH1276" i="2"/>
  <c r="AD1276" i="2"/>
  <c r="AE1276" i="2"/>
  <c r="R1275" i="2"/>
  <c r="S1275" i="2"/>
  <c r="U1275" i="2"/>
  <c r="V1275" i="2"/>
  <c r="X1275" i="2"/>
  <c r="Y1275" i="2"/>
  <c r="AA1275" i="2"/>
  <c r="AB1275" i="2"/>
  <c r="AD1275" i="2"/>
  <c r="AE1275" i="2"/>
  <c r="AG1275" i="2"/>
  <c r="AH1275" i="2"/>
  <c r="R1274" i="2"/>
  <c r="S1274" i="2"/>
  <c r="U1274" i="2"/>
  <c r="V1274" i="2"/>
  <c r="X1274" i="2"/>
  <c r="Y1274" i="2"/>
  <c r="AA1274" i="2"/>
  <c r="AB1274" i="2"/>
  <c r="AD1274" i="2"/>
  <c r="AE1274" i="2"/>
  <c r="AG1274" i="2"/>
  <c r="AH1274" i="2"/>
  <c r="R1273" i="2"/>
  <c r="S1273" i="2"/>
  <c r="U1273" i="2"/>
  <c r="V1273" i="2"/>
  <c r="X1273" i="2"/>
  <c r="Y1273" i="2"/>
  <c r="AA1273" i="2"/>
  <c r="AB1273" i="2"/>
  <c r="AD1273" i="2"/>
  <c r="AE1273" i="2"/>
  <c r="AG1273" i="2"/>
  <c r="AH1273" i="2"/>
  <c r="R1272" i="2"/>
  <c r="S1272" i="2"/>
  <c r="U1272" i="2"/>
  <c r="V1272" i="2"/>
  <c r="X1272" i="2"/>
  <c r="Y1272" i="2"/>
  <c r="AA1272" i="2"/>
  <c r="AB1272" i="2"/>
  <c r="AD1272" i="2"/>
  <c r="AE1272" i="2"/>
  <c r="AG1272" i="2"/>
  <c r="AH1272" i="2"/>
  <c r="R1271" i="2"/>
  <c r="S1271" i="2"/>
  <c r="U1271" i="2"/>
  <c r="V1271" i="2"/>
  <c r="X1271" i="2"/>
  <c r="Y1271" i="2"/>
  <c r="AA1271" i="2"/>
  <c r="AB1271" i="2"/>
  <c r="AD1271" i="2"/>
  <c r="AE1271" i="2"/>
  <c r="AG1271" i="2"/>
  <c r="AH1271" i="2"/>
  <c r="R1270" i="2"/>
  <c r="S1270" i="2"/>
  <c r="U1270" i="2"/>
  <c r="V1270" i="2"/>
  <c r="X1270" i="2"/>
  <c r="Y1270" i="2"/>
  <c r="AA1270" i="2"/>
  <c r="AB1270" i="2"/>
  <c r="AD1270" i="2"/>
  <c r="AE1270" i="2"/>
  <c r="AG1270" i="2"/>
  <c r="AH1270" i="2"/>
  <c r="R1269" i="2"/>
  <c r="S1269" i="2"/>
  <c r="U1269" i="2"/>
  <c r="V1269" i="2"/>
  <c r="X1269" i="2"/>
  <c r="Y1269" i="2"/>
  <c r="AA1269" i="2"/>
  <c r="AB1269" i="2"/>
  <c r="AD1269" i="2"/>
  <c r="AE1269" i="2"/>
  <c r="AG1269" i="2"/>
  <c r="AH1269" i="2"/>
  <c r="R1268" i="2"/>
  <c r="S1268" i="2"/>
  <c r="U1268" i="2"/>
  <c r="V1268" i="2"/>
  <c r="X1268" i="2"/>
  <c r="Y1268" i="2"/>
  <c r="AA1268" i="2"/>
  <c r="AB1268" i="2"/>
  <c r="AD1268" i="2"/>
  <c r="AE1268" i="2"/>
  <c r="AG1268" i="2"/>
  <c r="AH1268" i="2"/>
  <c r="R1267" i="2"/>
  <c r="S1267" i="2"/>
  <c r="U1267" i="2"/>
  <c r="V1267" i="2"/>
  <c r="X1267" i="2"/>
  <c r="Y1267" i="2"/>
  <c r="AA1267" i="2"/>
  <c r="AB1267" i="2"/>
  <c r="AD1267" i="2"/>
  <c r="AE1267" i="2"/>
  <c r="AG1267" i="2"/>
  <c r="AH1267" i="2"/>
  <c r="R1266" i="2"/>
  <c r="S1266" i="2"/>
  <c r="U1266" i="2"/>
  <c r="V1266" i="2"/>
  <c r="X1266" i="2"/>
  <c r="Y1266" i="2"/>
  <c r="AA1266" i="2"/>
  <c r="AB1266" i="2"/>
  <c r="AG1266" i="2"/>
  <c r="AH1266" i="2"/>
  <c r="AD1266" i="2"/>
  <c r="AE1266" i="2"/>
  <c r="R1265" i="2"/>
  <c r="S1265" i="2"/>
  <c r="U1265" i="2"/>
  <c r="V1265" i="2"/>
  <c r="X1265" i="2"/>
  <c r="Y1265" i="2"/>
  <c r="AA1265" i="2"/>
  <c r="AB1265" i="2"/>
  <c r="AD1265" i="2"/>
  <c r="AE1265" i="2"/>
  <c r="AG1265" i="2"/>
  <c r="AH1265" i="2"/>
  <c r="R1264" i="2"/>
  <c r="S1264" i="2"/>
  <c r="U1264" i="2"/>
  <c r="V1264" i="2"/>
  <c r="X1264" i="2"/>
  <c r="Y1264" i="2"/>
  <c r="AA1264" i="2"/>
  <c r="AB1264" i="2"/>
  <c r="AD1264" i="2"/>
  <c r="AE1264" i="2"/>
  <c r="AG1264" i="2"/>
  <c r="AH1264" i="2"/>
  <c r="R1263" i="2"/>
  <c r="S1263" i="2"/>
  <c r="U1263" i="2"/>
  <c r="V1263" i="2"/>
  <c r="X1263" i="2"/>
  <c r="Y1263" i="2"/>
  <c r="AA1263" i="2"/>
  <c r="AB1263" i="2"/>
  <c r="AD1263" i="2"/>
  <c r="AE1263" i="2"/>
  <c r="AG1263" i="2"/>
  <c r="AH1263" i="2"/>
  <c r="R1262" i="2"/>
  <c r="S1262" i="2"/>
  <c r="U1262" i="2"/>
  <c r="V1262" i="2"/>
  <c r="X1262" i="2"/>
  <c r="Y1262" i="2"/>
  <c r="AA1262" i="2"/>
  <c r="AB1262" i="2"/>
  <c r="AD1262" i="2"/>
  <c r="AE1262" i="2"/>
  <c r="AG1262" i="2"/>
  <c r="AH1262" i="2"/>
  <c r="R1261" i="2"/>
  <c r="S1261" i="2"/>
  <c r="U1261" i="2"/>
  <c r="V1261" i="2"/>
  <c r="X1261" i="2"/>
  <c r="Y1261" i="2"/>
  <c r="AA1261" i="2"/>
  <c r="AB1261" i="2"/>
  <c r="AD1261" i="2"/>
  <c r="AE1261" i="2"/>
  <c r="AG1261" i="2"/>
  <c r="AH1261" i="2"/>
  <c r="R1260" i="2"/>
  <c r="S1260" i="2"/>
  <c r="U1260" i="2"/>
  <c r="V1260" i="2"/>
  <c r="X1260" i="2"/>
  <c r="Y1260" i="2"/>
  <c r="AA1260" i="2"/>
  <c r="AB1260" i="2"/>
  <c r="AD1260" i="2"/>
  <c r="AE1260" i="2"/>
  <c r="AG1260" i="2"/>
  <c r="AH1260" i="2"/>
  <c r="R1259" i="2"/>
  <c r="S1259" i="2"/>
  <c r="U1259" i="2"/>
  <c r="V1259" i="2"/>
  <c r="X1259" i="2"/>
  <c r="Y1259" i="2"/>
  <c r="AA1259" i="2"/>
  <c r="AB1259" i="2"/>
  <c r="AD1259" i="2"/>
  <c r="AE1259" i="2"/>
  <c r="AG1259" i="2"/>
  <c r="AH1259" i="2"/>
  <c r="R1258" i="2"/>
  <c r="S1258" i="2"/>
  <c r="U1258" i="2"/>
  <c r="V1258" i="2"/>
  <c r="X1258" i="2"/>
  <c r="Y1258" i="2"/>
  <c r="AA1258" i="2"/>
  <c r="AB1258" i="2"/>
  <c r="AG1258" i="2"/>
  <c r="AH1258" i="2"/>
  <c r="AD1258" i="2"/>
  <c r="AE1258" i="2"/>
  <c r="R1257" i="2"/>
  <c r="S1257" i="2"/>
  <c r="U1257" i="2"/>
  <c r="V1257" i="2"/>
  <c r="X1257" i="2"/>
  <c r="Y1257" i="2"/>
  <c r="AA1257" i="2"/>
  <c r="AB1257" i="2"/>
  <c r="AD1257" i="2"/>
  <c r="AE1257" i="2"/>
  <c r="AG1257" i="2"/>
  <c r="AH1257" i="2"/>
  <c r="R1256" i="2"/>
  <c r="S1256" i="2"/>
  <c r="U1256" i="2"/>
  <c r="V1256" i="2"/>
  <c r="X1256" i="2"/>
  <c r="Y1256" i="2"/>
  <c r="AA1256" i="2"/>
  <c r="AB1256" i="2"/>
  <c r="AD1256" i="2"/>
  <c r="AE1256" i="2"/>
  <c r="AG1256" i="2"/>
  <c r="AH1256" i="2"/>
  <c r="R1255" i="2"/>
  <c r="S1255" i="2"/>
  <c r="U1255" i="2"/>
  <c r="V1255" i="2"/>
  <c r="X1255" i="2"/>
  <c r="Y1255" i="2"/>
  <c r="AA1255" i="2"/>
  <c r="AB1255" i="2"/>
  <c r="AD1255" i="2"/>
  <c r="AE1255" i="2"/>
  <c r="AG1255" i="2"/>
  <c r="AH1255" i="2"/>
  <c r="R1254" i="2"/>
  <c r="S1254" i="2"/>
  <c r="U1254" i="2"/>
  <c r="V1254" i="2"/>
  <c r="X1254" i="2"/>
  <c r="Y1254" i="2"/>
  <c r="AA1254" i="2"/>
  <c r="AB1254" i="2"/>
  <c r="AD1254" i="2"/>
  <c r="AE1254" i="2"/>
  <c r="AG1254" i="2"/>
  <c r="AH1254" i="2"/>
  <c r="R1253" i="2"/>
  <c r="S1253" i="2"/>
  <c r="U1253" i="2"/>
  <c r="V1253" i="2"/>
  <c r="X1253" i="2"/>
  <c r="Y1253" i="2"/>
  <c r="AA1253" i="2"/>
  <c r="AB1253" i="2"/>
  <c r="AG1253" i="2"/>
  <c r="AH1253" i="2"/>
  <c r="AD1253" i="2"/>
  <c r="AE1253" i="2"/>
  <c r="R1252" i="2"/>
  <c r="S1252" i="2"/>
  <c r="U1252" i="2"/>
  <c r="V1252" i="2"/>
  <c r="X1252" i="2"/>
  <c r="Y1252" i="2"/>
  <c r="AA1252" i="2"/>
  <c r="AB1252" i="2"/>
  <c r="AG1252" i="2"/>
  <c r="AH1252" i="2"/>
  <c r="AD1252" i="2"/>
  <c r="AE1252" i="2"/>
  <c r="R1251" i="2"/>
  <c r="S1251" i="2"/>
  <c r="U1251" i="2"/>
  <c r="V1251" i="2"/>
  <c r="X1251" i="2"/>
  <c r="Y1251" i="2"/>
  <c r="AA1251" i="2"/>
  <c r="AB1251" i="2"/>
  <c r="AD1251" i="2"/>
  <c r="AE1251" i="2"/>
  <c r="AG1251" i="2"/>
  <c r="AH1251" i="2"/>
  <c r="R1250" i="2"/>
  <c r="S1250" i="2"/>
  <c r="U1250" i="2"/>
  <c r="V1250" i="2"/>
  <c r="X1250" i="2"/>
  <c r="Y1250" i="2"/>
  <c r="AA1250" i="2"/>
  <c r="AB1250" i="2"/>
  <c r="AD1250" i="2"/>
  <c r="AE1250" i="2"/>
  <c r="AG1250" i="2"/>
  <c r="AH1250" i="2"/>
  <c r="U1249" i="2"/>
  <c r="V1249" i="2"/>
  <c r="X1249" i="2"/>
  <c r="Y1249" i="2"/>
  <c r="AA1249" i="2"/>
  <c r="AB1249" i="2"/>
  <c r="AD1249" i="2"/>
  <c r="AE1249" i="2"/>
  <c r="AG1249" i="2"/>
  <c r="AH1249" i="2"/>
  <c r="R1249" i="2"/>
  <c r="S1249" i="2"/>
  <c r="R1248" i="2"/>
  <c r="S1248" i="2"/>
  <c r="U1248" i="2"/>
  <c r="V1248" i="2"/>
  <c r="X1248" i="2"/>
  <c r="Y1248" i="2"/>
  <c r="AA1248" i="2"/>
  <c r="AB1248" i="2"/>
  <c r="AD1248" i="2"/>
  <c r="AE1248" i="2"/>
  <c r="AG1248" i="2"/>
  <c r="AH1248" i="2"/>
  <c r="U1247" i="2"/>
  <c r="V1247" i="2"/>
  <c r="X1247" i="2"/>
  <c r="Y1247" i="2"/>
  <c r="AA1247" i="2"/>
  <c r="AB1247" i="2"/>
  <c r="AD1247" i="2"/>
  <c r="AE1247" i="2"/>
  <c r="AG1247" i="2"/>
  <c r="AH1247" i="2"/>
  <c r="R1247" i="2"/>
  <c r="S1247" i="2"/>
  <c r="R1246" i="2"/>
  <c r="S1246" i="2"/>
  <c r="U1246" i="2"/>
  <c r="V1246" i="2"/>
  <c r="X1246" i="2"/>
  <c r="Y1246" i="2"/>
  <c r="AA1246" i="2"/>
  <c r="AB1246" i="2"/>
  <c r="AG1246" i="2"/>
  <c r="AH1246" i="2"/>
  <c r="AD1246" i="2"/>
  <c r="AE1246" i="2"/>
  <c r="U1245" i="2"/>
  <c r="V1245" i="2"/>
  <c r="X1245" i="2"/>
  <c r="Y1245" i="2"/>
  <c r="AA1245" i="2"/>
  <c r="AB1245" i="2"/>
  <c r="AD1245" i="2"/>
  <c r="AE1245" i="2"/>
  <c r="AG1245" i="2"/>
  <c r="AH1245" i="2" s="1"/>
  <c r="R1245" i="2"/>
  <c r="S1245" i="2"/>
  <c r="AI1245" i="2" s="1" a="1"/>
  <c r="AI1245" i="2" s="1"/>
  <c r="R1244" i="2"/>
  <c r="S1244" i="2" s="1"/>
  <c r="U1244" i="2"/>
  <c r="V1244" i="2"/>
  <c r="X1244" i="2"/>
  <c r="Y1244" i="2" s="1"/>
  <c r="AA1244" i="2"/>
  <c r="AB1244" i="2"/>
  <c r="AG1244" i="2"/>
  <c r="AH1244" i="2"/>
  <c r="AD1244" i="2"/>
  <c r="AE1244" i="2"/>
  <c r="R1243" i="2"/>
  <c r="S1243" i="2"/>
  <c r="U1243" i="2"/>
  <c r="V1243" i="2"/>
  <c r="X1243" i="2"/>
  <c r="Y1243" i="2"/>
  <c r="AA1243" i="2"/>
  <c r="AB1243" i="2" s="1"/>
  <c r="AD1243" i="2"/>
  <c r="AE1243" i="2"/>
  <c r="AG1243" i="2"/>
  <c r="AH1243" i="2"/>
  <c r="R1242" i="2"/>
  <c r="S1242" i="2"/>
  <c r="U1242" i="2"/>
  <c r="V1242" i="2"/>
  <c r="X1242" i="2"/>
  <c r="Y1242" i="2"/>
  <c r="AA1242" i="2"/>
  <c r="AB1242" i="2"/>
  <c r="AD1242" i="2"/>
  <c r="AE1242" i="2"/>
  <c r="AG1242" i="2"/>
  <c r="AH1242" i="2"/>
  <c r="R1241" i="2"/>
  <c r="S1241" i="2"/>
  <c r="U1241" i="2"/>
  <c r="V1241" i="2"/>
  <c r="X1241" i="2"/>
  <c r="Y1241" i="2"/>
  <c r="AA1241" i="2"/>
  <c r="AB1241" i="2"/>
  <c r="AD1241" i="2"/>
  <c r="AE1241" i="2"/>
  <c r="AG1241" i="2"/>
  <c r="AH1241" i="2"/>
  <c r="R1240" i="2"/>
  <c r="S1240" i="2"/>
  <c r="U1240" i="2"/>
  <c r="V1240" i="2"/>
  <c r="X1240" i="2"/>
  <c r="Y1240" i="2"/>
  <c r="AA1240" i="2"/>
  <c r="AB1240" i="2"/>
  <c r="AD1240" i="2"/>
  <c r="AE1240" i="2"/>
  <c r="AG1240" i="2"/>
  <c r="AH1240" i="2"/>
  <c r="R1239" i="2"/>
  <c r="S1239" i="2"/>
  <c r="U1239" i="2"/>
  <c r="V1239" i="2"/>
  <c r="X1239" i="2"/>
  <c r="Y1239" i="2"/>
  <c r="AA1239" i="2"/>
  <c r="AB1239" i="2"/>
  <c r="AG1239" i="2"/>
  <c r="AH1239" i="2"/>
  <c r="AD1239" i="2"/>
  <c r="AE1239" i="2"/>
  <c r="R1238" i="2"/>
  <c r="S1238" i="2"/>
  <c r="U1238" i="2"/>
  <c r="V1238" i="2"/>
  <c r="X1238" i="2"/>
  <c r="Y1238" i="2"/>
  <c r="AA1238" i="2"/>
  <c r="AB1238" i="2"/>
  <c r="AD1238" i="2"/>
  <c r="AE1238" i="2"/>
  <c r="AG1238" i="2"/>
  <c r="AH1238" i="2"/>
  <c r="R1237" i="2"/>
  <c r="S1237" i="2"/>
  <c r="U1237" i="2"/>
  <c r="V1237" i="2"/>
  <c r="X1237" i="2"/>
  <c r="Y1237" i="2"/>
  <c r="AA1237" i="2"/>
  <c r="AB1237" i="2"/>
  <c r="AD1237" i="2"/>
  <c r="AE1237" i="2"/>
  <c r="AG1237" i="2"/>
  <c r="AH1237" i="2"/>
  <c r="R1236" i="2"/>
  <c r="S1236" i="2"/>
  <c r="U1236" i="2"/>
  <c r="V1236" i="2"/>
  <c r="X1236" i="2"/>
  <c r="Y1236" i="2"/>
  <c r="AA1236" i="2"/>
  <c r="AB1236" i="2"/>
  <c r="AD1236" i="2"/>
  <c r="AE1236" i="2"/>
  <c r="AG1236" i="2"/>
  <c r="AH1236" i="2"/>
  <c r="R1235" i="2"/>
  <c r="S1235" i="2"/>
  <c r="U1235" i="2"/>
  <c r="V1235" i="2"/>
  <c r="X1235" i="2"/>
  <c r="Y1235" i="2"/>
  <c r="AA1235" i="2"/>
  <c r="AB1235" i="2"/>
  <c r="AD1235" i="2"/>
  <c r="AE1235" i="2"/>
  <c r="AG1235" i="2"/>
  <c r="AH1235" i="2"/>
  <c r="R1234" i="2"/>
  <c r="S1234" i="2"/>
  <c r="U1234" i="2"/>
  <c r="V1234" i="2"/>
  <c r="X1234" i="2"/>
  <c r="Y1234" i="2"/>
  <c r="AA1234" i="2"/>
  <c r="AB1234" i="2"/>
  <c r="AD1234" i="2"/>
  <c r="AE1234" i="2"/>
  <c r="AG1234" i="2"/>
  <c r="AH1234" i="2"/>
  <c r="R1233" i="2"/>
  <c r="S1233" i="2"/>
  <c r="U1233" i="2"/>
  <c r="V1233" i="2"/>
  <c r="X1233" i="2"/>
  <c r="Y1233" i="2"/>
  <c r="AA1233" i="2"/>
  <c r="AB1233" i="2"/>
  <c r="AD1233" i="2"/>
  <c r="AE1233" i="2"/>
  <c r="AG1233" i="2"/>
  <c r="AH1233" i="2"/>
  <c r="R1232" i="2"/>
  <c r="S1232" i="2"/>
  <c r="U1232" i="2"/>
  <c r="V1232" i="2"/>
  <c r="X1232" i="2"/>
  <c r="Y1232" i="2"/>
  <c r="AA1232" i="2"/>
  <c r="AB1232" i="2"/>
  <c r="AD1232" i="2"/>
  <c r="AE1232" i="2"/>
  <c r="AG1232" i="2"/>
  <c r="AH1232" i="2"/>
  <c r="R1231" i="2"/>
  <c r="S1231" i="2"/>
  <c r="U1231" i="2"/>
  <c r="V1231" i="2"/>
  <c r="X1231" i="2"/>
  <c r="Y1231" i="2"/>
  <c r="AA1231" i="2"/>
  <c r="AB1231" i="2"/>
  <c r="AD1231" i="2"/>
  <c r="AE1231" i="2"/>
  <c r="AG1231" i="2"/>
  <c r="AH1231" i="2"/>
  <c r="R1230" i="2"/>
  <c r="S1230" i="2"/>
  <c r="U1230" i="2"/>
  <c r="V1230" i="2"/>
  <c r="X1230" i="2"/>
  <c r="Y1230" i="2"/>
  <c r="AA1230" i="2"/>
  <c r="AB1230" i="2"/>
  <c r="AD1230" i="2"/>
  <c r="AE1230" i="2"/>
  <c r="AG1230" i="2"/>
  <c r="AH1230" i="2"/>
  <c r="R1229" i="2"/>
  <c r="S1229" i="2"/>
  <c r="U1229" i="2"/>
  <c r="V1229" i="2"/>
  <c r="X1229" i="2"/>
  <c r="Y1229" i="2"/>
  <c r="AA1229" i="2"/>
  <c r="AB1229" i="2"/>
  <c r="AD1229" i="2"/>
  <c r="AE1229" i="2"/>
  <c r="AG1229" i="2"/>
  <c r="AH1229" i="2"/>
  <c r="R1228" i="2"/>
  <c r="S1228" i="2"/>
  <c r="U1228" i="2"/>
  <c r="V1228" i="2"/>
  <c r="X1228" i="2"/>
  <c r="Y1228" i="2"/>
  <c r="AA1228" i="2"/>
  <c r="AB1228" i="2"/>
  <c r="AD1228" i="2"/>
  <c r="AE1228" i="2"/>
  <c r="AG1228" i="2"/>
  <c r="AH1228" i="2"/>
  <c r="R1227" i="2"/>
  <c r="S1227" i="2"/>
  <c r="U1227" i="2"/>
  <c r="V1227" i="2"/>
  <c r="X1227" i="2"/>
  <c r="Y1227" i="2"/>
  <c r="AA1227" i="2"/>
  <c r="AB1227" i="2"/>
  <c r="AD1227" i="2"/>
  <c r="AE1227" i="2"/>
  <c r="AG1227" i="2"/>
  <c r="AH1227" i="2"/>
  <c r="R1226" i="2"/>
  <c r="S1226" i="2"/>
  <c r="U1226" i="2"/>
  <c r="V1226" i="2"/>
  <c r="X1226" i="2"/>
  <c r="Y1226" i="2"/>
  <c r="AA1226" i="2"/>
  <c r="AB1226" i="2"/>
  <c r="AD1226" i="2"/>
  <c r="AE1226" i="2"/>
  <c r="AG1226" i="2"/>
  <c r="AH1226" i="2"/>
  <c r="R1225" i="2"/>
  <c r="S1225" i="2"/>
  <c r="U1225" i="2"/>
  <c r="V1225" i="2"/>
  <c r="X1225" i="2"/>
  <c r="Y1225" i="2"/>
  <c r="AA1225" i="2"/>
  <c r="AB1225" i="2"/>
  <c r="AD1225" i="2"/>
  <c r="AE1225" i="2" s="1"/>
  <c r="AG1225" i="2"/>
  <c r="AH1225" i="2"/>
  <c r="R1224" i="2"/>
  <c r="S1224" i="2"/>
  <c r="U1224" i="2"/>
  <c r="V1224" i="2"/>
  <c r="X1224" i="2"/>
  <c r="Y1224" i="2"/>
  <c r="AA1224" i="2"/>
  <c r="AB1224" i="2"/>
  <c r="AD1224" i="2"/>
  <c r="AE1224" i="2"/>
  <c r="AG1224" i="2"/>
  <c r="AH1224" i="2"/>
  <c r="R1223" i="2"/>
  <c r="S1223" i="2"/>
  <c r="U1223" i="2"/>
  <c r="V1223" i="2"/>
  <c r="X1223" i="2"/>
  <c r="Y1223" i="2"/>
  <c r="AA1223" i="2"/>
  <c r="AB1223" i="2"/>
  <c r="AD1223" i="2"/>
  <c r="AE1223" i="2"/>
  <c r="AG1223" i="2"/>
  <c r="AH1223" i="2"/>
  <c r="R1222" i="2"/>
  <c r="S1222" i="2"/>
  <c r="U1222" i="2"/>
  <c r="V1222" i="2"/>
  <c r="X1222" i="2"/>
  <c r="Y1222" i="2"/>
  <c r="AA1222" i="2"/>
  <c r="AB1222" i="2"/>
  <c r="AD1222" i="2"/>
  <c r="AE1222" i="2"/>
  <c r="AG1222" i="2"/>
  <c r="AH1222" i="2"/>
  <c r="R1221" i="2"/>
  <c r="S1221" i="2"/>
  <c r="U1221" i="2"/>
  <c r="V1221" i="2"/>
  <c r="X1221" i="2"/>
  <c r="Y1221" i="2"/>
  <c r="AA1221" i="2"/>
  <c r="AB1221" i="2"/>
  <c r="AD1221" i="2"/>
  <c r="AE1221" i="2"/>
  <c r="AG1221" i="2"/>
  <c r="AH1221" i="2"/>
  <c r="R1220" i="2"/>
  <c r="S1220" i="2"/>
  <c r="U1220" i="2"/>
  <c r="V1220" i="2"/>
  <c r="X1220" i="2"/>
  <c r="Y1220" i="2"/>
  <c r="AA1220" i="2"/>
  <c r="AB1220" i="2"/>
  <c r="AD1220" i="2"/>
  <c r="AE1220" i="2"/>
  <c r="AG1220" i="2"/>
  <c r="AH1220" i="2"/>
  <c r="R1219" i="2"/>
  <c r="S1219" i="2"/>
  <c r="U1219" i="2"/>
  <c r="V1219" i="2"/>
  <c r="X1219" i="2"/>
  <c r="Y1219" i="2"/>
  <c r="AA1219" i="2"/>
  <c r="AB1219" i="2"/>
  <c r="AD1219" i="2"/>
  <c r="AE1219" i="2"/>
  <c r="AG1219" i="2"/>
  <c r="AH1219" i="2"/>
  <c r="R1218" i="2"/>
  <c r="S1218" i="2"/>
  <c r="U1218" i="2"/>
  <c r="V1218" i="2"/>
  <c r="X1218" i="2"/>
  <c r="Y1218" i="2"/>
  <c r="AA1218" i="2"/>
  <c r="AB1218" i="2"/>
  <c r="AD1218" i="2"/>
  <c r="AE1218" i="2"/>
  <c r="AG1218" i="2"/>
  <c r="AH1218" i="2"/>
  <c r="R1217" i="2"/>
  <c r="S1217" i="2"/>
  <c r="U1217" i="2"/>
  <c r="V1217" i="2"/>
  <c r="X1217" i="2"/>
  <c r="Y1217" i="2"/>
  <c r="AA1217" i="2"/>
  <c r="AB1217" i="2"/>
  <c r="AD1217" i="2"/>
  <c r="AE1217" i="2"/>
  <c r="AG1217" i="2"/>
  <c r="AH1217" i="2"/>
  <c r="R1216" i="2"/>
  <c r="S1216" i="2"/>
  <c r="U1216" i="2"/>
  <c r="V1216" i="2"/>
  <c r="X1216" i="2"/>
  <c r="Y1216" i="2"/>
  <c r="AA1216" i="2"/>
  <c r="AB1216" i="2"/>
  <c r="AD1216" i="2"/>
  <c r="AE1216" i="2"/>
  <c r="AG1216" i="2"/>
  <c r="AH1216" i="2"/>
  <c r="R1215" i="2"/>
  <c r="S1215" i="2"/>
  <c r="U1215" i="2"/>
  <c r="V1215" i="2"/>
  <c r="X1215" i="2"/>
  <c r="Y1215" i="2"/>
  <c r="AA1215" i="2"/>
  <c r="AB1215" i="2"/>
  <c r="AD1215" i="2"/>
  <c r="AE1215" i="2"/>
  <c r="AG1215" i="2"/>
  <c r="AH1215" i="2"/>
  <c r="R1214" i="2"/>
  <c r="S1214" i="2"/>
  <c r="U1214" i="2"/>
  <c r="V1214" i="2"/>
  <c r="X1214" i="2"/>
  <c r="Y1214" i="2"/>
  <c r="AA1214" i="2"/>
  <c r="AB1214" i="2"/>
  <c r="AD1214" i="2"/>
  <c r="AE1214" i="2"/>
  <c r="AG1214" i="2"/>
  <c r="AH1214" i="2"/>
  <c r="R1213" i="2"/>
  <c r="S1213" i="2"/>
  <c r="U1213" i="2"/>
  <c r="V1213" i="2"/>
  <c r="X1213" i="2"/>
  <c r="Y1213" i="2"/>
  <c r="AA1213" i="2"/>
  <c r="AB1213" i="2"/>
  <c r="AD1213" i="2"/>
  <c r="AE1213" i="2"/>
  <c r="AG1213" i="2"/>
  <c r="AH1213" i="2"/>
  <c r="R1212" i="2"/>
  <c r="S1212" i="2"/>
  <c r="U1212" i="2"/>
  <c r="V1212" i="2"/>
  <c r="X1212" i="2"/>
  <c r="Y1212" i="2"/>
  <c r="AA1212" i="2"/>
  <c r="AB1212" i="2"/>
  <c r="AD1212" i="2"/>
  <c r="AE1212" i="2"/>
  <c r="AG1212" i="2"/>
  <c r="AH1212" i="2"/>
  <c r="R1211" i="2"/>
  <c r="S1211" i="2"/>
  <c r="U1211" i="2"/>
  <c r="V1211" i="2"/>
  <c r="X1211" i="2"/>
  <c r="Y1211" i="2"/>
  <c r="AA1211" i="2"/>
  <c r="AB1211" i="2"/>
  <c r="AD1211" i="2"/>
  <c r="AE1211" i="2"/>
  <c r="AG1211" i="2"/>
  <c r="AH1211" i="2"/>
  <c r="R1210" i="2"/>
  <c r="S1210" i="2"/>
  <c r="U1210" i="2"/>
  <c r="V1210" i="2"/>
  <c r="X1210" i="2"/>
  <c r="Y1210" i="2"/>
  <c r="AA1210" i="2"/>
  <c r="AB1210" i="2"/>
  <c r="AD1210" i="2"/>
  <c r="AE1210" i="2"/>
  <c r="AG1210" i="2"/>
  <c r="AH1210" i="2"/>
  <c r="R1209" i="2"/>
  <c r="S1209" i="2"/>
  <c r="U1209" i="2"/>
  <c r="V1209" i="2"/>
  <c r="X1209" i="2"/>
  <c r="Y1209" i="2"/>
  <c r="AA1209" i="2"/>
  <c r="AB1209" i="2"/>
  <c r="AD1209" i="2"/>
  <c r="AE1209" i="2"/>
  <c r="AG1209" i="2"/>
  <c r="AH1209" i="2"/>
  <c r="R1208" i="2"/>
  <c r="S1208" i="2"/>
  <c r="U1208" i="2"/>
  <c r="V1208" i="2"/>
  <c r="X1208" i="2"/>
  <c r="Y1208" i="2"/>
  <c r="AA1208" i="2"/>
  <c r="AB1208" i="2"/>
  <c r="AD1208" i="2"/>
  <c r="AE1208" i="2"/>
  <c r="AG1208" i="2"/>
  <c r="AH1208" i="2"/>
  <c r="R1207" i="2"/>
  <c r="S1207" i="2"/>
  <c r="U1207" i="2"/>
  <c r="V1207" i="2"/>
  <c r="X1207" i="2"/>
  <c r="Y1207" i="2"/>
  <c r="AA1207" i="2"/>
  <c r="AB1207" i="2"/>
  <c r="AD1207" i="2"/>
  <c r="AE1207" i="2"/>
  <c r="AG1207" i="2"/>
  <c r="AH1207" i="2"/>
  <c r="R1206" i="2"/>
  <c r="S1206" i="2"/>
  <c r="U1206" i="2"/>
  <c r="V1206" i="2"/>
  <c r="X1206" i="2"/>
  <c r="Y1206" i="2"/>
  <c r="AA1206" i="2"/>
  <c r="AB1206" i="2"/>
  <c r="AD1206" i="2"/>
  <c r="AE1206" i="2"/>
  <c r="AG1206" i="2"/>
  <c r="AH1206" i="2"/>
  <c r="R1205" i="2"/>
  <c r="S1205" i="2"/>
  <c r="U1205" i="2"/>
  <c r="V1205" i="2"/>
  <c r="X1205" i="2"/>
  <c r="Y1205" i="2"/>
  <c r="AA1205" i="2"/>
  <c r="AB1205" i="2"/>
  <c r="AD1205" i="2"/>
  <c r="AE1205" i="2"/>
  <c r="AG1205" i="2"/>
  <c r="AH1205" i="2"/>
  <c r="R1204" i="2"/>
  <c r="S1204" i="2"/>
  <c r="U1204" i="2"/>
  <c r="V1204" i="2"/>
  <c r="X1204" i="2"/>
  <c r="Y1204" i="2"/>
  <c r="AA1204" i="2"/>
  <c r="AB1204" i="2"/>
  <c r="AD1204" i="2"/>
  <c r="AE1204" i="2"/>
  <c r="AG1204" i="2"/>
  <c r="AH1204" i="2"/>
  <c r="R1203" i="2"/>
  <c r="S1203" i="2"/>
  <c r="U1203" i="2"/>
  <c r="V1203" i="2"/>
  <c r="X1203" i="2"/>
  <c r="Y1203" i="2"/>
  <c r="AA1203" i="2"/>
  <c r="AB1203" i="2"/>
  <c r="AD1203" i="2"/>
  <c r="AE1203" i="2"/>
  <c r="AG1203" i="2"/>
  <c r="AH1203" i="2"/>
  <c r="R1202" i="2"/>
  <c r="S1202" i="2"/>
  <c r="U1202" i="2"/>
  <c r="V1202" i="2"/>
  <c r="X1202" i="2"/>
  <c r="Y1202" i="2"/>
  <c r="AA1202" i="2"/>
  <c r="AB1202" i="2"/>
  <c r="AD1202" i="2"/>
  <c r="AE1202" i="2"/>
  <c r="AG1202" i="2"/>
  <c r="AH1202" i="2"/>
  <c r="R1201" i="2"/>
  <c r="S1201" i="2"/>
  <c r="U1201" i="2"/>
  <c r="V1201" i="2"/>
  <c r="X1201" i="2"/>
  <c r="Y1201" i="2"/>
  <c r="AA1201" i="2"/>
  <c r="AB1201" i="2"/>
  <c r="AD1201" i="2"/>
  <c r="AE1201" i="2"/>
  <c r="AG1201" i="2"/>
  <c r="AH1201" i="2"/>
  <c r="R1200" i="2"/>
  <c r="S1200" i="2"/>
  <c r="U1200" i="2"/>
  <c r="V1200" i="2"/>
  <c r="X1200" i="2"/>
  <c r="Y1200" i="2"/>
  <c r="AA1200" i="2"/>
  <c r="AB1200" i="2"/>
  <c r="AD1200" i="2"/>
  <c r="AE1200" i="2"/>
  <c r="AG1200" i="2"/>
  <c r="AH1200" i="2"/>
  <c r="R1199" i="2"/>
  <c r="S1199" i="2"/>
  <c r="U1199" i="2"/>
  <c r="V1199" i="2"/>
  <c r="X1199" i="2"/>
  <c r="Y1199" i="2"/>
  <c r="AA1199" i="2"/>
  <c r="AB1199" i="2"/>
  <c r="AD1199" i="2"/>
  <c r="AE1199" i="2"/>
  <c r="AG1199" i="2"/>
  <c r="AH1199" i="2"/>
  <c r="R1198" i="2"/>
  <c r="S1198" i="2"/>
  <c r="U1198" i="2"/>
  <c r="V1198" i="2"/>
  <c r="X1198" i="2"/>
  <c r="Y1198" i="2"/>
  <c r="AA1198" i="2"/>
  <c r="AB1198" i="2"/>
  <c r="AD1198" i="2"/>
  <c r="AE1198" i="2"/>
  <c r="AG1198" i="2"/>
  <c r="AH1198" i="2"/>
  <c r="R1197" i="2"/>
  <c r="S1197" i="2"/>
  <c r="U1197" i="2"/>
  <c r="V1197" i="2"/>
  <c r="X1197" i="2"/>
  <c r="Y1197" i="2"/>
  <c r="AA1197" i="2"/>
  <c r="AB1197" i="2"/>
  <c r="AD1197" i="2"/>
  <c r="AE1197" i="2"/>
  <c r="AG1197" i="2"/>
  <c r="AH1197" i="2"/>
  <c r="R1196" i="2"/>
  <c r="S1196" i="2"/>
  <c r="U1196" i="2"/>
  <c r="V1196" i="2"/>
  <c r="X1196" i="2"/>
  <c r="Y1196" i="2"/>
  <c r="AA1196" i="2"/>
  <c r="AB1196" i="2"/>
  <c r="AD1196" i="2"/>
  <c r="AE1196" i="2"/>
  <c r="AG1196" i="2"/>
  <c r="AH1196" i="2"/>
  <c r="R1195" i="2"/>
  <c r="S1195" i="2"/>
  <c r="U1195" i="2"/>
  <c r="V1195" i="2"/>
  <c r="X1195" i="2"/>
  <c r="Y1195" i="2"/>
  <c r="AA1195" i="2"/>
  <c r="AB1195" i="2"/>
  <c r="AD1195" i="2"/>
  <c r="AE1195" i="2"/>
  <c r="AG1195" i="2"/>
  <c r="AH1195" i="2"/>
  <c r="R1194" i="2"/>
  <c r="S1194" i="2"/>
  <c r="U1194" i="2"/>
  <c r="V1194" i="2"/>
  <c r="X1194" i="2"/>
  <c r="Y1194" i="2"/>
  <c r="AA1194" i="2"/>
  <c r="AB1194" i="2"/>
  <c r="AD1194" i="2"/>
  <c r="AE1194" i="2"/>
  <c r="AG1194" i="2"/>
  <c r="AH1194" i="2"/>
  <c r="R1193" i="2"/>
  <c r="S1193" i="2"/>
  <c r="U1193" i="2"/>
  <c r="V1193" i="2"/>
  <c r="X1193" i="2"/>
  <c r="Y1193" i="2"/>
  <c r="AA1193" i="2"/>
  <c r="AB1193" i="2"/>
  <c r="AD1193" i="2"/>
  <c r="AE1193" i="2"/>
  <c r="AG1193" i="2"/>
  <c r="AH1193" i="2"/>
  <c r="R1192" i="2"/>
  <c r="S1192" i="2"/>
  <c r="U1192" i="2"/>
  <c r="V1192" i="2"/>
  <c r="X1192" i="2"/>
  <c r="Y1192" i="2"/>
  <c r="AA1192" i="2"/>
  <c r="AB1192" i="2"/>
  <c r="AD1192" i="2"/>
  <c r="AE1192" i="2"/>
  <c r="AG1192" i="2"/>
  <c r="AH1192" i="2"/>
  <c r="R1191" i="2"/>
  <c r="S1191" i="2"/>
  <c r="U1191" i="2"/>
  <c r="V1191" i="2"/>
  <c r="X1191" i="2"/>
  <c r="Y1191" i="2"/>
  <c r="AA1191" i="2"/>
  <c r="AB1191" i="2"/>
  <c r="AD1191" i="2"/>
  <c r="AE1191" i="2"/>
  <c r="AG1191" i="2"/>
  <c r="AH1191" i="2"/>
  <c r="R1190" i="2"/>
  <c r="S1190" i="2"/>
  <c r="U1190" i="2"/>
  <c r="V1190" i="2"/>
  <c r="X1190" i="2"/>
  <c r="Y1190" i="2"/>
  <c r="AA1190" i="2"/>
  <c r="AB1190" i="2"/>
  <c r="AD1190" i="2"/>
  <c r="AE1190" i="2"/>
  <c r="AG1190" i="2"/>
  <c r="AH1190" i="2"/>
  <c r="R1189" i="2"/>
  <c r="S1189" i="2"/>
  <c r="U1189" i="2"/>
  <c r="V1189" i="2"/>
  <c r="X1189" i="2"/>
  <c r="Y1189" i="2"/>
  <c r="AA1189" i="2"/>
  <c r="AB1189" i="2"/>
  <c r="AD1189" i="2"/>
  <c r="AE1189" i="2"/>
  <c r="AG1189" i="2"/>
  <c r="AH1189" i="2"/>
  <c r="R1188" i="2"/>
  <c r="S1188" i="2"/>
  <c r="U1188" i="2"/>
  <c r="V1188" i="2"/>
  <c r="X1188" i="2"/>
  <c r="Y1188" i="2"/>
  <c r="AA1188" i="2"/>
  <c r="AB1188" i="2"/>
  <c r="AD1188" i="2"/>
  <c r="AE1188" i="2"/>
  <c r="AG1188" i="2"/>
  <c r="AH1188" i="2"/>
  <c r="R1187" i="2"/>
  <c r="S1187" i="2"/>
  <c r="U1187" i="2"/>
  <c r="V1187" i="2"/>
  <c r="X1187" i="2"/>
  <c r="Y1187" i="2"/>
  <c r="AA1187" i="2"/>
  <c r="AB1187" i="2"/>
  <c r="AD1187" i="2"/>
  <c r="AE1187" i="2"/>
  <c r="AG1187" i="2"/>
  <c r="AH1187" i="2"/>
  <c r="R1186" i="2"/>
  <c r="S1186" i="2"/>
  <c r="U1186" i="2"/>
  <c r="V1186" i="2"/>
  <c r="X1186" i="2"/>
  <c r="Y1186" i="2"/>
  <c r="AA1186" i="2"/>
  <c r="AB1186" i="2"/>
  <c r="AD1186" i="2"/>
  <c r="AE1186" i="2"/>
  <c r="AG1186" i="2"/>
  <c r="AH1186" i="2"/>
  <c r="R1185" i="2"/>
  <c r="S1185" i="2"/>
  <c r="U1185" i="2"/>
  <c r="V1185" i="2"/>
  <c r="X1185" i="2"/>
  <c r="Y1185" i="2"/>
  <c r="AA1185" i="2"/>
  <c r="AB1185" i="2"/>
  <c r="AD1185" i="2"/>
  <c r="AE1185" i="2"/>
  <c r="AG1185" i="2"/>
  <c r="AH1185" i="2"/>
  <c r="R1184" i="2"/>
  <c r="S1184" i="2"/>
  <c r="U1184" i="2"/>
  <c r="V1184" i="2"/>
  <c r="X1184" i="2"/>
  <c r="Y1184" i="2"/>
  <c r="AA1184" i="2"/>
  <c r="AB1184" i="2"/>
  <c r="AD1184" i="2"/>
  <c r="AE1184" i="2"/>
  <c r="AG1184" i="2"/>
  <c r="AH1184" i="2"/>
  <c r="R1183" i="2"/>
  <c r="S1183" i="2"/>
  <c r="U1183" i="2"/>
  <c r="V1183" i="2"/>
  <c r="X1183" i="2"/>
  <c r="Y1183" i="2"/>
  <c r="AA1183" i="2"/>
  <c r="AB1183" i="2"/>
  <c r="AD1183" i="2"/>
  <c r="AE1183" i="2"/>
  <c r="AG1183" i="2"/>
  <c r="AH1183" i="2"/>
  <c r="R1182" i="2"/>
  <c r="S1182" i="2"/>
  <c r="U1182" i="2"/>
  <c r="V1182" i="2"/>
  <c r="X1182" i="2"/>
  <c r="Y1182" i="2"/>
  <c r="AA1182" i="2"/>
  <c r="AB1182" i="2"/>
  <c r="AD1182" i="2"/>
  <c r="AE1182" i="2"/>
  <c r="AG1182" i="2"/>
  <c r="AH1182" i="2"/>
  <c r="R1181" i="2"/>
  <c r="S1181" i="2"/>
  <c r="U1181" i="2"/>
  <c r="V1181" i="2"/>
  <c r="X1181" i="2"/>
  <c r="Y1181" i="2"/>
  <c r="AA1181" i="2"/>
  <c r="AB1181" i="2"/>
  <c r="AD1181" i="2"/>
  <c r="AE1181" i="2"/>
  <c r="AG1181" i="2"/>
  <c r="AH1181" i="2"/>
  <c r="R1180" i="2"/>
  <c r="S1180" i="2"/>
  <c r="U1180" i="2"/>
  <c r="V1180" i="2"/>
  <c r="X1180" i="2"/>
  <c r="Y1180" i="2"/>
  <c r="AA1180" i="2"/>
  <c r="AB1180" i="2"/>
  <c r="AD1180" i="2"/>
  <c r="AE1180" i="2"/>
  <c r="AG1180" i="2"/>
  <c r="AH1180" i="2"/>
  <c r="R1179" i="2"/>
  <c r="S1179" i="2"/>
  <c r="U1179" i="2"/>
  <c r="V1179" i="2"/>
  <c r="X1179" i="2"/>
  <c r="Y1179" i="2"/>
  <c r="AA1179" i="2"/>
  <c r="AB1179" i="2"/>
  <c r="AD1179" i="2"/>
  <c r="AE1179" i="2"/>
  <c r="AG1179" i="2"/>
  <c r="AH1179" i="2"/>
  <c r="R1178" i="2"/>
  <c r="S1178" i="2"/>
  <c r="U1178" i="2"/>
  <c r="V1178" i="2"/>
  <c r="X1178" i="2"/>
  <c r="Y1178" i="2"/>
  <c r="AA1178" i="2"/>
  <c r="AB1178" i="2"/>
  <c r="AD1178" i="2"/>
  <c r="AE1178" i="2"/>
  <c r="AG1178" i="2"/>
  <c r="AH1178" i="2"/>
  <c r="R1177" i="2"/>
  <c r="S1177" i="2"/>
  <c r="U1177" i="2"/>
  <c r="V1177" i="2"/>
  <c r="X1177" i="2"/>
  <c r="Y1177" i="2"/>
  <c r="AA1177" i="2"/>
  <c r="AB1177" i="2"/>
  <c r="AD1177" i="2"/>
  <c r="AE1177" i="2"/>
  <c r="AG1177" i="2"/>
  <c r="AH1177" i="2"/>
  <c r="R1176" i="2"/>
  <c r="S1176" i="2"/>
  <c r="U1176" i="2"/>
  <c r="V1176" i="2"/>
  <c r="X1176" i="2"/>
  <c r="Y1176" i="2"/>
  <c r="AA1176" i="2"/>
  <c r="AB1176" i="2"/>
  <c r="AD1176" i="2"/>
  <c r="AE1176" i="2"/>
  <c r="AG1176" i="2"/>
  <c r="AH1176" i="2"/>
  <c r="R1175" i="2"/>
  <c r="S1175" i="2"/>
  <c r="U1175" i="2"/>
  <c r="V1175" i="2"/>
  <c r="X1175" i="2"/>
  <c r="Y1175" i="2"/>
  <c r="AA1175" i="2"/>
  <c r="AB1175" i="2"/>
  <c r="AD1175" i="2"/>
  <c r="AE1175" i="2"/>
  <c r="AG1175" i="2"/>
  <c r="AH1175" i="2"/>
  <c r="R1174" i="2"/>
  <c r="S1174" i="2"/>
  <c r="U1174" i="2"/>
  <c r="V1174" i="2"/>
  <c r="X1174" i="2"/>
  <c r="Y1174" i="2"/>
  <c r="AA1174" i="2"/>
  <c r="AB1174" i="2"/>
  <c r="AD1174" i="2"/>
  <c r="AE1174" i="2"/>
  <c r="AG1174" i="2"/>
  <c r="AH1174" i="2"/>
  <c r="R1173" i="2"/>
  <c r="S1173" i="2"/>
  <c r="U1173" i="2"/>
  <c r="V1173" i="2"/>
  <c r="X1173" i="2"/>
  <c r="Y1173" i="2"/>
  <c r="AA1173" i="2"/>
  <c r="AB1173" i="2"/>
  <c r="AD1173" i="2"/>
  <c r="AE1173" i="2"/>
  <c r="AG1173" i="2"/>
  <c r="AH1173" i="2"/>
  <c r="R1172" i="2"/>
  <c r="S1172" i="2"/>
  <c r="U1172" i="2"/>
  <c r="V1172" i="2"/>
  <c r="X1172" i="2"/>
  <c r="Y1172" i="2"/>
  <c r="AA1172" i="2"/>
  <c r="AB1172" i="2"/>
  <c r="AD1172" i="2"/>
  <c r="AE1172" i="2"/>
  <c r="AG1172" i="2"/>
  <c r="AH1172" i="2"/>
  <c r="R1171" i="2"/>
  <c r="S1171" i="2"/>
  <c r="U1171" i="2"/>
  <c r="V1171" i="2"/>
  <c r="X1171" i="2"/>
  <c r="Y1171" i="2"/>
  <c r="AA1171" i="2"/>
  <c r="AB1171" i="2"/>
  <c r="AD1171" i="2"/>
  <c r="AE1171" i="2"/>
  <c r="AG1171" i="2"/>
  <c r="AH1171" i="2"/>
  <c r="R1170" i="2"/>
  <c r="S1170" i="2"/>
  <c r="U1170" i="2"/>
  <c r="V1170" i="2"/>
  <c r="X1170" i="2"/>
  <c r="Y1170" i="2"/>
  <c r="AA1170" i="2"/>
  <c r="AB1170" i="2"/>
  <c r="AD1170" i="2"/>
  <c r="AE1170" i="2"/>
  <c r="AG1170" i="2"/>
  <c r="AH1170" i="2"/>
  <c r="R1169" i="2"/>
  <c r="S1169" i="2"/>
  <c r="U1169" i="2"/>
  <c r="V1169" i="2"/>
  <c r="X1169" i="2"/>
  <c r="Y1169" i="2"/>
  <c r="AA1169" i="2"/>
  <c r="AB1169" i="2"/>
  <c r="AD1169" i="2"/>
  <c r="AE1169" i="2"/>
  <c r="AG1169" i="2"/>
  <c r="AH1169" i="2"/>
  <c r="R1168" i="2"/>
  <c r="S1168" i="2"/>
  <c r="U1168" i="2"/>
  <c r="V1168" i="2"/>
  <c r="X1168" i="2"/>
  <c r="Y1168" i="2"/>
  <c r="AA1168" i="2"/>
  <c r="AB1168" i="2"/>
  <c r="AD1168" i="2"/>
  <c r="AE1168" i="2"/>
  <c r="AG1168" i="2"/>
  <c r="AH1168" i="2"/>
  <c r="R1167" i="2"/>
  <c r="S1167" i="2"/>
  <c r="U1167" i="2"/>
  <c r="V1167" i="2"/>
  <c r="X1167" i="2"/>
  <c r="Y1167" i="2"/>
  <c r="AA1167" i="2"/>
  <c r="AB1167" i="2"/>
  <c r="AD1167" i="2"/>
  <c r="AE1167" i="2"/>
  <c r="AG1167" i="2"/>
  <c r="AH1167" i="2"/>
  <c r="R1166" i="2"/>
  <c r="S1166" i="2"/>
  <c r="U1166" i="2"/>
  <c r="V1166" i="2"/>
  <c r="X1166" i="2"/>
  <c r="Y1166" i="2"/>
  <c r="AA1166" i="2"/>
  <c r="AB1166" i="2"/>
  <c r="AD1166" i="2"/>
  <c r="AE1166" i="2"/>
  <c r="AG1166" i="2"/>
  <c r="AH1166" i="2"/>
  <c r="R1165" i="2"/>
  <c r="S1165" i="2"/>
  <c r="U1165" i="2"/>
  <c r="V1165" i="2"/>
  <c r="X1165" i="2"/>
  <c r="Y1165" i="2"/>
  <c r="AA1165" i="2"/>
  <c r="AB1165" i="2"/>
  <c r="AD1165" i="2"/>
  <c r="AE1165" i="2"/>
  <c r="AG1165" i="2"/>
  <c r="AH1165" i="2"/>
  <c r="R1164" i="2"/>
  <c r="S1164" i="2"/>
  <c r="U1164" i="2"/>
  <c r="V1164" i="2"/>
  <c r="X1164" i="2"/>
  <c r="Y1164" i="2"/>
  <c r="AA1164" i="2"/>
  <c r="AB1164" i="2"/>
  <c r="AD1164" i="2"/>
  <c r="AE1164" i="2"/>
  <c r="AG1164" i="2"/>
  <c r="AH1164" i="2"/>
  <c r="R1163" i="2"/>
  <c r="S1163" i="2"/>
  <c r="U1163" i="2"/>
  <c r="V1163" i="2"/>
  <c r="X1163" i="2"/>
  <c r="Y1163" i="2"/>
  <c r="AA1163" i="2"/>
  <c r="AB1163" i="2"/>
  <c r="AD1163" i="2"/>
  <c r="AE1163" i="2"/>
  <c r="AG1163" i="2"/>
  <c r="AH1163" i="2"/>
  <c r="R1162" i="2"/>
  <c r="S1162" i="2"/>
  <c r="U1162" i="2"/>
  <c r="V1162" i="2"/>
  <c r="X1162" i="2"/>
  <c r="Y1162" i="2"/>
  <c r="AA1162" i="2"/>
  <c r="AB1162" i="2"/>
  <c r="AD1162" i="2"/>
  <c r="AE1162" i="2"/>
  <c r="AG1162" i="2"/>
  <c r="AH1162" i="2"/>
  <c r="R1161" i="2"/>
  <c r="S1161" i="2"/>
  <c r="U1161" i="2"/>
  <c r="V1161" i="2"/>
  <c r="X1161" i="2"/>
  <c r="Y1161" i="2"/>
  <c r="AA1161" i="2"/>
  <c r="AB1161" i="2"/>
  <c r="AD1161" i="2"/>
  <c r="AE1161" i="2"/>
  <c r="AG1161" i="2"/>
  <c r="AH1161" i="2"/>
  <c r="R1160" i="2"/>
  <c r="S1160" i="2"/>
  <c r="U1160" i="2"/>
  <c r="V1160" i="2"/>
  <c r="X1160" i="2"/>
  <c r="Y1160" i="2"/>
  <c r="AA1160" i="2"/>
  <c r="AB1160" i="2"/>
  <c r="AD1160" i="2"/>
  <c r="AE1160" i="2"/>
  <c r="AG1160" i="2"/>
  <c r="AH1160" i="2"/>
  <c r="R1159" i="2"/>
  <c r="S1159" i="2"/>
  <c r="U1159" i="2"/>
  <c r="V1159" i="2"/>
  <c r="X1159" i="2"/>
  <c r="Y1159" i="2"/>
  <c r="AA1159" i="2"/>
  <c r="AB1159" i="2"/>
  <c r="AD1159" i="2"/>
  <c r="AE1159" i="2"/>
  <c r="AG1159" i="2"/>
  <c r="AH1159" i="2"/>
  <c r="R1158" i="2"/>
  <c r="S1158" i="2"/>
  <c r="U1158" i="2"/>
  <c r="V1158" i="2"/>
  <c r="X1158" i="2"/>
  <c r="Y1158" i="2"/>
  <c r="AA1158" i="2"/>
  <c r="AB1158" i="2"/>
  <c r="AD1158" i="2"/>
  <c r="AE1158" i="2"/>
  <c r="AG1158" i="2"/>
  <c r="AH1158" i="2"/>
  <c r="R1157" i="2"/>
  <c r="S1157" i="2"/>
  <c r="U1157" i="2"/>
  <c r="V1157" i="2"/>
  <c r="X1157" i="2"/>
  <c r="Y1157" i="2"/>
  <c r="AA1157" i="2"/>
  <c r="AB1157" i="2"/>
  <c r="AD1157" i="2"/>
  <c r="AE1157" i="2"/>
  <c r="AG1157" i="2"/>
  <c r="AH1157" i="2" s="1"/>
  <c r="R1156" i="2"/>
  <c r="S1156" i="2"/>
  <c r="U1156" i="2"/>
  <c r="V1156" i="2"/>
  <c r="X1156" i="2"/>
  <c r="Y1156" i="2"/>
  <c r="AA1156" i="2"/>
  <c r="AB1156" i="2"/>
  <c r="AD1156" i="2"/>
  <c r="AE1156" i="2"/>
  <c r="AG1156" i="2"/>
  <c r="AH1156" i="2"/>
  <c r="R1155" i="2"/>
  <c r="S1155" i="2"/>
  <c r="U1155" i="2"/>
  <c r="V1155" i="2"/>
  <c r="X1155" i="2"/>
  <c r="Y1155" i="2"/>
  <c r="AA1155" i="2"/>
  <c r="AB1155" i="2"/>
  <c r="AD1155" i="2"/>
  <c r="AE1155" i="2"/>
  <c r="AG1155" i="2"/>
  <c r="AH1155" i="2"/>
  <c r="R1154" i="2"/>
  <c r="S1154" i="2"/>
  <c r="U1154" i="2"/>
  <c r="V1154" i="2"/>
  <c r="X1154" i="2"/>
  <c r="Y1154" i="2"/>
  <c r="AA1154" i="2"/>
  <c r="AB1154" i="2"/>
  <c r="AD1154" i="2"/>
  <c r="AE1154" i="2"/>
  <c r="AG1154" i="2"/>
  <c r="AH1154" i="2"/>
  <c r="R1153" i="2"/>
  <c r="S1153" i="2"/>
  <c r="U1153" i="2"/>
  <c r="V1153" i="2"/>
  <c r="X1153" i="2"/>
  <c r="Y1153" i="2"/>
  <c r="AA1153" i="2"/>
  <c r="AB1153" i="2"/>
  <c r="AD1153" i="2"/>
  <c r="AE1153" i="2"/>
  <c r="AG1153" i="2"/>
  <c r="AH1153" i="2"/>
  <c r="R1152" i="2"/>
  <c r="S1152" i="2"/>
  <c r="U1152" i="2"/>
  <c r="V1152" i="2"/>
  <c r="X1152" i="2"/>
  <c r="Y1152" i="2"/>
  <c r="AA1152" i="2"/>
  <c r="AB1152" i="2"/>
  <c r="AD1152" i="2"/>
  <c r="AE1152" i="2"/>
  <c r="AG1152" i="2"/>
  <c r="AH1152" i="2"/>
  <c r="R1151" i="2"/>
  <c r="S1151" i="2"/>
  <c r="U1151" i="2"/>
  <c r="V1151" i="2"/>
  <c r="X1151" i="2"/>
  <c r="Y1151" i="2"/>
  <c r="AA1151" i="2"/>
  <c r="AB1151" i="2"/>
  <c r="AD1151" i="2"/>
  <c r="AE1151" i="2"/>
  <c r="AG1151" i="2"/>
  <c r="AH1151" i="2"/>
  <c r="R1150" i="2"/>
  <c r="S1150" i="2"/>
  <c r="U1150" i="2"/>
  <c r="V1150" i="2"/>
  <c r="X1150" i="2"/>
  <c r="Y1150" i="2"/>
  <c r="AA1150" i="2"/>
  <c r="AB1150" i="2"/>
  <c r="AD1150" i="2"/>
  <c r="AE1150" i="2"/>
  <c r="AG1150" i="2"/>
  <c r="AH1150" i="2"/>
  <c r="R1149" i="2"/>
  <c r="S1149" i="2"/>
  <c r="U1149" i="2"/>
  <c r="V1149" i="2"/>
  <c r="X1149" i="2"/>
  <c r="Y1149" i="2"/>
  <c r="AA1149" i="2"/>
  <c r="AB1149" i="2"/>
  <c r="AD1149" i="2"/>
  <c r="AE1149" i="2"/>
  <c r="AG1149" i="2"/>
  <c r="AH1149" i="2"/>
  <c r="R1148" i="2"/>
  <c r="S1148" i="2"/>
  <c r="U1148" i="2"/>
  <c r="V1148" i="2"/>
  <c r="X1148" i="2"/>
  <c r="Y1148" i="2"/>
  <c r="AA1148" i="2"/>
  <c r="AB1148" i="2"/>
  <c r="AD1148" i="2"/>
  <c r="AE1148" i="2" s="1"/>
  <c r="AG1148" i="2"/>
  <c r="AH1148" i="2"/>
  <c r="R1147" i="2"/>
  <c r="S1147" i="2"/>
  <c r="U1147" i="2"/>
  <c r="V1147" i="2"/>
  <c r="X1147" i="2"/>
  <c r="Y1147" i="2"/>
  <c r="AA1147" i="2"/>
  <c r="AB1147" i="2"/>
  <c r="AD1147" i="2"/>
  <c r="AE1147" i="2"/>
  <c r="AG1147" i="2"/>
  <c r="AH1147" i="2"/>
  <c r="R1146" i="2"/>
  <c r="S1146" i="2"/>
  <c r="U1146" i="2"/>
  <c r="V1146" i="2"/>
  <c r="X1146" i="2"/>
  <c r="Y1146" i="2"/>
  <c r="AA1146" i="2"/>
  <c r="AB1146" i="2"/>
  <c r="AD1146" i="2"/>
  <c r="AE1146" i="2"/>
  <c r="AG1146" i="2"/>
  <c r="AH1146" i="2"/>
  <c r="R1145" i="2"/>
  <c r="S1145" i="2"/>
  <c r="U1145" i="2"/>
  <c r="V1145" i="2"/>
  <c r="X1145" i="2"/>
  <c r="Y1145" i="2"/>
  <c r="AA1145" i="2"/>
  <c r="AB1145" i="2"/>
  <c r="AD1145" i="2"/>
  <c r="AE1145" i="2"/>
  <c r="AG1145" i="2"/>
  <c r="AH1145" i="2"/>
  <c r="R1144" i="2"/>
  <c r="S1144" i="2"/>
  <c r="U1144" i="2"/>
  <c r="V1144" i="2"/>
  <c r="X1144" i="2"/>
  <c r="Y1144" i="2"/>
  <c r="AA1144" i="2"/>
  <c r="AB1144" i="2"/>
  <c r="AD1144" i="2"/>
  <c r="AE1144" i="2"/>
  <c r="AG1144" i="2"/>
  <c r="AH1144" i="2"/>
  <c r="R1143" i="2"/>
  <c r="S1143" i="2"/>
  <c r="U1143" i="2"/>
  <c r="V1143" i="2"/>
  <c r="X1143" i="2"/>
  <c r="Y1143" i="2"/>
  <c r="AA1143" i="2"/>
  <c r="AB1143" i="2"/>
  <c r="AD1143" i="2"/>
  <c r="AE1143" i="2"/>
  <c r="AG1143" i="2"/>
  <c r="AH1143" i="2"/>
  <c r="R1142" i="2"/>
  <c r="S1142" i="2"/>
  <c r="U1142" i="2"/>
  <c r="V1142" i="2"/>
  <c r="X1142" i="2"/>
  <c r="Y1142" i="2"/>
  <c r="AA1142" i="2"/>
  <c r="AB1142" i="2"/>
  <c r="AD1142" i="2"/>
  <c r="AE1142" i="2"/>
  <c r="AG1142" i="2"/>
  <c r="AH1142" i="2"/>
  <c r="R1141" i="2"/>
  <c r="S1141" i="2"/>
  <c r="U1141" i="2"/>
  <c r="V1141" i="2"/>
  <c r="X1141" i="2"/>
  <c r="Y1141" i="2"/>
  <c r="AA1141" i="2"/>
  <c r="AB1141" i="2"/>
  <c r="AD1141" i="2"/>
  <c r="AE1141" i="2"/>
  <c r="AG1141" i="2"/>
  <c r="AH1141" i="2"/>
  <c r="R1140" i="2"/>
  <c r="S1140" i="2"/>
  <c r="U1140" i="2"/>
  <c r="V1140" i="2"/>
  <c r="X1140" i="2"/>
  <c r="Y1140" i="2"/>
  <c r="AA1140" i="2"/>
  <c r="AB1140" i="2"/>
  <c r="AD1140" i="2"/>
  <c r="AE1140" i="2"/>
  <c r="AG1140" i="2"/>
  <c r="AH1140" i="2"/>
  <c r="R1139" i="2"/>
  <c r="S1139" i="2"/>
  <c r="U1139" i="2"/>
  <c r="V1139" i="2"/>
  <c r="X1139" i="2"/>
  <c r="Y1139" i="2"/>
  <c r="AA1139" i="2"/>
  <c r="AB1139" i="2"/>
  <c r="AD1139" i="2"/>
  <c r="AE1139" i="2"/>
  <c r="AG1139" i="2"/>
  <c r="AH1139" i="2"/>
  <c r="R1138" i="2"/>
  <c r="S1138" i="2"/>
  <c r="U1138" i="2"/>
  <c r="V1138" i="2"/>
  <c r="X1138" i="2"/>
  <c r="Y1138" i="2"/>
  <c r="AA1138" i="2"/>
  <c r="AB1138" i="2"/>
  <c r="AD1138" i="2"/>
  <c r="AE1138" i="2"/>
  <c r="AG1138" i="2"/>
  <c r="AH1138" i="2"/>
  <c r="R1137" i="2"/>
  <c r="S1137" i="2"/>
  <c r="U1137" i="2"/>
  <c r="V1137" i="2"/>
  <c r="X1137" i="2"/>
  <c r="Y1137" i="2"/>
  <c r="AA1137" i="2"/>
  <c r="AB1137" i="2"/>
  <c r="AD1137" i="2"/>
  <c r="AE1137" i="2"/>
  <c r="AG1137" i="2"/>
  <c r="AH1137" i="2"/>
  <c r="R1136" i="2"/>
  <c r="S1136" i="2"/>
  <c r="U1136" i="2"/>
  <c r="V1136" i="2"/>
  <c r="X1136" i="2"/>
  <c r="Y1136" i="2"/>
  <c r="AA1136" i="2"/>
  <c r="AB1136" i="2"/>
  <c r="AD1136" i="2"/>
  <c r="AE1136" i="2"/>
  <c r="AG1136" i="2"/>
  <c r="AH1136" i="2"/>
  <c r="R1135" i="2"/>
  <c r="S1135" i="2"/>
  <c r="U1135" i="2"/>
  <c r="V1135" i="2"/>
  <c r="X1135" i="2"/>
  <c r="Y1135" i="2"/>
  <c r="AA1135" i="2"/>
  <c r="AB1135" i="2"/>
  <c r="AD1135" i="2"/>
  <c r="AE1135" i="2"/>
  <c r="AG1135" i="2"/>
  <c r="AH1135" i="2"/>
  <c r="R1134" i="2"/>
  <c r="S1134" i="2"/>
  <c r="U1134" i="2"/>
  <c r="V1134" i="2"/>
  <c r="X1134" i="2"/>
  <c r="Y1134" i="2"/>
  <c r="AA1134" i="2"/>
  <c r="AB1134" i="2"/>
  <c r="AD1134" i="2"/>
  <c r="AE1134" i="2"/>
  <c r="AG1134" i="2"/>
  <c r="AH1134" i="2"/>
  <c r="R1133" i="2"/>
  <c r="S1133" i="2"/>
  <c r="U1133" i="2"/>
  <c r="V1133" i="2"/>
  <c r="X1133" i="2"/>
  <c r="Y1133" i="2"/>
  <c r="AA1133" i="2"/>
  <c r="AB1133" i="2"/>
  <c r="AD1133" i="2"/>
  <c r="AE1133" i="2"/>
  <c r="AG1133" i="2"/>
  <c r="AH1133" i="2"/>
  <c r="R1132" i="2"/>
  <c r="S1132" i="2"/>
  <c r="U1132" i="2"/>
  <c r="V1132" i="2"/>
  <c r="X1132" i="2"/>
  <c r="Y1132" i="2"/>
  <c r="AA1132" i="2"/>
  <c r="AB1132" i="2"/>
  <c r="AD1132" i="2"/>
  <c r="AE1132" i="2"/>
  <c r="AG1132" i="2"/>
  <c r="AH1132" i="2"/>
  <c r="R1131" i="2"/>
  <c r="S1131" i="2"/>
  <c r="U1131" i="2"/>
  <c r="V1131" i="2"/>
  <c r="X1131" i="2"/>
  <c r="Y1131" i="2"/>
  <c r="AA1131" i="2"/>
  <c r="AB1131" i="2"/>
  <c r="AD1131" i="2"/>
  <c r="AE1131" i="2"/>
  <c r="AG1131" i="2"/>
  <c r="AH1131" i="2"/>
  <c r="R1130" i="2"/>
  <c r="S1130" i="2"/>
  <c r="U1130" i="2"/>
  <c r="V1130" i="2"/>
  <c r="X1130" i="2"/>
  <c r="Y1130" i="2"/>
  <c r="AA1130" i="2"/>
  <c r="AB1130" i="2"/>
  <c r="AD1130" i="2"/>
  <c r="AE1130" i="2"/>
  <c r="AG1130" i="2"/>
  <c r="AH1130" i="2"/>
  <c r="R1129" i="2"/>
  <c r="S1129" i="2"/>
  <c r="U1129" i="2"/>
  <c r="V1129" i="2"/>
  <c r="X1129" i="2"/>
  <c r="Y1129" i="2"/>
  <c r="AA1129" i="2"/>
  <c r="AB1129" i="2"/>
  <c r="AD1129" i="2"/>
  <c r="AE1129" i="2"/>
  <c r="AG1129" i="2"/>
  <c r="AH1129" i="2"/>
  <c r="R1128" i="2"/>
  <c r="S1128" i="2"/>
  <c r="U1128" i="2"/>
  <c r="V1128" i="2"/>
  <c r="X1128" i="2"/>
  <c r="Y1128" i="2"/>
  <c r="AA1128" i="2"/>
  <c r="AB1128" i="2"/>
  <c r="AD1128" i="2"/>
  <c r="AE1128" i="2"/>
  <c r="AG1128" i="2"/>
  <c r="AH1128" i="2"/>
  <c r="R1127" i="2"/>
  <c r="S1127" i="2"/>
  <c r="U1127" i="2"/>
  <c r="V1127" i="2"/>
  <c r="X1127" i="2"/>
  <c r="Y1127" i="2"/>
  <c r="AA1127" i="2"/>
  <c r="AB1127" i="2"/>
  <c r="AD1127" i="2"/>
  <c r="AE1127" i="2"/>
  <c r="AG1127" i="2"/>
  <c r="AH1127" i="2"/>
  <c r="R1126" i="2"/>
  <c r="S1126" i="2"/>
  <c r="U1126" i="2"/>
  <c r="V1126" i="2"/>
  <c r="X1126" i="2"/>
  <c r="Y1126" i="2"/>
  <c r="AA1126" i="2"/>
  <c r="AB1126" i="2"/>
  <c r="AD1126" i="2"/>
  <c r="AE1126" i="2"/>
  <c r="AG1126" i="2"/>
  <c r="AH1126" i="2"/>
  <c r="R1125" i="2"/>
  <c r="S1125" i="2"/>
  <c r="U1125" i="2"/>
  <c r="V1125" i="2"/>
  <c r="X1125" i="2"/>
  <c r="Y1125" i="2"/>
  <c r="AA1125" i="2"/>
  <c r="AB1125" i="2"/>
  <c r="AD1125" i="2"/>
  <c r="AE1125" i="2"/>
  <c r="AG1125" i="2"/>
  <c r="AH1125" i="2"/>
  <c r="R1124" i="2"/>
  <c r="S1124" i="2"/>
  <c r="U1124" i="2"/>
  <c r="V1124" i="2"/>
  <c r="X1124" i="2"/>
  <c r="Y1124" i="2"/>
  <c r="AA1124" i="2"/>
  <c r="AB1124" i="2"/>
  <c r="AD1124" i="2"/>
  <c r="AE1124" i="2"/>
  <c r="AG1124" i="2"/>
  <c r="AH1124" i="2"/>
  <c r="R1123" i="2"/>
  <c r="S1123" i="2"/>
  <c r="U1123" i="2"/>
  <c r="V1123" i="2"/>
  <c r="X1123" i="2"/>
  <c r="Y1123" i="2"/>
  <c r="AA1123" i="2"/>
  <c r="AB1123" i="2"/>
  <c r="AD1123" i="2"/>
  <c r="AE1123" i="2"/>
  <c r="AG1123" i="2"/>
  <c r="AH1123" i="2"/>
  <c r="R1122" i="2"/>
  <c r="S1122" i="2"/>
  <c r="U1122" i="2"/>
  <c r="V1122" i="2"/>
  <c r="X1122" i="2"/>
  <c r="Y1122" i="2"/>
  <c r="AA1122" i="2"/>
  <c r="AB1122" i="2"/>
  <c r="AD1122" i="2"/>
  <c r="AE1122" i="2"/>
  <c r="AG1122" i="2"/>
  <c r="AH1122" i="2"/>
  <c r="R1121" i="2"/>
  <c r="S1121" i="2"/>
  <c r="U1121" i="2"/>
  <c r="V1121" i="2"/>
  <c r="X1121" i="2"/>
  <c r="Y1121" i="2"/>
  <c r="AA1121" i="2"/>
  <c r="AB1121" i="2"/>
  <c r="AD1121" i="2"/>
  <c r="AE1121" i="2"/>
  <c r="AG1121" i="2"/>
  <c r="AH1121" i="2"/>
  <c r="R1120" i="2"/>
  <c r="S1120" i="2"/>
  <c r="U1120" i="2"/>
  <c r="V1120" i="2"/>
  <c r="X1120" i="2"/>
  <c r="Y1120" i="2"/>
  <c r="AA1120" i="2"/>
  <c r="AB1120" i="2"/>
  <c r="AD1120" i="2"/>
  <c r="AE1120" i="2"/>
  <c r="AG1120" i="2"/>
  <c r="AH1120" i="2"/>
  <c r="R1119" i="2"/>
  <c r="S1119" i="2"/>
  <c r="U1119" i="2"/>
  <c r="V1119" i="2"/>
  <c r="X1119" i="2"/>
  <c r="Y1119" i="2"/>
  <c r="AA1119" i="2"/>
  <c r="AB1119" i="2"/>
  <c r="AD1119" i="2"/>
  <c r="AE1119" i="2"/>
  <c r="AG1119" i="2"/>
  <c r="AH1119" i="2"/>
  <c r="R1118" i="2"/>
  <c r="S1118" i="2"/>
  <c r="U1118" i="2"/>
  <c r="V1118" i="2"/>
  <c r="X1118" i="2"/>
  <c r="Y1118" i="2"/>
  <c r="AA1118" i="2"/>
  <c r="AB1118" i="2"/>
  <c r="AD1118" i="2"/>
  <c r="AE1118" i="2"/>
  <c r="AG1118" i="2"/>
  <c r="AH1118" i="2"/>
  <c r="R1117" i="2"/>
  <c r="S1117" i="2"/>
  <c r="U1117" i="2"/>
  <c r="V1117" i="2"/>
  <c r="X1117" i="2"/>
  <c r="Y1117" i="2"/>
  <c r="AA1117" i="2"/>
  <c r="AB1117" i="2"/>
  <c r="AD1117" i="2"/>
  <c r="AE1117" i="2"/>
  <c r="AG1117" i="2"/>
  <c r="AH1117" i="2"/>
  <c r="R1116" i="2"/>
  <c r="S1116" i="2"/>
  <c r="U1116" i="2"/>
  <c r="V1116" i="2"/>
  <c r="X1116" i="2"/>
  <c r="Y1116" i="2"/>
  <c r="AA1116" i="2"/>
  <c r="AB1116" i="2"/>
  <c r="AD1116" i="2"/>
  <c r="AE1116" i="2"/>
  <c r="AG1116" i="2"/>
  <c r="AH1116" i="2"/>
  <c r="R1115" i="2"/>
  <c r="S1115" i="2"/>
  <c r="U1115" i="2"/>
  <c r="V1115" i="2"/>
  <c r="X1115" i="2"/>
  <c r="Y1115" i="2"/>
  <c r="AA1115" i="2"/>
  <c r="AB1115" i="2"/>
  <c r="AD1115" i="2"/>
  <c r="AE1115" i="2"/>
  <c r="AG1115" i="2"/>
  <c r="AH1115" i="2"/>
  <c r="R1114" i="2"/>
  <c r="S1114" i="2"/>
  <c r="U1114" i="2"/>
  <c r="V1114" i="2"/>
  <c r="X1114" i="2"/>
  <c r="Y1114" i="2"/>
  <c r="AA1114" i="2"/>
  <c r="AB1114" i="2"/>
  <c r="AD1114" i="2"/>
  <c r="AE1114" i="2"/>
  <c r="AG1114" i="2"/>
  <c r="AH1114" i="2"/>
  <c r="R1113" i="2"/>
  <c r="S1113" i="2"/>
  <c r="U1113" i="2"/>
  <c r="V1113" i="2"/>
  <c r="X1113" i="2"/>
  <c r="Y1113" i="2"/>
  <c r="AA1113" i="2"/>
  <c r="AB1113" i="2"/>
  <c r="AD1113" i="2"/>
  <c r="AE1113" i="2"/>
  <c r="AG1113" i="2"/>
  <c r="AH1113" i="2"/>
  <c r="R1112" i="2"/>
  <c r="S1112" i="2"/>
  <c r="U1112" i="2"/>
  <c r="V1112" i="2"/>
  <c r="X1112" i="2"/>
  <c r="Y1112" i="2"/>
  <c r="AA1112" i="2"/>
  <c r="AB1112" i="2"/>
  <c r="AD1112" i="2"/>
  <c r="AE1112" i="2"/>
  <c r="AG1112" i="2"/>
  <c r="AH1112" i="2"/>
  <c r="R1111" i="2"/>
  <c r="S1111" i="2"/>
  <c r="U1111" i="2"/>
  <c r="V1111" i="2"/>
  <c r="X1111" i="2"/>
  <c r="Y1111" i="2"/>
  <c r="AA1111" i="2"/>
  <c r="AB1111" i="2"/>
  <c r="AD1111" i="2"/>
  <c r="AE1111" i="2"/>
  <c r="AG1111" i="2"/>
  <c r="AH1111" i="2"/>
  <c r="R1110" i="2"/>
  <c r="S1110" i="2"/>
  <c r="U1110" i="2"/>
  <c r="V1110" i="2"/>
  <c r="X1110" i="2"/>
  <c r="Y1110" i="2"/>
  <c r="AA1110" i="2"/>
  <c r="AB1110" i="2"/>
  <c r="AD1110" i="2"/>
  <c r="AE1110" i="2"/>
  <c r="AG1110" i="2"/>
  <c r="AH1110" i="2"/>
  <c r="R1109" i="2"/>
  <c r="S1109" i="2"/>
  <c r="U1109" i="2"/>
  <c r="V1109" i="2"/>
  <c r="X1109" i="2"/>
  <c r="Y1109" i="2"/>
  <c r="AA1109" i="2"/>
  <c r="AB1109" i="2"/>
  <c r="AD1109" i="2"/>
  <c r="AE1109" i="2"/>
  <c r="AG1109" i="2"/>
  <c r="AH1109" i="2"/>
  <c r="R1108" i="2"/>
  <c r="S1108" i="2"/>
  <c r="U1108" i="2"/>
  <c r="V1108" i="2"/>
  <c r="X1108" i="2"/>
  <c r="Y1108" i="2"/>
  <c r="AA1108" i="2"/>
  <c r="AB1108" i="2"/>
  <c r="AD1108" i="2"/>
  <c r="AE1108" i="2"/>
  <c r="AG1108" i="2"/>
  <c r="AH1108" i="2"/>
  <c r="R1107" i="2"/>
  <c r="S1107" i="2"/>
  <c r="U1107" i="2"/>
  <c r="V1107" i="2"/>
  <c r="X1107" i="2"/>
  <c r="Y1107" i="2"/>
  <c r="AA1107" i="2"/>
  <c r="AB1107" i="2"/>
  <c r="AD1107" i="2"/>
  <c r="AE1107" i="2"/>
  <c r="AG1107" i="2"/>
  <c r="AH1107" i="2"/>
  <c r="R1106" i="2"/>
  <c r="S1106" i="2"/>
  <c r="U1106" i="2"/>
  <c r="V1106" i="2"/>
  <c r="X1106" i="2"/>
  <c r="Y1106" i="2"/>
  <c r="AA1106" i="2"/>
  <c r="AB1106" i="2"/>
  <c r="AD1106" i="2"/>
  <c r="AE1106" i="2"/>
  <c r="AG1106" i="2"/>
  <c r="AH1106" i="2"/>
  <c r="R1105" i="2"/>
  <c r="S1105" i="2"/>
  <c r="U1105" i="2"/>
  <c r="V1105" i="2"/>
  <c r="X1105" i="2"/>
  <c r="Y1105" i="2"/>
  <c r="AA1105" i="2"/>
  <c r="AB1105" i="2"/>
  <c r="AD1105" i="2"/>
  <c r="AE1105" i="2"/>
  <c r="AG1105" i="2"/>
  <c r="AH1105" i="2"/>
  <c r="R1104" i="2"/>
  <c r="S1104" i="2"/>
  <c r="U1104" i="2"/>
  <c r="V1104" i="2"/>
  <c r="X1104" i="2"/>
  <c r="Y1104" i="2"/>
  <c r="AA1104" i="2"/>
  <c r="AB1104" i="2"/>
  <c r="AD1104" i="2"/>
  <c r="AE1104" i="2"/>
  <c r="AG1104" i="2"/>
  <c r="AH1104" i="2"/>
  <c r="R1103" i="2"/>
  <c r="S1103" i="2"/>
  <c r="U1103" i="2"/>
  <c r="V1103" i="2"/>
  <c r="X1103" i="2"/>
  <c r="Y1103" i="2"/>
  <c r="AA1103" i="2"/>
  <c r="AB1103" i="2"/>
  <c r="AD1103" i="2"/>
  <c r="AE1103" i="2"/>
  <c r="AG1103" i="2"/>
  <c r="AH1103" i="2"/>
  <c r="R1102" i="2"/>
  <c r="S1102" i="2"/>
  <c r="U1102" i="2"/>
  <c r="V1102" i="2"/>
  <c r="X1102" i="2"/>
  <c r="Y1102" i="2"/>
  <c r="AA1102" i="2"/>
  <c r="AB1102" i="2"/>
  <c r="AD1102" i="2"/>
  <c r="AE1102" i="2"/>
  <c r="AG1102" i="2"/>
  <c r="AH1102" i="2"/>
  <c r="R1101" i="2"/>
  <c r="S1101" i="2"/>
  <c r="U1101" i="2"/>
  <c r="V1101" i="2"/>
  <c r="X1101" i="2"/>
  <c r="Y1101" i="2"/>
  <c r="AA1101" i="2"/>
  <c r="AB1101" i="2"/>
  <c r="AD1101" i="2"/>
  <c r="AE1101" i="2"/>
  <c r="AG1101" i="2"/>
  <c r="AH1101" i="2"/>
  <c r="R1100" i="2"/>
  <c r="S1100" i="2"/>
  <c r="U1100" i="2"/>
  <c r="V1100" i="2"/>
  <c r="X1100" i="2"/>
  <c r="Y1100" i="2"/>
  <c r="AA1100" i="2"/>
  <c r="AB1100" i="2"/>
  <c r="AD1100" i="2"/>
  <c r="AE1100" i="2"/>
  <c r="AG1100" i="2"/>
  <c r="AH1100" i="2"/>
  <c r="R1099" i="2"/>
  <c r="S1099" i="2"/>
  <c r="U1099" i="2"/>
  <c r="V1099" i="2"/>
  <c r="X1099" i="2"/>
  <c r="Y1099" i="2"/>
  <c r="AA1099" i="2"/>
  <c r="AB1099" i="2"/>
  <c r="AD1099" i="2"/>
  <c r="AE1099" i="2"/>
  <c r="AG1099" i="2"/>
  <c r="AH1099" i="2"/>
  <c r="R1098" i="2"/>
  <c r="S1098" i="2"/>
  <c r="U1098" i="2"/>
  <c r="V1098" i="2"/>
  <c r="X1098" i="2"/>
  <c r="Y1098" i="2"/>
  <c r="AA1098" i="2"/>
  <c r="AB1098" i="2"/>
  <c r="AD1098" i="2"/>
  <c r="AE1098" i="2"/>
  <c r="AG1098" i="2"/>
  <c r="AH1098" i="2"/>
  <c r="R1097" i="2"/>
  <c r="S1097" i="2"/>
  <c r="U1097" i="2"/>
  <c r="V1097" i="2"/>
  <c r="X1097" i="2"/>
  <c r="Y1097" i="2"/>
  <c r="AA1097" i="2"/>
  <c r="AB1097" i="2"/>
  <c r="AD1097" i="2"/>
  <c r="AE1097" i="2"/>
  <c r="AG1097" i="2"/>
  <c r="AH1097" i="2"/>
  <c r="R1096" i="2"/>
  <c r="S1096" i="2"/>
  <c r="U1096" i="2"/>
  <c r="V1096" i="2"/>
  <c r="X1096" i="2"/>
  <c r="Y1096" i="2"/>
  <c r="AA1096" i="2"/>
  <c r="AB1096" i="2"/>
  <c r="AD1096" i="2"/>
  <c r="AE1096" i="2"/>
  <c r="AG1096" i="2"/>
  <c r="AH1096" i="2"/>
  <c r="R1095" i="2"/>
  <c r="S1095" i="2"/>
  <c r="U1095" i="2"/>
  <c r="V1095" i="2"/>
  <c r="X1095" i="2"/>
  <c r="Y1095" i="2"/>
  <c r="AA1095" i="2"/>
  <c r="AB1095" i="2"/>
  <c r="AD1095" i="2"/>
  <c r="AE1095" i="2"/>
  <c r="AG1095" i="2"/>
  <c r="AH1095" i="2"/>
  <c r="R1094" i="2"/>
  <c r="S1094" i="2"/>
  <c r="U1094" i="2"/>
  <c r="V1094" i="2"/>
  <c r="X1094" i="2"/>
  <c r="Y1094" i="2"/>
  <c r="AA1094" i="2"/>
  <c r="AB1094" i="2"/>
  <c r="AD1094" i="2"/>
  <c r="AE1094" i="2"/>
  <c r="AG1094" i="2"/>
  <c r="AH1094" i="2"/>
  <c r="R1093" i="2"/>
  <c r="S1093" i="2"/>
  <c r="U1093" i="2"/>
  <c r="V1093" i="2"/>
  <c r="X1093" i="2"/>
  <c r="Y1093" i="2"/>
  <c r="AA1093" i="2"/>
  <c r="AB1093" i="2"/>
  <c r="AD1093" i="2"/>
  <c r="AE1093" i="2"/>
  <c r="AG1093" i="2"/>
  <c r="AH1093" i="2"/>
  <c r="R1092" i="2"/>
  <c r="S1092" i="2"/>
  <c r="U1092" i="2"/>
  <c r="V1092" i="2"/>
  <c r="X1092" i="2"/>
  <c r="Y1092" i="2"/>
  <c r="AA1092" i="2"/>
  <c r="AB1092" i="2"/>
  <c r="AD1092" i="2"/>
  <c r="AE1092" i="2"/>
  <c r="AG1092" i="2"/>
  <c r="AH1092" i="2"/>
  <c r="R1091" i="2"/>
  <c r="S1091" i="2"/>
  <c r="U1091" i="2"/>
  <c r="V1091" i="2"/>
  <c r="X1091" i="2"/>
  <c r="Y1091" i="2"/>
  <c r="AA1091" i="2"/>
  <c r="AB1091" i="2"/>
  <c r="AD1091" i="2"/>
  <c r="AE1091" i="2"/>
  <c r="AG1091" i="2"/>
  <c r="AH1091" i="2"/>
  <c r="R1090" i="2"/>
  <c r="S1090" i="2"/>
  <c r="U1090" i="2"/>
  <c r="V1090" i="2"/>
  <c r="X1090" i="2"/>
  <c r="Y1090" i="2"/>
  <c r="AA1090" i="2"/>
  <c r="AB1090" i="2"/>
  <c r="AD1090" i="2"/>
  <c r="AE1090" i="2"/>
  <c r="AG1090" i="2"/>
  <c r="AH1090" i="2"/>
  <c r="R1089" i="2"/>
  <c r="S1089" i="2"/>
  <c r="U1089" i="2"/>
  <c r="V1089" i="2"/>
  <c r="X1089" i="2"/>
  <c r="Y1089" i="2"/>
  <c r="AA1089" i="2"/>
  <c r="AB1089" i="2"/>
  <c r="AD1089" i="2"/>
  <c r="AE1089" i="2"/>
  <c r="AG1089" i="2"/>
  <c r="AH1089" i="2"/>
  <c r="R1088" i="2"/>
  <c r="S1088" i="2"/>
  <c r="U1088" i="2"/>
  <c r="V1088" i="2"/>
  <c r="X1088" i="2"/>
  <c r="Y1088" i="2"/>
  <c r="AA1088" i="2"/>
  <c r="AB1088" i="2"/>
  <c r="AD1088" i="2"/>
  <c r="AE1088" i="2"/>
  <c r="AG1088" i="2"/>
  <c r="AH1088" i="2"/>
  <c r="R1087" i="2"/>
  <c r="S1087" i="2"/>
  <c r="U1087" i="2"/>
  <c r="V1087" i="2"/>
  <c r="X1087" i="2"/>
  <c r="Y1087" i="2"/>
  <c r="AA1087" i="2"/>
  <c r="AB1087" i="2"/>
  <c r="AD1087" i="2"/>
  <c r="AE1087" i="2"/>
  <c r="AG1087" i="2"/>
  <c r="AH1087" i="2"/>
  <c r="R1086" i="2"/>
  <c r="S1086" i="2"/>
  <c r="U1086" i="2"/>
  <c r="V1086" i="2"/>
  <c r="X1086" i="2"/>
  <c r="Y1086" i="2"/>
  <c r="AA1086" i="2"/>
  <c r="AB1086" i="2"/>
  <c r="AD1086" i="2"/>
  <c r="AE1086" i="2"/>
  <c r="AG1086" i="2"/>
  <c r="AH1086" i="2"/>
  <c r="R1085" i="2"/>
  <c r="S1085" i="2"/>
  <c r="U1085" i="2"/>
  <c r="V1085" i="2"/>
  <c r="X1085" i="2"/>
  <c r="Y1085" i="2"/>
  <c r="AA1085" i="2"/>
  <c r="AB1085" i="2"/>
  <c r="AD1085" i="2"/>
  <c r="AE1085" i="2" s="1"/>
  <c r="AG1085" i="2"/>
  <c r="AH1085" i="2"/>
  <c r="R1084" i="2"/>
  <c r="S1084" i="2"/>
  <c r="U1084" i="2"/>
  <c r="V1084" i="2"/>
  <c r="X1084" i="2"/>
  <c r="Y1084" i="2"/>
  <c r="AA1084" i="2"/>
  <c r="AB1084" i="2"/>
  <c r="AD1084" i="2"/>
  <c r="AE1084" i="2"/>
  <c r="AG1084" i="2"/>
  <c r="AH1084" i="2"/>
  <c r="R1083" i="2"/>
  <c r="S1083" i="2"/>
  <c r="U1083" i="2"/>
  <c r="V1083" i="2"/>
  <c r="X1083" i="2"/>
  <c r="Y1083" i="2"/>
  <c r="AA1083" i="2"/>
  <c r="AB1083" i="2"/>
  <c r="AD1083" i="2"/>
  <c r="AE1083" i="2"/>
  <c r="AG1083" i="2"/>
  <c r="AH1083" i="2"/>
  <c r="R1082" i="2"/>
  <c r="S1082" i="2"/>
  <c r="U1082" i="2"/>
  <c r="V1082" i="2"/>
  <c r="X1082" i="2"/>
  <c r="Y1082" i="2"/>
  <c r="AA1082" i="2"/>
  <c r="AB1082" i="2"/>
  <c r="AD1082" i="2"/>
  <c r="AE1082" i="2"/>
  <c r="AG1082" i="2"/>
  <c r="AH1082" i="2"/>
  <c r="R1081" i="2"/>
  <c r="S1081" i="2"/>
  <c r="U1081" i="2"/>
  <c r="V1081" i="2"/>
  <c r="X1081" i="2"/>
  <c r="Y1081" i="2"/>
  <c r="AA1081" i="2"/>
  <c r="AB1081" i="2"/>
  <c r="AD1081" i="2"/>
  <c r="AE1081" i="2"/>
  <c r="AG1081" i="2"/>
  <c r="AH1081" i="2" s="1"/>
  <c r="R1080" i="2"/>
  <c r="S1080" i="2"/>
  <c r="U1080" i="2"/>
  <c r="V1080" i="2"/>
  <c r="X1080" i="2"/>
  <c r="Y1080" i="2"/>
  <c r="AA1080" i="2"/>
  <c r="AB1080" i="2"/>
  <c r="AD1080" i="2"/>
  <c r="AE1080" i="2"/>
  <c r="AG1080" i="2"/>
  <c r="AH1080" i="2"/>
  <c r="R1079" i="2"/>
  <c r="S1079" i="2"/>
  <c r="U1079" i="2"/>
  <c r="V1079" i="2"/>
  <c r="X1079" i="2"/>
  <c r="Y1079" i="2"/>
  <c r="AA1079" i="2"/>
  <c r="AB1079" i="2"/>
  <c r="AD1079" i="2"/>
  <c r="AE1079" i="2"/>
  <c r="AG1079" i="2"/>
  <c r="AH1079" i="2"/>
  <c r="R1078" i="2"/>
  <c r="S1078" i="2"/>
  <c r="U1078" i="2"/>
  <c r="V1078" i="2"/>
  <c r="X1078" i="2"/>
  <c r="Y1078" i="2"/>
  <c r="AA1078" i="2"/>
  <c r="AB1078" i="2"/>
  <c r="AD1078" i="2"/>
  <c r="AE1078" i="2"/>
  <c r="AG1078" i="2"/>
  <c r="AH1078" i="2"/>
  <c r="R1077" i="2"/>
  <c r="S1077" i="2"/>
  <c r="U1077" i="2"/>
  <c r="V1077" i="2"/>
  <c r="X1077" i="2"/>
  <c r="Y1077" i="2"/>
  <c r="AA1077" i="2"/>
  <c r="AB1077" i="2"/>
  <c r="AD1077" i="2"/>
  <c r="AE1077" i="2"/>
  <c r="AG1077" i="2"/>
  <c r="AH1077" i="2"/>
  <c r="R1076" i="2"/>
  <c r="S1076" i="2"/>
  <c r="U1076" i="2"/>
  <c r="V1076" i="2"/>
  <c r="X1076" i="2"/>
  <c r="Y1076" i="2"/>
  <c r="AA1076" i="2"/>
  <c r="AB1076" i="2"/>
  <c r="AD1076" i="2"/>
  <c r="AE1076" i="2"/>
  <c r="AG1076" i="2"/>
  <c r="AH1076" i="2"/>
  <c r="R1075" i="2"/>
  <c r="S1075" i="2"/>
  <c r="U1075" i="2"/>
  <c r="V1075" i="2"/>
  <c r="X1075" i="2"/>
  <c r="Y1075" i="2"/>
  <c r="AA1075" i="2"/>
  <c r="AB1075" i="2"/>
  <c r="AD1075" i="2"/>
  <c r="AE1075" i="2"/>
  <c r="AG1075" i="2"/>
  <c r="AH1075" i="2"/>
  <c r="R1074" i="2"/>
  <c r="S1074" i="2"/>
  <c r="U1074" i="2"/>
  <c r="V1074" i="2"/>
  <c r="X1074" i="2"/>
  <c r="Y1074" i="2"/>
  <c r="AA1074" i="2"/>
  <c r="AB1074" i="2"/>
  <c r="AD1074" i="2"/>
  <c r="AE1074" i="2"/>
  <c r="AG1074" i="2"/>
  <c r="AH1074" i="2"/>
  <c r="R1073" i="2"/>
  <c r="S1073" i="2"/>
  <c r="U1073" i="2"/>
  <c r="V1073" i="2"/>
  <c r="X1073" i="2"/>
  <c r="Y1073" i="2"/>
  <c r="AA1073" i="2"/>
  <c r="AB1073" i="2"/>
  <c r="AD1073" i="2"/>
  <c r="AE1073" i="2"/>
  <c r="AG1073" i="2"/>
  <c r="AH1073" i="2"/>
  <c r="R1072" i="2"/>
  <c r="S1072" i="2"/>
  <c r="U1072" i="2"/>
  <c r="V1072" i="2"/>
  <c r="X1072" i="2"/>
  <c r="Y1072" i="2"/>
  <c r="AA1072" i="2"/>
  <c r="AB1072" i="2"/>
  <c r="AD1072" i="2"/>
  <c r="AE1072" i="2"/>
  <c r="AG1072" i="2"/>
  <c r="AH1072" i="2"/>
  <c r="R1071" i="2"/>
  <c r="S1071" i="2"/>
  <c r="U1071" i="2"/>
  <c r="V1071" i="2"/>
  <c r="X1071" i="2"/>
  <c r="Y1071" i="2"/>
  <c r="AA1071" i="2"/>
  <c r="AB1071" i="2"/>
  <c r="AD1071" i="2"/>
  <c r="AE1071" i="2"/>
  <c r="AG1071" i="2"/>
  <c r="AH1071" i="2"/>
  <c r="AI638" i="2" l="1" a="1"/>
  <c r="AI638" i="2" s="1"/>
  <c r="AI637" i="2" a="1"/>
  <c r="AI637" i="2" s="1"/>
  <c r="AI635" i="2" a="1"/>
  <c r="AI635" i="2" s="1"/>
  <c r="AI634" i="2" a="1"/>
  <c r="AI634" i="2" s="1"/>
  <c r="AI632" i="2" a="1"/>
  <c r="AI632" i="2" s="1"/>
  <c r="AI631" i="2" a="1"/>
  <c r="AI631" i="2" s="1"/>
  <c r="AI629" i="2" a="1"/>
  <c r="AI629" i="2" s="1"/>
  <c r="AI627" i="2" a="1"/>
  <c r="AI627" i="2" s="1"/>
  <c r="AI626" i="2" a="1"/>
  <c r="AI626" i="2" s="1"/>
  <c r="AI625" i="2" a="1"/>
  <c r="AI625" i="2" s="1"/>
  <c r="AI623" i="2" a="1"/>
  <c r="AI623" i="2" s="1"/>
  <c r="AI622" i="2" a="1"/>
  <c r="AI622" i="2" s="1"/>
  <c r="AI621" i="2" a="1"/>
  <c r="AI621" i="2" s="1"/>
  <c r="AI619" i="2" a="1"/>
  <c r="AI619" i="2" s="1"/>
  <c r="AI618" i="2" a="1"/>
  <c r="AI618" i="2" s="1"/>
  <c r="AI616" i="2" a="1"/>
  <c r="AI616" i="2" s="1"/>
  <c r="AI611" i="2" a="1"/>
  <c r="AI611" i="2" s="1"/>
  <c r="AI359" i="2" a="1"/>
  <c r="AI359" i="2" s="1"/>
  <c r="AI357" i="2" a="1"/>
  <c r="AI357" i="2" s="1"/>
  <c r="AI356" i="2" a="1"/>
  <c r="AI356" i="2" s="1"/>
  <c r="AI749" i="2" a="1"/>
  <c r="AI749" i="2" s="1"/>
  <c r="AI509" i="2" a="1"/>
  <c r="AI509" i="2" s="1"/>
  <c r="AI245" i="2" a="1"/>
  <c r="AI245" i="2" s="1"/>
  <c r="AI243" i="2" a="1"/>
  <c r="AI243" i="2" s="1"/>
  <c r="AI242" i="2" a="1"/>
  <c r="AI242" i="2" s="1"/>
  <c r="AI240" i="2" a="1"/>
  <c r="AI240" i="2" s="1"/>
  <c r="AI239" i="2" a="1"/>
  <c r="AI239" i="2" s="1"/>
  <c r="AI238" i="2" a="1"/>
  <c r="AI238" i="2" s="1"/>
  <c r="AI237" i="2" a="1"/>
  <c r="AI237" i="2" s="1"/>
  <c r="AI233" i="2" a="1"/>
  <c r="AI233" i="2" s="1"/>
  <c r="AI231" i="2" a="1"/>
  <c r="AI231" i="2" s="1"/>
  <c r="AI6" i="2" a="1"/>
  <c r="AI6" i="2" s="1"/>
  <c r="AI5" i="2" a="1"/>
  <c r="AI5" i="2" s="1"/>
  <c r="AI3" i="2" a="1"/>
  <c r="AI3" i="2" s="1"/>
  <c r="AI341" i="2" a="1"/>
  <c r="AI341" i="2" s="1"/>
  <c r="AI1063" i="2" a="1"/>
  <c r="AI1063" i="2" s="1"/>
  <c r="AJ1062" i="2" a="1"/>
  <c r="AJ1062" i="2" s="1"/>
  <c r="AI648" i="2" a="1"/>
  <c r="AI648" i="2" s="1"/>
  <c r="AI519" i="2" a="1"/>
  <c r="AI519" i="2" s="1"/>
  <c r="AI514" i="2" a="1"/>
  <c r="AI514" i="2" s="1"/>
  <c r="AI381" i="2" a="1"/>
  <c r="AI381" i="2" s="1"/>
  <c r="AI336" i="2" a="1"/>
  <c r="AI336" i="2" s="1"/>
  <c r="AI335" i="2" a="1"/>
  <c r="AI335" i="2" s="1"/>
  <c r="AI331" i="2" a="1"/>
  <c r="AI331" i="2" s="1"/>
  <c r="AI327" i="2" a="1"/>
  <c r="AI327" i="2" s="1"/>
  <c r="AI325" i="2" a="1"/>
  <c r="AI325" i="2" s="1"/>
  <c r="AI320" i="2" a="1"/>
  <c r="AI320" i="2" s="1"/>
  <c r="AI318" i="2" a="1"/>
  <c r="AI318" i="2" s="1"/>
  <c r="AI373" i="2" a="1"/>
  <c r="AI373" i="2" s="1"/>
  <c r="AJ364" i="2" a="1"/>
  <c r="AJ364" i="2" s="1"/>
  <c r="AJ882" i="2" a="1"/>
  <c r="AJ882" i="2" s="1"/>
  <c r="AJ879" i="2" a="1"/>
  <c r="AJ879" i="2" s="1"/>
  <c r="AI818" i="2" a="1"/>
  <c r="AI818" i="2" s="1"/>
  <c r="AJ813" i="2" a="1"/>
  <c r="AJ813" i="2" s="1"/>
  <c r="AI792" i="2" a="1"/>
  <c r="AI792" i="2" s="1"/>
  <c r="AI788" i="2" a="1"/>
  <c r="AI788" i="2" s="1"/>
  <c r="AI784" i="2" a="1"/>
  <c r="AI784" i="2" s="1"/>
  <c r="AI783" i="2" a="1"/>
  <c r="AI783" i="2" s="1"/>
  <c r="AI781" i="2" a="1"/>
  <c r="AI781" i="2" s="1"/>
  <c r="AI780" i="2" a="1"/>
  <c r="AI780" i="2" s="1"/>
  <c r="AI550" i="2" a="1"/>
  <c r="AI550" i="2" s="1"/>
  <c r="AI549" i="2" a="1"/>
  <c r="AI549" i="2" s="1"/>
  <c r="AI547" i="2" a="1"/>
  <c r="AI547" i="2" s="1"/>
  <c r="AI546" i="2" a="1"/>
  <c r="AI546" i="2" s="1"/>
  <c r="AI545" i="2" a="1"/>
  <c r="AI545" i="2" s="1"/>
  <c r="AI542" i="2" a="1"/>
  <c r="AI542" i="2" s="1"/>
  <c r="AI541" i="2" a="1"/>
  <c r="AI541" i="2" s="1"/>
  <c r="AI540" i="2" a="1"/>
  <c r="AI540" i="2" s="1"/>
  <c r="AI539" i="2" a="1"/>
  <c r="AI539" i="2" s="1"/>
  <c r="AI538" i="2" a="1"/>
  <c r="AI538" i="2" s="1"/>
  <c r="AI537" i="2" a="1"/>
  <c r="AI537" i="2" s="1"/>
  <c r="AI536" i="2" a="1"/>
  <c r="AI536" i="2" s="1"/>
  <c r="AI534" i="2" a="1"/>
  <c r="AI534" i="2" s="1"/>
  <c r="AI532" i="2" a="1"/>
  <c r="AI532" i="2" s="1"/>
  <c r="AI530" i="2" a="1"/>
  <c r="AI530" i="2" s="1"/>
  <c r="AI528" i="2" a="1"/>
  <c r="AI528" i="2" s="1"/>
  <c r="AI450" i="2" a="1"/>
  <c r="AI450" i="2" s="1"/>
  <c r="AI449" i="2" a="1"/>
  <c r="AI449" i="2" s="1"/>
  <c r="AI448" i="2" a="1"/>
  <c r="AI448" i="2" s="1"/>
  <c r="AI447" i="2" a="1"/>
  <c r="AI447" i="2" s="1"/>
  <c r="AI445" i="2" a="1"/>
  <c r="AI445" i="2" s="1"/>
  <c r="AI444" i="2" a="1"/>
  <c r="AI444" i="2" s="1"/>
  <c r="AI443" i="2" a="1"/>
  <c r="AI443" i="2" s="1"/>
  <c r="AI442" i="2" a="1"/>
  <c r="AI442" i="2" s="1"/>
  <c r="AI441" i="2" a="1"/>
  <c r="AI441" i="2" s="1"/>
  <c r="AI440" i="2" a="1"/>
  <c r="AI440" i="2" s="1"/>
  <c r="AI439" i="2" a="1"/>
  <c r="AI439" i="2" s="1"/>
  <c r="AI438" i="2" a="1"/>
  <c r="AI438" i="2" s="1"/>
  <c r="AI437" i="2" a="1"/>
  <c r="AI437" i="2" s="1"/>
  <c r="AI436" i="2" a="1"/>
  <c r="AI436" i="2" s="1"/>
  <c r="AI397" i="2" a="1"/>
  <c r="AI397" i="2" s="1"/>
  <c r="AI395" i="2" a="1"/>
  <c r="AI395" i="2" s="1"/>
  <c r="AI393" i="2" a="1"/>
  <c r="AI393" i="2" s="1"/>
  <c r="AI311" i="2" a="1"/>
  <c r="AI311" i="2" s="1"/>
  <c r="AI309" i="2" a="1"/>
  <c r="AI309" i="2" s="1"/>
  <c r="AI308" i="2" a="1"/>
  <c r="AI308" i="2" s="1"/>
  <c r="AI307" i="2" a="1"/>
  <c r="AI307" i="2" s="1"/>
  <c r="AI306" i="2" a="1"/>
  <c r="AI306" i="2" s="1"/>
  <c r="AI305" i="2" a="1"/>
  <c r="AI305" i="2" s="1"/>
  <c r="AI304" i="2" a="1"/>
  <c r="AI304" i="2" s="1"/>
  <c r="AI303" i="2" a="1"/>
  <c r="AI303" i="2" s="1"/>
  <c r="AI302" i="2" a="1"/>
  <c r="AI302" i="2" s="1"/>
  <c r="AI301" i="2" a="1"/>
  <c r="AI301" i="2" s="1"/>
  <c r="AI606" i="2" a="1"/>
  <c r="AI606" i="2" s="1"/>
  <c r="AI605" i="2" a="1"/>
  <c r="AI605" i="2" s="1"/>
  <c r="AI604" i="2" a="1"/>
  <c r="AI604" i="2" s="1"/>
  <c r="AI603" i="2" a="1"/>
  <c r="AI603" i="2" s="1"/>
  <c r="AI602" i="2" a="1"/>
  <c r="AI602" i="2" s="1"/>
  <c r="AI601" i="2" a="1"/>
  <c r="AI601" i="2" s="1"/>
  <c r="AI600" i="2" a="1"/>
  <c r="AI600" i="2" s="1"/>
  <c r="AI111" i="2" a="1"/>
  <c r="AI111" i="2" s="1"/>
  <c r="AI110" i="2" a="1"/>
  <c r="AI110" i="2" s="1"/>
  <c r="AI1051" i="2" a="1"/>
  <c r="AI1051" i="2" s="1"/>
  <c r="AI1050" i="2" a="1"/>
  <c r="AI1050" i="2" s="1"/>
  <c r="AI1047" i="2" a="1"/>
  <c r="AI1047" i="2" s="1"/>
  <c r="AI1046" i="2" a="1"/>
  <c r="AI1046" i="2" s="1"/>
  <c r="AI1045" i="2" a="1"/>
  <c r="AI1045" i="2" s="1"/>
  <c r="AI1044" i="2" a="1"/>
  <c r="AI1044" i="2" s="1"/>
  <c r="AI1042" i="2" a="1"/>
  <c r="AI1042" i="2" s="1"/>
  <c r="AI1041" i="2" a="1"/>
  <c r="AI1041" i="2" s="1"/>
  <c r="AI1040" i="2" a="1"/>
  <c r="AI1040" i="2" s="1"/>
  <c r="AI1039" i="2" a="1"/>
  <c r="AI1039" i="2" s="1"/>
  <c r="AI1038" i="2" a="1"/>
  <c r="AI1038" i="2" s="1"/>
  <c r="AI1036" i="2" a="1"/>
  <c r="AI1036" i="2" s="1"/>
  <c r="AI1035" i="2" a="1"/>
  <c r="AI1035" i="2" s="1"/>
  <c r="AJ1034" i="2" a="1"/>
  <c r="AJ1034" i="2" s="1"/>
  <c r="AI1033" i="2" a="1"/>
  <c r="AI1033" i="2" s="1"/>
  <c r="AI1032" i="2" a="1"/>
  <c r="AI1032" i="2" s="1"/>
  <c r="AI1031" i="2" a="1"/>
  <c r="AI1031" i="2" s="1"/>
  <c r="AI1028" i="2" a="1"/>
  <c r="AI1028" i="2" s="1"/>
  <c r="AI1026" i="2" a="1"/>
  <c r="AI1026" i="2" s="1"/>
  <c r="AI946" i="2" a="1"/>
  <c r="AI946" i="2" s="1"/>
  <c r="AI945" i="2" a="1"/>
  <c r="AI945" i="2" s="1"/>
  <c r="AI944" i="2" a="1"/>
  <c r="AI944" i="2" s="1"/>
  <c r="AI943" i="2" a="1"/>
  <c r="AI943" i="2" s="1"/>
  <c r="AI209" i="2" a="1"/>
  <c r="AI209" i="2" s="1"/>
  <c r="AI1322" i="2" a="1"/>
  <c r="AI1322" i="2" s="1"/>
  <c r="AI1320" i="2" a="1"/>
  <c r="AI1320" i="2" s="1"/>
  <c r="AI502" i="2" a="1"/>
  <c r="AI502" i="2" s="1"/>
  <c r="AI935" i="2" a="1"/>
  <c r="AI935" i="2" s="1"/>
  <c r="AI934" i="2" a="1"/>
  <c r="AI934" i="2" s="1"/>
  <c r="AI933" i="2" a="1"/>
  <c r="AI933" i="2" s="1"/>
  <c r="AI932" i="2" a="1"/>
  <c r="AI932" i="2" s="1"/>
  <c r="AI931" i="2" a="1"/>
  <c r="AI931" i="2" s="1"/>
  <c r="AI930" i="2" a="1"/>
  <c r="AI930" i="2" s="1"/>
  <c r="AI929" i="2" a="1"/>
  <c r="AI929" i="2" s="1"/>
  <c r="AI928" i="2" a="1"/>
  <c r="AI928" i="2" s="1"/>
  <c r="AI927" i="2" a="1"/>
  <c r="AI927" i="2" s="1"/>
  <c r="AI926" i="2" a="1"/>
  <c r="AI926" i="2" s="1"/>
  <c r="AI925" i="2" a="1"/>
  <c r="AI925" i="2" s="1"/>
  <c r="AI923" i="2" a="1"/>
  <c r="AI923" i="2" s="1"/>
  <c r="AI922" i="2" a="1"/>
  <c r="AI922" i="2" s="1"/>
  <c r="AI921" i="2" a="1"/>
  <c r="AI921" i="2" s="1"/>
  <c r="AI811" i="2" a="1"/>
  <c r="AI811" i="2" s="1"/>
  <c r="AI808" i="2" a="1"/>
  <c r="AI808" i="2" s="1"/>
  <c r="AI806" i="2" a="1"/>
  <c r="AI806" i="2" s="1"/>
  <c r="AI805" i="2" a="1"/>
  <c r="AI805" i="2" s="1"/>
  <c r="AI804" i="2" a="1"/>
  <c r="AI804" i="2" s="1"/>
  <c r="AI803" i="2" a="1"/>
  <c r="AI803" i="2" s="1"/>
  <c r="AI802" i="2" a="1"/>
  <c r="AI802" i="2" s="1"/>
  <c r="AI801" i="2" a="1"/>
  <c r="AI801" i="2" s="1"/>
  <c r="AI799" i="2" a="1"/>
  <c r="AI799" i="2" s="1"/>
  <c r="AI798" i="2" a="1"/>
  <c r="AI798" i="2" s="1"/>
  <c r="AI794" i="2" a="1"/>
  <c r="AI794" i="2" s="1"/>
  <c r="AI553" i="2" a="1"/>
  <c r="AI553" i="2" s="1"/>
  <c r="AI496" i="2" a="1"/>
  <c r="AI496" i="2" s="1"/>
  <c r="AI495" i="2" a="1"/>
  <c r="AI495" i="2" s="1"/>
  <c r="AI494" i="2" a="1"/>
  <c r="AI494" i="2" s="1"/>
  <c r="AI492" i="2" a="1"/>
  <c r="AI492" i="2" s="1"/>
  <c r="AI491" i="2" a="1"/>
  <c r="AI491" i="2" s="1"/>
  <c r="AI489" i="2" a="1"/>
  <c r="AI489" i="2" s="1"/>
  <c r="AI488" i="2" a="1"/>
  <c r="AI488" i="2" s="1"/>
  <c r="AI487" i="2" a="1"/>
  <c r="AI487" i="2" s="1"/>
  <c r="AI486" i="2" a="1"/>
  <c r="AI486" i="2" s="1"/>
  <c r="AI484" i="2" a="1"/>
  <c r="AI484" i="2" s="1"/>
  <c r="AI482" i="2" a="1"/>
  <c r="AI482" i="2" s="1"/>
  <c r="AI418" i="2" a="1"/>
  <c r="AI418" i="2" s="1"/>
  <c r="AI417" i="2" a="1"/>
  <c r="AI417" i="2" s="1"/>
  <c r="AI416" i="2" a="1"/>
  <c r="AI416" i="2" s="1"/>
  <c r="AI415" i="2" a="1"/>
  <c r="AI415" i="2" s="1"/>
  <c r="AI413" i="2" a="1"/>
  <c r="AI413" i="2" s="1"/>
  <c r="AI412" i="2" a="1"/>
  <c r="AI412" i="2" s="1"/>
  <c r="AI411" i="2" a="1"/>
  <c r="AI411" i="2" s="1"/>
  <c r="AI410" i="2" a="1"/>
  <c r="AI410" i="2" s="1"/>
  <c r="AI409" i="2" a="1"/>
  <c r="AI409" i="2" s="1"/>
  <c r="AI408" i="2" a="1"/>
  <c r="AI408" i="2" s="1"/>
  <c r="AI405" i="2" a="1"/>
  <c r="AI405" i="2" s="1"/>
  <c r="AI404" i="2" a="1"/>
  <c r="AI404" i="2" s="1"/>
  <c r="AI402" i="2" a="1"/>
  <c r="AI402" i="2" s="1"/>
  <c r="AI399" i="2" a="1"/>
  <c r="AI399" i="2" s="1"/>
  <c r="AI398" i="2" a="1"/>
  <c r="AI398" i="2" s="1"/>
  <c r="AI261" i="2" a="1"/>
  <c r="AI261" i="2" s="1"/>
  <c r="AI259" i="2" a="1"/>
  <c r="AI259" i="2" s="1"/>
  <c r="AI257" i="2" a="1"/>
  <c r="AI257" i="2" s="1"/>
  <c r="AI668" i="2" a="1"/>
  <c r="AI668" i="2" s="1"/>
  <c r="AI664" i="2" a="1"/>
  <c r="AI664" i="2" s="1"/>
  <c r="AI659" i="2" a="1"/>
  <c r="AI659" i="2" s="1"/>
  <c r="AI428" i="2" a="1"/>
  <c r="AI428" i="2" s="1"/>
  <c r="AI221" i="2" a="1"/>
  <c r="AI221" i="2" s="1"/>
  <c r="AI207" i="2" a="1"/>
  <c r="AI207" i="2" s="1"/>
  <c r="AI202" i="2" a="1"/>
  <c r="AI202" i="2" s="1"/>
  <c r="AI75" i="2" a="1"/>
  <c r="AI75" i="2" s="1"/>
  <c r="AI72" i="2" a="1"/>
  <c r="AI72" i="2" s="1"/>
  <c r="AI508" i="2" a="1"/>
  <c r="AI508" i="2" s="1"/>
  <c r="AI256" i="2" a="1"/>
  <c r="AI256" i="2" s="1"/>
  <c r="AI255" i="2" a="1"/>
  <c r="AI255" i="2" s="1"/>
  <c r="AI254" i="2" a="1"/>
  <c r="AI254" i="2" s="1"/>
  <c r="AI253" i="2" a="1"/>
  <c r="AI253" i="2" s="1"/>
  <c r="AI251" i="2" a="1"/>
  <c r="AI251" i="2" s="1"/>
  <c r="AI228" i="2" a="1"/>
  <c r="AI228" i="2" s="1"/>
  <c r="AI227" i="2" a="1"/>
  <c r="AI227" i="2" s="1"/>
  <c r="AI226" i="2" a="1"/>
  <c r="AI226" i="2" s="1"/>
  <c r="AI2" i="2" a="1"/>
  <c r="AI2" i="2" s="1"/>
  <c r="AI976" i="2" a="1"/>
  <c r="AI976" i="2" s="1"/>
  <c r="AI975" i="2" a="1"/>
  <c r="AI975" i="2" s="1"/>
  <c r="AI974" i="2" a="1"/>
  <c r="AI974" i="2" s="1"/>
  <c r="AI973" i="2" a="1"/>
  <c r="AI973" i="2" s="1"/>
  <c r="AI972" i="2" a="1"/>
  <c r="AI972" i="2" s="1"/>
  <c r="AI970" i="2" a="1"/>
  <c r="AI970" i="2" s="1"/>
  <c r="AI969" i="2" a="1"/>
  <c r="AI969" i="2" s="1"/>
  <c r="AI968" i="2" a="1"/>
  <c r="AI968" i="2" s="1"/>
  <c r="AI966" i="2" a="1"/>
  <c r="AI966" i="2" s="1"/>
  <c r="AI965" i="2" a="1"/>
  <c r="AI965" i="2" s="1"/>
  <c r="AI963" i="2" a="1"/>
  <c r="AI963" i="2" s="1"/>
  <c r="AI961" i="2" a="1"/>
  <c r="AI961" i="2" s="1"/>
  <c r="AI960" i="2" a="1"/>
  <c r="AI960" i="2" s="1"/>
  <c r="AI959" i="2" a="1"/>
  <c r="AI959" i="2" s="1"/>
  <c r="AI957" i="2" a="1"/>
  <c r="AI957" i="2" s="1"/>
  <c r="AI956" i="2" a="1"/>
  <c r="AI956" i="2" s="1"/>
  <c r="AI955" i="2" a="1"/>
  <c r="AI955" i="2" s="1"/>
  <c r="AI954" i="2" a="1"/>
  <c r="AI954" i="2" s="1"/>
  <c r="AI953" i="2" a="1"/>
  <c r="AI953" i="2" s="1"/>
  <c r="AI952" i="2" a="1"/>
  <c r="AI952" i="2" s="1"/>
  <c r="AI951" i="2" a="1"/>
  <c r="AI951" i="2" s="1"/>
  <c r="AI950" i="2" a="1"/>
  <c r="AI950" i="2" s="1"/>
  <c r="AI878" i="2" a="1"/>
  <c r="AI878" i="2" s="1"/>
  <c r="AI877" i="2" a="1"/>
  <c r="AI877" i="2" s="1"/>
  <c r="AI875" i="2" a="1"/>
  <c r="AI875" i="2" s="1"/>
  <c r="AI858" i="2" a="1"/>
  <c r="AI858" i="2" s="1"/>
  <c r="AI857" i="2" a="1"/>
  <c r="AI857" i="2" s="1"/>
  <c r="AI853" i="2" a="1"/>
  <c r="AI853" i="2" s="1"/>
  <c r="AI852" i="2" a="1"/>
  <c r="AI852" i="2" s="1"/>
  <c r="AI850" i="2" a="1"/>
  <c r="AI850" i="2" s="1"/>
  <c r="AI849" i="2" a="1"/>
  <c r="AI849" i="2" s="1"/>
  <c r="AI848" i="2" a="1"/>
  <c r="AI848" i="2" s="1"/>
  <c r="AI847" i="2" a="1"/>
  <c r="AI847" i="2" s="1"/>
  <c r="AI846" i="2" a="1"/>
  <c r="AI846" i="2" s="1"/>
  <c r="AI845" i="2" a="1"/>
  <c r="AI845" i="2" s="1"/>
  <c r="AI844" i="2" a="1"/>
  <c r="AI844" i="2" s="1"/>
  <c r="AI843" i="2" a="1"/>
  <c r="AI843" i="2" s="1"/>
  <c r="AI842" i="2" a="1"/>
  <c r="AI842" i="2" s="1"/>
  <c r="AI841" i="2" a="1"/>
  <c r="AI841" i="2" s="1"/>
  <c r="AI839" i="2" a="1"/>
  <c r="AI839" i="2" s="1"/>
  <c r="AI838" i="2" a="1"/>
  <c r="AI838" i="2" s="1"/>
  <c r="AI835" i="2" a="1"/>
  <c r="AI835" i="2" s="1"/>
  <c r="AI834" i="2" a="1"/>
  <c r="AI834" i="2" s="1"/>
  <c r="AI832" i="2" a="1"/>
  <c r="AI832" i="2" s="1"/>
  <c r="AI831" i="2" a="1"/>
  <c r="AI831" i="2" s="1"/>
  <c r="AI830" i="2" a="1"/>
  <c r="AI830" i="2" s="1"/>
  <c r="AI829" i="2" a="1"/>
  <c r="AI829" i="2" s="1"/>
  <c r="AI828" i="2" a="1"/>
  <c r="AI828" i="2" s="1"/>
  <c r="AI827" i="2" a="1"/>
  <c r="AI827" i="2" s="1"/>
  <c r="AI823" i="2" a="1"/>
  <c r="AI823" i="2" s="1"/>
  <c r="AI208" i="2" a="1"/>
  <c r="AI208" i="2" s="1"/>
  <c r="AI1316" i="2" a="1"/>
  <c r="AI1316" i="2" s="1"/>
  <c r="AI1305" i="2" a="1"/>
  <c r="AI1305" i="2" s="1"/>
  <c r="AI469" i="2" a="1"/>
  <c r="AI469" i="2" s="1"/>
  <c r="AI822" i="2" a="1"/>
  <c r="AI822" i="2" s="1"/>
  <c r="AI746" i="2" a="1"/>
  <c r="AI746" i="2" s="1"/>
  <c r="AI712" i="2" a="1"/>
  <c r="AI712" i="2" s="1"/>
  <c r="AI711" i="2" a="1"/>
  <c r="AI711" i="2" s="1"/>
  <c r="AI705" i="2" a="1"/>
  <c r="AI705" i="2" s="1"/>
  <c r="AI704" i="2" a="1"/>
  <c r="AI704" i="2" s="1"/>
  <c r="AI599" i="2" a="1"/>
  <c r="AI599" i="2" s="1"/>
  <c r="AI598" i="2" a="1"/>
  <c r="AI598" i="2" s="1"/>
  <c r="AI597" i="2" a="1"/>
  <c r="AI597" i="2" s="1"/>
  <c r="AI595" i="2" a="1"/>
  <c r="AI595" i="2" s="1"/>
  <c r="AI593" i="2" a="1"/>
  <c r="AI593" i="2" s="1"/>
  <c r="AI592" i="2" a="1"/>
  <c r="AI592" i="2" s="1"/>
  <c r="AJ590" i="2" a="1"/>
  <c r="AJ590" i="2" s="1"/>
  <c r="AI589" i="2" a="1"/>
  <c r="AI589" i="2" s="1"/>
  <c r="AI586" i="2" a="1"/>
  <c r="AI586" i="2" s="1"/>
  <c r="AI584" i="2" a="1"/>
  <c r="AI584" i="2" s="1"/>
  <c r="AI575" i="2" a="1"/>
  <c r="AI575" i="2" s="1"/>
  <c r="AI574" i="2" a="1"/>
  <c r="AI574" i="2" s="1"/>
  <c r="AI573" i="2" a="1"/>
  <c r="AI573" i="2" s="1"/>
  <c r="AI572" i="2" a="1"/>
  <c r="AI572" i="2" s="1"/>
  <c r="AI571" i="2" a="1"/>
  <c r="AI571" i="2" s="1"/>
  <c r="AI570" i="2" a="1"/>
  <c r="AI570" i="2" s="1"/>
  <c r="AI568" i="2" a="1"/>
  <c r="AI568" i="2" s="1"/>
  <c r="AI567" i="2" a="1"/>
  <c r="AI567" i="2" s="1"/>
  <c r="AI566" i="2" a="1"/>
  <c r="AI566" i="2" s="1"/>
  <c r="AI565" i="2" a="1"/>
  <c r="AI565" i="2" s="1"/>
  <c r="AI564" i="2" a="1"/>
  <c r="AI564" i="2" s="1"/>
  <c r="AI563" i="2" a="1"/>
  <c r="AI563" i="2" s="1"/>
  <c r="AI561" i="2" a="1"/>
  <c r="AI561" i="2" s="1"/>
  <c r="AI216" i="2" a="1"/>
  <c r="AI216" i="2" s="1"/>
  <c r="AI199" i="2" a="1"/>
  <c r="AI199" i="2" s="1"/>
  <c r="AI1349" i="2" a="1"/>
  <c r="AI1349" i="2" s="1"/>
  <c r="AI480" i="2" a="1"/>
  <c r="AI480" i="2" s="1"/>
  <c r="AI455" i="2" a="1"/>
  <c r="AI455" i="2" s="1"/>
  <c r="AI557" i="2" a="1"/>
  <c r="AI557" i="2" s="1"/>
  <c r="AI556" i="2" a="1"/>
  <c r="AI556" i="2" s="1"/>
  <c r="AI554" i="2" a="1"/>
  <c r="AI554" i="2" s="1"/>
  <c r="AI295" i="2" a="1"/>
  <c r="AI295" i="2" s="1"/>
  <c r="AI294" i="2" a="1"/>
  <c r="AI294" i="2" s="1"/>
  <c r="AI293" i="2" a="1"/>
  <c r="AI293" i="2" s="1"/>
  <c r="AI292" i="2" a="1"/>
  <c r="AI292" i="2" s="1"/>
  <c r="AI286" i="2" a="1"/>
  <c r="AI286" i="2" s="1"/>
  <c r="AI285" i="2" a="1"/>
  <c r="AI285" i="2" s="1"/>
  <c r="AI280" i="2" a="1"/>
  <c r="AI280" i="2" s="1"/>
  <c r="AI279" i="2" a="1"/>
  <c r="AI279" i="2" s="1"/>
  <c r="AI274" i="2" a="1"/>
  <c r="AI274" i="2" s="1"/>
  <c r="AI273" i="2" a="1"/>
  <c r="AI273" i="2" s="1"/>
  <c r="AI268" i="2" a="1"/>
  <c r="AI268" i="2" s="1"/>
  <c r="AI267" i="2" a="1"/>
  <c r="AI267" i="2" s="1"/>
  <c r="AI266" i="2" a="1"/>
  <c r="AI266" i="2" s="1"/>
  <c r="AI265" i="2" a="1"/>
  <c r="AI265" i="2" s="1"/>
  <c r="AI225" i="2" a="1"/>
  <c r="AI225" i="2" s="1"/>
  <c r="AI169" i="2" a="1"/>
  <c r="AI169" i="2" s="1"/>
  <c r="AI166" i="2" a="1"/>
  <c r="AI166" i="2" s="1"/>
  <c r="AI165" i="2" a="1"/>
  <c r="AI165" i="2" s="1"/>
  <c r="AI160" i="2" a="1"/>
  <c r="AI160" i="2" s="1"/>
  <c r="AJ155" i="2" a="1"/>
  <c r="AJ155" i="2" s="1"/>
  <c r="AJ153" i="2" a="1"/>
  <c r="AJ153" i="2" s="1"/>
  <c r="AI150" i="2" a="1"/>
  <c r="AI150" i="2" s="1"/>
  <c r="AI149" i="2" a="1"/>
  <c r="AI149" i="2" s="1"/>
  <c r="AI148" i="2" a="1"/>
  <c r="AI148" i="2" s="1"/>
  <c r="AI145" i="2" a="1"/>
  <c r="AI145" i="2" s="1"/>
  <c r="AI144" i="2" a="1"/>
  <c r="AI144" i="2" s="1"/>
  <c r="AI143" i="2" a="1"/>
  <c r="AI143" i="2" s="1"/>
  <c r="AI140" i="2" a="1"/>
  <c r="AI140" i="2" s="1"/>
  <c r="AI139" i="2" a="1"/>
  <c r="AI139" i="2" s="1"/>
  <c r="AI138" i="2" a="1"/>
  <c r="AI138" i="2" s="1"/>
  <c r="AI137" i="2" a="1"/>
  <c r="AI137" i="2" s="1"/>
  <c r="AI136" i="2" a="1"/>
  <c r="AI136" i="2" s="1"/>
  <c r="AI133" i="2" a="1"/>
  <c r="AI133" i="2" s="1"/>
  <c r="AI131" i="2" a="1"/>
  <c r="AI131" i="2" s="1"/>
  <c r="AI29" i="2" a="1"/>
  <c r="AI29" i="2" s="1"/>
  <c r="AI667" i="2" a="1"/>
  <c r="AI667" i="2" s="1"/>
  <c r="AI130" i="2" a="1"/>
  <c r="AI130" i="2" s="1"/>
  <c r="AI129" i="2" a="1"/>
  <c r="AI129" i="2" s="1"/>
  <c r="AI128" i="2" a="1"/>
  <c r="AI128" i="2" s="1"/>
  <c r="AI127" i="2" a="1"/>
  <c r="AI127" i="2" s="1"/>
  <c r="AI126" i="2" a="1"/>
  <c r="AI126" i="2" s="1"/>
  <c r="AI124" i="2" a="1"/>
  <c r="AI124" i="2" s="1"/>
  <c r="AI122" i="2" a="1"/>
  <c r="AI122" i="2" s="1"/>
  <c r="AI121" i="2" a="1"/>
  <c r="AI121" i="2" s="1"/>
  <c r="AI118" i="2" a="1"/>
  <c r="AI118" i="2" s="1"/>
  <c r="AI114" i="2" a="1"/>
  <c r="AI114" i="2" s="1"/>
  <c r="AI113" i="2" a="1"/>
  <c r="AI113" i="2" s="1"/>
  <c r="AI102" i="2" a="1"/>
  <c r="AI102" i="2" s="1"/>
  <c r="AI101" i="2" a="1"/>
  <c r="AI101" i="2" s="1"/>
  <c r="AI99" i="2" a="1"/>
  <c r="AI99" i="2" s="1"/>
  <c r="AI98" i="2" a="1"/>
  <c r="AI98" i="2" s="1"/>
  <c r="AI97" i="2" a="1"/>
  <c r="AI97" i="2" s="1"/>
  <c r="AI96" i="2" a="1"/>
  <c r="AI96" i="2" s="1"/>
  <c r="AI95" i="2" a="1"/>
  <c r="AI95" i="2" s="1"/>
  <c r="AI94" i="2" a="1"/>
  <c r="AI94" i="2" s="1"/>
  <c r="AI93" i="2" a="1"/>
  <c r="AI93" i="2" s="1"/>
  <c r="AI92" i="2" a="1"/>
  <c r="AI92" i="2" s="1"/>
  <c r="AI90" i="2" a="1"/>
  <c r="AI90" i="2" s="1"/>
  <c r="AI71" i="2" a="1"/>
  <c r="AI71" i="2" s="1"/>
  <c r="AI70" i="2" a="1"/>
  <c r="AI70" i="2" s="1"/>
  <c r="AI69" i="2" a="1"/>
  <c r="AI69" i="2" s="1"/>
  <c r="AI68" i="2" a="1"/>
  <c r="AI68" i="2" s="1"/>
  <c r="AI67" i="2" a="1"/>
  <c r="AI67" i="2" s="1"/>
  <c r="AI66" i="2" a="1"/>
  <c r="AI66" i="2" s="1"/>
  <c r="AI65" i="2" a="1"/>
  <c r="AI65" i="2" s="1"/>
  <c r="AI63" i="2" a="1"/>
  <c r="AI63" i="2" s="1"/>
  <c r="AI60" i="2" a="1"/>
  <c r="AI60" i="2" s="1"/>
  <c r="AI59" i="2" a="1"/>
  <c r="AI59" i="2" s="1"/>
  <c r="AI57" i="2" a="1"/>
  <c r="AI57" i="2" s="1"/>
  <c r="AI56" i="2" a="1"/>
  <c r="AI56" i="2" s="1"/>
  <c r="AI55" i="2" a="1"/>
  <c r="AI55" i="2" s="1"/>
  <c r="AJ50" i="2" a="1"/>
  <c r="AJ50" i="2" s="1"/>
  <c r="AJ49" i="2" a="1"/>
  <c r="AJ49" i="2" s="1"/>
  <c r="AI47" i="2" a="1"/>
  <c r="AI47" i="2" s="1"/>
  <c r="AI46" i="2" a="1"/>
  <c r="AI46" i="2" s="1"/>
  <c r="AI45" i="2" a="1"/>
  <c r="AI45" i="2" s="1"/>
  <c r="AI44" i="2" a="1"/>
  <c r="AI44" i="2" s="1"/>
  <c r="AI41" i="2" a="1"/>
  <c r="AI41" i="2" s="1"/>
  <c r="AI40" i="2" a="1"/>
  <c r="AI40" i="2" s="1"/>
  <c r="AI39" i="2" a="1"/>
  <c r="AI39" i="2" s="1"/>
  <c r="AI38" i="2" a="1"/>
  <c r="AI38" i="2" s="1"/>
  <c r="AI37" i="2" a="1"/>
  <c r="AI37" i="2" s="1"/>
  <c r="AI35" i="2" a="1"/>
  <c r="AI35" i="2" s="1"/>
  <c r="AI33" i="2" a="1"/>
  <c r="AI33" i="2" s="1"/>
  <c r="AI32" i="2" a="1"/>
  <c r="AI32" i="2" s="1"/>
  <c r="AI669" i="2" a="1"/>
  <c r="AI669" i="2" s="1"/>
  <c r="AI660" i="2" a="1"/>
  <c r="AI660" i="2" s="1"/>
  <c r="AI655" i="2" a="1"/>
  <c r="AI655" i="2" s="1"/>
  <c r="AI1314" i="2" a="1"/>
  <c r="AI1314" i="2" s="1"/>
  <c r="AI26" i="2" a="1"/>
  <c r="AI26" i="2" s="1"/>
  <c r="AI25" i="2" a="1"/>
  <c r="AI25" i="2" s="1"/>
  <c r="AI23" i="2" a="1"/>
  <c r="AI23" i="2" s="1"/>
  <c r="AI22" i="2" a="1"/>
  <c r="AI22" i="2" s="1"/>
  <c r="AI21" i="2" a="1"/>
  <c r="AI21" i="2" s="1"/>
  <c r="AI18" i="2" a="1"/>
  <c r="AI18" i="2" s="1"/>
  <c r="AI16" i="2" a="1"/>
  <c r="AI16" i="2" s="1"/>
  <c r="AI9" i="2" a="1"/>
  <c r="AI9" i="2" s="1"/>
  <c r="AI8" i="2" a="1"/>
  <c r="AI8" i="2" s="1"/>
  <c r="AI988" i="2" a="1"/>
  <c r="AI988" i="2" s="1"/>
  <c r="AI874" i="2" a="1"/>
  <c r="AI874" i="2" s="1"/>
  <c r="AI872" i="2" a="1"/>
  <c r="AI872" i="2" s="1"/>
  <c r="AI871" i="2" a="1"/>
  <c r="AI871" i="2" s="1"/>
  <c r="AI869" i="2" a="1"/>
  <c r="AI869" i="2" s="1"/>
  <c r="AI868" i="2" a="1"/>
  <c r="AI868" i="2" s="1"/>
  <c r="AI867" i="2" a="1"/>
  <c r="AI867" i="2" s="1"/>
  <c r="AI866" i="2" a="1"/>
  <c r="AI866" i="2" s="1"/>
  <c r="AI865" i="2" a="1"/>
  <c r="AI865" i="2" s="1"/>
  <c r="AI864" i="2" a="1"/>
  <c r="AI864" i="2" s="1"/>
  <c r="AI863" i="2" a="1"/>
  <c r="AI863" i="2" s="1"/>
  <c r="AI862" i="2" a="1"/>
  <c r="AI862" i="2" s="1"/>
  <c r="AI777" i="2" a="1"/>
  <c r="AI777" i="2" s="1"/>
  <c r="AI775" i="2" a="1"/>
  <c r="AI775" i="2" s="1"/>
  <c r="AI774" i="2" a="1"/>
  <c r="AI774" i="2" s="1"/>
  <c r="AI773" i="2" a="1"/>
  <c r="AI773" i="2" s="1"/>
  <c r="AI771" i="2" a="1"/>
  <c r="AI771" i="2" s="1"/>
  <c r="AI770" i="2" a="1"/>
  <c r="AI770" i="2" s="1"/>
  <c r="AI769" i="2" a="1"/>
  <c r="AI769" i="2" s="1"/>
  <c r="AI767" i="2" a="1"/>
  <c r="AI767" i="2" s="1"/>
  <c r="AI766" i="2" a="1"/>
  <c r="AI766" i="2" s="1"/>
  <c r="AI765" i="2" a="1"/>
  <c r="AI765" i="2" s="1"/>
  <c r="AI764" i="2" a="1"/>
  <c r="AI764" i="2" s="1"/>
  <c r="AI761" i="2" a="1"/>
  <c r="AI761" i="2" s="1"/>
  <c r="AI760" i="2" a="1"/>
  <c r="AI760" i="2" s="1"/>
  <c r="AI759" i="2" a="1"/>
  <c r="AI759" i="2" s="1"/>
  <c r="AI756" i="2" a="1"/>
  <c r="AI756" i="2" s="1"/>
  <c r="AI754" i="2" a="1"/>
  <c r="AI754" i="2" s="1"/>
  <c r="AI753" i="2" a="1"/>
  <c r="AI753" i="2" s="1"/>
  <c r="AI752" i="2" a="1"/>
  <c r="AI752" i="2" s="1"/>
  <c r="AI700" i="2" a="1"/>
  <c r="AI700" i="2" s="1"/>
  <c r="AI698" i="2" a="1"/>
  <c r="AI698" i="2" s="1"/>
  <c r="AI697" i="2" a="1"/>
  <c r="AI697" i="2" s="1"/>
  <c r="AI696" i="2" a="1"/>
  <c r="AI696" i="2" s="1"/>
  <c r="AI695" i="2" a="1"/>
  <c r="AI695" i="2" s="1"/>
  <c r="AI694" i="2" a="1"/>
  <c r="AI694" i="2" s="1"/>
  <c r="AI693" i="2" a="1"/>
  <c r="AI693" i="2" s="1"/>
  <c r="AI691" i="2" a="1"/>
  <c r="AI691" i="2" s="1"/>
  <c r="AI690" i="2" a="1"/>
  <c r="AI690" i="2" s="1"/>
  <c r="AI689" i="2" a="1"/>
  <c r="AI689" i="2" s="1"/>
  <c r="AI687" i="2" a="1"/>
  <c r="AI687" i="2" s="1"/>
  <c r="AI686" i="2" a="1"/>
  <c r="AI686" i="2" s="1"/>
  <c r="AI673" i="2" a="1"/>
  <c r="AI673" i="2" s="1"/>
  <c r="AI498" i="2" a="1"/>
  <c r="AI498" i="2" s="1"/>
  <c r="AI684" i="2" a="1"/>
  <c r="AI684" i="2" s="1"/>
  <c r="AI682" i="2" a="1"/>
  <c r="AI682" i="2" s="1"/>
  <c r="AI681" i="2" a="1"/>
  <c r="AI681" i="2" s="1"/>
  <c r="AI675" i="2" a="1"/>
  <c r="AI675" i="2" s="1"/>
  <c r="AI672" i="2" a="1"/>
  <c r="AI672" i="2" s="1"/>
  <c r="AI671" i="2" a="1"/>
  <c r="AI671" i="2" s="1"/>
  <c r="AI497" i="2" a="1"/>
  <c r="AI497" i="2" s="1"/>
  <c r="AI191" i="2" a="1"/>
  <c r="AI191" i="2" s="1"/>
  <c r="AI190" i="2" a="1"/>
  <c r="AI190" i="2" s="1"/>
  <c r="AI189" i="2" a="1"/>
  <c r="AI189" i="2" s="1"/>
  <c r="AI186" i="2" a="1"/>
  <c r="AI186" i="2" s="1"/>
  <c r="AI185" i="2" a="1"/>
  <c r="AI185" i="2" s="1"/>
  <c r="AI183" i="2" a="1"/>
  <c r="AI183" i="2" s="1"/>
  <c r="AI182" i="2" a="1"/>
  <c r="AI182" i="2" s="1"/>
  <c r="AI181" i="2" a="1"/>
  <c r="AI181" i="2" s="1"/>
  <c r="AI180" i="2" a="1"/>
  <c r="AI180" i="2" s="1"/>
  <c r="AI179" i="2" a="1"/>
  <c r="AI179" i="2" s="1"/>
  <c r="AI178" i="2" a="1"/>
  <c r="AI178" i="2" s="1"/>
  <c r="AI177" i="2" a="1"/>
  <c r="AI177" i="2" s="1"/>
  <c r="AI176" i="2" a="1"/>
  <c r="AI176" i="2" s="1"/>
  <c r="AI174" i="2" a="1"/>
  <c r="AI174" i="2" s="1"/>
  <c r="AI172" i="2" a="1"/>
  <c r="AI172" i="2" s="1"/>
  <c r="AI171" i="2" a="1"/>
  <c r="AI171" i="2" s="1"/>
  <c r="AI85" i="2" a="1"/>
  <c r="AI85" i="2" s="1"/>
  <c r="AI83" i="2" a="1"/>
  <c r="AI83" i="2" s="1"/>
  <c r="AI505" i="2" a="1"/>
  <c r="AI505" i="2" s="1"/>
  <c r="AI1301" i="2" a="1"/>
  <c r="AI1301" i="2" s="1"/>
  <c r="AI1298" i="2" a="1"/>
  <c r="AI1298" i="2" s="1"/>
  <c r="AI1297" i="2" a="1"/>
  <c r="AI1297" i="2" s="1"/>
  <c r="AI1296" i="2" a="1"/>
  <c r="AI1296" i="2" s="1"/>
  <c r="AI1294" i="2" a="1"/>
  <c r="AI1294" i="2" s="1"/>
  <c r="AI1292" i="2" a="1"/>
  <c r="AI1292" i="2" s="1"/>
  <c r="AI1290" i="2" a="1"/>
  <c r="AI1290" i="2" s="1"/>
  <c r="AI1289" i="2" a="1"/>
  <c r="AI1289" i="2" s="1"/>
  <c r="AI1288" i="2" a="1"/>
  <c r="AI1288" i="2" s="1"/>
  <c r="AI1287" i="2" a="1"/>
  <c r="AI1287" i="2" s="1"/>
  <c r="AI1285" i="2" a="1"/>
  <c r="AI1285" i="2" s="1"/>
  <c r="AI1283" i="2" a="1"/>
  <c r="AI1283" i="2" s="1"/>
  <c r="AI1281" i="2" a="1"/>
  <c r="AI1281" i="2" s="1"/>
  <c r="AI1280" i="2" a="1"/>
  <c r="AI1280" i="2" s="1"/>
  <c r="AI1279" i="2" a="1"/>
  <c r="AI1279" i="2" s="1"/>
  <c r="AI1278" i="2" a="1"/>
  <c r="AI1278" i="2" s="1"/>
  <c r="AI1277" i="2" a="1"/>
  <c r="AI1277" i="2" s="1"/>
  <c r="AI1276" i="2" a="1"/>
  <c r="AI1276" i="2" s="1"/>
  <c r="AI1275" i="2" a="1"/>
  <c r="AI1275" i="2" s="1"/>
  <c r="AI1274" i="2" a="1"/>
  <c r="AI1274" i="2" s="1"/>
  <c r="AI1273" i="2" a="1"/>
  <c r="AI1273" i="2" s="1"/>
  <c r="AI1272" i="2" a="1"/>
  <c r="AI1272" i="2" s="1"/>
  <c r="AI1271" i="2" a="1"/>
  <c r="AI1271" i="2" s="1"/>
  <c r="AI1270" i="2" a="1"/>
  <c r="AI1270" i="2" s="1"/>
  <c r="AI1269" i="2" a="1"/>
  <c r="AI1269" i="2" s="1"/>
  <c r="AI1268" i="2" a="1"/>
  <c r="AI1268" i="2" s="1"/>
  <c r="AI1267" i="2" a="1"/>
  <c r="AI1267" i="2" s="1"/>
  <c r="AI1266" i="2" a="1"/>
  <c r="AI1266" i="2" s="1"/>
  <c r="AI1265" i="2" a="1"/>
  <c r="AI1265" i="2" s="1"/>
  <c r="AI1264" i="2" a="1"/>
  <c r="AI1264" i="2" s="1"/>
  <c r="AI1263" i="2" a="1"/>
  <c r="AI1263" i="2" s="1"/>
  <c r="AI1262" i="2" a="1"/>
  <c r="AI1262" i="2" s="1"/>
  <c r="AI1261" i="2" a="1"/>
  <c r="AI1261" i="2" s="1"/>
  <c r="AI1260" i="2" a="1"/>
  <c r="AI1260" i="2" s="1"/>
  <c r="AI1259" i="2" a="1"/>
  <c r="AI1259" i="2" s="1"/>
  <c r="AI1258" i="2" a="1"/>
  <c r="AI1258" i="2" s="1"/>
  <c r="AI1257" i="2" a="1"/>
  <c r="AI1257" i="2" s="1"/>
  <c r="AI1256" i="2" a="1"/>
  <c r="AI1256" i="2" s="1"/>
  <c r="AI1255" i="2" a="1"/>
  <c r="AI1255" i="2" s="1"/>
  <c r="AI1254" i="2" a="1"/>
  <c r="AI1254" i="2" s="1"/>
  <c r="AI1253" i="2" a="1"/>
  <c r="AI1253" i="2" s="1"/>
  <c r="AI1252" i="2" a="1"/>
  <c r="AI1252" i="2" s="1"/>
  <c r="AI1251" i="2" a="1"/>
  <c r="AI1251" i="2" s="1"/>
  <c r="AI1250" i="2" a="1"/>
  <c r="AI1250" i="2" s="1"/>
  <c r="AI1248" i="2" a="1"/>
  <c r="AI1248" i="2" s="1"/>
  <c r="AI1246" i="2" a="1"/>
  <c r="AI1246" i="2" s="1"/>
  <c r="AI1242" i="2" a="1"/>
  <c r="AI1242" i="2" s="1"/>
  <c r="AI1241" i="2" a="1"/>
  <c r="AI1241" i="2" s="1"/>
  <c r="AI1240" i="2" a="1"/>
  <c r="AI1240" i="2" s="1"/>
  <c r="AI1239" i="2" a="1"/>
  <c r="AI1239" i="2" s="1"/>
  <c r="AI1238" i="2" a="1"/>
  <c r="AI1238" i="2" s="1"/>
  <c r="AI1237" i="2" a="1"/>
  <c r="AI1237" i="2" s="1"/>
  <c r="AI1236" i="2" a="1"/>
  <c r="AI1236" i="2" s="1"/>
  <c r="AI1235" i="2" a="1"/>
  <c r="AI1235" i="2" s="1"/>
  <c r="AI1234" i="2" a="1"/>
  <c r="AI1234" i="2" s="1"/>
  <c r="AI1233" i="2" a="1"/>
  <c r="AI1233" i="2" s="1"/>
  <c r="AI1232" i="2" a="1"/>
  <c r="AI1232" i="2" s="1"/>
  <c r="AI1231" i="2" a="1"/>
  <c r="AI1231" i="2" s="1"/>
  <c r="AI1230" i="2" a="1"/>
  <c r="AI1230" i="2" s="1"/>
  <c r="AI1229" i="2" a="1"/>
  <c r="AI1229" i="2" s="1"/>
  <c r="AI1228" i="2" a="1"/>
  <c r="AI1228" i="2" s="1"/>
  <c r="AI1227" i="2" a="1"/>
  <c r="AI1227" i="2" s="1"/>
  <c r="AI1226" i="2" a="1"/>
  <c r="AI1226" i="2" s="1"/>
  <c r="AI1225" i="2" a="1"/>
  <c r="AI1225" i="2" s="1"/>
  <c r="AI103" i="2" a="1"/>
  <c r="AI103" i="2" s="1"/>
  <c r="AI751" i="2" a="1"/>
  <c r="AI751" i="2" s="1"/>
  <c r="AI296" i="2" a="1"/>
  <c r="AI296" i="2" s="1"/>
  <c r="AI522" i="2" a="1"/>
  <c r="AI522" i="2" s="1"/>
  <c r="AI515" i="2" a="1"/>
  <c r="AI515" i="2" s="1"/>
  <c r="AI466" i="2" a="1"/>
  <c r="AI466" i="2" s="1"/>
  <c r="AI1224" i="2" a="1"/>
  <c r="AI1224" i="2" s="1"/>
  <c r="AI1223" i="2" a="1"/>
  <c r="AI1223" i="2" s="1"/>
  <c r="AI1222" i="2" a="1"/>
  <c r="AI1222" i="2" s="1"/>
  <c r="AI1221" i="2" a="1"/>
  <c r="AI1221" i="2" s="1"/>
  <c r="AI1220" i="2" a="1"/>
  <c r="AI1220" i="2" s="1"/>
  <c r="AI1219" i="2" a="1"/>
  <c r="AI1219" i="2" s="1"/>
  <c r="AI1218" i="2" a="1"/>
  <c r="AI1218" i="2" s="1"/>
  <c r="AI1217" i="2" a="1"/>
  <c r="AI1217" i="2" s="1"/>
  <c r="AI1216" i="2" a="1"/>
  <c r="AI1216" i="2" s="1"/>
  <c r="AI1215" i="2" a="1"/>
  <c r="AI1215" i="2" s="1"/>
  <c r="AI1214" i="2" a="1"/>
  <c r="AI1214" i="2" s="1"/>
  <c r="AI1213" i="2" a="1"/>
  <c r="AI1213" i="2" s="1"/>
  <c r="AI1212" i="2" a="1"/>
  <c r="AI1212" i="2" s="1"/>
  <c r="AI1211" i="2" a="1"/>
  <c r="AI1211" i="2" s="1"/>
  <c r="AI1210" i="2" a="1"/>
  <c r="AI1210" i="2" s="1"/>
  <c r="AI1209" i="2" a="1"/>
  <c r="AI1209" i="2" s="1"/>
  <c r="AI1208" i="2" a="1"/>
  <c r="AI1208" i="2" s="1"/>
  <c r="AI1207" i="2" a="1"/>
  <c r="AI1207" i="2" s="1"/>
  <c r="AI1206" i="2" a="1"/>
  <c r="AI1206" i="2" s="1"/>
  <c r="AI1205" i="2" a="1"/>
  <c r="AI1205" i="2" s="1"/>
  <c r="AI1204" i="2" a="1"/>
  <c r="AI1204" i="2" s="1"/>
  <c r="AI1203" i="2" a="1"/>
  <c r="AI1203" i="2" s="1"/>
  <c r="AI1202" i="2" a="1"/>
  <c r="AI1202" i="2" s="1"/>
  <c r="AI1201" i="2" a="1"/>
  <c r="AI1201" i="2" s="1"/>
  <c r="AI1200" i="2" a="1"/>
  <c r="AI1200" i="2" s="1"/>
  <c r="AI1199" i="2" a="1"/>
  <c r="AI1199" i="2" s="1"/>
  <c r="AI1198" i="2" a="1"/>
  <c r="AI1198" i="2" s="1"/>
  <c r="AI1197" i="2" a="1"/>
  <c r="AI1197" i="2" s="1"/>
  <c r="AI1196" i="2" a="1"/>
  <c r="AI1196" i="2" s="1"/>
  <c r="AI1195" i="2" a="1"/>
  <c r="AI1195" i="2" s="1"/>
  <c r="AI1194" i="2" a="1"/>
  <c r="AI1194" i="2" s="1"/>
  <c r="AI1193" i="2" a="1"/>
  <c r="AI1193" i="2" s="1"/>
  <c r="AI1192" i="2" a="1"/>
  <c r="AI1192" i="2" s="1"/>
  <c r="AI1191" i="2" a="1"/>
  <c r="AI1191" i="2" s="1"/>
  <c r="AI1190" i="2" a="1"/>
  <c r="AI1190" i="2" s="1"/>
  <c r="AI1189" i="2" a="1"/>
  <c r="AI1189" i="2" s="1"/>
  <c r="AI1188" i="2" a="1"/>
  <c r="AI1188" i="2" s="1"/>
  <c r="AI1187" i="2" a="1"/>
  <c r="AI1187" i="2" s="1"/>
  <c r="AI1186" i="2" a="1"/>
  <c r="AI1186" i="2" s="1"/>
  <c r="AI1185" i="2" a="1"/>
  <c r="AI1185" i="2" s="1"/>
  <c r="AI1184" i="2" a="1"/>
  <c r="AI1184" i="2" s="1"/>
  <c r="AI1183" i="2" a="1"/>
  <c r="AI1183" i="2" s="1"/>
  <c r="AI1182" i="2" a="1"/>
  <c r="AI1182" i="2" s="1"/>
  <c r="AI1181" i="2" a="1"/>
  <c r="AI1181" i="2" s="1"/>
  <c r="AI1180" i="2" a="1"/>
  <c r="AI1180" i="2" s="1"/>
  <c r="AI1179" i="2" a="1"/>
  <c r="AI1179" i="2" s="1"/>
  <c r="AI1178" i="2" a="1"/>
  <c r="AI1178" i="2" s="1"/>
  <c r="AI1177" i="2" a="1"/>
  <c r="AI1177" i="2" s="1"/>
  <c r="AI1176" i="2" a="1"/>
  <c r="AI1176" i="2" s="1"/>
  <c r="AI1175" i="2" a="1"/>
  <c r="AI1175" i="2" s="1"/>
  <c r="AI1174" i="2" a="1"/>
  <c r="AI1174" i="2" s="1"/>
  <c r="AI1173" i="2" a="1"/>
  <c r="AI1173" i="2" s="1"/>
  <c r="AI1172" i="2" a="1"/>
  <c r="AI1172" i="2" s="1"/>
  <c r="AI1171" i="2" a="1"/>
  <c r="AI1171" i="2" s="1"/>
  <c r="AI1170" i="2" a="1"/>
  <c r="AI1170" i="2" s="1"/>
  <c r="AI1169" i="2" a="1"/>
  <c r="AI1169" i="2" s="1"/>
  <c r="AI1168" i="2" a="1"/>
  <c r="AI1168" i="2" s="1"/>
  <c r="AI1167" i="2" a="1"/>
  <c r="AI1167" i="2" s="1"/>
  <c r="AI1166" i="2" a="1"/>
  <c r="AI1166" i="2" s="1"/>
  <c r="AI1165" i="2" a="1"/>
  <c r="AI1165" i="2" s="1"/>
  <c r="AI1164" i="2" a="1"/>
  <c r="AI1164" i="2" s="1"/>
  <c r="AI1163" i="2" a="1"/>
  <c r="AI1163" i="2" s="1"/>
  <c r="AI1162" i="2" a="1"/>
  <c r="AI1162" i="2" s="1"/>
  <c r="AI1161" i="2" a="1"/>
  <c r="AI1161" i="2" s="1"/>
  <c r="AI1160" i="2" a="1"/>
  <c r="AI1160" i="2" s="1"/>
  <c r="AI1159" i="2" a="1"/>
  <c r="AI1159" i="2" s="1"/>
  <c r="AI1158" i="2" a="1"/>
  <c r="AI1158" i="2" s="1"/>
  <c r="AI1156" i="2" a="1"/>
  <c r="AI1156" i="2" s="1"/>
  <c r="AI1155" i="2" a="1"/>
  <c r="AI1155" i="2" s="1"/>
  <c r="AI1154" i="2" a="1"/>
  <c r="AI1154" i="2" s="1"/>
  <c r="AI1153" i="2" a="1"/>
  <c r="AI1153" i="2" s="1"/>
  <c r="AI1152" i="2" a="1"/>
  <c r="AI1152" i="2" s="1"/>
  <c r="AI1151" i="2" a="1"/>
  <c r="AI1151" i="2" s="1"/>
  <c r="AI1150" i="2" a="1"/>
  <c r="AI1150" i="2" s="1"/>
  <c r="AI1149" i="2" a="1"/>
  <c r="AI1149" i="2" s="1"/>
  <c r="AI1148" i="2" a="1"/>
  <c r="AI1148" i="2" s="1"/>
  <c r="AI747" i="2" a="1"/>
  <c r="AI747" i="2" s="1"/>
  <c r="AI524" i="2" a="1"/>
  <c r="AI524" i="2" s="1"/>
  <c r="AI516" i="2" a="1"/>
  <c r="AI516" i="2" s="1"/>
  <c r="AI1147" i="2" a="1"/>
  <c r="AI1147" i="2" s="1"/>
  <c r="AI1146" i="2" a="1"/>
  <c r="AI1146" i="2" s="1"/>
  <c r="AI1145" i="2" a="1"/>
  <c r="AI1145" i="2" s="1"/>
  <c r="AI1144" i="2" a="1"/>
  <c r="AI1144" i="2" s="1"/>
  <c r="AI1143" i="2" a="1"/>
  <c r="AI1143" i="2" s="1"/>
  <c r="AI1142" i="2" a="1"/>
  <c r="AI1142" i="2" s="1"/>
  <c r="AI1141" i="2" a="1"/>
  <c r="AI1141" i="2" s="1"/>
  <c r="AI1140" i="2" a="1"/>
  <c r="AI1140" i="2" s="1"/>
  <c r="AI1139" i="2" a="1"/>
  <c r="AI1139" i="2" s="1"/>
  <c r="AI1138" i="2" a="1"/>
  <c r="AI1138" i="2" s="1"/>
  <c r="AI1137" i="2" a="1"/>
  <c r="AI1137" i="2" s="1"/>
  <c r="AI1136" i="2" a="1"/>
  <c r="AI1136" i="2" s="1"/>
  <c r="AI1135" i="2" a="1"/>
  <c r="AI1135" i="2" s="1"/>
  <c r="AI1134" i="2" a="1"/>
  <c r="AI1134" i="2" s="1"/>
  <c r="AI1133" i="2" a="1"/>
  <c r="AI1133" i="2" s="1"/>
  <c r="AI1132" i="2" a="1"/>
  <c r="AI1132" i="2" s="1"/>
  <c r="AI1131" i="2" a="1"/>
  <c r="AI1131" i="2" s="1"/>
  <c r="AI1130" i="2" a="1"/>
  <c r="AI1130" i="2" s="1"/>
  <c r="AI1129" i="2" a="1"/>
  <c r="AI1129" i="2" s="1"/>
  <c r="AI1128" i="2" a="1"/>
  <c r="AI1128" i="2" s="1"/>
  <c r="AI1127" i="2" a="1"/>
  <c r="AI1127" i="2" s="1"/>
  <c r="AI1126" i="2" a="1"/>
  <c r="AI1126" i="2" s="1"/>
  <c r="AI1125" i="2" a="1"/>
  <c r="AI1125" i="2" s="1"/>
  <c r="AI1124" i="2" a="1"/>
  <c r="AI1124" i="2" s="1"/>
  <c r="AI1123" i="2" a="1"/>
  <c r="AI1123" i="2" s="1"/>
  <c r="AI1122" i="2" a="1"/>
  <c r="AI1122" i="2" s="1"/>
  <c r="AI1121" i="2" a="1"/>
  <c r="AI1121" i="2" s="1"/>
  <c r="AI1120" i="2" a="1"/>
  <c r="AI1120" i="2" s="1"/>
  <c r="AI1119" i="2" a="1"/>
  <c r="AI1119" i="2" s="1"/>
  <c r="AI1118" i="2" a="1"/>
  <c r="AI1118" i="2" s="1"/>
  <c r="AI1117" i="2" a="1"/>
  <c r="AI1117" i="2" s="1"/>
  <c r="AI1116" i="2" a="1"/>
  <c r="AI1116" i="2" s="1"/>
  <c r="AI1115" i="2" a="1"/>
  <c r="AI1115" i="2" s="1"/>
  <c r="AI1114" i="2" a="1"/>
  <c r="AI1114" i="2" s="1"/>
  <c r="AI1113" i="2" a="1"/>
  <c r="AI1113" i="2" s="1"/>
  <c r="AI1112" i="2" a="1"/>
  <c r="AI1112" i="2" s="1"/>
  <c r="AI1111" i="2" a="1"/>
  <c r="AI1111" i="2" s="1"/>
  <c r="AI1110" i="2" a="1"/>
  <c r="AI1110" i="2" s="1"/>
  <c r="AI1109" i="2" a="1"/>
  <c r="AI1109" i="2" s="1"/>
  <c r="AI1108" i="2" a="1"/>
  <c r="AI1108" i="2" s="1"/>
  <c r="AI1107" i="2" a="1"/>
  <c r="AI1107" i="2" s="1"/>
  <c r="AI1106" i="2" a="1"/>
  <c r="AI1106" i="2" s="1"/>
  <c r="AI1105" i="2" a="1"/>
  <c r="AI1105" i="2" s="1"/>
  <c r="AI1104" i="2" a="1"/>
  <c r="AI1104" i="2" s="1"/>
  <c r="AI1103" i="2" a="1"/>
  <c r="AI1103" i="2" s="1"/>
  <c r="AI1102" i="2" a="1"/>
  <c r="AI1102" i="2" s="1"/>
  <c r="AI1101" i="2" a="1"/>
  <c r="AI1101" i="2" s="1"/>
  <c r="AI1100" i="2" a="1"/>
  <c r="AI1100" i="2" s="1"/>
  <c r="AI1099" i="2" a="1"/>
  <c r="AI1099" i="2" s="1"/>
  <c r="AI1098" i="2" a="1"/>
  <c r="AI1098" i="2" s="1"/>
  <c r="AI1097" i="2" a="1"/>
  <c r="AI1097" i="2" s="1"/>
  <c r="AI1096" i="2" a="1"/>
  <c r="AI1096" i="2" s="1"/>
  <c r="AI1095" i="2" a="1"/>
  <c r="AI1095" i="2" s="1"/>
  <c r="AI1094" i="2" a="1"/>
  <c r="AI1094" i="2" s="1"/>
  <c r="AI1093" i="2" a="1"/>
  <c r="AI1093" i="2" s="1"/>
  <c r="AI1092" i="2" a="1"/>
  <c r="AI1092" i="2" s="1"/>
  <c r="AI1091" i="2" a="1"/>
  <c r="AI1091" i="2" s="1"/>
  <c r="AI1090" i="2" a="1"/>
  <c r="AI1090" i="2" s="1"/>
  <c r="AI1089" i="2" a="1"/>
  <c r="AI1089" i="2" s="1"/>
  <c r="AI1088" i="2" a="1"/>
  <c r="AI1088" i="2" s="1"/>
  <c r="AI1087" i="2" a="1"/>
  <c r="AI1087" i="2" s="1"/>
  <c r="AI1086" i="2" a="1"/>
  <c r="AI1086" i="2" s="1"/>
  <c r="AI1084" i="2" a="1"/>
  <c r="AI1084" i="2" s="1"/>
  <c r="AI1083" i="2" a="1"/>
  <c r="AI1083" i="2" s="1"/>
  <c r="AI1082" i="2" a="1"/>
  <c r="AI1082" i="2" s="1"/>
  <c r="AI1080" i="2" a="1"/>
  <c r="AI1080" i="2" s="1"/>
  <c r="AI1079" i="2" a="1"/>
  <c r="AI1079" i="2" s="1"/>
  <c r="AI1078" i="2" a="1"/>
  <c r="AI1078" i="2" s="1"/>
  <c r="AI1077" i="2" a="1"/>
  <c r="AI1077" i="2" s="1"/>
  <c r="AI1076" i="2" a="1"/>
  <c r="AI1076" i="2" s="1"/>
  <c r="AI1075" i="2" a="1"/>
  <c r="AI1075" i="2" s="1"/>
  <c r="AI1074" i="2" a="1"/>
  <c r="AI1074" i="2" s="1"/>
  <c r="AI1073" i="2" a="1"/>
  <c r="AI1073" i="2" s="1"/>
  <c r="AI1072" i="2" a="1"/>
  <c r="AI1072" i="2" s="1"/>
  <c r="AI1071" i="2" a="1"/>
  <c r="AI1071" i="2" s="1"/>
  <c r="AI351" i="2" a="1"/>
  <c r="AI351" i="2" s="1"/>
  <c r="AI346" i="2" a="1"/>
  <c r="AI346" i="2" s="1"/>
  <c r="AI247" i="2" a="1"/>
  <c r="AI247" i="2" s="1"/>
  <c r="AI990" i="2" a="1"/>
  <c r="AI990" i="2" s="1"/>
  <c r="AI473" i="2" a="1"/>
  <c r="AI473" i="2" s="1"/>
  <c r="AI461" i="2" a="1"/>
  <c r="AI461" i="2" s="1"/>
  <c r="AI460" i="2" a="1"/>
  <c r="AI460" i="2" s="1"/>
  <c r="AI458" i="2" a="1"/>
  <c r="AI458" i="2" s="1"/>
  <c r="AI453" i="2" a="1"/>
  <c r="AI453" i="2" s="1"/>
  <c r="AI452" i="2" a="1"/>
  <c r="AI452" i="2" s="1"/>
  <c r="AI451" i="2" a="1"/>
  <c r="AI451" i="2" s="1"/>
  <c r="AI1318" i="2" a="1"/>
  <c r="AI1318" i="2" s="1"/>
  <c r="AI423" i="2" a="1"/>
  <c r="AI423" i="2" s="1"/>
  <c r="AI198" i="2" a="1"/>
  <c r="AI198" i="2" s="1"/>
  <c r="AI195" i="2" a="1"/>
  <c r="AI195" i="2" s="1"/>
  <c r="AI192" i="2" a="1"/>
  <c r="AI192" i="2" s="1"/>
  <c r="AI1312" i="2" a="1"/>
  <c r="AI1312" i="2" s="1"/>
  <c r="AI1310" i="2" a="1"/>
  <c r="AI1310" i="2" s="1"/>
  <c r="AI1308" i="2" a="1"/>
  <c r="AI1308" i="2" s="1"/>
  <c r="AI1307" i="2" a="1"/>
  <c r="AI1307" i="2" s="1"/>
  <c r="AJ250" i="2" a="1"/>
  <c r="AJ250" i="2" s="1"/>
  <c r="AJ249" i="2" a="1"/>
  <c r="AJ249" i="2" s="1"/>
  <c r="AJ237" i="2" a="1"/>
  <c r="AJ237" i="2" s="1"/>
  <c r="AJ233" i="2" a="1"/>
  <c r="AJ233" i="2" s="1"/>
  <c r="AJ231" i="2" a="1"/>
  <c r="AJ231" i="2" s="1"/>
  <c r="AJ6" i="2" a="1"/>
  <c r="AJ6" i="2" s="1"/>
  <c r="AJ5" i="2" a="1"/>
  <c r="AJ5" i="2" s="1"/>
  <c r="AJ3" i="2" a="1"/>
  <c r="AJ3" i="2" s="1"/>
  <c r="AJ648" i="2" a="1"/>
  <c r="AJ648" i="2" s="1"/>
  <c r="AJ783" i="2" a="1"/>
  <c r="AJ783" i="2" s="1"/>
  <c r="AJ551" i="2" a="1"/>
  <c r="AJ551" i="2" s="1"/>
  <c r="AJ550" i="2" a="1"/>
  <c r="AJ550" i="2" s="1"/>
  <c r="AJ546" i="2" a="1"/>
  <c r="AJ546" i="2" s="1"/>
  <c r="AJ545" i="2" a="1"/>
  <c r="AJ545" i="2" s="1"/>
  <c r="AJ542" i="2" a="1"/>
  <c r="AJ542" i="2" s="1"/>
  <c r="AJ540" i="2" a="1"/>
  <c r="AJ540" i="2" s="1"/>
  <c r="AJ538" i="2" a="1"/>
  <c r="AJ538" i="2" s="1"/>
  <c r="AJ537" i="2" a="1"/>
  <c r="AJ537" i="2" s="1"/>
  <c r="AJ534" i="2" a="1"/>
  <c r="AJ534" i="2" s="1"/>
  <c r="AJ528" i="2" a="1"/>
  <c r="AJ528" i="2" s="1"/>
  <c r="AJ522" i="2" a="1"/>
  <c r="AJ522" i="2" s="1"/>
  <c r="AJ518" i="2" a="1"/>
  <c r="AJ518" i="2" s="1"/>
  <c r="AJ515" i="2" a="1"/>
  <c r="AJ515" i="2" s="1"/>
  <c r="AJ506" i="2" a="1"/>
  <c r="AJ506" i="2" s="1"/>
  <c r="AJ505" i="2" a="1"/>
  <c r="AJ505" i="2" s="1"/>
  <c r="AJ497" i="2" a="1"/>
  <c r="AJ497" i="2" s="1"/>
  <c r="AJ481" i="2" a="1"/>
  <c r="AJ481" i="2" s="1"/>
  <c r="AJ480" i="2" a="1"/>
  <c r="AJ480" i="2" s="1"/>
  <c r="AJ477" i="2" a="1"/>
  <c r="AJ477" i="2" s="1"/>
  <c r="AJ475" i="2" a="1"/>
  <c r="AJ475" i="2" s="1"/>
  <c r="AJ473" i="2" a="1"/>
  <c r="AJ473" i="2" s="1"/>
  <c r="AJ472" i="2" a="1"/>
  <c r="AJ472" i="2" s="1"/>
  <c r="AJ471" i="2" a="1"/>
  <c r="AJ471" i="2" s="1"/>
  <c r="AJ470" i="2" a="1"/>
  <c r="AJ470" i="2" s="1"/>
  <c r="AJ469" i="2" a="1"/>
  <c r="AJ469" i="2" s="1"/>
  <c r="AJ339" i="2" a="1"/>
  <c r="AJ339" i="2" s="1"/>
  <c r="AJ815" i="2" a="1"/>
  <c r="AJ815" i="2" s="1"/>
  <c r="AJ468" i="2" a="1"/>
  <c r="AJ468" i="2" s="1"/>
  <c r="AJ464" i="2" a="1"/>
  <c r="AJ464" i="2" s="1"/>
  <c r="AJ462" i="2" a="1"/>
  <c r="AJ462" i="2" s="1"/>
  <c r="AJ460" i="2" a="1"/>
  <c r="AJ460" i="2" s="1"/>
  <c r="AJ456" i="2" a="1"/>
  <c r="AJ456" i="2" s="1"/>
  <c r="AJ455" i="2" a="1"/>
  <c r="AJ455" i="2" s="1"/>
  <c r="AJ453" i="2" a="1"/>
  <c r="AJ453" i="2" s="1"/>
  <c r="AJ946" i="2" a="1"/>
  <c r="AJ946" i="2" s="1"/>
  <c r="AJ999" i="2" a="1"/>
  <c r="AJ999" i="2" s="1"/>
  <c r="AJ1337" i="2" a="1"/>
  <c r="AJ1337" i="2" s="1"/>
  <c r="AJ373" i="2" a="1"/>
  <c r="AJ373" i="2" s="1"/>
  <c r="AJ1063" i="2" a="1"/>
  <c r="AJ1063" i="2" s="1"/>
  <c r="AJ1054" i="2" a="1"/>
  <c r="AJ1054" i="2" s="1"/>
  <c r="AJ833" i="2" a="1"/>
  <c r="AJ833" i="2" s="1"/>
  <c r="AJ351" i="2" a="1"/>
  <c r="AJ351" i="2" s="1"/>
  <c r="AJ575" i="2" a="1"/>
  <c r="AJ575" i="2" s="1"/>
  <c r="AJ574" i="2" a="1"/>
  <c r="AJ574" i="2" s="1"/>
  <c r="AJ573" i="2" a="1"/>
  <c r="AJ573" i="2" s="1"/>
  <c r="AJ570" i="2" a="1"/>
  <c r="AJ570" i="2" s="1"/>
  <c r="AJ566" i="2" a="1"/>
  <c r="AJ566" i="2" s="1"/>
  <c r="AJ565" i="2" a="1"/>
  <c r="AJ565" i="2" s="1"/>
  <c r="AJ345" i="2" a="1"/>
  <c r="AJ345" i="2" s="1"/>
  <c r="AJ314" i="2" a="1"/>
  <c r="AJ314" i="2" s="1"/>
  <c r="AJ71" i="2" a="1"/>
  <c r="AJ71" i="2" s="1"/>
  <c r="AJ360" i="2" a="1"/>
  <c r="AJ360" i="2" s="1"/>
  <c r="AJ47" i="2" a="1"/>
  <c r="AJ47" i="2" s="1"/>
  <c r="AJ41" i="2" a="1"/>
  <c r="AJ41" i="2" s="1"/>
  <c r="AJ37" i="2" a="1"/>
  <c r="AJ37" i="2" s="1"/>
  <c r="AJ949" i="2" a="1"/>
  <c r="AJ949" i="2" s="1"/>
  <c r="AJ789" i="2" a="1"/>
  <c r="AJ789" i="2" s="1"/>
  <c r="AJ757" i="2" a="1"/>
  <c r="AJ757" i="2" s="1"/>
  <c r="AJ992" i="2" a="1"/>
  <c r="AJ992" i="2" s="1"/>
  <c r="AJ207" i="2" a="1"/>
  <c r="AJ207" i="2" s="1"/>
  <c r="AJ202" i="2" a="1"/>
  <c r="AJ202" i="2" s="1"/>
  <c r="AJ1245" i="2" a="1"/>
  <c r="AJ1245" i="2" s="1"/>
  <c r="AJ1325" i="2" a="1"/>
  <c r="AJ1325" i="2" s="1"/>
  <c r="AJ634" i="2" a="1"/>
  <c r="AJ634" i="2" s="1"/>
  <c r="AJ632" i="2" a="1"/>
  <c r="AJ632" i="2" s="1"/>
  <c r="AJ631" i="2" a="1"/>
  <c r="AJ631" i="2" s="1"/>
  <c r="AJ629" i="2" a="1"/>
  <c r="AJ629" i="2" s="1"/>
  <c r="AJ623" i="2" a="1"/>
  <c r="AJ623" i="2" s="1"/>
  <c r="AJ622" i="2" a="1"/>
  <c r="AJ622" i="2" s="1"/>
  <c r="AJ619" i="2" a="1"/>
  <c r="AJ619" i="2" s="1"/>
  <c r="AJ637" i="2" a="1"/>
  <c r="AJ637" i="2" s="1"/>
  <c r="AJ635" i="2" a="1"/>
  <c r="AJ635" i="2" s="1"/>
  <c r="AJ627" i="2" a="1"/>
  <c r="AJ627" i="2" s="1"/>
  <c r="AJ621" i="2" a="1"/>
  <c r="AJ621" i="2" s="1"/>
  <c r="AJ618" i="2" a="1"/>
  <c r="AJ618" i="2" s="1"/>
  <c r="AJ616" i="2" a="1"/>
  <c r="AJ616" i="2" s="1"/>
  <c r="AJ359" i="2" a="1"/>
  <c r="AJ359" i="2" s="1"/>
  <c r="AJ636" i="2" a="1"/>
  <c r="AJ636" i="2" s="1"/>
  <c r="AI636" i="2" a="1"/>
  <c r="AI636" i="2" s="1"/>
  <c r="AJ633" i="2" a="1"/>
  <c r="AJ633" i="2" s="1"/>
  <c r="AI633" i="2" a="1"/>
  <c r="AI633" i="2" s="1"/>
  <c r="AJ630" i="2" a="1"/>
  <c r="AJ630" i="2" s="1"/>
  <c r="AI630" i="2" a="1"/>
  <c r="AI630" i="2" s="1"/>
  <c r="AJ628" i="2" a="1"/>
  <c r="AJ628" i="2" s="1"/>
  <c r="AI628" i="2" a="1"/>
  <c r="AI628" i="2" s="1"/>
  <c r="AJ624" i="2" a="1"/>
  <c r="AJ624" i="2" s="1"/>
  <c r="AI624" i="2" a="1"/>
  <c r="AI624" i="2" s="1"/>
  <c r="AJ620" i="2" a="1"/>
  <c r="AJ620" i="2" s="1"/>
  <c r="AI620" i="2" a="1"/>
  <c r="AI620" i="2" s="1"/>
  <c r="AJ617" i="2" a="1"/>
  <c r="AJ617" i="2" s="1"/>
  <c r="AI617" i="2" a="1"/>
  <c r="AI617" i="2" s="1"/>
  <c r="AJ615" i="2" a="1"/>
  <c r="AJ615" i="2" s="1"/>
  <c r="AI615" i="2" a="1"/>
  <c r="AI615" i="2" s="1"/>
  <c r="AJ614" i="2" a="1"/>
  <c r="AJ614" i="2" s="1"/>
  <c r="AI614" i="2" a="1"/>
  <c r="AI614" i="2" s="1"/>
  <c r="AJ613" i="2" a="1"/>
  <c r="AJ613" i="2" s="1"/>
  <c r="AI613" i="2" a="1"/>
  <c r="AI613" i="2" s="1"/>
  <c r="AJ612" i="2" a="1"/>
  <c r="AJ612" i="2" s="1"/>
  <c r="AI612" i="2" a="1"/>
  <c r="AI612" i="2" s="1"/>
  <c r="AJ375" i="2" a="1"/>
  <c r="AJ375" i="2" s="1"/>
  <c r="AI375" i="2" a="1"/>
  <c r="AI375" i="2" s="1"/>
  <c r="AJ374" i="2" a="1"/>
  <c r="AJ374" i="2" s="1"/>
  <c r="AI374" i="2" a="1"/>
  <c r="AI374" i="2" s="1"/>
  <c r="AJ358" i="2" a="1"/>
  <c r="AJ358" i="2" s="1"/>
  <c r="AI358" i="2" a="1"/>
  <c r="AI358" i="2" s="1"/>
  <c r="AJ355" i="2" a="1"/>
  <c r="AJ355" i="2" s="1"/>
  <c r="AI355" i="2" a="1"/>
  <c r="AI355" i="2" s="1"/>
  <c r="AJ354" i="2" a="1"/>
  <c r="AJ354" i="2" s="1"/>
  <c r="AI354" i="2" a="1"/>
  <c r="AI354" i="2" s="1"/>
  <c r="AJ353" i="2" a="1"/>
  <c r="AJ353" i="2" s="1"/>
  <c r="AI353" i="2" a="1"/>
  <c r="AI353" i="2" s="1"/>
  <c r="AJ352" i="2" a="1"/>
  <c r="AJ352" i="2" s="1"/>
  <c r="AI352" i="2" a="1"/>
  <c r="AI352" i="2" s="1"/>
  <c r="AJ350" i="2" a="1"/>
  <c r="AJ350" i="2" s="1"/>
  <c r="AI350" i="2" a="1"/>
  <c r="AI350" i="2" s="1"/>
  <c r="AJ349" i="2" a="1"/>
  <c r="AJ349" i="2" s="1"/>
  <c r="AI349" i="2" a="1"/>
  <c r="AI349" i="2" s="1"/>
  <c r="AJ348" i="2" a="1"/>
  <c r="AJ348" i="2" s="1"/>
  <c r="AI348" i="2" a="1"/>
  <c r="AI348" i="2" s="1"/>
  <c r="AJ347" i="2" a="1"/>
  <c r="AJ347" i="2" s="1"/>
  <c r="AI347" i="2" a="1"/>
  <c r="AI347" i="2" s="1"/>
  <c r="AJ108" i="2" a="1"/>
  <c r="AJ108" i="2" s="1"/>
  <c r="AI108" i="2" a="1"/>
  <c r="AI108" i="2" s="1"/>
  <c r="AJ107" i="2" a="1"/>
  <c r="AJ107" i="2" s="1"/>
  <c r="AI107" i="2" a="1"/>
  <c r="AI107" i="2" s="1"/>
  <c r="AJ106" i="2" a="1"/>
  <c r="AJ106" i="2" s="1"/>
  <c r="AI106" i="2" a="1"/>
  <c r="AI106" i="2" s="1"/>
  <c r="AJ105" i="2" a="1"/>
  <c r="AJ105" i="2" s="1"/>
  <c r="AI105" i="2" a="1"/>
  <c r="AI105" i="2" s="1"/>
  <c r="AJ104" i="2" a="1"/>
  <c r="AJ104" i="2" s="1"/>
  <c r="AI104" i="2" a="1"/>
  <c r="AI104" i="2" s="1"/>
  <c r="AJ1019" i="2" a="1"/>
  <c r="AJ1019" i="2" s="1"/>
  <c r="AI1019" i="2" a="1"/>
  <c r="AI1019" i="2" s="1"/>
  <c r="AJ1018" i="2" a="1"/>
  <c r="AJ1018" i="2" s="1"/>
  <c r="AI1018" i="2" a="1"/>
  <c r="AI1018" i="2" s="1"/>
  <c r="AJ1017" i="2" a="1"/>
  <c r="AJ1017" i="2" s="1"/>
  <c r="AI1017" i="2" a="1"/>
  <c r="AI1017" i="2" s="1"/>
  <c r="AJ1016" i="2" a="1"/>
  <c r="AJ1016" i="2" s="1"/>
  <c r="AI1016" i="2" a="1"/>
  <c r="AI1016" i="2" s="1"/>
  <c r="AJ1015" i="2" a="1"/>
  <c r="AJ1015" i="2" s="1"/>
  <c r="AI1015" i="2" a="1"/>
  <c r="AI1015" i="2" s="1"/>
  <c r="AJ1014" i="2" a="1"/>
  <c r="AJ1014" i="2" s="1"/>
  <c r="AI1014" i="2" a="1"/>
  <c r="AI1014" i="2" s="1"/>
  <c r="AJ1013" i="2" a="1"/>
  <c r="AJ1013" i="2" s="1"/>
  <c r="AI1013" i="2" a="1"/>
  <c r="AI1013" i="2" s="1"/>
  <c r="AJ1011" i="2" a="1"/>
  <c r="AJ1011" i="2" s="1"/>
  <c r="AI1011" i="2" a="1"/>
  <c r="AI1011" i="2" s="1"/>
  <c r="AJ750" i="2" a="1"/>
  <c r="AJ750" i="2" s="1"/>
  <c r="AI750" i="2" a="1"/>
  <c r="AI750" i="2" s="1"/>
  <c r="AJ748" i="2" a="1"/>
  <c r="AJ748" i="2" s="1"/>
  <c r="AI748" i="2" a="1"/>
  <c r="AI748" i="2" s="1"/>
  <c r="AJ299" i="2" a="1"/>
  <c r="AJ299" i="2" s="1"/>
  <c r="AI299" i="2" a="1"/>
  <c r="AI299" i="2" s="1"/>
  <c r="AJ298" i="2" a="1"/>
  <c r="AJ298" i="2" s="1"/>
  <c r="AI298" i="2" a="1"/>
  <c r="AI298" i="2" s="1"/>
  <c r="AJ297" i="2" a="1"/>
  <c r="AJ297" i="2" s="1"/>
  <c r="AI297" i="2" a="1"/>
  <c r="AI297" i="2" s="1"/>
  <c r="AJ248" i="2" a="1"/>
  <c r="AJ248" i="2" s="1"/>
  <c r="AI248" i="2" a="1"/>
  <c r="AI248" i="2" s="1"/>
  <c r="AJ244" i="2" a="1"/>
  <c r="AJ244" i="2" s="1"/>
  <c r="AI244" i="2" a="1"/>
  <c r="AI244" i="2" s="1"/>
  <c r="AJ241" i="2" a="1"/>
  <c r="AJ241" i="2" s="1"/>
  <c r="AI241" i="2" a="1"/>
  <c r="AI241" i="2" s="1"/>
  <c r="AJ236" i="2" a="1"/>
  <c r="AJ236" i="2" s="1"/>
  <c r="AI236" i="2" a="1"/>
  <c r="AI236" i="2" s="1"/>
  <c r="AJ235" i="2" a="1"/>
  <c r="AJ235" i="2" s="1"/>
  <c r="AI235" i="2" a="1"/>
  <c r="AI235" i="2" s="1"/>
  <c r="AJ234" i="2" a="1"/>
  <c r="AJ234" i="2" s="1"/>
  <c r="AI234" i="2" a="1"/>
  <c r="AI234" i="2" s="1"/>
  <c r="AJ232" i="2" a="1"/>
  <c r="AJ232" i="2" s="1"/>
  <c r="AI232" i="2" a="1"/>
  <c r="AI232" i="2" s="1"/>
  <c r="AJ230" i="2" a="1"/>
  <c r="AJ230" i="2" s="1"/>
  <c r="AI230" i="2" a="1"/>
  <c r="AI230" i="2" s="1"/>
  <c r="AJ229" i="2" a="1"/>
  <c r="AJ229" i="2" s="1"/>
  <c r="AI229" i="2" a="1"/>
  <c r="AI229" i="2" s="1"/>
  <c r="AJ4" i="2" a="1"/>
  <c r="AJ4" i="2" s="1"/>
  <c r="AI4" i="2" a="1"/>
  <c r="AI4" i="2" s="1"/>
  <c r="AI377" i="2" a="1"/>
  <c r="AI377" i="2" s="1"/>
  <c r="AJ377" i="2" a="1"/>
  <c r="AJ377" i="2" s="1"/>
  <c r="AI376" i="2" a="1"/>
  <c r="AI376" i="2" s="1"/>
  <c r="AJ376" i="2" a="1"/>
  <c r="AJ376" i="2" s="1"/>
  <c r="AI342" i="2" a="1"/>
  <c r="AI342" i="2" s="1"/>
  <c r="AJ342" i="2" a="1"/>
  <c r="AJ342" i="2" s="1"/>
  <c r="AI1061" i="2" a="1"/>
  <c r="AI1061" i="2" s="1"/>
  <c r="AJ1061" i="2" a="1"/>
  <c r="AJ1061" i="2" s="1"/>
  <c r="AI1058" i="2" a="1"/>
  <c r="AI1058" i="2" s="1"/>
  <c r="AJ1058" i="2" a="1"/>
  <c r="AJ1058" i="2" s="1"/>
  <c r="AI1056" i="2" a="1"/>
  <c r="AI1056" i="2" s="1"/>
  <c r="AJ1056" i="2" a="1"/>
  <c r="AJ1056" i="2" s="1"/>
  <c r="AI994" i="2" a="1"/>
  <c r="AI994" i="2" s="1"/>
  <c r="AJ994" i="2" a="1"/>
  <c r="AJ994" i="2" s="1"/>
  <c r="AI993" i="2" a="1"/>
  <c r="AI993" i="2" s="1"/>
  <c r="AJ993" i="2" a="1"/>
  <c r="AJ993" i="2" s="1"/>
  <c r="AI987" i="2" a="1"/>
  <c r="AI987" i="2" s="1"/>
  <c r="AJ987" i="2" a="1"/>
  <c r="AJ987" i="2" s="1"/>
  <c r="AI947" i="2" a="1"/>
  <c r="AI947" i="2" s="1"/>
  <c r="AJ947" i="2" a="1"/>
  <c r="AJ947" i="2" s="1"/>
  <c r="AI920" i="2" a="1"/>
  <c r="AI920" i="2" s="1"/>
  <c r="AJ920" i="2" a="1"/>
  <c r="AJ920" i="2" s="1"/>
  <c r="AI918" i="2" a="1"/>
  <c r="AI918" i="2" s="1"/>
  <c r="AJ918" i="2" a="1"/>
  <c r="AJ918" i="2" s="1"/>
  <c r="AI650" i="2" a="1"/>
  <c r="AI650" i="2" s="1"/>
  <c r="AJ650" i="2" a="1"/>
  <c r="AJ650" i="2" s="1"/>
  <c r="AI649" i="2" a="1"/>
  <c r="AI649" i="2" s="1"/>
  <c r="AJ649" i="2" a="1"/>
  <c r="AJ649" i="2" s="1"/>
  <c r="AI646" i="2" a="1"/>
  <c r="AI646" i="2" s="1"/>
  <c r="AJ646" i="2" a="1"/>
  <c r="AJ646" i="2" s="1"/>
  <c r="AI392" i="2" a="1"/>
  <c r="AI392" i="2" s="1"/>
  <c r="AJ392" i="2" a="1"/>
  <c r="AJ392" i="2" s="1"/>
  <c r="AI379" i="2" a="1"/>
  <c r="AI379" i="2" s="1"/>
  <c r="AJ379" i="2" a="1"/>
  <c r="AJ379" i="2" s="1"/>
  <c r="AI334" i="2" a="1"/>
  <c r="AI334" i="2" s="1"/>
  <c r="AJ334" i="2" a="1"/>
  <c r="AJ334" i="2" s="1"/>
  <c r="AI332" i="2" a="1"/>
  <c r="AI332" i="2" s="1"/>
  <c r="AJ332" i="2" a="1"/>
  <c r="AJ332" i="2" s="1"/>
  <c r="AI326" i="2" a="1"/>
  <c r="AI326" i="2" s="1"/>
  <c r="AJ326" i="2" a="1"/>
  <c r="AJ326" i="2" s="1"/>
  <c r="AI313" i="2" a="1"/>
  <c r="AI313" i="2" s="1"/>
  <c r="AJ313" i="2" a="1"/>
  <c r="AJ313" i="2" s="1"/>
  <c r="AI372" i="2" a="1"/>
  <c r="AI372" i="2" s="1"/>
  <c r="AJ372" i="2" a="1"/>
  <c r="AJ372" i="2" s="1"/>
  <c r="AI371" i="2" a="1"/>
  <c r="AI371" i="2" s="1"/>
  <c r="AJ371" i="2" a="1"/>
  <c r="AJ371" i="2" s="1"/>
  <c r="AI368" i="2" a="1"/>
  <c r="AI368" i="2" s="1"/>
  <c r="AJ368" i="2" a="1"/>
  <c r="AJ368" i="2" s="1"/>
  <c r="AI366" i="2" a="1"/>
  <c r="AI366" i="2" s="1"/>
  <c r="AJ366" i="2" a="1"/>
  <c r="AJ366" i="2" s="1"/>
  <c r="AI361" i="2" a="1"/>
  <c r="AI361" i="2" s="1"/>
  <c r="AJ361" i="2" a="1"/>
  <c r="AJ361" i="2" s="1"/>
  <c r="AJ916" i="2" a="1"/>
  <c r="AJ916" i="2" s="1"/>
  <c r="AI916" i="2" a="1"/>
  <c r="AI916" i="2" s="1"/>
  <c r="AI881" i="2" a="1"/>
  <c r="AI881" i="2" s="1"/>
  <c r="AJ881" i="2" a="1"/>
  <c r="AJ881" i="2" s="1"/>
  <c r="AI821" i="2" a="1"/>
  <c r="AI821" i="2" s="1"/>
  <c r="AJ821" i="2" a="1"/>
  <c r="AJ821" i="2" s="1"/>
  <c r="AI817" i="2" a="1"/>
  <c r="AI817" i="2" s="1"/>
  <c r="AJ817" i="2" a="1"/>
  <c r="AJ817" i="2" s="1"/>
  <c r="AI816" i="2" a="1"/>
  <c r="AI816" i="2" s="1"/>
  <c r="AJ816" i="2" a="1"/>
  <c r="AJ816" i="2" s="1"/>
  <c r="AI812" i="2" a="1"/>
  <c r="AI812" i="2" s="1"/>
  <c r="AJ812" i="2" a="1"/>
  <c r="AJ812" i="2" s="1"/>
  <c r="AI793" i="2" a="1"/>
  <c r="AI793" i="2" s="1"/>
  <c r="AJ793" i="2" a="1"/>
  <c r="AJ793" i="2" s="1"/>
  <c r="AJ787" i="2" a="1"/>
  <c r="AJ787" i="2" s="1"/>
  <c r="AI787" i="2" a="1"/>
  <c r="AI787" i="2" s="1"/>
  <c r="AJ786" i="2" a="1"/>
  <c r="AJ786" i="2" s="1"/>
  <c r="AI786" i="2" a="1"/>
  <c r="AI786" i="2" s="1"/>
  <c r="AJ785" i="2" a="1"/>
  <c r="AJ785" i="2" s="1"/>
  <c r="AI785" i="2" a="1"/>
  <c r="AI785" i="2" s="1"/>
  <c r="AJ782" i="2" a="1"/>
  <c r="AJ782" i="2" s="1"/>
  <c r="AI782" i="2" a="1"/>
  <c r="AI782" i="2" s="1"/>
  <c r="AJ548" i="2" a="1"/>
  <c r="AJ548" i="2" s="1"/>
  <c r="AI548" i="2" a="1"/>
  <c r="AI548" i="2" s="1"/>
  <c r="AJ544" i="2" a="1"/>
  <c r="AJ544" i="2" s="1"/>
  <c r="AI544" i="2" a="1"/>
  <c r="AI544" i="2" s="1"/>
  <c r="AJ543" i="2" a="1"/>
  <c r="AJ543" i="2" s="1"/>
  <c r="AI543" i="2" a="1"/>
  <c r="AI543" i="2" s="1"/>
  <c r="AJ535" i="2" a="1"/>
  <c r="AJ535" i="2" s="1"/>
  <c r="AI535" i="2" a="1"/>
  <c r="AI535" i="2" s="1"/>
  <c r="AJ533" i="2" a="1"/>
  <c r="AJ533" i="2" s="1"/>
  <c r="AI533" i="2" a="1"/>
  <c r="AI533" i="2" s="1"/>
  <c r="AJ531" i="2" a="1"/>
  <c r="AJ531" i="2" s="1"/>
  <c r="AI531" i="2" a="1"/>
  <c r="AI531" i="2" s="1"/>
  <c r="AJ529" i="2" a="1"/>
  <c r="AJ529" i="2" s="1"/>
  <c r="AI529" i="2" a="1"/>
  <c r="AI529" i="2" s="1"/>
  <c r="AJ527" i="2" a="1"/>
  <c r="AJ527" i="2" s="1"/>
  <c r="AI527" i="2" a="1"/>
  <c r="AI527" i="2" s="1"/>
  <c r="AJ525" i="2" a="1"/>
  <c r="AJ525" i="2" s="1"/>
  <c r="AI525" i="2" a="1"/>
  <c r="AI525" i="2" s="1"/>
  <c r="AJ523" i="2" a="1"/>
  <c r="AJ523" i="2" s="1"/>
  <c r="AI523" i="2" a="1"/>
  <c r="AI523" i="2" s="1"/>
  <c r="AJ517" i="2" a="1"/>
  <c r="AJ517" i="2" s="1"/>
  <c r="AI517" i="2" a="1"/>
  <c r="AI517" i="2" s="1"/>
  <c r="AJ513" i="2" a="1"/>
  <c r="AJ513" i="2" s="1"/>
  <c r="AI513" i="2" a="1"/>
  <c r="AI513" i="2" s="1"/>
  <c r="AJ512" i="2" a="1"/>
  <c r="AJ512" i="2" s="1"/>
  <c r="AI512" i="2" a="1"/>
  <c r="AI512" i="2" s="1"/>
  <c r="AJ507" i="2" a="1"/>
  <c r="AJ507" i="2" s="1"/>
  <c r="AI507" i="2" a="1"/>
  <c r="AI507" i="2" s="1"/>
  <c r="AJ504" i="2" a="1"/>
  <c r="AJ504" i="2" s="1"/>
  <c r="AI504" i="2" a="1"/>
  <c r="AI504" i="2" s="1"/>
  <c r="AJ501" i="2" a="1"/>
  <c r="AJ501" i="2" s="1"/>
  <c r="AI501" i="2" a="1"/>
  <c r="AI501" i="2" s="1"/>
  <c r="AJ499" i="2" a="1"/>
  <c r="AJ499" i="2" s="1"/>
  <c r="AI499" i="2" a="1"/>
  <c r="AI499" i="2" s="1"/>
  <c r="AJ479" i="2" a="1"/>
  <c r="AJ479" i="2" s="1"/>
  <c r="AI479" i="2" a="1"/>
  <c r="AI479" i="2" s="1"/>
  <c r="AJ476" i="2" a="1"/>
  <c r="AJ476" i="2" s="1"/>
  <c r="AI476" i="2" a="1"/>
  <c r="AI476" i="2" s="1"/>
  <c r="AJ474" i="2" a="1"/>
  <c r="AJ474" i="2" s="1"/>
  <c r="AI474" i="2" a="1"/>
  <c r="AI474" i="2" s="1"/>
  <c r="AJ465" i="2" a="1"/>
  <c r="AJ465" i="2" s="1"/>
  <c r="AI465" i="2" a="1"/>
  <c r="AI465" i="2" s="1"/>
  <c r="AJ463" i="2" a="1"/>
  <c r="AJ463" i="2" s="1"/>
  <c r="AI463" i="2" a="1"/>
  <c r="AI463" i="2" s="1"/>
  <c r="AJ459" i="2" a="1"/>
  <c r="AJ459" i="2" s="1"/>
  <c r="AI459" i="2" a="1"/>
  <c r="AI459" i="2" s="1"/>
  <c r="AJ457" i="2" a="1"/>
  <c r="AJ457" i="2" s="1"/>
  <c r="AI457" i="2" a="1"/>
  <c r="AI457" i="2" s="1"/>
  <c r="AJ454" i="2" a="1"/>
  <c r="AJ454" i="2" s="1"/>
  <c r="AI454" i="2" a="1"/>
  <c r="AI454" i="2" s="1"/>
  <c r="AJ446" i="2" a="1"/>
  <c r="AJ446" i="2" s="1"/>
  <c r="AI446" i="2" a="1"/>
  <c r="AI446" i="2" s="1"/>
  <c r="AJ396" i="2" a="1"/>
  <c r="AJ396" i="2" s="1"/>
  <c r="AI396" i="2" a="1"/>
  <c r="AI396" i="2" s="1"/>
  <c r="AJ394" i="2" a="1"/>
  <c r="AJ394" i="2" s="1"/>
  <c r="AI394" i="2" a="1"/>
  <c r="AI394" i="2" s="1"/>
  <c r="AJ312" i="2" a="1"/>
  <c r="AJ312" i="2" s="1"/>
  <c r="AI312" i="2" a="1"/>
  <c r="AI312" i="2" s="1"/>
  <c r="AJ310" i="2" a="1"/>
  <c r="AJ310" i="2" s="1"/>
  <c r="AI310" i="2" a="1"/>
  <c r="AI310" i="2" s="1"/>
  <c r="AJ300" i="2" a="1"/>
  <c r="AJ300" i="2" s="1"/>
  <c r="AI300" i="2" a="1"/>
  <c r="AI300" i="2" s="1"/>
  <c r="AJ610" i="2" a="1"/>
  <c r="AJ610" i="2" s="1"/>
  <c r="AI610" i="2" a="1"/>
  <c r="AI610" i="2" s="1"/>
  <c r="AJ609" i="2" a="1"/>
  <c r="AJ609" i="2" s="1"/>
  <c r="AI609" i="2" a="1"/>
  <c r="AI609" i="2" s="1"/>
  <c r="AJ608" i="2" a="1"/>
  <c r="AJ608" i="2" s="1"/>
  <c r="AI608" i="2" a="1"/>
  <c r="AI608" i="2" s="1"/>
  <c r="AJ607" i="2" a="1"/>
  <c r="AJ607" i="2" s="1"/>
  <c r="AI607" i="2" a="1"/>
  <c r="AI607" i="2" s="1"/>
  <c r="AJ109" i="2" a="1"/>
  <c r="AJ109" i="2" s="1"/>
  <c r="AI109" i="2" a="1"/>
  <c r="AI109" i="2" s="1"/>
  <c r="AJ1049" i="2" a="1"/>
  <c r="AJ1049" i="2" s="1"/>
  <c r="AI1049" i="2" a="1"/>
  <c r="AI1049" i="2" s="1"/>
  <c r="AJ1048" i="2" a="1"/>
  <c r="AJ1048" i="2" s="1"/>
  <c r="AI1048" i="2" a="1"/>
  <c r="AI1048" i="2" s="1"/>
  <c r="AJ1043" i="2" a="1"/>
  <c r="AJ1043" i="2" s="1"/>
  <c r="AI1043" i="2" a="1"/>
  <c r="AI1043" i="2" s="1"/>
  <c r="AJ1037" i="2" a="1"/>
  <c r="AJ1037" i="2" s="1"/>
  <c r="AI1037" i="2" a="1"/>
  <c r="AI1037" i="2" s="1"/>
  <c r="AJ1030" i="2" a="1"/>
  <c r="AJ1030" i="2" s="1"/>
  <c r="AI1030" i="2" a="1"/>
  <c r="AI1030" i="2" s="1"/>
  <c r="AJ1029" i="2" a="1"/>
  <c r="AJ1029" i="2" s="1"/>
  <c r="AI1029" i="2" a="1"/>
  <c r="AI1029" i="2" s="1"/>
  <c r="AJ1027" i="2" a="1"/>
  <c r="AJ1027" i="2" s="1"/>
  <c r="AI1027" i="2" a="1"/>
  <c r="AI1027" i="2" s="1"/>
  <c r="AJ1025" i="2" a="1"/>
  <c r="AJ1025" i="2" s="1"/>
  <c r="AI1025" i="2" a="1"/>
  <c r="AI1025" i="2" s="1"/>
  <c r="AJ942" i="2" a="1"/>
  <c r="AJ942" i="2" s="1"/>
  <c r="AI942" i="2" a="1"/>
  <c r="AI942" i="2" s="1"/>
  <c r="AJ939" i="2" a="1"/>
  <c r="AJ939" i="2" s="1"/>
  <c r="AI939" i="2" a="1"/>
  <c r="AI939" i="2" s="1"/>
  <c r="AJ938" i="2" a="1"/>
  <c r="AJ938" i="2" s="1"/>
  <c r="AI938" i="2" a="1"/>
  <c r="AI938" i="2" s="1"/>
  <c r="AJ937" i="2" a="1"/>
  <c r="AJ937" i="2" s="1"/>
  <c r="AI937" i="2" a="1"/>
  <c r="AI937" i="2" s="1"/>
  <c r="AJ936" i="2" a="1"/>
  <c r="AJ936" i="2" s="1"/>
  <c r="AI936" i="2" a="1"/>
  <c r="AI936" i="2" s="1"/>
  <c r="AJ924" i="2" a="1"/>
  <c r="AJ924" i="2" s="1"/>
  <c r="AI924" i="2" a="1"/>
  <c r="AI924" i="2" s="1"/>
  <c r="AJ810" i="2" a="1"/>
  <c r="AJ810" i="2" s="1"/>
  <c r="AI810" i="2" a="1"/>
  <c r="AI810" i="2" s="1"/>
  <c r="AJ809" i="2" a="1"/>
  <c r="AJ809" i="2" s="1"/>
  <c r="AI809" i="2" a="1"/>
  <c r="AI809" i="2" s="1"/>
  <c r="AJ807" i="2" a="1"/>
  <c r="AJ807" i="2" s="1"/>
  <c r="AI807" i="2" a="1"/>
  <c r="AI807" i="2" s="1"/>
  <c r="AJ800" i="2" a="1"/>
  <c r="AJ800" i="2" s="1"/>
  <c r="AI800" i="2" a="1"/>
  <c r="AI800" i="2" s="1"/>
  <c r="AJ797" i="2" a="1"/>
  <c r="AJ797" i="2" s="1"/>
  <c r="AI797" i="2" a="1"/>
  <c r="AI797" i="2" s="1"/>
  <c r="AJ796" i="2" a="1"/>
  <c r="AJ796" i="2" s="1"/>
  <c r="AI796" i="2" a="1"/>
  <c r="AI796" i="2" s="1"/>
  <c r="AJ795" i="2" a="1"/>
  <c r="AJ795" i="2" s="1"/>
  <c r="AI795" i="2" a="1"/>
  <c r="AI795" i="2" s="1"/>
  <c r="AJ552" i="2" a="1"/>
  <c r="AJ552" i="2" s="1"/>
  <c r="AI552" i="2" a="1"/>
  <c r="AI552" i="2" s="1"/>
  <c r="AJ493" i="2" a="1"/>
  <c r="AJ493" i="2" s="1"/>
  <c r="AI493" i="2" a="1"/>
  <c r="AI493" i="2" s="1"/>
  <c r="AJ490" i="2" a="1"/>
  <c r="AJ490" i="2" s="1"/>
  <c r="AI490" i="2" a="1"/>
  <c r="AI490" i="2" s="1"/>
  <c r="AJ485" i="2" a="1"/>
  <c r="AJ485" i="2" s="1"/>
  <c r="AI485" i="2" a="1"/>
  <c r="AI485" i="2" s="1"/>
  <c r="AJ483" i="2" a="1"/>
  <c r="AJ483" i="2" s="1"/>
  <c r="AI483" i="2" a="1"/>
  <c r="AI483" i="2" s="1"/>
  <c r="AJ414" i="2" a="1"/>
  <c r="AJ414" i="2" s="1"/>
  <c r="AI414" i="2" a="1"/>
  <c r="AI414" i="2" s="1"/>
  <c r="AJ406" i="2" a="1"/>
  <c r="AJ406" i="2" s="1"/>
  <c r="AI406" i="2" a="1"/>
  <c r="AI406" i="2" s="1"/>
  <c r="AJ403" i="2" a="1"/>
  <c r="AJ403" i="2" s="1"/>
  <c r="AI403" i="2" a="1"/>
  <c r="AI403" i="2" s="1"/>
  <c r="AJ401" i="2" a="1"/>
  <c r="AJ401" i="2" s="1"/>
  <c r="AI401" i="2" a="1"/>
  <c r="AI401" i="2" s="1"/>
  <c r="AJ400" i="2" a="1"/>
  <c r="AJ400" i="2" s="1"/>
  <c r="AI400" i="2" a="1"/>
  <c r="AI400" i="2" s="1"/>
  <c r="AJ260" i="2" a="1"/>
  <c r="AJ260" i="2" s="1"/>
  <c r="AI260" i="2" a="1"/>
  <c r="AI260" i="2" s="1"/>
  <c r="AJ252" i="2" a="1"/>
  <c r="AJ252" i="2" s="1"/>
  <c r="AI252" i="2" a="1"/>
  <c r="AI252" i="2" s="1"/>
  <c r="AJ971" i="2" a="1"/>
  <c r="AJ971" i="2" s="1"/>
  <c r="AI971" i="2" a="1"/>
  <c r="AI971" i="2" s="1"/>
  <c r="AJ967" i="2" a="1"/>
  <c r="AJ967" i="2" s="1"/>
  <c r="AI967" i="2" a="1"/>
  <c r="AI967" i="2" s="1"/>
  <c r="AJ964" i="2" a="1"/>
  <c r="AJ964" i="2" s="1"/>
  <c r="AI964" i="2" a="1"/>
  <c r="AI964" i="2" s="1"/>
  <c r="AJ962" i="2" a="1"/>
  <c r="AJ962" i="2" s="1"/>
  <c r="AI962" i="2" a="1"/>
  <c r="AI962" i="2" s="1"/>
  <c r="AJ958" i="2" a="1"/>
  <c r="AJ958" i="2" s="1"/>
  <c r="AI958" i="2" a="1"/>
  <c r="AI958" i="2" s="1"/>
  <c r="AJ876" i="2" a="1"/>
  <c r="AJ876" i="2" s="1"/>
  <c r="AI876" i="2" a="1"/>
  <c r="AI876" i="2" s="1"/>
  <c r="AJ860" i="2" a="1"/>
  <c r="AJ860" i="2" s="1"/>
  <c r="AI860" i="2" a="1"/>
  <c r="AI860" i="2" s="1"/>
  <c r="AJ859" i="2" a="1"/>
  <c r="AJ859" i="2" s="1"/>
  <c r="AI859" i="2" a="1"/>
  <c r="AI859" i="2" s="1"/>
  <c r="AJ856" i="2" a="1"/>
  <c r="AJ856" i="2" s="1"/>
  <c r="AI856" i="2" a="1"/>
  <c r="AI856" i="2" s="1"/>
  <c r="AJ855" i="2" a="1"/>
  <c r="AJ855" i="2" s="1"/>
  <c r="AI855" i="2" a="1"/>
  <c r="AI855" i="2" s="1"/>
  <c r="AJ854" i="2" a="1"/>
  <c r="AJ854" i="2" s="1"/>
  <c r="AI854" i="2" a="1"/>
  <c r="AI854" i="2" s="1"/>
  <c r="AJ851" i="2" a="1"/>
  <c r="AJ851" i="2" s="1"/>
  <c r="AI851" i="2" a="1"/>
  <c r="AI851" i="2" s="1"/>
  <c r="AJ840" i="2" a="1"/>
  <c r="AJ840" i="2" s="1"/>
  <c r="AI840" i="2" a="1"/>
  <c r="AI840" i="2" s="1"/>
  <c r="AJ837" i="2" a="1"/>
  <c r="AJ837" i="2" s="1"/>
  <c r="AI837" i="2" a="1"/>
  <c r="AI837" i="2" s="1"/>
  <c r="AJ836" i="2" a="1"/>
  <c r="AJ836" i="2" s="1"/>
  <c r="AI836" i="2" a="1"/>
  <c r="AI836" i="2" s="1"/>
  <c r="AJ826" i="2" a="1"/>
  <c r="AJ826" i="2" s="1"/>
  <c r="AI826" i="2" a="1"/>
  <c r="AI826" i="2" s="1"/>
  <c r="AJ825" i="2" a="1"/>
  <c r="AJ825" i="2" s="1"/>
  <c r="AI825" i="2" a="1"/>
  <c r="AI825" i="2" s="1"/>
  <c r="AJ745" i="2" a="1"/>
  <c r="AJ745" i="2" s="1"/>
  <c r="AI745" i="2" a="1"/>
  <c r="AI745" i="2" s="1"/>
  <c r="AJ744" i="2" a="1"/>
  <c r="AJ744" i="2" s="1"/>
  <c r="AI744" i="2" a="1"/>
  <c r="AI744" i="2" s="1"/>
  <c r="AJ743" i="2" a="1"/>
  <c r="AJ743" i="2" s="1"/>
  <c r="AI743" i="2" a="1"/>
  <c r="AI743" i="2" s="1"/>
  <c r="AJ742" i="2" a="1"/>
  <c r="AJ742" i="2" s="1"/>
  <c r="AI742" i="2" a="1"/>
  <c r="AI742" i="2" s="1"/>
  <c r="AJ741" i="2" a="1"/>
  <c r="AJ741" i="2" s="1"/>
  <c r="AI741" i="2" a="1"/>
  <c r="AI741" i="2" s="1"/>
  <c r="AJ740" i="2" a="1"/>
  <c r="AJ740" i="2" s="1"/>
  <c r="AI740" i="2" a="1"/>
  <c r="AI740" i="2" s="1"/>
  <c r="AJ739" i="2" a="1"/>
  <c r="AJ739" i="2" s="1"/>
  <c r="AI739" i="2" a="1"/>
  <c r="AI739" i="2" s="1"/>
  <c r="AJ738" i="2" a="1"/>
  <c r="AJ738" i="2" s="1"/>
  <c r="AI738" i="2" a="1"/>
  <c r="AI738" i="2" s="1"/>
  <c r="AJ737" i="2" a="1"/>
  <c r="AJ737" i="2" s="1"/>
  <c r="AI737" i="2" a="1"/>
  <c r="AI737" i="2" s="1"/>
  <c r="AJ736" i="2" a="1"/>
  <c r="AJ736" i="2" s="1"/>
  <c r="AI736" i="2" a="1"/>
  <c r="AI736" i="2" s="1"/>
  <c r="AJ735" i="2" a="1"/>
  <c r="AJ735" i="2" s="1"/>
  <c r="AI735" i="2" a="1"/>
  <c r="AI735" i="2" s="1"/>
  <c r="AJ734" i="2" a="1"/>
  <c r="AJ734" i="2" s="1"/>
  <c r="AI734" i="2" a="1"/>
  <c r="AI734" i="2" s="1"/>
  <c r="AJ733" i="2" a="1"/>
  <c r="AJ733" i="2" s="1"/>
  <c r="AI733" i="2" a="1"/>
  <c r="AI733" i="2" s="1"/>
  <c r="AJ732" i="2" a="1"/>
  <c r="AJ732" i="2" s="1"/>
  <c r="AI732" i="2" a="1"/>
  <c r="AI732" i="2" s="1"/>
  <c r="AJ731" i="2" a="1"/>
  <c r="AJ731" i="2" s="1"/>
  <c r="AI731" i="2" a="1"/>
  <c r="AI731" i="2" s="1"/>
  <c r="AJ730" i="2" a="1"/>
  <c r="AJ730" i="2" s="1"/>
  <c r="AI730" i="2" a="1"/>
  <c r="AI730" i="2" s="1"/>
  <c r="AJ729" i="2" a="1"/>
  <c r="AJ729" i="2" s="1"/>
  <c r="AI729" i="2" a="1"/>
  <c r="AI729" i="2" s="1"/>
  <c r="AJ728" i="2" a="1"/>
  <c r="AJ728" i="2" s="1"/>
  <c r="AI728" i="2" a="1"/>
  <c r="AI728" i="2" s="1"/>
  <c r="AJ727" i="2" a="1"/>
  <c r="AJ727" i="2" s="1"/>
  <c r="AI727" i="2" a="1"/>
  <c r="AI727" i="2" s="1"/>
  <c r="AJ726" i="2" a="1"/>
  <c r="AJ726" i="2" s="1"/>
  <c r="AI726" i="2" a="1"/>
  <c r="AI726" i="2" s="1"/>
  <c r="AJ725" i="2" a="1"/>
  <c r="AJ725" i="2" s="1"/>
  <c r="AI725" i="2" a="1"/>
  <c r="AI725" i="2" s="1"/>
  <c r="AJ724" i="2" a="1"/>
  <c r="AJ724" i="2" s="1"/>
  <c r="AI724" i="2" a="1"/>
  <c r="AI724" i="2" s="1"/>
  <c r="AJ723" i="2" a="1"/>
  <c r="AJ723" i="2" s="1"/>
  <c r="AI723" i="2" a="1"/>
  <c r="AI723" i="2" s="1"/>
  <c r="AJ722" i="2" a="1"/>
  <c r="AJ722" i="2" s="1"/>
  <c r="AI722" i="2" a="1"/>
  <c r="AI722" i="2" s="1"/>
  <c r="AJ721" i="2" a="1"/>
  <c r="AJ721" i="2" s="1"/>
  <c r="AI721" i="2" a="1"/>
  <c r="AI721" i="2" s="1"/>
  <c r="AJ720" i="2" a="1"/>
  <c r="AJ720" i="2" s="1"/>
  <c r="AI720" i="2" a="1"/>
  <c r="AI720" i="2" s="1"/>
  <c r="AJ719" i="2" a="1"/>
  <c r="AJ719" i="2" s="1"/>
  <c r="AI719" i="2" a="1"/>
  <c r="AI719" i="2" s="1"/>
  <c r="AJ718" i="2" a="1"/>
  <c r="AJ718" i="2" s="1"/>
  <c r="AI718" i="2" a="1"/>
  <c r="AI718" i="2" s="1"/>
  <c r="AJ717" i="2" a="1"/>
  <c r="AJ717" i="2" s="1"/>
  <c r="AI717" i="2" a="1"/>
  <c r="AI717" i="2" s="1"/>
  <c r="AJ716" i="2" a="1"/>
  <c r="AJ716" i="2" s="1"/>
  <c r="AI716" i="2" a="1"/>
  <c r="AI716" i="2" s="1"/>
  <c r="AJ715" i="2" a="1"/>
  <c r="AJ715" i="2" s="1"/>
  <c r="AI715" i="2" a="1"/>
  <c r="AI715" i="2" s="1"/>
  <c r="AJ714" i="2" a="1"/>
  <c r="AJ714" i="2" s="1"/>
  <c r="AI714" i="2" a="1"/>
  <c r="AI714" i="2" s="1"/>
  <c r="AJ713" i="2" a="1"/>
  <c r="AJ713" i="2" s="1"/>
  <c r="AI713" i="2" a="1"/>
  <c r="AI713" i="2" s="1"/>
  <c r="AJ710" i="2" a="1"/>
  <c r="AJ710" i="2" s="1"/>
  <c r="AI710" i="2" a="1"/>
  <c r="AI710" i="2" s="1"/>
  <c r="AJ709" i="2" a="1"/>
  <c r="AJ709" i="2" s="1"/>
  <c r="AI709" i="2" a="1"/>
  <c r="AI709" i="2" s="1"/>
  <c r="AJ708" i="2" a="1"/>
  <c r="AJ708" i="2" s="1"/>
  <c r="AI708" i="2" a="1"/>
  <c r="AI708" i="2" s="1"/>
  <c r="AJ707" i="2" a="1"/>
  <c r="AJ707" i="2" s="1"/>
  <c r="AI707" i="2" a="1"/>
  <c r="AI707" i="2" s="1"/>
  <c r="AJ706" i="2" a="1"/>
  <c r="AJ706" i="2" s="1"/>
  <c r="AI706" i="2" a="1"/>
  <c r="AI706" i="2" s="1"/>
  <c r="AJ596" i="2" a="1"/>
  <c r="AJ596" i="2" s="1"/>
  <c r="AI596" i="2" a="1"/>
  <c r="AI596" i="2" s="1"/>
  <c r="AJ594" i="2" a="1"/>
  <c r="AJ594" i="2" s="1"/>
  <c r="AI594" i="2" a="1"/>
  <c r="AI594" i="2" s="1"/>
  <c r="AJ591" i="2" a="1"/>
  <c r="AJ591" i="2" s="1"/>
  <c r="AI591" i="2" a="1"/>
  <c r="AI591" i="2" s="1"/>
  <c r="AJ588" i="2" a="1"/>
  <c r="AJ588" i="2" s="1"/>
  <c r="AI588" i="2" a="1"/>
  <c r="AI588" i="2" s="1"/>
  <c r="AJ587" i="2" a="1"/>
  <c r="AJ587" i="2" s="1"/>
  <c r="AI587" i="2" a="1"/>
  <c r="AI587" i="2" s="1"/>
  <c r="AJ585" i="2" a="1"/>
  <c r="AJ585" i="2" s="1"/>
  <c r="AI585" i="2" a="1"/>
  <c r="AI585" i="2" s="1"/>
  <c r="AJ583" i="2" a="1"/>
  <c r="AJ583" i="2" s="1"/>
  <c r="AI583" i="2" a="1"/>
  <c r="AI583" i="2" s="1"/>
  <c r="AI579" i="2" a="1"/>
  <c r="AI579" i="2" s="1"/>
  <c r="AJ579" i="2" a="1"/>
  <c r="AJ579" i="2" s="1"/>
  <c r="AJ578" i="2" a="1"/>
  <c r="AJ578" i="2" s="1"/>
  <c r="AI578" i="2" a="1"/>
  <c r="AI578" i="2" s="1"/>
  <c r="AJ577" i="2" a="1"/>
  <c r="AJ577" i="2" s="1"/>
  <c r="AI577" i="2" a="1"/>
  <c r="AI577" i="2" s="1"/>
  <c r="AJ576" i="2" a="1"/>
  <c r="AJ576" i="2" s="1"/>
  <c r="AI576" i="2" a="1"/>
  <c r="AI576" i="2" s="1"/>
  <c r="AJ569" i="2" a="1"/>
  <c r="AJ569" i="2" s="1"/>
  <c r="AI569" i="2" a="1"/>
  <c r="AI569" i="2" s="1"/>
  <c r="AJ562" i="2" a="1"/>
  <c r="AJ562" i="2" s="1"/>
  <c r="AI562" i="2" a="1"/>
  <c r="AI562" i="2" s="1"/>
  <c r="AJ560" i="2" a="1"/>
  <c r="AJ560" i="2" s="1"/>
  <c r="AI560" i="2" a="1"/>
  <c r="AI560" i="2" s="1"/>
  <c r="AJ559" i="2" a="1"/>
  <c r="AJ559" i="2" s="1"/>
  <c r="AI559" i="2" a="1"/>
  <c r="AI559" i="2" s="1"/>
  <c r="AJ558" i="2" a="1"/>
  <c r="AJ558" i="2" s="1"/>
  <c r="AI558" i="2" a="1"/>
  <c r="AI558" i="2" s="1"/>
  <c r="AJ555" i="2" a="1"/>
  <c r="AJ555" i="2" s="1"/>
  <c r="AI555" i="2" a="1"/>
  <c r="AI555" i="2" s="1"/>
  <c r="AJ291" i="2" a="1"/>
  <c r="AJ291" i="2" s="1"/>
  <c r="AI291" i="2" a="1"/>
  <c r="AI291" i="2" s="1"/>
  <c r="AJ290" i="2" a="1"/>
  <c r="AJ290" i="2" s="1"/>
  <c r="AI290" i="2" a="1"/>
  <c r="AI290" i="2" s="1"/>
  <c r="AJ289" i="2" a="1"/>
  <c r="AJ289" i="2" s="1"/>
  <c r="AI289" i="2" a="1"/>
  <c r="AI289" i="2" s="1"/>
  <c r="AJ288" i="2" a="1"/>
  <c r="AJ288" i="2" s="1"/>
  <c r="AI288" i="2" a="1"/>
  <c r="AI288" i="2" s="1"/>
  <c r="AJ287" i="2" a="1"/>
  <c r="AJ287" i="2" s="1"/>
  <c r="AI287" i="2" a="1"/>
  <c r="AI287" i="2" s="1"/>
  <c r="AJ284" i="2" a="1"/>
  <c r="AJ284" i="2" s="1"/>
  <c r="AI284" i="2" a="1"/>
  <c r="AI284" i="2" s="1"/>
  <c r="AJ283" i="2" a="1"/>
  <c r="AJ283" i="2" s="1"/>
  <c r="AI283" i="2" a="1"/>
  <c r="AI283" i="2" s="1"/>
  <c r="AJ282" i="2" a="1"/>
  <c r="AJ282" i="2" s="1"/>
  <c r="AI282" i="2" a="1"/>
  <c r="AI282" i="2" s="1"/>
  <c r="AJ281" i="2" a="1"/>
  <c r="AJ281" i="2" s="1"/>
  <c r="AI281" i="2" a="1"/>
  <c r="AI281" i="2" s="1"/>
  <c r="AJ278" i="2" a="1"/>
  <c r="AJ278" i="2" s="1"/>
  <c r="AI278" i="2" a="1"/>
  <c r="AI278" i="2" s="1"/>
  <c r="AJ277" i="2" a="1"/>
  <c r="AJ277" i="2" s="1"/>
  <c r="AI277" i="2" a="1"/>
  <c r="AI277" i="2" s="1"/>
  <c r="AJ276" i="2" a="1"/>
  <c r="AJ276" i="2" s="1"/>
  <c r="AI276" i="2" a="1"/>
  <c r="AI276" i="2" s="1"/>
  <c r="AJ275" i="2" a="1"/>
  <c r="AJ275" i="2" s="1"/>
  <c r="AI275" i="2" a="1"/>
  <c r="AI275" i="2" s="1"/>
  <c r="AJ272" i="2" a="1"/>
  <c r="AJ272" i="2" s="1"/>
  <c r="AI272" i="2" a="1"/>
  <c r="AI272" i="2" s="1"/>
  <c r="AJ271" i="2" a="1"/>
  <c r="AJ271" i="2" s="1"/>
  <c r="AI271" i="2" a="1"/>
  <c r="AI271" i="2" s="1"/>
  <c r="AJ270" i="2" a="1"/>
  <c r="AJ270" i="2" s="1"/>
  <c r="AI270" i="2" a="1"/>
  <c r="AI270" i="2" s="1"/>
  <c r="AJ269" i="2" a="1"/>
  <c r="AJ269" i="2" s="1"/>
  <c r="AI269" i="2" a="1"/>
  <c r="AI269" i="2" s="1"/>
  <c r="AJ264" i="2" a="1"/>
  <c r="AJ264" i="2" s="1"/>
  <c r="AI264" i="2" a="1"/>
  <c r="AI264" i="2" s="1"/>
  <c r="AJ263" i="2" a="1"/>
  <c r="AJ263" i="2" s="1"/>
  <c r="AI263" i="2" a="1"/>
  <c r="AI263" i="2" s="1"/>
  <c r="AJ262" i="2" a="1"/>
  <c r="AJ262" i="2" s="1"/>
  <c r="AI262" i="2" a="1"/>
  <c r="AI262" i="2" s="1"/>
  <c r="AJ224" i="2" a="1"/>
  <c r="AJ224" i="2" s="1"/>
  <c r="AI224" i="2" a="1"/>
  <c r="AI224" i="2" s="1"/>
  <c r="AJ223" i="2" a="1"/>
  <c r="AJ223" i="2" s="1"/>
  <c r="AI223" i="2" a="1"/>
  <c r="AI223" i="2" s="1"/>
  <c r="AJ170" i="2" a="1"/>
  <c r="AJ170" i="2" s="1"/>
  <c r="AI170" i="2" a="1"/>
  <c r="AI170" i="2" s="1"/>
  <c r="AJ168" i="2" a="1"/>
  <c r="AJ168" i="2" s="1"/>
  <c r="AI168" i="2" a="1"/>
  <c r="AI168" i="2" s="1"/>
  <c r="AJ167" i="2" a="1"/>
  <c r="AJ167" i="2" s="1"/>
  <c r="AI167" i="2" a="1"/>
  <c r="AI167" i="2" s="1"/>
  <c r="AI161" i="2" a="1"/>
  <c r="AI161" i="2" s="1"/>
  <c r="AJ161" i="2" a="1"/>
  <c r="AJ161" i="2" s="1"/>
  <c r="AI159" i="2" a="1"/>
  <c r="AI159" i="2" s="1"/>
  <c r="AJ159" i="2" a="1"/>
  <c r="AJ159" i="2" s="1"/>
  <c r="AI157" i="2" a="1"/>
  <c r="AI157" i="2" s="1"/>
  <c r="AJ157" i="2" a="1"/>
  <c r="AJ157" i="2" s="1"/>
  <c r="AI154" i="2" a="1"/>
  <c r="AI154" i="2" s="1"/>
  <c r="AJ154" i="2" a="1"/>
  <c r="AJ154" i="2" s="1"/>
  <c r="AJ152" i="2" a="1"/>
  <c r="AJ152" i="2" s="1"/>
  <c r="AI152" i="2" a="1"/>
  <c r="AI152" i="2" s="1"/>
  <c r="AJ151" i="2" a="1"/>
  <c r="AJ151" i="2" s="1"/>
  <c r="AI151" i="2" a="1"/>
  <c r="AI151" i="2" s="1"/>
  <c r="AJ147" i="2" a="1"/>
  <c r="AJ147" i="2" s="1"/>
  <c r="AI147" i="2" a="1"/>
  <c r="AI147" i="2" s="1"/>
  <c r="AJ146" i="2" a="1"/>
  <c r="AJ146" i="2" s="1"/>
  <c r="AI146" i="2" a="1"/>
  <c r="AI146" i="2" s="1"/>
  <c r="AJ142" i="2" a="1"/>
  <c r="AJ142" i="2" s="1"/>
  <c r="AI142" i="2" a="1"/>
  <c r="AI142" i="2" s="1"/>
  <c r="AJ141" i="2" a="1"/>
  <c r="AJ141" i="2" s="1"/>
  <c r="AI141" i="2" a="1"/>
  <c r="AI141" i="2" s="1"/>
  <c r="AJ135" i="2" a="1"/>
  <c r="AJ135" i="2" s="1"/>
  <c r="AI135" i="2" a="1"/>
  <c r="AI135" i="2" s="1"/>
  <c r="AJ134" i="2" a="1"/>
  <c r="AJ134" i="2" s="1"/>
  <c r="AI134" i="2" a="1"/>
  <c r="AI134" i="2" s="1"/>
  <c r="AJ132" i="2" a="1"/>
  <c r="AJ132" i="2" s="1"/>
  <c r="AI132" i="2" a="1"/>
  <c r="AI132" i="2" s="1"/>
  <c r="AJ125" i="2" a="1"/>
  <c r="AJ125" i="2" s="1"/>
  <c r="AI125" i="2" a="1"/>
  <c r="AI125" i="2" s="1"/>
  <c r="AJ123" i="2" a="1"/>
  <c r="AJ123" i="2" s="1"/>
  <c r="AI123" i="2" a="1"/>
  <c r="AI123" i="2" s="1"/>
  <c r="AJ120" i="2" a="1"/>
  <c r="AJ120" i="2" s="1"/>
  <c r="AI120" i="2" a="1"/>
  <c r="AI120" i="2" s="1"/>
  <c r="AJ119" i="2" a="1"/>
  <c r="AJ119" i="2" s="1"/>
  <c r="AI119" i="2" a="1"/>
  <c r="AI119" i="2" s="1"/>
  <c r="AJ117" i="2" a="1"/>
  <c r="AJ117" i="2" s="1"/>
  <c r="AI117" i="2" a="1"/>
  <c r="AI117" i="2" s="1"/>
  <c r="AJ116" i="2" a="1"/>
  <c r="AJ116" i="2" s="1"/>
  <c r="AI116" i="2" a="1"/>
  <c r="AI116" i="2" s="1"/>
  <c r="AJ115" i="2" a="1"/>
  <c r="AJ115" i="2" s="1"/>
  <c r="AI115" i="2" a="1"/>
  <c r="AI115" i="2" s="1"/>
  <c r="AJ112" i="2" a="1"/>
  <c r="AJ112" i="2" s="1"/>
  <c r="AI112" i="2" a="1"/>
  <c r="AI112" i="2" s="1"/>
  <c r="AJ100" i="2" a="1"/>
  <c r="AJ100" i="2" s="1"/>
  <c r="AI100" i="2" a="1"/>
  <c r="AI100" i="2" s="1"/>
  <c r="AJ91" i="2" a="1"/>
  <c r="AJ91" i="2" s="1"/>
  <c r="AI91" i="2" a="1"/>
  <c r="AI91" i="2" s="1"/>
  <c r="AJ89" i="2" a="1"/>
  <c r="AJ89" i="2" s="1"/>
  <c r="AI89" i="2" a="1"/>
  <c r="AI89" i="2" s="1"/>
  <c r="AJ88" i="2" a="1"/>
  <c r="AJ88" i="2" s="1"/>
  <c r="AI88" i="2" a="1"/>
  <c r="AI88" i="2" s="1"/>
  <c r="AJ87" i="2" a="1"/>
  <c r="AJ87" i="2" s="1"/>
  <c r="AI87" i="2" a="1"/>
  <c r="AI87" i="2" s="1"/>
  <c r="AJ86" i="2" a="1"/>
  <c r="AJ86" i="2" s="1"/>
  <c r="AI86" i="2" a="1"/>
  <c r="AI86" i="2" s="1"/>
  <c r="AJ64" i="2" a="1"/>
  <c r="AJ64" i="2" s="1"/>
  <c r="AI64" i="2" a="1"/>
  <c r="AI64" i="2" s="1"/>
  <c r="AJ62" i="2" a="1"/>
  <c r="AJ62" i="2" s="1"/>
  <c r="AI62" i="2" a="1"/>
  <c r="AI62" i="2" s="1"/>
  <c r="AJ61" i="2" a="1"/>
  <c r="AJ61" i="2" s="1"/>
  <c r="AI61" i="2" a="1"/>
  <c r="AI61" i="2" s="1"/>
  <c r="AJ58" i="2" a="1"/>
  <c r="AJ58" i="2" s="1"/>
  <c r="AI58" i="2" a="1"/>
  <c r="AI58" i="2" s="1"/>
  <c r="AJ54" i="2" a="1"/>
  <c r="AJ54" i="2" s="1"/>
  <c r="AI54" i="2" a="1"/>
  <c r="AI54" i="2" s="1"/>
  <c r="AJ53" i="2" a="1"/>
  <c r="AJ53" i="2" s="1"/>
  <c r="AI53" i="2" a="1"/>
  <c r="AI53" i="2" s="1"/>
  <c r="AI52" i="2" a="1"/>
  <c r="AI52" i="2" s="1"/>
  <c r="AJ52" i="2" a="1"/>
  <c r="AJ52" i="2" s="1"/>
  <c r="AI51" i="2" a="1"/>
  <c r="AI51" i="2" s="1"/>
  <c r="AJ51" i="2" a="1"/>
  <c r="AJ51" i="2" s="1"/>
  <c r="AJ48" i="2" a="1"/>
  <c r="AJ48" i="2" s="1"/>
  <c r="AI48" i="2" a="1"/>
  <c r="AI48" i="2" s="1"/>
  <c r="AJ43" i="2" a="1"/>
  <c r="AJ43" i="2" s="1"/>
  <c r="AI43" i="2" a="1"/>
  <c r="AI43" i="2" s="1"/>
  <c r="AJ42" i="2" a="1"/>
  <c r="AJ42" i="2" s="1"/>
  <c r="AI42" i="2" a="1"/>
  <c r="AI42" i="2" s="1"/>
  <c r="AJ36" i="2" a="1"/>
  <c r="AJ36" i="2" s="1"/>
  <c r="AI36" i="2" a="1"/>
  <c r="AI36" i="2" s="1"/>
  <c r="AJ30" i="2" a="1"/>
  <c r="AJ30" i="2" s="1"/>
  <c r="AI30" i="2" a="1"/>
  <c r="AI30" i="2" s="1"/>
  <c r="AJ24" i="2" a="1"/>
  <c r="AJ24" i="2" s="1"/>
  <c r="AI24" i="2" a="1"/>
  <c r="AI24" i="2" s="1"/>
  <c r="AJ20" i="2" a="1"/>
  <c r="AJ20" i="2" s="1"/>
  <c r="AI20" i="2" a="1"/>
  <c r="AI20" i="2" s="1"/>
  <c r="AJ19" i="2" a="1"/>
  <c r="AJ19" i="2" s="1"/>
  <c r="AI19" i="2" a="1"/>
  <c r="AI19" i="2" s="1"/>
  <c r="AJ17" i="2" a="1"/>
  <c r="AJ17" i="2" s="1"/>
  <c r="AI17" i="2" a="1"/>
  <c r="AI17" i="2" s="1"/>
  <c r="AJ15" i="2" a="1"/>
  <c r="AJ15" i="2" s="1"/>
  <c r="AI15" i="2" a="1"/>
  <c r="AI15" i="2" s="1"/>
  <c r="AJ14" i="2" a="1"/>
  <c r="AJ14" i="2" s="1"/>
  <c r="AI14" i="2" a="1"/>
  <c r="AI14" i="2" s="1"/>
  <c r="AJ13" i="2" a="1"/>
  <c r="AJ13" i="2" s="1"/>
  <c r="AI13" i="2" a="1"/>
  <c r="AI13" i="2" s="1"/>
  <c r="AJ12" i="2" a="1"/>
  <c r="AJ12" i="2" s="1"/>
  <c r="AI12" i="2" a="1"/>
  <c r="AI12" i="2" s="1"/>
  <c r="AJ11" i="2" a="1"/>
  <c r="AJ11" i="2" s="1"/>
  <c r="AI11" i="2" a="1"/>
  <c r="AI11" i="2" s="1"/>
  <c r="AJ10" i="2" a="1"/>
  <c r="AJ10" i="2" s="1"/>
  <c r="AI10" i="2" a="1"/>
  <c r="AI10" i="2" s="1"/>
  <c r="AJ7" i="2" a="1"/>
  <c r="AJ7" i="2" s="1"/>
  <c r="AI7" i="2" a="1"/>
  <c r="AI7" i="2" s="1"/>
  <c r="AJ989" i="2" a="1"/>
  <c r="AJ989" i="2" s="1"/>
  <c r="AI989" i="2" a="1"/>
  <c r="AI989" i="2" s="1"/>
  <c r="AJ873" i="2" a="1"/>
  <c r="AJ873" i="2" s="1"/>
  <c r="AI873" i="2" a="1"/>
  <c r="AI873" i="2" s="1"/>
  <c r="AJ870" i="2" a="1"/>
  <c r="AJ870" i="2" s="1"/>
  <c r="AI870" i="2" a="1"/>
  <c r="AI870" i="2" s="1"/>
  <c r="AJ861" i="2" a="1"/>
  <c r="AJ861" i="2" s="1"/>
  <c r="AI861" i="2" a="1"/>
  <c r="AI861" i="2" s="1"/>
  <c r="AJ776" i="2" a="1"/>
  <c r="AJ776" i="2" s="1"/>
  <c r="AI776" i="2" a="1"/>
  <c r="AI776" i="2" s="1"/>
  <c r="AJ772" i="2" a="1"/>
  <c r="AJ772" i="2" s="1"/>
  <c r="AI772" i="2" a="1"/>
  <c r="AI772" i="2" s="1"/>
  <c r="AJ768" i="2" a="1"/>
  <c r="AJ768" i="2" s="1"/>
  <c r="AI768" i="2" a="1"/>
  <c r="AI768" i="2" s="1"/>
  <c r="AJ763" i="2" a="1"/>
  <c r="AJ763" i="2" s="1"/>
  <c r="AI763" i="2" a="1"/>
  <c r="AI763" i="2" s="1"/>
  <c r="AJ762" i="2" a="1"/>
  <c r="AJ762" i="2" s="1"/>
  <c r="AI762" i="2" a="1"/>
  <c r="AI762" i="2" s="1"/>
  <c r="AJ758" i="2" a="1"/>
  <c r="AJ758" i="2" s="1"/>
  <c r="AI758" i="2" a="1"/>
  <c r="AI758" i="2" s="1"/>
  <c r="AJ755" i="2" a="1"/>
  <c r="AJ755" i="2" s="1"/>
  <c r="AI755" i="2" a="1"/>
  <c r="AI755" i="2" s="1"/>
  <c r="AJ699" i="2" a="1"/>
  <c r="AJ699" i="2" s="1"/>
  <c r="AI699" i="2" a="1"/>
  <c r="AI699" i="2" s="1"/>
  <c r="AJ688" i="2" a="1"/>
  <c r="AJ688" i="2" s="1"/>
  <c r="AI688" i="2" a="1"/>
  <c r="AI688" i="2" s="1"/>
  <c r="AJ683" i="2" a="1"/>
  <c r="AJ683" i="2" s="1"/>
  <c r="AI683" i="2" a="1"/>
  <c r="AI683" i="2" s="1"/>
  <c r="AJ680" i="2" a="1"/>
  <c r="AJ680" i="2" s="1"/>
  <c r="AI680" i="2" a="1"/>
  <c r="AI680" i="2" s="1"/>
  <c r="AJ679" i="2" a="1"/>
  <c r="AJ679" i="2" s="1"/>
  <c r="AI679" i="2" a="1"/>
  <c r="AI679" i="2" s="1"/>
  <c r="AJ678" i="2" a="1"/>
  <c r="AJ678" i="2" s="1"/>
  <c r="AI678" i="2" a="1"/>
  <c r="AI678" i="2" s="1"/>
  <c r="AJ677" i="2" a="1"/>
  <c r="AJ677" i="2" s="1"/>
  <c r="AI677" i="2" a="1"/>
  <c r="AI677" i="2" s="1"/>
  <c r="AJ674" i="2" a="1"/>
  <c r="AJ674" i="2" s="1"/>
  <c r="AI674" i="2" a="1"/>
  <c r="AI674" i="2" s="1"/>
  <c r="AJ661" i="2" a="1"/>
  <c r="AJ661" i="2" s="1"/>
  <c r="AI661" i="2" a="1"/>
  <c r="AI661" i="2" s="1"/>
  <c r="AJ657" i="2" a="1"/>
  <c r="AJ657" i="2" s="1"/>
  <c r="AI657" i="2" a="1"/>
  <c r="AI657" i="2" s="1"/>
  <c r="AJ656" i="2" a="1"/>
  <c r="AJ656" i="2" s="1"/>
  <c r="AI656" i="2" a="1"/>
  <c r="AI656" i="2" s="1"/>
  <c r="AJ654" i="2" a="1"/>
  <c r="AJ654" i="2" s="1"/>
  <c r="AI654" i="2" a="1"/>
  <c r="AI654" i="2" s="1"/>
  <c r="AJ434" i="2" a="1"/>
  <c r="AJ434" i="2" s="1"/>
  <c r="AI434" i="2" a="1"/>
  <c r="AI434" i="2" s="1"/>
  <c r="AJ432" i="2" a="1"/>
  <c r="AJ432" i="2" s="1"/>
  <c r="AI432" i="2" a="1"/>
  <c r="AI432" i="2" s="1"/>
  <c r="AJ425" i="2" a="1"/>
  <c r="AJ425" i="2" s="1"/>
  <c r="AI425" i="2" a="1"/>
  <c r="AI425" i="2" s="1"/>
  <c r="AJ222" i="2" a="1"/>
  <c r="AJ222" i="2" s="1"/>
  <c r="AI222" i="2" a="1"/>
  <c r="AI222" i="2" s="1"/>
  <c r="AJ220" i="2" a="1"/>
  <c r="AJ220" i="2" s="1"/>
  <c r="AI220" i="2" a="1"/>
  <c r="AI220" i="2" s="1"/>
  <c r="AJ219" i="2" a="1"/>
  <c r="AJ219" i="2" s="1"/>
  <c r="AI219" i="2" a="1"/>
  <c r="AI219" i="2" s="1"/>
  <c r="AJ218" i="2" a="1"/>
  <c r="AJ218" i="2" s="1"/>
  <c r="AI218" i="2" a="1"/>
  <c r="AI218" i="2" s="1"/>
  <c r="AJ217" i="2" a="1"/>
  <c r="AJ217" i="2" s="1"/>
  <c r="AI217" i="2" a="1"/>
  <c r="AI217" i="2" s="1"/>
  <c r="AJ215" i="2" a="1"/>
  <c r="AJ215" i="2" s="1"/>
  <c r="AI215" i="2" a="1"/>
  <c r="AI215" i="2" s="1"/>
  <c r="AI213" i="2" a="1"/>
  <c r="AI213" i="2" s="1"/>
  <c r="AJ213" i="2" a="1"/>
  <c r="AJ213" i="2" s="1"/>
  <c r="AJ211" i="2" a="1"/>
  <c r="AJ211" i="2" s="1"/>
  <c r="AI211" i="2" a="1"/>
  <c r="AI211" i="2" s="1"/>
  <c r="AJ206" i="2" a="1"/>
  <c r="AJ206" i="2" s="1"/>
  <c r="AI206" i="2" a="1"/>
  <c r="AI206" i="2" s="1"/>
  <c r="AJ205" i="2" a="1"/>
  <c r="AJ205" i="2" s="1"/>
  <c r="AI205" i="2" a="1"/>
  <c r="AI205" i="2" s="1"/>
  <c r="AJ201" i="2" a="1"/>
  <c r="AJ201" i="2" s="1"/>
  <c r="AI201" i="2" a="1"/>
  <c r="AI201" i="2" s="1"/>
  <c r="AJ200" i="2" a="1"/>
  <c r="AJ200" i="2" s="1"/>
  <c r="AI200" i="2" a="1"/>
  <c r="AI200" i="2" s="1"/>
  <c r="AJ197" i="2" a="1"/>
  <c r="AJ197" i="2" s="1"/>
  <c r="AI197" i="2" a="1"/>
  <c r="AI197" i="2" s="1"/>
  <c r="AJ196" i="2" a="1"/>
  <c r="AJ196" i="2" s="1"/>
  <c r="AI196" i="2" a="1"/>
  <c r="AI196" i="2" s="1"/>
  <c r="AJ188" i="2" a="1"/>
  <c r="AJ188" i="2" s="1"/>
  <c r="AI188" i="2" a="1"/>
  <c r="AI188" i="2" s="1"/>
  <c r="AJ187" i="2" a="1"/>
  <c r="AJ187" i="2" s="1"/>
  <c r="AI187" i="2" a="1"/>
  <c r="AI187" i="2" s="1"/>
  <c r="AJ184" i="2" a="1"/>
  <c r="AJ184" i="2" s="1"/>
  <c r="AI184" i="2" a="1"/>
  <c r="AI184" i="2" s="1"/>
  <c r="AJ175" i="2" a="1"/>
  <c r="AJ175" i="2" s="1"/>
  <c r="AI175" i="2" a="1"/>
  <c r="AI175" i="2" s="1"/>
  <c r="AJ173" i="2" a="1"/>
  <c r="AJ173" i="2" s="1"/>
  <c r="AI173" i="2" a="1"/>
  <c r="AI173" i="2" s="1"/>
  <c r="AJ84" i="2" a="1"/>
  <c r="AJ84" i="2" s="1"/>
  <c r="AI84" i="2" a="1"/>
  <c r="AI84" i="2" s="1"/>
  <c r="AJ82" i="2" a="1"/>
  <c r="AJ82" i="2" s="1"/>
  <c r="AI82" i="2" a="1"/>
  <c r="AI82" i="2" s="1"/>
  <c r="AJ81" i="2" a="1"/>
  <c r="AJ81" i="2" s="1"/>
  <c r="AI81" i="2" a="1"/>
  <c r="AI81" i="2" s="1"/>
  <c r="AJ1348" i="2" a="1"/>
  <c r="AJ1348" i="2" s="1"/>
  <c r="AI1348" i="2" a="1"/>
  <c r="AI1348" i="2" s="1"/>
  <c r="AJ1346" i="2" a="1"/>
  <c r="AJ1346" i="2" s="1"/>
  <c r="AI1346" i="2" a="1"/>
  <c r="AI1346" i="2" s="1"/>
  <c r="AJ1344" i="2" a="1"/>
  <c r="AJ1344" i="2" s="1"/>
  <c r="AI1344" i="2" a="1"/>
  <c r="AI1344" i="2" s="1"/>
  <c r="AJ1342" i="2" a="1"/>
  <c r="AJ1342" i="2" s="1"/>
  <c r="AI1342" i="2" a="1"/>
  <c r="AI1342" i="2" s="1"/>
  <c r="AI1338" i="2" a="1"/>
  <c r="AI1338" i="2" s="1"/>
  <c r="AJ1338" i="2" a="1"/>
  <c r="AJ1338" i="2" s="1"/>
  <c r="AI1331" i="2" a="1"/>
  <c r="AI1331" i="2" s="1"/>
  <c r="AJ1331" i="2" a="1"/>
  <c r="AJ1331" i="2" s="1"/>
  <c r="AI1329" i="2" a="1"/>
  <c r="AI1329" i="2" s="1"/>
  <c r="AJ1329" i="2" a="1"/>
  <c r="AJ1329" i="2" s="1"/>
  <c r="AI1327" i="2" a="1"/>
  <c r="AI1327" i="2" s="1"/>
  <c r="AJ1327" i="2" a="1"/>
  <c r="AJ1327" i="2" s="1"/>
  <c r="AJ1323" i="2" a="1"/>
  <c r="AJ1323" i="2" s="1"/>
  <c r="AI1323" i="2" a="1"/>
  <c r="AI1323" i="2" s="1"/>
  <c r="AJ1321" i="2" a="1"/>
  <c r="AJ1321" i="2" s="1"/>
  <c r="AI1321" i="2" a="1"/>
  <c r="AI1321" i="2" s="1"/>
  <c r="AJ1319" i="2" a="1"/>
  <c r="AJ1319" i="2" s="1"/>
  <c r="AI1319" i="2" a="1"/>
  <c r="AI1319" i="2" s="1"/>
  <c r="AJ1317" i="2" a="1"/>
  <c r="AJ1317" i="2" s="1"/>
  <c r="AI1317" i="2" a="1"/>
  <c r="AI1317" i="2" s="1"/>
  <c r="AJ1315" i="2" a="1"/>
  <c r="AJ1315" i="2" s="1"/>
  <c r="AI1315" i="2" a="1"/>
  <c r="AI1315" i="2" s="1"/>
  <c r="AJ1313" i="2" a="1"/>
  <c r="AJ1313" i="2" s="1"/>
  <c r="AI1313" i="2" a="1"/>
  <c r="AI1313" i="2" s="1"/>
  <c r="AJ1311" i="2" a="1"/>
  <c r="AJ1311" i="2" s="1"/>
  <c r="AI1311" i="2" a="1"/>
  <c r="AI1311" i="2" s="1"/>
  <c r="AJ1309" i="2" a="1"/>
  <c r="AJ1309" i="2" s="1"/>
  <c r="AI1309" i="2" a="1"/>
  <c r="AI1309" i="2" s="1"/>
  <c r="AJ1306" i="2" a="1"/>
  <c r="AJ1306" i="2" s="1"/>
  <c r="AI1306" i="2" a="1"/>
  <c r="AI1306" i="2" s="1"/>
  <c r="AJ1304" i="2" a="1"/>
  <c r="AJ1304" i="2" s="1"/>
  <c r="AI1304" i="2" a="1"/>
  <c r="AI1304" i="2" s="1"/>
  <c r="AJ1302" i="2" a="1"/>
  <c r="AJ1302" i="2" s="1"/>
  <c r="AI1302" i="2" a="1"/>
  <c r="AI1302" i="2" s="1"/>
  <c r="AJ1300" i="2" a="1"/>
  <c r="AJ1300" i="2" s="1"/>
  <c r="AI1300" i="2" a="1"/>
  <c r="AI1300" i="2" s="1"/>
  <c r="AJ1299" i="2" a="1"/>
  <c r="AJ1299" i="2" s="1"/>
  <c r="AI1299" i="2" a="1"/>
  <c r="AI1299" i="2" s="1"/>
  <c r="AJ1295" i="2" a="1"/>
  <c r="AJ1295" i="2" s="1"/>
  <c r="AI1295" i="2" a="1"/>
  <c r="AI1295" i="2" s="1"/>
  <c r="AJ1293" i="2" a="1"/>
  <c r="AJ1293" i="2" s="1"/>
  <c r="AI1293" i="2" a="1"/>
  <c r="AI1293" i="2" s="1"/>
  <c r="AJ1291" i="2" a="1"/>
  <c r="AJ1291" i="2" s="1"/>
  <c r="AI1291" i="2" a="1"/>
  <c r="AI1291" i="2" s="1"/>
  <c r="AJ1286" i="2" a="1"/>
  <c r="AJ1286" i="2" s="1"/>
  <c r="AI1286" i="2" a="1"/>
  <c r="AI1286" i="2" s="1"/>
  <c r="AJ1284" i="2" a="1"/>
  <c r="AJ1284" i="2" s="1"/>
  <c r="AI1284" i="2" a="1"/>
  <c r="AI1284" i="2" s="1"/>
  <c r="AJ1282" i="2" a="1"/>
  <c r="AJ1282" i="2" s="1"/>
  <c r="AI1282" i="2" a="1"/>
  <c r="AI1282" i="2" s="1"/>
  <c r="AJ1249" i="2" a="1"/>
  <c r="AJ1249" i="2" s="1"/>
  <c r="AI1249" i="2" a="1"/>
  <c r="AI1249" i="2" s="1"/>
  <c r="AJ1247" i="2" a="1"/>
  <c r="AJ1247" i="2" s="1"/>
  <c r="AI1247" i="2" a="1"/>
  <c r="AI1247" i="2" s="1"/>
  <c r="AI643" i="2" a="1"/>
  <c r="AI643" i="2" s="1"/>
  <c r="AI390" i="2" a="1"/>
  <c r="AI390" i="2" s="1"/>
  <c r="AI387" i="2" a="1"/>
  <c r="AI387" i="2" s="1"/>
  <c r="AI386" i="2" a="1"/>
  <c r="AI386" i="2" s="1"/>
  <c r="AI384" i="2" a="1"/>
  <c r="AI384" i="2" s="1"/>
  <c r="AI383" i="2" a="1"/>
  <c r="AI383" i="2" s="1"/>
  <c r="AI337" i="2" a="1"/>
  <c r="AI337" i="2" s="1"/>
  <c r="AI324" i="2" a="1"/>
  <c r="AI324" i="2" s="1"/>
  <c r="AI321" i="2" a="1"/>
  <c r="AI321" i="2" s="1"/>
  <c r="AI315" i="2" a="1"/>
  <c r="AI315" i="2" s="1"/>
  <c r="AI789" i="2" a="1"/>
  <c r="AI789" i="2" s="1"/>
  <c r="AI435" i="2" a="1"/>
  <c r="AI435" i="2" s="1"/>
  <c r="AI433" i="2" a="1"/>
  <c r="AI433" i="2" s="1"/>
  <c r="AI344" i="2" a="1"/>
  <c r="AI344" i="2" s="1"/>
  <c r="AI343" i="2" a="1"/>
  <c r="AI343" i="2" s="1"/>
  <c r="AI340" i="2" a="1"/>
  <c r="AI340" i="2" s="1"/>
  <c r="AI338" i="2" a="1"/>
  <c r="AI338" i="2" s="1"/>
  <c r="AI1064" i="2" a="1"/>
  <c r="AI1064" i="2" s="1"/>
  <c r="AI1060" i="2" a="1"/>
  <c r="AI1060" i="2" s="1"/>
  <c r="AI1059" i="2" a="1"/>
  <c r="AI1059" i="2" s="1"/>
  <c r="AI1057" i="2" a="1"/>
  <c r="AI1057" i="2" s="1"/>
  <c r="AI1055" i="2" a="1"/>
  <c r="AI1055" i="2" s="1"/>
  <c r="AI1002" i="2" a="1"/>
  <c r="AI1002" i="2" s="1"/>
  <c r="AI1001" i="2" a="1"/>
  <c r="AI1001" i="2" s="1"/>
  <c r="AI998" i="2" a="1"/>
  <c r="AI998" i="2" s="1"/>
  <c r="AI997" i="2" a="1"/>
  <c r="AI997" i="2" s="1"/>
  <c r="AI991" i="2" a="1"/>
  <c r="AI991" i="2" s="1"/>
  <c r="AI948" i="2" a="1"/>
  <c r="AI948" i="2" s="1"/>
  <c r="AI919" i="2" a="1"/>
  <c r="AI919" i="2" s="1"/>
  <c r="AI779" i="2" a="1"/>
  <c r="AI779" i="2" s="1"/>
  <c r="AI778" i="2" a="1"/>
  <c r="AI778" i="2" s="1"/>
  <c r="AI703" i="2" a="1"/>
  <c r="AI703" i="2" s="1"/>
  <c r="AI702" i="2" a="1"/>
  <c r="AI702" i="2" s="1"/>
  <c r="AI647" i="2" a="1"/>
  <c r="AI647" i="2" s="1"/>
  <c r="AI645" i="2" a="1"/>
  <c r="AI645" i="2" s="1"/>
  <c r="AJ644" i="2" a="1"/>
  <c r="AJ644" i="2" s="1"/>
  <c r="AI391" i="2" a="1"/>
  <c r="AI391" i="2" s="1"/>
  <c r="AI389" i="2" a="1"/>
  <c r="AI389" i="2" s="1"/>
  <c r="AI385" i="2" a="1"/>
  <c r="AI385" i="2" s="1"/>
  <c r="AI382" i="2" a="1"/>
  <c r="AI382" i="2" s="1"/>
  <c r="AI380" i="2" a="1"/>
  <c r="AI380" i="2" s="1"/>
  <c r="AI378" i="2" a="1"/>
  <c r="AI378" i="2" s="1"/>
  <c r="AI339" i="2" a="1"/>
  <c r="AI339" i="2" s="1"/>
  <c r="AI333" i="2" a="1"/>
  <c r="AI333" i="2" s="1"/>
  <c r="AI330" i="2" a="1"/>
  <c r="AI330" i="2" s="1"/>
  <c r="AI329" i="2" a="1"/>
  <c r="AI329" i="2" s="1"/>
  <c r="AI328" i="2" a="1"/>
  <c r="AI328" i="2" s="1"/>
  <c r="AI323" i="2" a="1"/>
  <c r="AI323" i="2" s="1"/>
  <c r="AI322" i="2" a="1"/>
  <c r="AI322" i="2" s="1"/>
  <c r="AI319" i="2" a="1"/>
  <c r="AI319" i="2" s="1"/>
  <c r="AI317" i="2" a="1"/>
  <c r="AI317" i="2" s="1"/>
  <c r="AI316" i="2" a="1"/>
  <c r="AI316" i="2" s="1"/>
  <c r="AI314" i="2" a="1"/>
  <c r="AI314" i="2" s="1"/>
  <c r="AI370" i="2" a="1"/>
  <c r="AI370" i="2" s="1"/>
  <c r="AI369" i="2" a="1"/>
  <c r="AI369" i="2" s="1"/>
  <c r="AI364" i="2" a="1"/>
  <c r="AI364" i="2" s="1"/>
  <c r="AI363" i="2" a="1"/>
  <c r="AI363" i="2" s="1"/>
  <c r="AI362" i="2" a="1"/>
  <c r="AI362" i="2" s="1"/>
  <c r="AI815" i="2" a="1"/>
  <c r="AI815" i="2" s="1"/>
  <c r="AI367" i="2" a="1"/>
  <c r="AI367" i="2" s="1"/>
  <c r="AI365" i="2" a="1"/>
  <c r="AI365" i="2" s="1"/>
  <c r="AI880" i="2" a="1"/>
  <c r="AI880" i="2" s="1"/>
  <c r="AI820" i="2" a="1"/>
  <c r="AI820" i="2" s="1"/>
  <c r="AI819" i="2" a="1"/>
  <c r="AI819" i="2" s="1"/>
  <c r="AI814" i="2" a="1"/>
  <c r="AI814" i="2" s="1"/>
  <c r="AI791" i="2" a="1"/>
  <c r="AI791" i="2" s="1"/>
  <c r="AI790" i="2" a="1"/>
  <c r="AI790" i="2" s="1"/>
  <c r="AI407" i="2" a="1"/>
  <c r="AI407" i="2" s="1"/>
  <c r="AI977" i="2" a="1"/>
  <c r="AI977" i="2" s="1"/>
  <c r="AI1157" i="2" a="1"/>
  <c r="AI1157" i="2" s="1"/>
  <c r="AI582" i="2" a="1"/>
  <c r="AI582" i="2" s="1"/>
  <c r="AI581" i="2" a="1"/>
  <c r="AI581" i="2" s="1"/>
  <c r="AI580" i="2" a="1"/>
  <c r="AI580" i="2" s="1"/>
  <c r="AI1330" i="2" a="1"/>
  <c r="AI1330" i="2" s="1"/>
  <c r="AI164" i="2" a="1"/>
  <c r="AI164" i="2" s="1"/>
  <c r="AI163" i="2" a="1"/>
  <c r="AI163" i="2" s="1"/>
  <c r="AI162" i="2" a="1"/>
  <c r="AI162" i="2" s="1"/>
  <c r="AI158" i="2" a="1"/>
  <c r="AI158" i="2" s="1"/>
  <c r="AI156" i="2" a="1"/>
  <c r="AI156" i="2" s="1"/>
  <c r="AI153" i="2" a="1"/>
  <c r="AI153" i="2" s="1"/>
  <c r="AI50" i="2" a="1"/>
  <c r="AI50" i="2" s="1"/>
  <c r="AI1081" i="2" a="1"/>
  <c r="AI1081" i="2" s="1"/>
  <c r="AI701" i="2" a="1"/>
  <c r="AI701" i="2" s="1"/>
  <c r="AI1341" i="2" a="1"/>
  <c r="AI1341" i="2" s="1"/>
  <c r="AJ1340" i="2" a="1"/>
  <c r="AJ1340" i="2" s="1"/>
  <c r="AI1336" i="2" a="1"/>
  <c r="AI1336" i="2" s="1"/>
  <c r="AJ1335" i="2" a="1"/>
  <c r="AJ1335" i="2" s="1"/>
  <c r="AI1332" i="2" a="1"/>
  <c r="AI1332" i="2" s="1"/>
  <c r="AI1243" i="2" a="1"/>
  <c r="AI1243" i="2" s="1"/>
  <c r="AI214" i="2" a="1"/>
  <c r="AI214" i="2" s="1"/>
  <c r="AI1339" i="2" a="1"/>
  <c r="AI1339" i="2" s="1"/>
  <c r="AI1334" i="2" a="1"/>
  <c r="AI1334" i="2" s="1"/>
  <c r="AI1326" i="2" a="1"/>
  <c r="AI1326" i="2" s="1"/>
  <c r="AI1244" i="2" a="1"/>
  <c r="AI1244" i="2" s="1"/>
  <c r="AI1085" i="2" a="1"/>
  <c r="AI1085" i="2" s="1"/>
  <c r="AJ611" i="2" a="1"/>
  <c r="AJ611" i="2" s="1"/>
  <c r="AJ346" i="2" a="1"/>
  <c r="AJ346" i="2" s="1"/>
  <c r="AJ747" i="2" a="1"/>
  <c r="AJ747" i="2" s="1"/>
  <c r="AJ296" i="2" a="1"/>
  <c r="AJ296" i="2" s="1"/>
  <c r="AJ344" i="2" a="1"/>
  <c r="AJ344" i="2" s="1"/>
  <c r="AJ343" i="2" a="1"/>
  <c r="AJ343" i="2" s="1"/>
  <c r="AJ1060" i="2" a="1"/>
  <c r="AJ1060" i="2" s="1"/>
  <c r="AJ1057" i="2" a="1"/>
  <c r="AJ1057" i="2" s="1"/>
  <c r="AJ1055" i="2" a="1"/>
  <c r="AJ1055" i="2" s="1"/>
  <c r="AJ991" i="2" a="1"/>
  <c r="AJ991" i="2" s="1"/>
  <c r="AJ702" i="2" a="1"/>
  <c r="AJ702" i="2" s="1"/>
  <c r="AJ643" i="2" a="1"/>
  <c r="AJ643" i="2" s="1"/>
  <c r="AJ391" i="2" a="1"/>
  <c r="AJ391" i="2" s="1"/>
  <c r="AJ363" i="2" a="1"/>
  <c r="AJ363" i="2" s="1"/>
  <c r="AJ880" i="2" a="1"/>
  <c r="AJ880" i="2" s="1"/>
  <c r="AJ820" i="2" a="1"/>
  <c r="AJ820" i="2" s="1"/>
  <c r="AJ819" i="2" a="1"/>
  <c r="AJ819" i="2" s="1"/>
  <c r="AJ818" i="2" a="1"/>
  <c r="AJ818" i="2" s="1"/>
  <c r="AJ784" i="2" a="1"/>
  <c r="AJ784" i="2" s="1"/>
  <c r="AJ780" i="2" a="1"/>
  <c r="AJ780" i="2" s="1"/>
  <c r="AJ549" i="2" a="1"/>
  <c r="AJ549" i="2" s="1"/>
  <c r="AJ547" i="2" a="1"/>
  <c r="AJ547" i="2" s="1"/>
  <c r="AJ478" i="2" a="1"/>
  <c r="AJ478" i="2" s="1"/>
  <c r="AJ435" i="2" a="1"/>
  <c r="AJ435" i="2" s="1"/>
  <c r="AJ433" i="2" a="1"/>
  <c r="AJ433" i="2" s="1"/>
  <c r="AJ341" i="2" a="1"/>
  <c r="AJ341" i="2" s="1"/>
  <c r="AJ340" i="2" a="1"/>
  <c r="AJ340" i="2" s="1"/>
  <c r="AJ338" i="2" a="1"/>
  <c r="AJ338" i="2" s="1"/>
  <c r="AJ1064" i="2" a="1"/>
  <c r="AJ1064" i="2" s="1"/>
  <c r="AJ1059" i="2" a="1"/>
  <c r="AJ1059" i="2" s="1"/>
  <c r="AJ1002" i="2" a="1"/>
  <c r="AJ1002" i="2" s="1"/>
  <c r="AJ1001" i="2" a="1"/>
  <c r="AJ1001" i="2" s="1"/>
  <c r="AJ1000" i="2" a="1"/>
  <c r="AJ1000" i="2" s="1"/>
  <c r="AJ998" i="2" a="1"/>
  <c r="AJ998" i="2" s="1"/>
  <c r="AJ997" i="2" a="1"/>
  <c r="AJ997" i="2" s="1"/>
  <c r="AJ995" i="2" a="1"/>
  <c r="AJ995" i="2" s="1"/>
  <c r="AJ990" i="2" a="1"/>
  <c r="AJ990" i="2" s="1"/>
  <c r="AJ948" i="2" a="1"/>
  <c r="AJ948" i="2" s="1"/>
  <c r="AJ919" i="2" a="1"/>
  <c r="AJ919" i="2" s="1"/>
  <c r="AJ779" i="2" a="1"/>
  <c r="AJ779" i="2" s="1"/>
  <c r="AJ778" i="2" a="1"/>
  <c r="AJ778" i="2" s="1"/>
  <c r="AJ703" i="2" a="1"/>
  <c r="AJ703" i="2" s="1"/>
  <c r="AJ647" i="2" a="1"/>
  <c r="AJ647" i="2" s="1"/>
  <c r="AJ645" i="2" a="1"/>
  <c r="AJ645" i="2" s="1"/>
  <c r="AJ390" i="2" a="1"/>
  <c r="AJ390" i="2" s="1"/>
  <c r="AJ389" i="2" a="1"/>
  <c r="AJ389" i="2" s="1"/>
  <c r="AJ362" i="2" a="1"/>
  <c r="AJ362" i="2" s="1"/>
  <c r="AJ814" i="2" a="1"/>
  <c r="AJ814" i="2" s="1"/>
  <c r="AJ792" i="2" a="1"/>
  <c r="AJ792" i="2" s="1"/>
  <c r="AJ791" i="2" a="1"/>
  <c r="AJ791" i="2" s="1"/>
  <c r="AJ790" i="2" a="1"/>
  <c r="AJ790" i="2" s="1"/>
  <c r="AJ788" i="2" a="1"/>
  <c r="AJ788" i="2" s="1"/>
  <c r="AJ539" i="2" a="1"/>
  <c r="AJ539" i="2" s="1"/>
  <c r="AJ536" i="2" a="1"/>
  <c r="AJ536" i="2" s="1"/>
  <c r="AJ514" i="2" a="1"/>
  <c r="AJ514" i="2" s="1"/>
  <c r="AJ511" i="2" a="1"/>
  <c r="AJ511" i="2" s="1"/>
  <c r="AJ509" i="2" a="1"/>
  <c r="AJ509" i="2" s="1"/>
  <c r="AJ498" i="2" a="1"/>
  <c r="AJ498" i="2" s="1"/>
  <c r="AJ467" i="2" a="1"/>
  <c r="AJ467" i="2" s="1"/>
  <c r="AJ461" i="2" a="1"/>
  <c r="AJ461" i="2" s="1"/>
  <c r="AJ458" i="2" a="1"/>
  <c r="AJ458" i="2" s="1"/>
  <c r="AJ388" i="2" a="1"/>
  <c r="AJ388" i="2" s="1"/>
  <c r="AJ387" i="2" a="1"/>
  <c r="AJ387" i="2" s="1"/>
  <c r="AJ386" i="2" a="1"/>
  <c r="AJ386" i="2" s="1"/>
  <c r="AJ385" i="2" a="1"/>
  <c r="AJ385" i="2" s="1"/>
  <c r="AJ384" i="2" a="1"/>
  <c r="AJ384" i="2" s="1"/>
  <c r="AJ383" i="2" a="1"/>
  <c r="AJ383" i="2" s="1"/>
  <c r="AJ382" i="2" a="1"/>
  <c r="AJ382" i="2" s="1"/>
  <c r="AJ381" i="2" a="1"/>
  <c r="AJ381" i="2" s="1"/>
  <c r="AJ380" i="2" a="1"/>
  <c r="AJ380" i="2" s="1"/>
  <c r="AJ378" i="2" a="1"/>
  <c r="AJ378" i="2" s="1"/>
  <c r="AJ337" i="2" a="1"/>
  <c r="AJ337" i="2" s="1"/>
  <c r="AJ336" i="2" a="1"/>
  <c r="AJ336" i="2" s="1"/>
  <c r="AJ335" i="2" a="1"/>
  <c r="AJ335" i="2" s="1"/>
  <c r="AJ333" i="2" a="1"/>
  <c r="AJ333" i="2" s="1"/>
  <c r="AJ331" i="2" a="1"/>
  <c r="AJ331" i="2" s="1"/>
  <c r="AJ330" i="2" a="1"/>
  <c r="AJ330" i="2" s="1"/>
  <c r="AJ329" i="2" a="1"/>
  <c r="AJ329" i="2" s="1"/>
  <c r="AJ328" i="2" a="1"/>
  <c r="AJ328" i="2" s="1"/>
  <c r="AJ327" i="2" a="1"/>
  <c r="AJ327" i="2" s="1"/>
  <c r="AJ325" i="2" a="1"/>
  <c r="AJ325" i="2" s="1"/>
  <c r="AJ324" i="2" a="1"/>
  <c r="AJ324" i="2" s="1"/>
  <c r="AJ323" i="2" a="1"/>
  <c r="AJ323" i="2" s="1"/>
  <c r="AJ322" i="2" a="1"/>
  <c r="AJ322" i="2" s="1"/>
  <c r="AJ321" i="2" a="1"/>
  <c r="AJ321" i="2" s="1"/>
  <c r="AJ320" i="2" a="1"/>
  <c r="AJ320" i="2" s="1"/>
  <c r="AJ319" i="2" a="1"/>
  <c r="AJ319" i="2" s="1"/>
  <c r="AJ318" i="2" a="1"/>
  <c r="AJ318" i="2" s="1"/>
  <c r="AJ317" i="2" a="1"/>
  <c r="AJ317" i="2" s="1"/>
  <c r="AJ316" i="2" a="1"/>
  <c r="AJ316" i="2" s="1"/>
  <c r="AJ315" i="2" a="1"/>
  <c r="AJ315" i="2" s="1"/>
  <c r="AJ370" i="2" a="1"/>
  <c r="AJ370" i="2" s="1"/>
  <c r="AJ369" i="2" a="1"/>
  <c r="AJ369" i="2" s="1"/>
  <c r="AJ367" i="2" a="1"/>
  <c r="AJ367" i="2" s="1"/>
  <c r="AJ365" i="2" a="1"/>
  <c r="AJ365" i="2" s="1"/>
  <c r="AJ526" i="2" a="1"/>
  <c r="AJ526" i="2" s="1"/>
  <c r="AJ500" i="2" a="1"/>
  <c r="AJ500" i="2" s="1"/>
  <c r="AJ452" i="2" a="1"/>
  <c r="AJ452" i="2" s="1"/>
  <c r="AJ451" i="2" a="1"/>
  <c r="AJ451" i="2" s="1"/>
  <c r="AJ450" i="2" a="1"/>
  <c r="AJ450" i="2" s="1"/>
  <c r="AJ449" i="2" a="1"/>
  <c r="AJ449" i="2" s="1"/>
  <c r="AJ448" i="2" a="1"/>
  <c r="AJ448" i="2" s="1"/>
  <c r="AJ447" i="2" a="1"/>
  <c r="AJ447" i="2" s="1"/>
  <c r="AJ445" i="2" a="1"/>
  <c r="AJ445" i="2" s="1"/>
  <c r="AJ444" i="2" a="1"/>
  <c r="AJ444" i="2" s="1"/>
  <c r="AJ443" i="2" a="1"/>
  <c r="AJ443" i="2" s="1"/>
  <c r="AJ442" i="2" a="1"/>
  <c r="AJ442" i="2" s="1"/>
  <c r="AJ441" i="2" a="1"/>
  <c r="AJ441" i="2" s="1"/>
  <c r="AJ440" i="2" a="1"/>
  <c r="AJ440" i="2" s="1"/>
  <c r="AJ439" i="2" a="1"/>
  <c r="AJ439" i="2" s="1"/>
  <c r="AJ438" i="2" a="1"/>
  <c r="AJ438" i="2" s="1"/>
  <c r="AJ437" i="2" a="1"/>
  <c r="AJ437" i="2" s="1"/>
  <c r="AJ436" i="2" a="1"/>
  <c r="AJ436" i="2" s="1"/>
  <c r="AJ397" i="2" a="1"/>
  <c r="AJ397" i="2" s="1"/>
  <c r="AJ395" i="2" a="1"/>
  <c r="AJ395" i="2" s="1"/>
  <c r="AJ393" i="2" a="1"/>
  <c r="AJ393" i="2" s="1"/>
  <c r="AJ311" i="2" a="1"/>
  <c r="AJ311" i="2" s="1"/>
  <c r="AJ309" i="2" a="1"/>
  <c r="AJ309" i="2" s="1"/>
  <c r="AJ308" i="2" a="1"/>
  <c r="AJ308" i="2" s="1"/>
  <c r="AJ307" i="2" a="1"/>
  <c r="AJ307" i="2" s="1"/>
  <c r="AJ306" i="2" a="1"/>
  <c r="AJ306" i="2" s="1"/>
  <c r="AJ305" i="2" a="1"/>
  <c r="AJ305" i="2" s="1"/>
  <c r="AJ304" i="2" a="1"/>
  <c r="AJ304" i="2" s="1"/>
  <c r="AJ303" i="2" a="1"/>
  <c r="AJ303" i="2" s="1"/>
  <c r="AJ302" i="2" a="1"/>
  <c r="AJ302" i="2" s="1"/>
  <c r="AJ301" i="2" a="1"/>
  <c r="AJ301" i="2" s="1"/>
  <c r="AJ606" i="2" a="1"/>
  <c r="AJ606" i="2" s="1"/>
  <c r="AJ605" i="2" a="1"/>
  <c r="AJ605" i="2" s="1"/>
  <c r="AJ604" i="2" a="1"/>
  <c r="AJ604" i="2" s="1"/>
  <c r="AJ603" i="2" a="1"/>
  <c r="AJ603" i="2" s="1"/>
  <c r="AJ602" i="2" a="1"/>
  <c r="AJ602" i="2" s="1"/>
  <c r="AJ601" i="2" a="1"/>
  <c r="AJ601" i="2" s="1"/>
  <c r="AJ600" i="2" a="1"/>
  <c r="AJ600" i="2" s="1"/>
  <c r="AJ111" i="2" a="1"/>
  <c r="AJ111" i="2" s="1"/>
  <c r="AJ110" i="2" a="1"/>
  <c r="AJ110" i="2" s="1"/>
  <c r="AJ1051" i="2" a="1"/>
  <c r="AJ1051" i="2" s="1"/>
  <c r="AJ1050" i="2" a="1"/>
  <c r="AJ1050" i="2" s="1"/>
  <c r="AJ1047" i="2" a="1"/>
  <c r="AJ1047" i="2" s="1"/>
  <c r="AJ1046" i="2" a="1"/>
  <c r="AJ1046" i="2" s="1"/>
  <c r="AJ1045" i="2" a="1"/>
  <c r="AJ1045" i="2" s="1"/>
  <c r="AJ1044" i="2" a="1"/>
  <c r="AJ1044" i="2" s="1"/>
  <c r="AJ1042" i="2" a="1"/>
  <c r="AJ1042" i="2" s="1"/>
  <c r="AJ1041" i="2" a="1"/>
  <c r="AJ1041" i="2" s="1"/>
  <c r="AJ1040" i="2" a="1"/>
  <c r="AJ1040" i="2" s="1"/>
  <c r="AJ1039" i="2" a="1"/>
  <c r="AJ1039" i="2" s="1"/>
  <c r="AJ1038" i="2" a="1"/>
  <c r="AJ1038" i="2" s="1"/>
  <c r="AJ1036" i="2" a="1"/>
  <c r="AJ1036" i="2" s="1"/>
  <c r="AJ1035" i="2" a="1"/>
  <c r="AJ1035" i="2" s="1"/>
  <c r="AJ1033" i="2" a="1"/>
  <c r="AJ1033" i="2" s="1"/>
  <c r="AJ1032" i="2" a="1"/>
  <c r="AJ1032" i="2" s="1"/>
  <c r="AJ1031" i="2" a="1"/>
  <c r="AJ1031" i="2" s="1"/>
  <c r="AJ1028" i="2" a="1"/>
  <c r="AJ1028" i="2" s="1"/>
  <c r="AJ1026" i="2" a="1"/>
  <c r="AJ1026" i="2" s="1"/>
  <c r="AJ945" i="2" a="1"/>
  <c r="AJ945" i="2" s="1"/>
  <c r="AJ944" i="2" a="1"/>
  <c r="AJ944" i="2" s="1"/>
  <c r="AJ943" i="2" a="1"/>
  <c r="AJ943" i="2" s="1"/>
  <c r="AJ568" i="2" a="1"/>
  <c r="AJ568" i="2" s="1"/>
  <c r="AJ567" i="2" a="1"/>
  <c r="AJ567" i="2" s="1"/>
  <c r="AJ941" i="2" a="1"/>
  <c r="AJ941" i="2" s="1"/>
  <c r="AJ940" i="2" a="1"/>
  <c r="AJ940" i="2" s="1"/>
  <c r="AJ935" i="2" a="1"/>
  <c r="AJ935" i="2" s="1"/>
  <c r="AJ934" i="2" a="1"/>
  <c r="AJ934" i="2" s="1"/>
  <c r="AJ933" i="2" a="1"/>
  <c r="AJ933" i="2" s="1"/>
  <c r="AJ932" i="2" a="1"/>
  <c r="AJ932" i="2" s="1"/>
  <c r="AJ931" i="2" a="1"/>
  <c r="AJ931" i="2" s="1"/>
  <c r="AJ930" i="2" a="1"/>
  <c r="AJ930" i="2" s="1"/>
  <c r="AJ929" i="2" a="1"/>
  <c r="AJ929" i="2" s="1"/>
  <c r="AJ928" i="2" a="1"/>
  <c r="AJ928" i="2" s="1"/>
  <c r="AJ927" i="2" a="1"/>
  <c r="AJ927" i="2" s="1"/>
  <c r="AJ926" i="2" a="1"/>
  <c r="AJ926" i="2" s="1"/>
  <c r="AJ925" i="2" a="1"/>
  <c r="AJ925" i="2" s="1"/>
  <c r="AJ923" i="2" a="1"/>
  <c r="AJ923" i="2" s="1"/>
  <c r="AJ922" i="2" a="1"/>
  <c r="AJ922" i="2" s="1"/>
  <c r="AJ921" i="2" a="1"/>
  <c r="AJ921" i="2" s="1"/>
  <c r="AJ811" i="2" a="1"/>
  <c r="AJ811" i="2" s="1"/>
  <c r="AJ808" i="2" a="1"/>
  <c r="AJ808" i="2" s="1"/>
  <c r="AJ806" i="2" a="1"/>
  <c r="AJ806" i="2" s="1"/>
  <c r="AJ805" i="2" a="1"/>
  <c r="AJ805" i="2" s="1"/>
  <c r="AJ804" i="2" a="1"/>
  <c r="AJ804" i="2" s="1"/>
  <c r="AJ803" i="2" a="1"/>
  <c r="AJ803" i="2" s="1"/>
  <c r="AJ802" i="2" a="1"/>
  <c r="AJ802" i="2" s="1"/>
  <c r="AJ801" i="2" a="1"/>
  <c r="AJ801" i="2" s="1"/>
  <c r="AJ799" i="2" a="1"/>
  <c r="AJ799" i="2" s="1"/>
  <c r="AJ798" i="2" a="1"/>
  <c r="AJ798" i="2" s="1"/>
  <c r="AJ794" i="2" a="1"/>
  <c r="AJ794" i="2" s="1"/>
  <c r="AJ553" i="2" a="1"/>
  <c r="AJ553" i="2" s="1"/>
  <c r="AJ496" i="2" a="1"/>
  <c r="AJ496" i="2" s="1"/>
  <c r="AJ495" i="2" a="1"/>
  <c r="AJ495" i="2" s="1"/>
  <c r="AJ494" i="2" a="1"/>
  <c r="AJ494" i="2" s="1"/>
  <c r="AJ492" i="2" a="1"/>
  <c r="AJ492" i="2" s="1"/>
  <c r="AJ491" i="2" a="1"/>
  <c r="AJ491" i="2" s="1"/>
  <c r="AJ489" i="2" a="1"/>
  <c r="AJ489" i="2" s="1"/>
  <c r="AJ488" i="2" a="1"/>
  <c r="AJ488" i="2" s="1"/>
  <c r="AJ487" i="2" a="1"/>
  <c r="AJ487" i="2" s="1"/>
  <c r="AJ486" i="2" a="1"/>
  <c r="AJ486" i="2" s="1"/>
  <c r="AJ484" i="2" a="1"/>
  <c r="AJ484" i="2" s="1"/>
  <c r="AJ482" i="2" a="1"/>
  <c r="AJ482" i="2" s="1"/>
  <c r="AJ418" i="2" a="1"/>
  <c r="AJ418" i="2" s="1"/>
  <c r="AJ417" i="2" a="1"/>
  <c r="AJ417" i="2" s="1"/>
  <c r="AJ416" i="2" a="1"/>
  <c r="AJ416" i="2" s="1"/>
  <c r="AJ415" i="2" a="1"/>
  <c r="AJ415" i="2" s="1"/>
  <c r="AJ413" i="2" a="1"/>
  <c r="AJ413" i="2" s="1"/>
  <c r="AJ412" i="2" a="1"/>
  <c r="AJ412" i="2" s="1"/>
  <c r="AJ411" i="2" a="1"/>
  <c r="AJ411" i="2" s="1"/>
  <c r="AJ410" i="2" a="1"/>
  <c r="AJ410" i="2" s="1"/>
  <c r="AJ409" i="2" a="1"/>
  <c r="AJ409" i="2" s="1"/>
  <c r="AJ408" i="2" a="1"/>
  <c r="AJ408" i="2" s="1"/>
  <c r="AJ407" i="2" a="1"/>
  <c r="AJ407" i="2" s="1"/>
  <c r="AJ405" i="2" a="1"/>
  <c r="AJ405" i="2" s="1"/>
  <c r="AJ404" i="2" a="1"/>
  <c r="AJ404" i="2" s="1"/>
  <c r="AJ402" i="2" a="1"/>
  <c r="AJ402" i="2" s="1"/>
  <c r="AJ399" i="2" a="1"/>
  <c r="AJ399" i="2" s="1"/>
  <c r="AJ398" i="2" a="1"/>
  <c r="AJ398" i="2" s="1"/>
  <c r="AJ261" i="2" a="1"/>
  <c r="AJ261" i="2" s="1"/>
  <c r="AJ259" i="2" a="1"/>
  <c r="AJ259" i="2" s="1"/>
  <c r="AJ589" i="2" a="1"/>
  <c r="AJ589" i="2" s="1"/>
  <c r="AJ580" i="2" a="1"/>
  <c r="AJ580" i="2" s="1"/>
  <c r="AJ571" i="2" a="1"/>
  <c r="AJ571" i="2" s="1"/>
  <c r="AJ258" i="2" a="1"/>
  <c r="AJ258" i="2" s="1"/>
  <c r="AJ257" i="2" a="1"/>
  <c r="AJ257" i="2" s="1"/>
  <c r="AJ256" i="2" a="1"/>
  <c r="AJ256" i="2" s="1"/>
  <c r="AJ255" i="2" a="1"/>
  <c r="AJ255" i="2" s="1"/>
  <c r="AJ254" i="2" a="1"/>
  <c r="AJ254" i="2" s="1"/>
  <c r="AJ253" i="2" a="1"/>
  <c r="AJ253" i="2" s="1"/>
  <c r="AJ251" i="2" a="1"/>
  <c r="AJ251" i="2" s="1"/>
  <c r="AJ228" i="2" a="1"/>
  <c r="AJ228" i="2" s="1"/>
  <c r="AJ227" i="2" a="1"/>
  <c r="AJ227" i="2" s="1"/>
  <c r="AJ226" i="2" a="1"/>
  <c r="AJ226" i="2" s="1"/>
  <c r="AJ2" i="2" a="1"/>
  <c r="AJ2" i="2" s="1"/>
  <c r="B53" i="2" s="1"/>
  <c r="B55" i="2" s="1"/>
  <c r="AJ977" i="2" a="1"/>
  <c r="AJ977" i="2" s="1"/>
  <c r="AJ976" i="2" a="1"/>
  <c r="AJ976" i="2" s="1"/>
  <c r="AJ975" i="2" a="1"/>
  <c r="AJ975" i="2" s="1"/>
  <c r="AJ974" i="2" a="1"/>
  <c r="AJ974" i="2" s="1"/>
  <c r="AJ973" i="2" a="1"/>
  <c r="AJ973" i="2" s="1"/>
  <c r="AJ972" i="2" a="1"/>
  <c r="AJ972" i="2" s="1"/>
  <c r="AJ970" i="2" a="1"/>
  <c r="AJ970" i="2" s="1"/>
  <c r="AJ969" i="2" a="1"/>
  <c r="AJ969" i="2" s="1"/>
  <c r="AJ968" i="2" a="1"/>
  <c r="AJ968" i="2" s="1"/>
  <c r="AJ966" i="2" a="1"/>
  <c r="AJ966" i="2" s="1"/>
  <c r="AJ965" i="2" a="1"/>
  <c r="AJ965" i="2" s="1"/>
  <c r="AJ963" i="2" a="1"/>
  <c r="AJ963" i="2" s="1"/>
  <c r="AJ961" i="2" a="1"/>
  <c r="AJ961" i="2" s="1"/>
  <c r="AJ960" i="2" a="1"/>
  <c r="AJ960" i="2" s="1"/>
  <c r="AJ959" i="2" a="1"/>
  <c r="AJ959" i="2" s="1"/>
  <c r="AJ957" i="2" a="1"/>
  <c r="AJ957" i="2" s="1"/>
  <c r="AJ956" i="2" a="1"/>
  <c r="AJ956" i="2" s="1"/>
  <c r="AJ955" i="2" a="1"/>
  <c r="AJ955" i="2" s="1"/>
  <c r="AJ954" i="2" a="1"/>
  <c r="AJ954" i="2" s="1"/>
  <c r="AJ953" i="2" a="1"/>
  <c r="AJ953" i="2" s="1"/>
  <c r="AJ952" i="2" a="1"/>
  <c r="AJ952" i="2" s="1"/>
  <c r="AJ951" i="2" a="1"/>
  <c r="AJ951" i="2" s="1"/>
  <c r="AJ950" i="2" a="1"/>
  <c r="AJ950" i="2" s="1"/>
  <c r="AJ878" i="2" a="1"/>
  <c r="AJ878" i="2" s="1"/>
  <c r="AJ877" i="2" a="1"/>
  <c r="AJ877" i="2" s="1"/>
  <c r="AJ875" i="2" a="1"/>
  <c r="AJ875" i="2" s="1"/>
  <c r="AJ858" i="2" a="1"/>
  <c r="AJ858" i="2" s="1"/>
  <c r="AJ857" i="2" a="1"/>
  <c r="AJ857" i="2" s="1"/>
  <c r="AJ853" i="2" a="1"/>
  <c r="AJ853" i="2" s="1"/>
  <c r="AJ852" i="2" a="1"/>
  <c r="AJ852" i="2" s="1"/>
  <c r="AJ850" i="2" a="1"/>
  <c r="AJ850" i="2" s="1"/>
  <c r="AJ849" i="2" a="1"/>
  <c r="AJ849" i="2" s="1"/>
  <c r="AJ848" i="2" a="1"/>
  <c r="AJ848" i="2" s="1"/>
  <c r="AJ847" i="2" a="1"/>
  <c r="AJ847" i="2" s="1"/>
  <c r="AJ846" i="2" a="1"/>
  <c r="AJ846" i="2" s="1"/>
  <c r="AJ845" i="2" a="1"/>
  <c r="AJ845" i="2" s="1"/>
  <c r="AJ844" i="2" a="1"/>
  <c r="AJ844" i="2" s="1"/>
  <c r="AJ843" i="2" a="1"/>
  <c r="AJ843" i="2" s="1"/>
  <c r="AJ842" i="2" a="1"/>
  <c r="AJ842" i="2" s="1"/>
  <c r="AJ841" i="2" a="1"/>
  <c r="AJ841" i="2" s="1"/>
  <c r="AJ839" i="2" a="1"/>
  <c r="AJ839" i="2" s="1"/>
  <c r="AJ838" i="2" a="1"/>
  <c r="AJ838" i="2" s="1"/>
  <c r="AJ835" i="2" a="1"/>
  <c r="AJ835" i="2" s="1"/>
  <c r="AJ834" i="2" a="1"/>
  <c r="AJ834" i="2" s="1"/>
  <c r="AJ832" i="2" a="1"/>
  <c r="AJ832" i="2" s="1"/>
  <c r="AJ831" i="2" a="1"/>
  <c r="AJ831" i="2" s="1"/>
  <c r="AJ830" i="2" a="1"/>
  <c r="AJ830" i="2" s="1"/>
  <c r="AJ829" i="2" a="1"/>
  <c r="AJ829" i="2" s="1"/>
  <c r="AJ828" i="2" a="1"/>
  <c r="AJ828" i="2" s="1"/>
  <c r="AJ827" i="2" a="1"/>
  <c r="AJ827" i="2" s="1"/>
  <c r="AJ824" i="2" a="1"/>
  <c r="AJ824" i="2" s="1"/>
  <c r="AJ823" i="2" a="1"/>
  <c r="AJ823" i="2" s="1"/>
  <c r="AJ704" i="2" a="1"/>
  <c r="AJ704" i="2" s="1"/>
  <c r="AJ597" i="2" a="1"/>
  <c r="AJ597" i="2" s="1"/>
  <c r="AJ595" i="2" a="1"/>
  <c r="AJ595" i="2" s="1"/>
  <c r="AJ582" i="2" a="1"/>
  <c r="AJ582" i="2" s="1"/>
  <c r="AJ581" i="2" a="1"/>
  <c r="AJ581" i="2" s="1"/>
  <c r="AJ822" i="2" a="1"/>
  <c r="AJ822" i="2" s="1"/>
  <c r="AJ746" i="2" a="1"/>
  <c r="AJ746" i="2" s="1"/>
  <c r="AJ712" i="2" a="1"/>
  <c r="AJ712" i="2" s="1"/>
  <c r="AJ711" i="2" a="1"/>
  <c r="AJ711" i="2" s="1"/>
  <c r="AJ705" i="2" a="1"/>
  <c r="AJ705" i="2" s="1"/>
  <c r="AJ599" i="2" a="1"/>
  <c r="AJ599" i="2" s="1"/>
  <c r="AJ598" i="2" a="1"/>
  <c r="AJ598" i="2" s="1"/>
  <c r="AJ593" i="2" a="1"/>
  <c r="AJ593" i="2" s="1"/>
  <c r="AJ592" i="2" a="1"/>
  <c r="AJ592" i="2" s="1"/>
  <c r="AJ586" i="2" a="1"/>
  <c r="AJ586" i="2" s="1"/>
  <c r="AJ584" i="2" a="1"/>
  <c r="AJ584" i="2" s="1"/>
  <c r="AJ572" i="2" a="1"/>
  <c r="AJ572" i="2" s="1"/>
  <c r="AJ564" i="2" a="1"/>
  <c r="AJ564" i="2" s="1"/>
  <c r="AJ563" i="2" a="1"/>
  <c r="AJ563" i="2" s="1"/>
  <c r="AJ561" i="2" a="1"/>
  <c r="AJ561" i="2" s="1"/>
  <c r="AJ557" i="2" a="1"/>
  <c r="AJ557" i="2" s="1"/>
  <c r="AJ556" i="2" a="1"/>
  <c r="AJ556" i="2" s="1"/>
  <c r="AJ554" i="2" a="1"/>
  <c r="AJ554" i="2" s="1"/>
  <c r="AJ295" i="2" a="1"/>
  <c r="AJ295" i="2" s="1"/>
  <c r="AJ294" i="2" a="1"/>
  <c r="AJ294" i="2" s="1"/>
  <c r="AJ293" i="2" a="1"/>
  <c r="AJ293" i="2" s="1"/>
  <c r="AJ292" i="2" a="1"/>
  <c r="AJ292" i="2" s="1"/>
  <c r="AJ286" i="2" a="1"/>
  <c r="AJ286" i="2" s="1"/>
  <c r="AJ285" i="2" a="1"/>
  <c r="AJ285" i="2" s="1"/>
  <c r="AJ280" i="2" a="1"/>
  <c r="AJ280" i="2" s="1"/>
  <c r="AJ279" i="2" a="1"/>
  <c r="AJ279" i="2" s="1"/>
  <c r="AJ274" i="2" a="1"/>
  <c r="AJ274" i="2" s="1"/>
  <c r="AJ273" i="2" a="1"/>
  <c r="AJ273" i="2" s="1"/>
  <c r="AJ268" i="2" a="1"/>
  <c r="AJ268" i="2" s="1"/>
  <c r="AJ267" i="2" a="1"/>
  <c r="AJ267" i="2" s="1"/>
  <c r="AJ266" i="2" a="1"/>
  <c r="AJ266" i="2" s="1"/>
  <c r="AJ265" i="2" a="1"/>
  <c r="AJ265" i="2" s="1"/>
  <c r="AJ225" i="2" a="1"/>
  <c r="AJ225" i="2" s="1"/>
  <c r="AJ169" i="2" a="1"/>
  <c r="AJ169" i="2" s="1"/>
  <c r="AJ166" i="2" a="1"/>
  <c r="AJ166" i="2" s="1"/>
  <c r="AJ165" i="2" a="1"/>
  <c r="AJ165" i="2" s="1"/>
  <c r="AJ164" i="2" a="1"/>
  <c r="AJ164" i="2" s="1"/>
  <c r="AJ163" i="2" a="1"/>
  <c r="AJ163" i="2" s="1"/>
  <c r="AJ162" i="2" a="1"/>
  <c r="AJ162" i="2" s="1"/>
  <c r="AJ160" i="2" a="1"/>
  <c r="AJ160" i="2" s="1"/>
  <c r="AJ158" i="2" a="1"/>
  <c r="AJ158" i="2" s="1"/>
  <c r="AJ156" i="2" a="1"/>
  <c r="AJ156" i="2" s="1"/>
  <c r="AJ150" i="2" a="1"/>
  <c r="AJ150" i="2" s="1"/>
  <c r="AJ149" i="2" a="1"/>
  <c r="AJ149" i="2" s="1"/>
  <c r="AJ148" i="2" a="1"/>
  <c r="AJ148" i="2" s="1"/>
  <c r="AJ145" i="2" a="1"/>
  <c r="AJ145" i="2" s="1"/>
  <c r="AJ144" i="2" a="1"/>
  <c r="AJ144" i="2" s="1"/>
  <c r="AJ143" i="2" a="1"/>
  <c r="AJ143" i="2" s="1"/>
  <c r="AJ140" i="2" a="1"/>
  <c r="AJ140" i="2" s="1"/>
  <c r="AJ139" i="2" a="1"/>
  <c r="AJ139" i="2" s="1"/>
  <c r="AJ138" i="2" a="1"/>
  <c r="AJ138" i="2" s="1"/>
  <c r="AJ46" i="2" a="1"/>
  <c r="AJ46" i="2" s="1"/>
  <c r="AJ45" i="2" a="1"/>
  <c r="AJ45" i="2" s="1"/>
  <c r="AJ44" i="2" a="1"/>
  <c r="AJ44" i="2" s="1"/>
  <c r="AJ38" i="2" a="1"/>
  <c r="AJ38" i="2" s="1"/>
  <c r="AJ35" i="2" a="1"/>
  <c r="AJ35" i="2" s="1"/>
  <c r="AJ137" i="2" a="1"/>
  <c r="AJ137" i="2" s="1"/>
  <c r="AJ136" i="2" a="1"/>
  <c r="AJ136" i="2" s="1"/>
  <c r="AJ133" i="2" a="1"/>
  <c r="AJ133" i="2" s="1"/>
  <c r="AJ131" i="2" a="1"/>
  <c r="AJ131" i="2" s="1"/>
  <c r="AJ130" i="2" a="1"/>
  <c r="AJ130" i="2" s="1"/>
  <c r="AJ129" i="2" a="1"/>
  <c r="AJ129" i="2" s="1"/>
  <c r="AJ128" i="2" a="1"/>
  <c r="AJ128" i="2" s="1"/>
  <c r="AJ127" i="2" a="1"/>
  <c r="AJ127" i="2" s="1"/>
  <c r="AJ126" i="2" a="1"/>
  <c r="AJ126" i="2" s="1"/>
  <c r="AJ124" i="2" a="1"/>
  <c r="AJ124" i="2" s="1"/>
  <c r="AJ122" i="2" a="1"/>
  <c r="AJ122" i="2" s="1"/>
  <c r="AJ121" i="2" a="1"/>
  <c r="AJ121" i="2" s="1"/>
  <c r="AJ118" i="2" a="1"/>
  <c r="AJ118" i="2" s="1"/>
  <c r="AJ114" i="2" a="1"/>
  <c r="AJ114" i="2" s="1"/>
  <c r="AJ113" i="2" a="1"/>
  <c r="AJ113" i="2" s="1"/>
  <c r="AJ102" i="2" a="1"/>
  <c r="AJ102" i="2" s="1"/>
  <c r="AJ101" i="2" a="1"/>
  <c r="AJ101" i="2" s="1"/>
  <c r="AJ99" i="2" a="1"/>
  <c r="AJ99" i="2" s="1"/>
  <c r="AJ98" i="2" a="1"/>
  <c r="AJ98" i="2" s="1"/>
  <c r="AJ97" i="2" a="1"/>
  <c r="AJ97" i="2" s="1"/>
  <c r="AJ96" i="2" a="1"/>
  <c r="AJ96" i="2" s="1"/>
  <c r="AJ95" i="2" a="1"/>
  <c r="AJ95" i="2" s="1"/>
  <c r="AJ94" i="2" a="1"/>
  <c r="AJ94" i="2" s="1"/>
  <c r="AJ93" i="2" a="1"/>
  <c r="AJ93" i="2" s="1"/>
  <c r="AJ92" i="2" a="1"/>
  <c r="AJ92" i="2" s="1"/>
  <c r="AJ90" i="2" a="1"/>
  <c r="AJ90" i="2" s="1"/>
  <c r="AJ70" i="2" a="1"/>
  <c r="AJ70" i="2" s="1"/>
  <c r="AJ69" i="2" a="1"/>
  <c r="AJ69" i="2" s="1"/>
  <c r="AJ68" i="2" a="1"/>
  <c r="AJ68" i="2" s="1"/>
  <c r="AJ67" i="2" a="1"/>
  <c r="AJ67" i="2" s="1"/>
  <c r="AJ66" i="2" a="1"/>
  <c r="AJ66" i="2" s="1"/>
  <c r="AJ65" i="2" a="1"/>
  <c r="AJ65" i="2" s="1"/>
  <c r="AJ63" i="2" a="1"/>
  <c r="AJ63" i="2" s="1"/>
  <c r="AJ60" i="2" a="1"/>
  <c r="AJ60" i="2" s="1"/>
  <c r="AJ59" i="2" a="1"/>
  <c r="AJ59" i="2" s="1"/>
  <c r="AJ57" i="2" a="1"/>
  <c r="AJ57" i="2" s="1"/>
  <c r="AJ56" i="2" a="1"/>
  <c r="AJ56" i="2" s="1"/>
  <c r="AJ55" i="2" a="1"/>
  <c r="AJ55" i="2" s="1"/>
  <c r="AJ40" i="2" a="1"/>
  <c r="AJ40" i="2" s="1"/>
  <c r="AJ39" i="2" a="1"/>
  <c r="AJ39" i="2" s="1"/>
  <c r="AJ34" i="2" a="1"/>
  <c r="AJ34" i="2" s="1"/>
  <c r="AJ33" i="2" a="1"/>
  <c r="AJ33" i="2" s="1"/>
  <c r="AJ32" i="2" a="1"/>
  <c r="AJ32" i="2" s="1"/>
  <c r="AJ31" i="2" a="1"/>
  <c r="AJ31" i="2" s="1"/>
  <c r="AJ29" i="2" a="1"/>
  <c r="AJ29" i="2" s="1"/>
  <c r="AJ28" i="2" a="1"/>
  <c r="AJ28" i="2" s="1"/>
  <c r="AJ27" i="2" a="1"/>
  <c r="AJ27" i="2" s="1"/>
  <c r="AJ26" i="2" a="1"/>
  <c r="AJ26" i="2" s="1"/>
  <c r="AJ25" i="2" a="1"/>
  <c r="AJ25" i="2" s="1"/>
  <c r="AJ23" i="2" a="1"/>
  <c r="AJ23" i="2" s="1"/>
  <c r="AJ22" i="2" a="1"/>
  <c r="AJ22" i="2" s="1"/>
  <c r="AJ21" i="2" a="1"/>
  <c r="AJ21" i="2" s="1"/>
  <c r="AJ18" i="2" a="1"/>
  <c r="AJ18" i="2" s="1"/>
  <c r="AJ16" i="2" a="1"/>
  <c r="AJ16" i="2" s="1"/>
  <c r="AJ9" i="2" a="1"/>
  <c r="AJ9" i="2" s="1"/>
  <c r="AJ8" i="2" a="1"/>
  <c r="AJ8" i="2" s="1"/>
  <c r="AJ988" i="2" a="1"/>
  <c r="AJ988" i="2" s="1"/>
  <c r="AJ874" i="2" a="1"/>
  <c r="AJ874" i="2" s="1"/>
  <c r="AJ872" i="2" a="1"/>
  <c r="AJ872" i="2" s="1"/>
  <c r="AJ871" i="2" a="1"/>
  <c r="AJ871" i="2" s="1"/>
  <c r="AJ869" i="2" a="1"/>
  <c r="AJ869" i="2" s="1"/>
  <c r="AJ868" i="2" a="1"/>
  <c r="AJ868" i="2" s="1"/>
  <c r="AJ867" i="2" a="1"/>
  <c r="AJ867" i="2" s="1"/>
  <c r="AJ866" i="2" a="1"/>
  <c r="AJ866" i="2" s="1"/>
  <c r="AJ865" i="2" a="1"/>
  <c r="AJ865" i="2" s="1"/>
  <c r="AJ864" i="2" a="1"/>
  <c r="AJ864" i="2" s="1"/>
  <c r="AJ863" i="2" a="1"/>
  <c r="AJ863" i="2" s="1"/>
  <c r="AJ862" i="2" a="1"/>
  <c r="AJ862" i="2" s="1"/>
  <c r="AJ777" i="2" a="1"/>
  <c r="AJ777" i="2" s="1"/>
  <c r="AJ775" i="2" a="1"/>
  <c r="AJ775" i="2" s="1"/>
  <c r="AJ774" i="2" a="1"/>
  <c r="AJ774" i="2" s="1"/>
  <c r="AJ773" i="2" a="1"/>
  <c r="AJ773" i="2" s="1"/>
  <c r="AJ771" i="2" a="1"/>
  <c r="AJ771" i="2" s="1"/>
  <c r="AJ770" i="2" a="1"/>
  <c r="AJ770" i="2" s="1"/>
  <c r="AJ769" i="2" a="1"/>
  <c r="AJ769" i="2" s="1"/>
  <c r="AJ767" i="2" a="1"/>
  <c r="AJ767" i="2" s="1"/>
  <c r="AJ766" i="2" a="1"/>
  <c r="AJ766" i="2" s="1"/>
  <c r="AJ765" i="2" a="1"/>
  <c r="AJ765" i="2" s="1"/>
  <c r="AJ764" i="2" a="1"/>
  <c r="AJ764" i="2" s="1"/>
  <c r="AJ761" i="2" a="1"/>
  <c r="AJ761" i="2" s="1"/>
  <c r="AJ760" i="2" a="1"/>
  <c r="AJ760" i="2" s="1"/>
  <c r="AJ759" i="2" a="1"/>
  <c r="AJ759" i="2" s="1"/>
  <c r="AJ756" i="2" a="1"/>
  <c r="AJ756" i="2" s="1"/>
  <c r="AJ754" i="2" a="1"/>
  <c r="AJ754" i="2" s="1"/>
  <c r="AJ753" i="2" a="1"/>
  <c r="AJ753" i="2" s="1"/>
  <c r="AJ752" i="2" a="1"/>
  <c r="AJ752" i="2" s="1"/>
  <c r="AJ700" i="2" a="1"/>
  <c r="AJ700" i="2" s="1"/>
  <c r="AJ698" i="2" a="1"/>
  <c r="AJ698" i="2" s="1"/>
  <c r="AJ697" i="2" a="1"/>
  <c r="AJ697" i="2" s="1"/>
  <c r="AJ696" i="2" a="1"/>
  <c r="AJ696" i="2" s="1"/>
  <c r="AJ695" i="2" a="1"/>
  <c r="AJ695" i="2" s="1"/>
  <c r="AJ694" i="2" a="1"/>
  <c r="AJ694" i="2" s="1"/>
  <c r="AJ693" i="2" a="1"/>
  <c r="AJ693" i="2" s="1"/>
  <c r="AJ212" i="2" a="1"/>
  <c r="AJ212" i="2" s="1"/>
  <c r="AJ210" i="2" a="1"/>
  <c r="AJ210" i="2" s="1"/>
  <c r="AJ209" i="2" a="1"/>
  <c r="AJ209" i="2" s="1"/>
  <c r="AJ208" i="2" a="1"/>
  <c r="AJ208" i="2" s="1"/>
  <c r="AJ692" i="2" a="1"/>
  <c r="AJ692" i="2" s="1"/>
  <c r="AJ691" i="2" a="1"/>
  <c r="AJ691" i="2" s="1"/>
  <c r="AJ690" i="2" a="1"/>
  <c r="AJ690" i="2" s="1"/>
  <c r="AJ689" i="2" a="1"/>
  <c r="AJ689" i="2" s="1"/>
  <c r="AJ687" i="2" a="1"/>
  <c r="AJ687" i="2" s="1"/>
  <c r="AJ686" i="2" a="1"/>
  <c r="AJ686" i="2" s="1"/>
  <c r="AJ685" i="2" a="1"/>
  <c r="AJ685" i="2" s="1"/>
  <c r="AJ684" i="2" a="1"/>
  <c r="AJ684" i="2" s="1"/>
  <c r="AJ682" i="2" a="1"/>
  <c r="AJ682" i="2" s="1"/>
  <c r="AJ681" i="2" a="1"/>
  <c r="AJ681" i="2" s="1"/>
  <c r="AJ676" i="2" a="1"/>
  <c r="AJ676" i="2" s="1"/>
  <c r="AJ675" i="2" a="1"/>
  <c r="AJ675" i="2" s="1"/>
  <c r="AJ673" i="2" a="1"/>
  <c r="AJ673" i="2" s="1"/>
  <c r="AJ672" i="2" a="1"/>
  <c r="AJ672" i="2" s="1"/>
  <c r="AJ671" i="2" a="1"/>
  <c r="AJ671" i="2" s="1"/>
  <c r="AJ670" i="2" a="1"/>
  <c r="AJ670" i="2" s="1"/>
  <c r="AJ669" i="2" a="1"/>
  <c r="AJ669" i="2" s="1"/>
  <c r="AJ668" i="2" a="1"/>
  <c r="AJ668" i="2" s="1"/>
  <c r="AJ667" i="2" a="1"/>
  <c r="AJ667" i="2" s="1"/>
  <c r="AJ666" i="2" a="1"/>
  <c r="AJ666" i="2" s="1"/>
  <c r="AJ665" i="2" a="1"/>
  <c r="AJ665" i="2" s="1"/>
  <c r="AJ664" i="2" a="1"/>
  <c r="AJ664" i="2" s="1"/>
  <c r="AJ663" i="2" a="1"/>
  <c r="AJ663" i="2" s="1"/>
  <c r="AJ662" i="2" a="1"/>
  <c r="AJ662" i="2" s="1"/>
  <c r="AJ660" i="2" a="1"/>
  <c r="AJ660" i="2" s="1"/>
  <c r="AJ659" i="2" a="1"/>
  <c r="AJ659" i="2" s="1"/>
  <c r="AJ658" i="2" a="1"/>
  <c r="AJ658" i="2" s="1"/>
  <c r="AJ655" i="2" a="1"/>
  <c r="AJ655" i="2" s="1"/>
  <c r="AJ653" i="2" a="1"/>
  <c r="AJ653" i="2" s="1"/>
  <c r="AJ652" i="2" a="1"/>
  <c r="AJ652" i="2" s="1"/>
  <c r="AJ651" i="2" a="1"/>
  <c r="AJ651" i="2" s="1"/>
  <c r="AJ431" i="2" a="1"/>
  <c r="AJ431" i="2" s="1"/>
  <c r="AJ430" i="2" a="1"/>
  <c r="AJ430" i="2" s="1"/>
  <c r="AJ429" i="2" a="1"/>
  <c r="AJ429" i="2" s="1"/>
  <c r="AJ428" i="2" a="1"/>
  <c r="AJ428" i="2" s="1"/>
  <c r="AJ427" i="2" a="1"/>
  <c r="AJ427" i="2" s="1"/>
  <c r="AJ426" i="2" a="1"/>
  <c r="AJ426" i="2" s="1"/>
  <c r="AJ424" i="2" a="1"/>
  <c r="AJ424" i="2" s="1"/>
  <c r="AJ423" i="2" a="1"/>
  <c r="AJ423" i="2" s="1"/>
  <c r="AJ422" i="2" a="1"/>
  <c r="AJ422" i="2" s="1"/>
  <c r="AJ421" i="2" a="1"/>
  <c r="AJ421" i="2" s="1"/>
  <c r="AJ420" i="2" a="1"/>
  <c r="AJ420" i="2" s="1"/>
  <c r="AJ419" i="2" a="1"/>
  <c r="AJ419" i="2" s="1"/>
  <c r="AJ221" i="2" a="1"/>
  <c r="AJ221" i="2" s="1"/>
  <c r="AJ216" i="2" a="1"/>
  <c r="AJ216" i="2" s="1"/>
  <c r="AJ214" i="2" a="1"/>
  <c r="AJ214" i="2" s="1"/>
  <c r="AJ204" i="2" a="1"/>
  <c r="AJ204" i="2" s="1"/>
  <c r="AJ203" i="2" a="1"/>
  <c r="AJ203" i="2" s="1"/>
  <c r="AJ199" i="2" a="1"/>
  <c r="AJ199" i="2" s="1"/>
  <c r="AJ198" i="2" a="1"/>
  <c r="AJ198" i="2" s="1"/>
  <c r="AJ195" i="2" a="1"/>
  <c r="AJ195" i="2" s="1"/>
  <c r="AJ194" i="2" a="1"/>
  <c r="AJ194" i="2" s="1"/>
  <c r="AJ193" i="2" a="1"/>
  <c r="AJ193" i="2" s="1"/>
  <c r="AJ192" i="2" a="1"/>
  <c r="AJ192" i="2" s="1"/>
  <c r="AJ191" i="2" a="1"/>
  <c r="AJ191" i="2" s="1"/>
  <c r="AJ190" i="2" a="1"/>
  <c r="AJ190" i="2" s="1"/>
  <c r="AJ189" i="2" a="1"/>
  <c r="AJ189" i="2" s="1"/>
  <c r="AJ186" i="2" a="1"/>
  <c r="AJ186" i="2" s="1"/>
  <c r="AJ185" i="2" a="1"/>
  <c r="AJ185" i="2" s="1"/>
  <c r="AJ183" i="2" a="1"/>
  <c r="AJ183" i="2" s="1"/>
  <c r="AJ182" i="2" a="1"/>
  <c r="AJ182" i="2" s="1"/>
  <c r="AJ181" i="2" a="1"/>
  <c r="AJ181" i="2" s="1"/>
  <c r="AJ180" i="2" a="1"/>
  <c r="AJ180" i="2" s="1"/>
  <c r="AJ179" i="2" a="1"/>
  <c r="AJ179" i="2" s="1"/>
  <c r="AJ178" i="2" a="1"/>
  <c r="AJ178" i="2" s="1"/>
  <c r="AJ177" i="2" a="1"/>
  <c r="AJ177" i="2" s="1"/>
  <c r="AJ176" i="2" a="1"/>
  <c r="AJ176" i="2" s="1"/>
  <c r="AJ174" i="2" a="1"/>
  <c r="AJ174" i="2" s="1"/>
  <c r="AJ172" i="2" a="1"/>
  <c r="AJ172" i="2" s="1"/>
  <c r="AJ171" i="2" a="1"/>
  <c r="AJ171" i="2" s="1"/>
  <c r="AJ85" i="2" a="1"/>
  <c r="AJ85" i="2" s="1"/>
  <c r="AJ83" i="2" a="1"/>
  <c r="AJ83" i="2" s="1"/>
  <c r="AJ80" i="2" a="1"/>
  <c r="AJ80" i="2" s="1"/>
  <c r="AJ79" i="2" a="1"/>
  <c r="AJ79" i="2" s="1"/>
  <c r="AJ78" i="2" a="1"/>
  <c r="AJ78" i="2" s="1"/>
  <c r="AJ77" i="2" a="1"/>
  <c r="AJ77" i="2" s="1"/>
  <c r="AJ76" i="2" a="1"/>
  <c r="AJ76" i="2" s="1"/>
  <c r="AJ75" i="2" a="1"/>
  <c r="AJ75" i="2" s="1"/>
  <c r="AJ74" i="2" a="1"/>
  <c r="AJ74" i="2" s="1"/>
  <c r="AJ73" i="2" a="1"/>
  <c r="AJ73" i="2" s="1"/>
  <c r="AJ72" i="2" a="1"/>
  <c r="AJ72" i="2" s="1"/>
  <c r="AJ1349" i="2" a="1"/>
  <c r="AJ1349" i="2" s="1"/>
  <c r="AJ1347" i="2" a="1"/>
  <c r="AJ1347" i="2" s="1"/>
  <c r="AJ1345" i="2" a="1"/>
  <c r="AJ1345" i="2" s="1"/>
  <c r="AJ1343" i="2" a="1"/>
  <c r="AJ1343" i="2" s="1"/>
  <c r="AJ1341" i="2" a="1"/>
  <c r="AJ1341" i="2" s="1"/>
  <c r="AJ1339" i="2" a="1"/>
  <c r="AJ1339" i="2" s="1"/>
  <c r="AJ1336" i="2" a="1"/>
  <c r="AJ1336" i="2" s="1"/>
  <c r="AJ1334" i="2" a="1"/>
  <c r="AJ1334" i="2" s="1"/>
  <c r="AJ1332" i="2" a="1"/>
  <c r="AJ1332" i="2" s="1"/>
  <c r="AJ1330" i="2" a="1"/>
  <c r="AJ1330" i="2" s="1"/>
  <c r="AJ1328" i="2" a="1"/>
  <c r="AJ1328" i="2" s="1"/>
  <c r="AJ1326" i="2" a="1"/>
  <c r="AJ1326" i="2" s="1"/>
  <c r="AJ1324" i="2" a="1"/>
  <c r="AJ1324" i="2" s="1"/>
  <c r="AJ1322" i="2" a="1"/>
  <c r="AJ1322" i="2" s="1"/>
  <c r="AJ1320" i="2" a="1"/>
  <c r="AJ1320" i="2" s="1"/>
  <c r="AJ1318" i="2" a="1"/>
  <c r="AJ1318" i="2" s="1"/>
  <c r="AJ1316" i="2" a="1"/>
  <c r="AJ1316" i="2" s="1"/>
  <c r="AJ1314" i="2" a="1"/>
  <c r="AJ1314" i="2" s="1"/>
  <c r="AJ1312" i="2" a="1"/>
  <c r="AJ1312" i="2" s="1"/>
  <c r="AJ1240" i="2" a="1"/>
  <c r="AJ1240" i="2" s="1"/>
  <c r="AJ1239" i="2" a="1"/>
  <c r="AJ1239" i="2" s="1"/>
  <c r="AJ1238" i="2" a="1"/>
  <c r="AJ1238" i="2" s="1"/>
  <c r="AJ1237" i="2" a="1"/>
  <c r="AJ1237" i="2" s="1"/>
  <c r="AJ1236" i="2" a="1"/>
  <c r="AJ1236" i="2" s="1"/>
  <c r="AJ1235" i="2" a="1"/>
  <c r="AJ1235" i="2" s="1"/>
  <c r="AJ1234" i="2" a="1"/>
  <c r="AJ1234" i="2" s="1"/>
  <c r="AJ1233" i="2" a="1"/>
  <c r="AJ1233" i="2" s="1"/>
  <c r="AJ1232" i="2" a="1"/>
  <c r="AJ1232" i="2" s="1"/>
  <c r="AJ532" i="2" a="1"/>
  <c r="AJ532" i="2" s="1"/>
  <c r="AJ530" i="2" a="1"/>
  <c r="AJ530" i="2" s="1"/>
  <c r="AJ521" i="2" a="1"/>
  <c r="AJ521" i="2" s="1"/>
  <c r="AJ520" i="2" a="1"/>
  <c r="AJ520" i="2" s="1"/>
  <c r="AJ519" i="2" a="1"/>
  <c r="AJ519" i="2" s="1"/>
  <c r="AJ516" i="2" a="1"/>
  <c r="AJ516" i="2" s="1"/>
  <c r="AJ508" i="2" a="1"/>
  <c r="AJ508" i="2" s="1"/>
  <c r="AJ503" i="2" a="1"/>
  <c r="AJ503" i="2" s="1"/>
  <c r="AJ1310" i="2" a="1"/>
  <c r="AJ1310" i="2" s="1"/>
  <c r="AJ1308" i="2" a="1"/>
  <c r="AJ1308" i="2" s="1"/>
  <c r="AJ1307" i="2" a="1"/>
  <c r="AJ1307" i="2" s="1"/>
  <c r="AJ1305" i="2" a="1"/>
  <c r="AJ1305" i="2" s="1"/>
  <c r="AJ1303" i="2" a="1"/>
  <c r="AJ1303" i="2" s="1"/>
  <c r="AJ1301" i="2" a="1"/>
  <c r="AJ1301" i="2" s="1"/>
  <c r="AJ1298" i="2" a="1"/>
  <c r="AJ1298" i="2" s="1"/>
  <c r="AJ1297" i="2" a="1"/>
  <c r="AJ1297" i="2" s="1"/>
  <c r="AJ1296" i="2" a="1"/>
  <c r="AJ1296" i="2" s="1"/>
  <c r="AJ1294" i="2" a="1"/>
  <c r="AJ1294" i="2" s="1"/>
  <c r="AJ1292" i="2" a="1"/>
  <c r="AJ1292" i="2" s="1"/>
  <c r="AJ1290" i="2" a="1"/>
  <c r="AJ1290" i="2" s="1"/>
  <c r="AJ1289" i="2" a="1"/>
  <c r="AJ1289" i="2" s="1"/>
  <c r="AJ1288" i="2" a="1"/>
  <c r="AJ1288" i="2" s="1"/>
  <c r="AJ1287" i="2" a="1"/>
  <c r="AJ1287" i="2" s="1"/>
  <c r="AJ1285" i="2" a="1"/>
  <c r="AJ1285" i="2" s="1"/>
  <c r="AJ1283" i="2" a="1"/>
  <c r="AJ1283" i="2" s="1"/>
  <c r="AJ1281" i="2" a="1"/>
  <c r="AJ1281" i="2" s="1"/>
  <c r="AJ1280" i="2" a="1"/>
  <c r="AJ1280" i="2" s="1"/>
  <c r="AJ1279" i="2" a="1"/>
  <c r="AJ1279" i="2" s="1"/>
  <c r="AJ1278" i="2" a="1"/>
  <c r="AJ1278" i="2" s="1"/>
  <c r="AJ1277" i="2" a="1"/>
  <c r="AJ1277" i="2" s="1"/>
  <c r="AJ1276" i="2" a="1"/>
  <c r="AJ1276" i="2" s="1"/>
  <c r="AJ1275" i="2" a="1"/>
  <c r="AJ1275" i="2" s="1"/>
  <c r="AJ1274" i="2" a="1"/>
  <c r="AJ1274" i="2" s="1"/>
  <c r="AJ1273" i="2" a="1"/>
  <c r="AJ1273" i="2" s="1"/>
  <c r="AJ1272" i="2" a="1"/>
  <c r="AJ1272" i="2" s="1"/>
  <c r="AJ1271" i="2" a="1"/>
  <c r="AJ1271" i="2" s="1"/>
  <c r="AJ1270" i="2" a="1"/>
  <c r="AJ1270" i="2" s="1"/>
  <c r="AJ1269" i="2" a="1"/>
  <c r="AJ1269" i="2" s="1"/>
  <c r="AJ1268" i="2" a="1"/>
  <c r="AJ1268" i="2" s="1"/>
  <c r="AJ1267" i="2" a="1"/>
  <c r="AJ1267" i="2" s="1"/>
  <c r="AJ1266" i="2" a="1"/>
  <c r="AJ1266" i="2" s="1"/>
  <c r="AJ1265" i="2" a="1"/>
  <c r="AJ1265" i="2" s="1"/>
  <c r="AJ1264" i="2" a="1"/>
  <c r="AJ1264" i="2" s="1"/>
  <c r="AJ1263" i="2" a="1"/>
  <c r="AJ1263" i="2" s="1"/>
  <c r="AJ1262" i="2" a="1"/>
  <c r="AJ1262" i="2" s="1"/>
  <c r="AJ1261" i="2" a="1"/>
  <c r="AJ1261" i="2" s="1"/>
  <c r="AJ1260" i="2" a="1"/>
  <c r="AJ1260" i="2" s="1"/>
  <c r="AJ1259" i="2" a="1"/>
  <c r="AJ1259" i="2" s="1"/>
  <c r="AJ1258" i="2" a="1"/>
  <c r="AJ1258" i="2" s="1"/>
  <c r="AJ1257" i="2" a="1"/>
  <c r="AJ1257" i="2" s="1"/>
  <c r="AJ1256" i="2" a="1"/>
  <c r="AJ1256" i="2" s="1"/>
  <c r="AJ1255" i="2" a="1"/>
  <c r="AJ1255" i="2" s="1"/>
  <c r="AJ1254" i="2" a="1"/>
  <c r="AJ1254" i="2" s="1"/>
  <c r="AJ1253" i="2" a="1"/>
  <c r="AJ1253" i="2" s="1"/>
  <c r="AJ1252" i="2" a="1"/>
  <c r="AJ1252" i="2" s="1"/>
  <c r="AJ1251" i="2" a="1"/>
  <c r="AJ1251" i="2" s="1"/>
  <c r="AJ1250" i="2" a="1"/>
  <c r="AJ1250" i="2" s="1"/>
  <c r="AJ1248" i="2" a="1"/>
  <c r="AJ1248" i="2" s="1"/>
  <c r="AJ1246" i="2" a="1"/>
  <c r="AJ1246" i="2" s="1"/>
  <c r="AJ1244" i="2" a="1"/>
  <c r="AJ1244" i="2" s="1"/>
  <c r="AJ1243" i="2" a="1"/>
  <c r="AJ1243" i="2" s="1"/>
  <c r="AJ1242" i="2" a="1"/>
  <c r="AJ1242" i="2" s="1"/>
  <c r="AJ1241" i="2" a="1"/>
  <c r="AJ1241" i="2" s="1"/>
  <c r="AJ524" i="2" a="1"/>
  <c r="AJ524" i="2" s="1"/>
  <c r="AJ466" i="2" a="1"/>
  <c r="AJ466" i="2" s="1"/>
  <c r="AJ1231" i="2" a="1"/>
  <c r="AJ1231" i="2" s="1"/>
  <c r="AJ1230" i="2" a="1"/>
  <c r="AJ1230" i="2" s="1"/>
  <c r="AJ1229" i="2" a="1"/>
  <c r="AJ1229" i="2" s="1"/>
  <c r="AJ1228" i="2" a="1"/>
  <c r="AJ1228" i="2" s="1"/>
  <c r="AJ1227" i="2" a="1"/>
  <c r="AJ1227" i="2" s="1"/>
  <c r="AJ1226" i="2" a="1"/>
  <c r="AJ1226" i="2" s="1"/>
  <c r="AJ1225" i="2" a="1"/>
  <c r="AJ1225" i="2" s="1"/>
  <c r="AJ1224" i="2" a="1"/>
  <c r="AJ1224" i="2" s="1"/>
  <c r="AJ1223" i="2" a="1"/>
  <c r="AJ1223" i="2" s="1"/>
  <c r="AJ1222" i="2" a="1"/>
  <c r="AJ1222" i="2" s="1"/>
  <c r="AJ1221" i="2" a="1"/>
  <c r="AJ1221" i="2" s="1"/>
  <c r="AJ1220" i="2" a="1"/>
  <c r="AJ1220" i="2" s="1"/>
  <c r="AJ1219" i="2" a="1"/>
  <c r="AJ1219" i="2" s="1"/>
  <c r="AJ1218" i="2" a="1"/>
  <c r="AJ1218" i="2" s="1"/>
  <c r="AJ1217" i="2" a="1"/>
  <c r="AJ1217" i="2" s="1"/>
  <c r="AJ1216" i="2" a="1"/>
  <c r="AJ1216" i="2" s="1"/>
  <c r="AJ1215" i="2" a="1"/>
  <c r="AJ1215" i="2" s="1"/>
  <c r="AJ1214" i="2" a="1"/>
  <c r="AJ1214" i="2" s="1"/>
  <c r="AJ1213" i="2" a="1"/>
  <c r="AJ1213" i="2" s="1"/>
  <c r="AJ1212" i="2" a="1"/>
  <c r="AJ1212" i="2" s="1"/>
  <c r="AJ1211" i="2" a="1"/>
  <c r="AJ1211" i="2" s="1"/>
  <c r="AJ1210" i="2" a="1"/>
  <c r="AJ1210" i="2" s="1"/>
  <c r="AJ1209" i="2" a="1"/>
  <c r="AJ1209" i="2" s="1"/>
  <c r="AJ1208" i="2" a="1"/>
  <c r="AJ1208" i="2" s="1"/>
  <c r="AJ1207" i="2" a="1"/>
  <c r="AJ1207" i="2" s="1"/>
  <c r="AJ1206" i="2" a="1"/>
  <c r="AJ1206" i="2" s="1"/>
  <c r="AJ1205" i="2" a="1"/>
  <c r="AJ1205" i="2" s="1"/>
  <c r="AJ1204" i="2" a="1"/>
  <c r="AJ1204" i="2" s="1"/>
  <c r="AJ1203" i="2" a="1"/>
  <c r="AJ1203" i="2" s="1"/>
  <c r="AJ1202" i="2" a="1"/>
  <c r="AJ1202" i="2" s="1"/>
  <c r="AJ1201" i="2" a="1"/>
  <c r="AJ1201" i="2" s="1"/>
  <c r="AJ1200" i="2" a="1"/>
  <c r="AJ1200" i="2" s="1"/>
  <c r="AJ1199" i="2" a="1"/>
  <c r="AJ1199" i="2" s="1"/>
  <c r="AJ1198" i="2" a="1"/>
  <c r="AJ1198" i="2" s="1"/>
  <c r="AJ1197" i="2" a="1"/>
  <c r="AJ1197" i="2" s="1"/>
  <c r="AJ1196" i="2" a="1"/>
  <c r="AJ1196" i="2" s="1"/>
  <c r="AJ1195" i="2" a="1"/>
  <c r="AJ1195" i="2" s="1"/>
  <c r="AJ1194" i="2" a="1"/>
  <c r="AJ1194" i="2" s="1"/>
  <c r="AJ1193" i="2" a="1"/>
  <c r="AJ1193" i="2" s="1"/>
  <c r="AJ1192" i="2" a="1"/>
  <c r="AJ1192" i="2" s="1"/>
  <c r="AJ1191" i="2" a="1"/>
  <c r="AJ1191" i="2" s="1"/>
  <c r="AJ1190" i="2" a="1"/>
  <c r="AJ1190" i="2" s="1"/>
  <c r="AJ1189" i="2" a="1"/>
  <c r="AJ1189" i="2" s="1"/>
  <c r="AJ1188" i="2" a="1"/>
  <c r="AJ1188" i="2" s="1"/>
  <c r="AJ1187" i="2" a="1"/>
  <c r="AJ1187" i="2" s="1"/>
  <c r="AJ1186" i="2" a="1"/>
  <c r="AJ1186" i="2" s="1"/>
  <c r="AJ1185" i="2" a="1"/>
  <c r="AJ1185" i="2" s="1"/>
  <c r="AJ1184" i="2" a="1"/>
  <c r="AJ1184" i="2" s="1"/>
  <c r="AJ1183" i="2" a="1"/>
  <c r="AJ1183" i="2" s="1"/>
  <c r="AJ1182" i="2" a="1"/>
  <c r="AJ1182" i="2" s="1"/>
  <c r="AJ1181" i="2" a="1"/>
  <c r="AJ1181" i="2" s="1"/>
  <c r="AJ1180" i="2" a="1"/>
  <c r="AJ1180" i="2" s="1"/>
  <c r="AJ1179" i="2" a="1"/>
  <c r="AJ1179" i="2" s="1"/>
  <c r="AJ1178" i="2" a="1"/>
  <c r="AJ1178" i="2" s="1"/>
  <c r="AJ1177" i="2" a="1"/>
  <c r="AJ1177" i="2" s="1"/>
  <c r="AJ1176" i="2" a="1"/>
  <c r="AJ1176" i="2" s="1"/>
  <c r="AJ1175" i="2" a="1"/>
  <c r="AJ1175" i="2" s="1"/>
  <c r="AJ1174" i="2" a="1"/>
  <c r="AJ1174" i="2" s="1"/>
  <c r="AJ1173" i="2" a="1"/>
  <c r="AJ1173" i="2" s="1"/>
  <c r="AJ1172" i="2" a="1"/>
  <c r="AJ1172" i="2" s="1"/>
  <c r="AJ1171" i="2" a="1"/>
  <c r="AJ1171" i="2" s="1"/>
  <c r="AJ1170" i="2" a="1"/>
  <c r="AJ1170" i="2" s="1"/>
  <c r="AJ1169" i="2" a="1"/>
  <c r="AJ1169" i="2" s="1"/>
  <c r="AJ1168" i="2" a="1"/>
  <c r="AJ1168" i="2" s="1"/>
  <c r="AJ1167" i="2" a="1"/>
  <c r="AJ1167" i="2" s="1"/>
  <c r="AJ1166" i="2" a="1"/>
  <c r="AJ1166" i="2" s="1"/>
  <c r="AJ1165" i="2" a="1"/>
  <c r="AJ1165" i="2" s="1"/>
  <c r="AJ1164" i="2" a="1"/>
  <c r="AJ1164" i="2" s="1"/>
  <c r="AJ1163" i="2" a="1"/>
  <c r="AJ1163" i="2" s="1"/>
  <c r="AJ1162" i="2" a="1"/>
  <c r="AJ1162" i="2" s="1"/>
  <c r="AJ1161" i="2" a="1"/>
  <c r="AJ1161" i="2" s="1"/>
  <c r="AJ1160" i="2" a="1"/>
  <c r="AJ1160" i="2" s="1"/>
  <c r="AJ1159" i="2" a="1"/>
  <c r="AJ1159" i="2" s="1"/>
  <c r="AJ1158" i="2" a="1"/>
  <c r="AJ1158" i="2" s="1"/>
  <c r="AJ1157" i="2" a="1"/>
  <c r="AJ1157" i="2" s="1"/>
  <c r="AJ1156" i="2" a="1"/>
  <c r="AJ1156" i="2" s="1"/>
  <c r="AJ1155" i="2" a="1"/>
  <c r="AJ1155" i="2" s="1"/>
  <c r="AJ1154" i="2" a="1"/>
  <c r="AJ1154" i="2" s="1"/>
  <c r="AJ1153" i="2" a="1"/>
  <c r="AJ1153" i="2" s="1"/>
  <c r="AJ1152" i="2" a="1"/>
  <c r="AJ1152" i="2" s="1"/>
  <c r="AJ1151" i="2" a="1"/>
  <c r="AJ1151" i="2" s="1"/>
  <c r="AJ1150" i="2" a="1"/>
  <c r="AJ1150" i="2" s="1"/>
  <c r="AJ1149" i="2" a="1"/>
  <c r="AJ1149" i="2" s="1"/>
  <c r="AJ1148" i="2" a="1"/>
  <c r="AJ1148" i="2" s="1"/>
  <c r="AJ1147" i="2" a="1"/>
  <c r="AJ1147" i="2" s="1"/>
  <c r="AJ1146" i="2" a="1"/>
  <c r="AJ1146" i="2" s="1"/>
  <c r="AJ1145" i="2" a="1"/>
  <c r="AJ1145" i="2" s="1"/>
  <c r="AJ1144" i="2" a="1"/>
  <c r="AJ1144" i="2" s="1"/>
  <c r="AJ1143" i="2" a="1"/>
  <c r="AJ1143" i="2" s="1"/>
  <c r="AJ1142" i="2" a="1"/>
  <c r="AJ1142" i="2" s="1"/>
  <c r="AJ1141" i="2" a="1"/>
  <c r="AJ1141" i="2" s="1"/>
  <c r="AJ1140" i="2" a="1"/>
  <c r="AJ1140" i="2" s="1"/>
  <c r="AJ1139" i="2" a="1"/>
  <c r="AJ1139" i="2" s="1"/>
  <c r="AJ1138" i="2" a="1"/>
  <c r="AJ1138" i="2" s="1"/>
  <c r="AJ1137" i="2" a="1"/>
  <c r="AJ1137" i="2" s="1"/>
  <c r="AJ1136" i="2" a="1"/>
  <c r="AJ1136" i="2" s="1"/>
  <c r="AJ1135" i="2" a="1"/>
  <c r="AJ1135" i="2" s="1"/>
  <c r="AJ1134" i="2" a="1"/>
  <c r="AJ1134" i="2" s="1"/>
  <c r="AJ1133" i="2" a="1"/>
  <c r="AJ1133" i="2" s="1"/>
  <c r="AJ1132" i="2" a="1"/>
  <c r="AJ1132" i="2" s="1"/>
  <c r="AJ1131" i="2" a="1"/>
  <c r="AJ1131" i="2" s="1"/>
  <c r="AJ1130" i="2" a="1"/>
  <c r="AJ1130" i="2" s="1"/>
  <c r="AJ1129" i="2" a="1"/>
  <c r="AJ1129" i="2" s="1"/>
  <c r="AJ1128" i="2" a="1"/>
  <c r="AJ1128" i="2" s="1"/>
  <c r="AJ1127" i="2" a="1"/>
  <c r="AJ1127" i="2" s="1"/>
  <c r="AJ1126" i="2" a="1"/>
  <c r="AJ1126" i="2" s="1"/>
  <c r="AJ1125" i="2" a="1"/>
  <c r="AJ1125" i="2" s="1"/>
  <c r="AJ1124" i="2" a="1"/>
  <c r="AJ1124" i="2" s="1"/>
  <c r="AJ1123" i="2" a="1"/>
  <c r="AJ1123" i="2" s="1"/>
  <c r="AJ1122" i="2" a="1"/>
  <c r="AJ1122" i="2" s="1"/>
  <c r="AJ1121" i="2" a="1"/>
  <c r="AJ1121" i="2" s="1"/>
  <c r="AJ1120" i="2" a="1"/>
  <c r="AJ1120" i="2" s="1"/>
  <c r="AJ1119" i="2" a="1"/>
  <c r="AJ1119" i="2" s="1"/>
  <c r="AJ1118" i="2" a="1"/>
  <c r="AJ1118" i="2" s="1"/>
  <c r="AJ1117" i="2" a="1"/>
  <c r="AJ1117" i="2" s="1"/>
  <c r="AJ1116" i="2" a="1"/>
  <c r="AJ1116" i="2" s="1"/>
  <c r="AJ1115" i="2" a="1"/>
  <c r="AJ1115" i="2" s="1"/>
  <c r="AJ1114" i="2" a="1"/>
  <c r="AJ1114" i="2" s="1"/>
  <c r="AJ1113" i="2" a="1"/>
  <c r="AJ1113" i="2" s="1"/>
  <c r="AJ1112" i="2" a="1"/>
  <c r="AJ1112" i="2" s="1"/>
  <c r="AJ1111" i="2" a="1"/>
  <c r="AJ1111" i="2" s="1"/>
  <c r="AJ1110" i="2" a="1"/>
  <c r="AJ1110" i="2" s="1"/>
  <c r="AJ1109" i="2" a="1"/>
  <c r="AJ1109" i="2" s="1"/>
  <c r="AJ1108" i="2" a="1"/>
  <c r="AJ1108" i="2" s="1"/>
  <c r="AJ1107" i="2" a="1"/>
  <c r="AJ1107" i="2" s="1"/>
  <c r="AJ1106" i="2" a="1"/>
  <c r="AJ1106" i="2" s="1"/>
  <c r="AJ1105" i="2" a="1"/>
  <c r="AJ1105" i="2" s="1"/>
  <c r="AJ1104" i="2" a="1"/>
  <c r="AJ1104" i="2" s="1"/>
  <c r="AJ1103" i="2" a="1"/>
  <c r="AJ1103" i="2" s="1"/>
  <c r="AJ1102" i="2" a="1"/>
  <c r="AJ1102" i="2" s="1"/>
  <c r="AJ1101" i="2" a="1"/>
  <c r="AJ1101" i="2" s="1"/>
  <c r="AJ1100" i="2" a="1"/>
  <c r="AJ1100" i="2" s="1"/>
  <c r="AJ1099" i="2" a="1"/>
  <c r="AJ1099" i="2" s="1"/>
  <c r="AJ1098" i="2" a="1"/>
  <c r="AJ1098" i="2" s="1"/>
  <c r="AJ1097" i="2" a="1"/>
  <c r="AJ1097" i="2" s="1"/>
  <c r="AJ1096" i="2" a="1"/>
  <c r="AJ1096" i="2" s="1"/>
  <c r="AJ1095" i="2" a="1"/>
  <c r="AJ1095" i="2" s="1"/>
  <c r="AJ1094" i="2" a="1"/>
  <c r="AJ1094" i="2" s="1"/>
  <c r="AJ1093" i="2" a="1"/>
  <c r="AJ1093" i="2" s="1"/>
  <c r="AJ1092" i="2" a="1"/>
  <c r="AJ1092" i="2" s="1"/>
  <c r="AJ1091" i="2" a="1"/>
  <c r="AJ1091" i="2" s="1"/>
  <c r="AJ1090" i="2" a="1"/>
  <c r="AJ1090" i="2" s="1"/>
  <c r="AJ1089" i="2" a="1"/>
  <c r="AJ1089" i="2" s="1"/>
  <c r="AJ1088" i="2" a="1"/>
  <c r="AJ1088" i="2" s="1"/>
  <c r="AJ1087" i="2" a="1"/>
  <c r="AJ1087" i="2" s="1"/>
  <c r="AJ1086" i="2" a="1"/>
  <c r="AJ1086" i="2" s="1"/>
  <c r="AJ1085" i="2" a="1"/>
  <c r="AJ1085" i="2" s="1"/>
  <c r="AJ1084" i="2" a="1"/>
  <c r="AJ1084" i="2" s="1"/>
  <c r="AJ1083" i="2" a="1"/>
  <c r="AJ1083" i="2" s="1"/>
  <c r="AJ1082" i="2" a="1"/>
  <c r="AJ1082" i="2" s="1"/>
  <c r="AJ1081" i="2" a="1"/>
  <c r="AJ1081" i="2" s="1"/>
  <c r="AJ1080" i="2" a="1"/>
  <c r="AJ1080" i="2" s="1"/>
  <c r="AJ1079" i="2" a="1"/>
  <c r="AJ1079" i="2" s="1"/>
  <c r="AJ1078" i="2" a="1"/>
  <c r="AJ1078" i="2" s="1"/>
  <c r="AJ1077" i="2" a="1"/>
  <c r="AJ1077" i="2" s="1"/>
  <c r="AJ1076" i="2" a="1"/>
  <c r="AJ1076" i="2" s="1"/>
  <c r="AJ1075" i="2" a="1"/>
  <c r="AJ1075" i="2" s="1"/>
  <c r="AJ1074" i="2" a="1"/>
  <c r="AJ1074" i="2" s="1"/>
  <c r="AJ1073" i="2" a="1"/>
  <c r="AJ1073" i="2" s="1"/>
  <c r="AJ1072" i="2" a="1"/>
  <c r="AJ1072" i="2" s="1"/>
  <c r="AJ1071" i="2" a="1"/>
  <c r="AJ1071" i="2" s="1"/>
  <c r="AJ781" i="2" a="1"/>
  <c r="AJ781" i="2" s="1"/>
  <c r="AJ541" i="2" a="1"/>
  <c r="AJ541" i="2" s="1"/>
  <c r="AJ510" i="2" a="1"/>
  <c r="AJ510" i="2" s="1"/>
  <c r="AJ502" i="2" a="1"/>
  <c r="AJ502" i="2" s="1"/>
  <c r="AJ638" i="2" a="1"/>
  <c r="AJ638" i="2" s="1"/>
  <c r="AJ626" i="2" a="1"/>
  <c r="AJ626" i="2" s="1"/>
  <c r="AJ246" i="2" a="1"/>
  <c r="AJ246" i="2" s="1"/>
  <c r="AJ245" i="2" a="1"/>
  <c r="AJ245" i="2" s="1"/>
  <c r="AJ243" i="2" a="1"/>
  <c r="AJ243" i="2" s="1"/>
  <c r="AJ242" i="2" a="1"/>
  <c r="AJ242" i="2" s="1"/>
  <c r="AJ240" i="2" a="1"/>
  <c r="AJ240" i="2" s="1"/>
  <c r="AJ239" i="2" a="1"/>
  <c r="AJ239" i="2" s="1"/>
  <c r="AJ238" i="2" a="1"/>
  <c r="AJ238" i="2" s="1"/>
  <c r="AJ247" i="2" a="1"/>
  <c r="AJ247" i="2" s="1"/>
  <c r="AJ1012" i="2" a="1"/>
  <c r="AJ1012" i="2" s="1"/>
  <c r="AJ749" i="2" a="1"/>
  <c r="AJ749" i="2" s="1"/>
  <c r="AJ356" i="2" a="1"/>
  <c r="AJ356" i="2" s="1"/>
  <c r="AJ625" i="2" a="1"/>
  <c r="AJ625" i="2" s="1"/>
  <c r="AJ357" i="2" a="1"/>
  <c r="AJ357" i="2" s="1"/>
  <c r="AJ103" i="2" a="1"/>
  <c r="AJ10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<sst xmlns="http://schemas.openxmlformats.org/spreadsheetml/2006/main" count="61" uniqueCount="53">
  <si>
    <t>Time [s]</t>
  </si>
  <si>
    <t>Engine Power [kW]</t>
  </si>
  <si>
    <t>Density</t>
  </si>
  <si>
    <t>Lower HV</t>
  </si>
  <si>
    <t>Indicated efficiency</t>
  </si>
  <si>
    <t>g/ml</t>
  </si>
  <si>
    <t>BTU/lbm</t>
  </si>
  <si>
    <t>Total fuel consum</t>
  </si>
  <si>
    <t>Fuel Economy</t>
  </si>
  <si>
    <t>Engine disp</t>
  </si>
  <si>
    <t>L</t>
  </si>
  <si>
    <t>Positive Engine Power [kW]</t>
  </si>
  <si>
    <t>Fuel Power[kW]</t>
  </si>
  <si>
    <t>Fuel Energy [L]</t>
  </si>
  <si>
    <t>Fuel [BTU]</t>
  </si>
  <si>
    <t>Fuel Consumption [mL]</t>
  </si>
  <si>
    <t>mL</t>
  </si>
  <si>
    <t>Dyno_Spd filt [mph]</t>
  </si>
  <si>
    <t>Dyno_Spd [mph]</t>
  </si>
  <si>
    <t>Gal</t>
  </si>
  <si>
    <t>mpg</t>
  </si>
  <si>
    <t>Distance [mi]</t>
  </si>
  <si>
    <t>Wheel Diameter</t>
  </si>
  <si>
    <t>m</t>
  </si>
  <si>
    <t>RPM</t>
  </si>
  <si>
    <t>Torque [Nm]</t>
  </si>
  <si>
    <t>Wheel speed [rpm]</t>
  </si>
  <si>
    <t>RPM 1</t>
  </si>
  <si>
    <t>RPM 2</t>
  </si>
  <si>
    <t>RPM 3</t>
  </si>
  <si>
    <t>RPM 4</t>
  </si>
  <si>
    <t>RPM 6</t>
  </si>
  <si>
    <t>RPM 5</t>
  </si>
  <si>
    <t>Tq1 [Nm]</t>
  </si>
  <si>
    <t>Tq 2 [Nm]</t>
  </si>
  <si>
    <t>Tq 3 [Nm]</t>
  </si>
  <si>
    <t>Tq 4 [Nm]</t>
  </si>
  <si>
    <t>Tq 5 [Nm]</t>
  </si>
  <si>
    <t>Tq6 [Nm]</t>
  </si>
  <si>
    <t>Final Drive [RPM]</t>
  </si>
  <si>
    <t>FuelC1 [cc/sec]</t>
  </si>
  <si>
    <t>FuelC2 [cc/sec]</t>
  </si>
  <si>
    <t>FuelC3 [cc/sec]</t>
  </si>
  <si>
    <t>FuelC4 [cc/sec]</t>
  </si>
  <si>
    <t>FuelC5 [cc/sec]</t>
  </si>
  <si>
    <t>FuelC6 [cc/sec]</t>
  </si>
  <si>
    <t>Gear Selection</t>
  </si>
  <si>
    <t>Best Fuel Consumption [cc/s]</t>
  </si>
  <si>
    <t>Total Fuel</t>
  </si>
  <si>
    <t>Galons</t>
  </si>
  <si>
    <t xml:space="preserve">Total Distance </t>
  </si>
  <si>
    <t>mi</t>
  </si>
  <si>
    <t>Bonus:Selecting gears purely based on the lowest instantaneous fuel‑consumption value will almost always lead to excessive shifting, because fuel‑use spikes and dips rapidly during acceleration, braking, and even small changes in load. The transmission ends up chasing those tiny fluctuations instead of making stable, meaningful decisions. A better approach is to build in some stability like a short time‑based hold that forces the system to stay in a gear for a minimum duration, and a tolerance band that treats gears with similar fuel consumption as “good enough.” THis smooths out the noisy fuel‑rate behavior, prevents rapid back‑and‑forth gear hunting, and produces a response that feels more like how a real driver would shift rather than reacting to every momentary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</si>
</sst>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'Fuel Rate_Gear Selection_MPG'!$AJ$1</c:f>
              <c:strCache>
                <c:ptCount val="1"/>
                <c:pt idx="0">
                  <c:v>Best Fuel Consumption [cc/s]</c:v>
                </c:pt>
              </c:strCache>
            </c:strRef>
          </c:tx>
          <c:spPr>
            <a:ln w="19050" cap="rnd">
              <a:solidFill>
                <a:schemeClr val="accent1"/>
              </a:solidFill>
              <a:round/>
            </a:ln>
            <a:effectLst/>
          </c:spPr>
          <c:marker>
            <c:symbol val="none"/>
          </c:marker>
          <c:xVal>
            <c:numRef>
              <c:f>'Fuel Rate_Gear Selection_MPG'!$I$2:$I$1349</c:f>
              <c:numCache>
                <c:formatCode>General</c:formatCode>
                <c:ptCount val="134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pt idx="746">
                  <c:v>746</c:v>
                </c:pt>
                <c:pt idx="747">
                  <c:v>747</c:v>
                </c:pt>
                <c:pt idx="748">
                  <c:v>748</c:v>
                </c:pt>
                <c:pt idx="749">
                  <c:v>749</c:v>
                </c:pt>
                <c:pt idx="750">
                  <c:v>750</c:v>
                </c:pt>
                <c:pt idx="751">
                  <c:v>751</c:v>
                </c:pt>
                <c:pt idx="752">
                  <c:v>752</c:v>
                </c:pt>
                <c:pt idx="753">
                  <c:v>753</c:v>
                </c:pt>
                <c:pt idx="754">
                  <c:v>754</c:v>
                </c:pt>
                <c:pt idx="755">
                  <c:v>755</c:v>
                </c:pt>
                <c:pt idx="756">
                  <c:v>756</c:v>
                </c:pt>
                <c:pt idx="757">
                  <c:v>757</c:v>
                </c:pt>
                <c:pt idx="758">
                  <c:v>758</c:v>
                </c:pt>
                <c:pt idx="759">
                  <c:v>759</c:v>
                </c:pt>
                <c:pt idx="760">
                  <c:v>760</c:v>
                </c:pt>
                <c:pt idx="761">
                  <c:v>761</c:v>
                </c:pt>
                <c:pt idx="762">
                  <c:v>762</c:v>
                </c:pt>
                <c:pt idx="763">
                  <c:v>763</c:v>
                </c:pt>
                <c:pt idx="764">
                  <c:v>764</c:v>
                </c:pt>
                <c:pt idx="765">
                  <c:v>765</c:v>
                </c:pt>
                <c:pt idx="766">
                  <c:v>766</c:v>
                </c:pt>
                <c:pt idx="767">
                  <c:v>767</c:v>
                </c:pt>
                <c:pt idx="768">
                  <c:v>768</c:v>
                </c:pt>
                <c:pt idx="769">
                  <c:v>769</c:v>
                </c:pt>
                <c:pt idx="770">
                  <c:v>770</c:v>
                </c:pt>
                <c:pt idx="771">
                  <c:v>771</c:v>
                </c:pt>
                <c:pt idx="772">
                  <c:v>772</c:v>
                </c:pt>
                <c:pt idx="773">
                  <c:v>773</c:v>
                </c:pt>
                <c:pt idx="774">
                  <c:v>774</c:v>
                </c:pt>
                <c:pt idx="775">
                  <c:v>775</c:v>
                </c:pt>
                <c:pt idx="776">
                  <c:v>776</c:v>
                </c:pt>
                <c:pt idx="777">
                  <c:v>777</c:v>
                </c:pt>
                <c:pt idx="778">
                  <c:v>778</c:v>
                </c:pt>
                <c:pt idx="779">
                  <c:v>779</c:v>
                </c:pt>
                <c:pt idx="780">
                  <c:v>780</c:v>
                </c:pt>
                <c:pt idx="781">
                  <c:v>781</c:v>
                </c:pt>
                <c:pt idx="782">
                  <c:v>782</c:v>
                </c:pt>
                <c:pt idx="783">
                  <c:v>783</c:v>
                </c:pt>
                <c:pt idx="784">
                  <c:v>784</c:v>
                </c:pt>
                <c:pt idx="785">
                  <c:v>785</c:v>
                </c:pt>
                <c:pt idx="786">
                  <c:v>786</c:v>
                </c:pt>
                <c:pt idx="787">
                  <c:v>787</c:v>
                </c:pt>
                <c:pt idx="788">
                  <c:v>788</c:v>
                </c:pt>
                <c:pt idx="789">
                  <c:v>789</c:v>
                </c:pt>
                <c:pt idx="790">
                  <c:v>790</c:v>
                </c:pt>
                <c:pt idx="791">
                  <c:v>791</c:v>
                </c:pt>
                <c:pt idx="792">
                  <c:v>792</c:v>
                </c:pt>
                <c:pt idx="793">
                  <c:v>793</c:v>
                </c:pt>
                <c:pt idx="794">
                  <c:v>794</c:v>
                </c:pt>
                <c:pt idx="795">
                  <c:v>795</c:v>
                </c:pt>
                <c:pt idx="796">
                  <c:v>796</c:v>
                </c:pt>
                <c:pt idx="797">
                  <c:v>797</c:v>
                </c:pt>
                <c:pt idx="798">
                  <c:v>798</c:v>
                </c:pt>
                <c:pt idx="799">
                  <c:v>799</c:v>
                </c:pt>
                <c:pt idx="800">
                  <c:v>800</c:v>
                </c:pt>
                <c:pt idx="801">
                  <c:v>801</c:v>
                </c:pt>
                <c:pt idx="802">
                  <c:v>802</c:v>
                </c:pt>
                <c:pt idx="803">
                  <c:v>803</c:v>
                </c:pt>
                <c:pt idx="804">
                  <c:v>804</c:v>
                </c:pt>
                <c:pt idx="805">
                  <c:v>805</c:v>
                </c:pt>
                <c:pt idx="806">
                  <c:v>806</c:v>
                </c:pt>
                <c:pt idx="807">
                  <c:v>807</c:v>
                </c:pt>
                <c:pt idx="808">
                  <c:v>808</c:v>
                </c:pt>
                <c:pt idx="809">
                  <c:v>809</c:v>
                </c:pt>
                <c:pt idx="810">
                  <c:v>810</c:v>
                </c:pt>
                <c:pt idx="811">
                  <c:v>811</c:v>
                </c:pt>
                <c:pt idx="812">
                  <c:v>812</c:v>
                </c:pt>
                <c:pt idx="813">
                  <c:v>813</c:v>
                </c:pt>
                <c:pt idx="814">
                  <c:v>814</c:v>
                </c:pt>
                <c:pt idx="815">
                  <c:v>815</c:v>
                </c:pt>
                <c:pt idx="816">
                  <c:v>816</c:v>
                </c:pt>
                <c:pt idx="817">
                  <c:v>817</c:v>
                </c:pt>
                <c:pt idx="818">
                  <c:v>818</c:v>
                </c:pt>
                <c:pt idx="819">
                  <c:v>819</c:v>
                </c:pt>
                <c:pt idx="820">
                  <c:v>820</c:v>
                </c:pt>
                <c:pt idx="821">
                  <c:v>821</c:v>
                </c:pt>
                <c:pt idx="822">
                  <c:v>822</c:v>
                </c:pt>
                <c:pt idx="823">
                  <c:v>823</c:v>
                </c:pt>
                <c:pt idx="824">
                  <c:v>824</c:v>
                </c:pt>
                <c:pt idx="825">
                  <c:v>825</c:v>
                </c:pt>
                <c:pt idx="826">
                  <c:v>826</c:v>
                </c:pt>
                <c:pt idx="827">
                  <c:v>827</c:v>
                </c:pt>
                <c:pt idx="828">
                  <c:v>828</c:v>
                </c:pt>
                <c:pt idx="829">
                  <c:v>829</c:v>
                </c:pt>
                <c:pt idx="830">
                  <c:v>830</c:v>
                </c:pt>
                <c:pt idx="831">
                  <c:v>831</c:v>
                </c:pt>
                <c:pt idx="832">
                  <c:v>832</c:v>
                </c:pt>
                <c:pt idx="833">
                  <c:v>833</c:v>
                </c:pt>
                <c:pt idx="834">
                  <c:v>834</c:v>
                </c:pt>
                <c:pt idx="835">
                  <c:v>835</c:v>
                </c:pt>
                <c:pt idx="836">
                  <c:v>836</c:v>
                </c:pt>
                <c:pt idx="837">
                  <c:v>837</c:v>
                </c:pt>
                <c:pt idx="838">
                  <c:v>838</c:v>
                </c:pt>
                <c:pt idx="839">
                  <c:v>839</c:v>
                </c:pt>
                <c:pt idx="840">
                  <c:v>840</c:v>
                </c:pt>
                <c:pt idx="841">
                  <c:v>841</c:v>
                </c:pt>
                <c:pt idx="842">
                  <c:v>842</c:v>
                </c:pt>
                <c:pt idx="843">
                  <c:v>843</c:v>
                </c:pt>
                <c:pt idx="844">
                  <c:v>844</c:v>
                </c:pt>
                <c:pt idx="845">
                  <c:v>845</c:v>
                </c:pt>
                <c:pt idx="846">
                  <c:v>846</c:v>
                </c:pt>
                <c:pt idx="847">
                  <c:v>847</c:v>
                </c:pt>
                <c:pt idx="848">
                  <c:v>848</c:v>
                </c:pt>
                <c:pt idx="849">
                  <c:v>849</c:v>
                </c:pt>
                <c:pt idx="850">
                  <c:v>850</c:v>
                </c:pt>
                <c:pt idx="851">
                  <c:v>851</c:v>
                </c:pt>
                <c:pt idx="852">
                  <c:v>852</c:v>
                </c:pt>
                <c:pt idx="853">
                  <c:v>853</c:v>
                </c:pt>
                <c:pt idx="854">
                  <c:v>854</c:v>
                </c:pt>
                <c:pt idx="855">
                  <c:v>855</c:v>
                </c:pt>
                <c:pt idx="856">
                  <c:v>856</c:v>
                </c:pt>
                <c:pt idx="857">
                  <c:v>857</c:v>
                </c:pt>
                <c:pt idx="858">
                  <c:v>858</c:v>
                </c:pt>
                <c:pt idx="859">
                  <c:v>859</c:v>
                </c:pt>
                <c:pt idx="860">
                  <c:v>860</c:v>
                </c:pt>
                <c:pt idx="861">
                  <c:v>861</c:v>
                </c:pt>
                <c:pt idx="862">
                  <c:v>862</c:v>
                </c:pt>
                <c:pt idx="863">
                  <c:v>863</c:v>
                </c:pt>
                <c:pt idx="864">
                  <c:v>864</c:v>
                </c:pt>
                <c:pt idx="865">
                  <c:v>865</c:v>
                </c:pt>
                <c:pt idx="866">
                  <c:v>866</c:v>
                </c:pt>
                <c:pt idx="867">
                  <c:v>867</c:v>
                </c:pt>
                <c:pt idx="868">
                  <c:v>868</c:v>
                </c:pt>
                <c:pt idx="869">
                  <c:v>869</c:v>
                </c:pt>
                <c:pt idx="870">
                  <c:v>870</c:v>
                </c:pt>
                <c:pt idx="871">
                  <c:v>871</c:v>
                </c:pt>
                <c:pt idx="872">
                  <c:v>872</c:v>
                </c:pt>
                <c:pt idx="873">
                  <c:v>873</c:v>
                </c:pt>
                <c:pt idx="874">
                  <c:v>874</c:v>
                </c:pt>
                <c:pt idx="875">
                  <c:v>875</c:v>
                </c:pt>
                <c:pt idx="876">
                  <c:v>876</c:v>
                </c:pt>
                <c:pt idx="877">
                  <c:v>877</c:v>
                </c:pt>
                <c:pt idx="878">
                  <c:v>878</c:v>
                </c:pt>
                <c:pt idx="879">
                  <c:v>879</c:v>
                </c:pt>
                <c:pt idx="880">
                  <c:v>880</c:v>
                </c:pt>
                <c:pt idx="881">
                  <c:v>881</c:v>
                </c:pt>
                <c:pt idx="882">
                  <c:v>882</c:v>
                </c:pt>
                <c:pt idx="883">
                  <c:v>883</c:v>
                </c:pt>
                <c:pt idx="884">
                  <c:v>884</c:v>
                </c:pt>
                <c:pt idx="885">
                  <c:v>885</c:v>
                </c:pt>
                <c:pt idx="886">
                  <c:v>886</c:v>
                </c:pt>
                <c:pt idx="887">
                  <c:v>887</c:v>
                </c:pt>
                <c:pt idx="888">
                  <c:v>888</c:v>
                </c:pt>
                <c:pt idx="889">
                  <c:v>889</c:v>
                </c:pt>
                <c:pt idx="890">
                  <c:v>890</c:v>
                </c:pt>
                <c:pt idx="891">
                  <c:v>891</c:v>
                </c:pt>
                <c:pt idx="892">
                  <c:v>892</c:v>
                </c:pt>
                <c:pt idx="893">
                  <c:v>893</c:v>
                </c:pt>
                <c:pt idx="894">
                  <c:v>894</c:v>
                </c:pt>
                <c:pt idx="895">
                  <c:v>895</c:v>
                </c:pt>
                <c:pt idx="896">
                  <c:v>896</c:v>
                </c:pt>
                <c:pt idx="897">
                  <c:v>897</c:v>
                </c:pt>
                <c:pt idx="898">
                  <c:v>898</c:v>
                </c:pt>
                <c:pt idx="899">
                  <c:v>899</c:v>
                </c:pt>
                <c:pt idx="900">
                  <c:v>900</c:v>
                </c:pt>
                <c:pt idx="901">
                  <c:v>901</c:v>
                </c:pt>
                <c:pt idx="902">
                  <c:v>902</c:v>
                </c:pt>
                <c:pt idx="903">
                  <c:v>903</c:v>
                </c:pt>
                <c:pt idx="904">
                  <c:v>904</c:v>
                </c:pt>
                <c:pt idx="905">
                  <c:v>905</c:v>
                </c:pt>
                <c:pt idx="906">
                  <c:v>906</c:v>
                </c:pt>
                <c:pt idx="907">
                  <c:v>907</c:v>
                </c:pt>
                <c:pt idx="908">
                  <c:v>908</c:v>
                </c:pt>
                <c:pt idx="909">
                  <c:v>909</c:v>
                </c:pt>
                <c:pt idx="910">
                  <c:v>910</c:v>
                </c:pt>
                <c:pt idx="911">
                  <c:v>911</c:v>
                </c:pt>
                <c:pt idx="912">
                  <c:v>912</c:v>
                </c:pt>
                <c:pt idx="913">
                  <c:v>913</c:v>
                </c:pt>
                <c:pt idx="914">
                  <c:v>914</c:v>
                </c:pt>
                <c:pt idx="915">
                  <c:v>915</c:v>
                </c:pt>
                <c:pt idx="916">
                  <c:v>916</c:v>
                </c:pt>
                <c:pt idx="917">
                  <c:v>917</c:v>
                </c:pt>
                <c:pt idx="918">
                  <c:v>918</c:v>
                </c:pt>
                <c:pt idx="919">
                  <c:v>919</c:v>
                </c:pt>
                <c:pt idx="920">
                  <c:v>920</c:v>
                </c:pt>
                <c:pt idx="921">
                  <c:v>921</c:v>
                </c:pt>
                <c:pt idx="922">
                  <c:v>922</c:v>
                </c:pt>
                <c:pt idx="923">
                  <c:v>923</c:v>
                </c:pt>
                <c:pt idx="924">
                  <c:v>924</c:v>
                </c:pt>
                <c:pt idx="925">
                  <c:v>925</c:v>
                </c:pt>
                <c:pt idx="926">
                  <c:v>926</c:v>
                </c:pt>
                <c:pt idx="927">
                  <c:v>927</c:v>
                </c:pt>
                <c:pt idx="928">
                  <c:v>928</c:v>
                </c:pt>
                <c:pt idx="929">
                  <c:v>929</c:v>
                </c:pt>
                <c:pt idx="930">
                  <c:v>930</c:v>
                </c:pt>
                <c:pt idx="931">
                  <c:v>931</c:v>
                </c:pt>
                <c:pt idx="932">
                  <c:v>932</c:v>
                </c:pt>
                <c:pt idx="933">
                  <c:v>933</c:v>
                </c:pt>
                <c:pt idx="934">
                  <c:v>934</c:v>
                </c:pt>
                <c:pt idx="935">
                  <c:v>935</c:v>
                </c:pt>
                <c:pt idx="936">
                  <c:v>936</c:v>
                </c:pt>
                <c:pt idx="937">
                  <c:v>937</c:v>
                </c:pt>
                <c:pt idx="938">
                  <c:v>938</c:v>
                </c:pt>
                <c:pt idx="939">
                  <c:v>939</c:v>
                </c:pt>
                <c:pt idx="940">
                  <c:v>940</c:v>
                </c:pt>
                <c:pt idx="941">
                  <c:v>941</c:v>
                </c:pt>
                <c:pt idx="942">
                  <c:v>942</c:v>
                </c:pt>
                <c:pt idx="943">
                  <c:v>943</c:v>
                </c:pt>
                <c:pt idx="944">
                  <c:v>944</c:v>
                </c:pt>
                <c:pt idx="945">
                  <c:v>945</c:v>
                </c:pt>
                <c:pt idx="946">
                  <c:v>946</c:v>
                </c:pt>
                <c:pt idx="947">
                  <c:v>947</c:v>
                </c:pt>
                <c:pt idx="948">
                  <c:v>948</c:v>
                </c:pt>
                <c:pt idx="949">
                  <c:v>949</c:v>
                </c:pt>
                <c:pt idx="950">
                  <c:v>950</c:v>
                </c:pt>
                <c:pt idx="951">
                  <c:v>951</c:v>
                </c:pt>
                <c:pt idx="952">
                  <c:v>952</c:v>
                </c:pt>
                <c:pt idx="953">
                  <c:v>953</c:v>
                </c:pt>
                <c:pt idx="954">
                  <c:v>954</c:v>
                </c:pt>
                <c:pt idx="955">
                  <c:v>955</c:v>
                </c:pt>
                <c:pt idx="956">
                  <c:v>956</c:v>
                </c:pt>
                <c:pt idx="957">
                  <c:v>957</c:v>
                </c:pt>
                <c:pt idx="958">
                  <c:v>958</c:v>
                </c:pt>
                <c:pt idx="959">
                  <c:v>959</c:v>
                </c:pt>
                <c:pt idx="960">
                  <c:v>960</c:v>
                </c:pt>
                <c:pt idx="961">
                  <c:v>961</c:v>
                </c:pt>
                <c:pt idx="962">
                  <c:v>962</c:v>
                </c:pt>
                <c:pt idx="963">
                  <c:v>963</c:v>
                </c:pt>
                <c:pt idx="964">
                  <c:v>964</c:v>
                </c:pt>
                <c:pt idx="965">
                  <c:v>965</c:v>
                </c:pt>
                <c:pt idx="966">
                  <c:v>966</c:v>
                </c:pt>
                <c:pt idx="967">
                  <c:v>967</c:v>
                </c:pt>
                <c:pt idx="968">
                  <c:v>968</c:v>
                </c:pt>
                <c:pt idx="969">
                  <c:v>969</c:v>
                </c:pt>
                <c:pt idx="970">
                  <c:v>970</c:v>
                </c:pt>
                <c:pt idx="971">
                  <c:v>971</c:v>
                </c:pt>
                <c:pt idx="972">
                  <c:v>972</c:v>
                </c:pt>
                <c:pt idx="973">
                  <c:v>973</c:v>
                </c:pt>
                <c:pt idx="974">
                  <c:v>974</c:v>
                </c:pt>
                <c:pt idx="975">
                  <c:v>975</c:v>
                </c:pt>
                <c:pt idx="976">
                  <c:v>976</c:v>
                </c:pt>
                <c:pt idx="977">
                  <c:v>977</c:v>
                </c:pt>
                <c:pt idx="978">
                  <c:v>978</c:v>
                </c:pt>
                <c:pt idx="979">
                  <c:v>979</c:v>
                </c:pt>
                <c:pt idx="980">
                  <c:v>980</c:v>
                </c:pt>
                <c:pt idx="981">
                  <c:v>981</c:v>
                </c:pt>
                <c:pt idx="982">
                  <c:v>982</c:v>
                </c:pt>
                <c:pt idx="983">
                  <c:v>983</c:v>
                </c:pt>
                <c:pt idx="984">
                  <c:v>984</c:v>
                </c:pt>
                <c:pt idx="985">
                  <c:v>985</c:v>
                </c:pt>
                <c:pt idx="986">
                  <c:v>986</c:v>
                </c:pt>
                <c:pt idx="987">
                  <c:v>987</c:v>
                </c:pt>
                <c:pt idx="988">
                  <c:v>988</c:v>
                </c:pt>
                <c:pt idx="989">
                  <c:v>989</c:v>
                </c:pt>
                <c:pt idx="990">
                  <c:v>990</c:v>
                </c:pt>
                <c:pt idx="991">
                  <c:v>991</c:v>
                </c:pt>
                <c:pt idx="992">
                  <c:v>992</c:v>
                </c:pt>
                <c:pt idx="993">
                  <c:v>993</c:v>
                </c:pt>
                <c:pt idx="994">
                  <c:v>994</c:v>
                </c:pt>
                <c:pt idx="995">
                  <c:v>995</c:v>
                </c:pt>
                <c:pt idx="996">
                  <c:v>996</c:v>
                </c:pt>
                <c:pt idx="997">
                  <c:v>997</c:v>
                </c:pt>
                <c:pt idx="998">
                  <c:v>998</c:v>
                </c:pt>
                <c:pt idx="999">
                  <c:v>999</c:v>
                </c:pt>
                <c:pt idx="1000">
                  <c:v>1000</c:v>
                </c:pt>
                <c:pt idx="1001">
                  <c:v>1001</c:v>
                </c:pt>
                <c:pt idx="1002">
                  <c:v>1002</c:v>
                </c:pt>
                <c:pt idx="1003">
                  <c:v>1003</c:v>
                </c:pt>
                <c:pt idx="1004">
                  <c:v>1004</c:v>
                </c:pt>
                <c:pt idx="1005">
                  <c:v>1005</c:v>
                </c:pt>
                <c:pt idx="1006">
                  <c:v>1006</c:v>
                </c:pt>
                <c:pt idx="1007">
                  <c:v>1007</c:v>
                </c:pt>
                <c:pt idx="1008">
                  <c:v>1008</c:v>
                </c:pt>
                <c:pt idx="1009">
                  <c:v>1009</c:v>
                </c:pt>
                <c:pt idx="1010">
                  <c:v>1010</c:v>
                </c:pt>
                <c:pt idx="1011">
                  <c:v>1011</c:v>
                </c:pt>
                <c:pt idx="1012">
                  <c:v>1012</c:v>
                </c:pt>
                <c:pt idx="1013">
                  <c:v>1013</c:v>
                </c:pt>
                <c:pt idx="1014">
                  <c:v>1014</c:v>
                </c:pt>
                <c:pt idx="1015">
                  <c:v>1015</c:v>
                </c:pt>
                <c:pt idx="1016">
                  <c:v>1016</c:v>
                </c:pt>
                <c:pt idx="1017">
                  <c:v>1017</c:v>
                </c:pt>
                <c:pt idx="1018">
                  <c:v>1018</c:v>
                </c:pt>
                <c:pt idx="1019">
                  <c:v>1019</c:v>
                </c:pt>
                <c:pt idx="1020">
                  <c:v>1020</c:v>
                </c:pt>
                <c:pt idx="1021">
                  <c:v>1021</c:v>
                </c:pt>
                <c:pt idx="1022">
                  <c:v>1022</c:v>
                </c:pt>
                <c:pt idx="1023">
                  <c:v>1023</c:v>
                </c:pt>
                <c:pt idx="1024">
                  <c:v>1024</c:v>
                </c:pt>
                <c:pt idx="1025">
                  <c:v>1025</c:v>
                </c:pt>
                <c:pt idx="1026">
                  <c:v>1026</c:v>
                </c:pt>
                <c:pt idx="1027">
                  <c:v>1027</c:v>
                </c:pt>
                <c:pt idx="1028">
                  <c:v>1028</c:v>
                </c:pt>
                <c:pt idx="1029">
                  <c:v>1029</c:v>
                </c:pt>
                <c:pt idx="1030">
                  <c:v>1030</c:v>
                </c:pt>
                <c:pt idx="1031">
                  <c:v>1031</c:v>
                </c:pt>
                <c:pt idx="1032">
                  <c:v>1032</c:v>
                </c:pt>
                <c:pt idx="1033">
                  <c:v>1033</c:v>
                </c:pt>
                <c:pt idx="1034">
                  <c:v>1034</c:v>
                </c:pt>
                <c:pt idx="1035">
                  <c:v>1035</c:v>
                </c:pt>
                <c:pt idx="1036">
                  <c:v>1036</c:v>
                </c:pt>
                <c:pt idx="1037">
                  <c:v>1037</c:v>
                </c:pt>
                <c:pt idx="1038">
                  <c:v>1038</c:v>
                </c:pt>
                <c:pt idx="1039">
                  <c:v>1039</c:v>
                </c:pt>
                <c:pt idx="1040">
                  <c:v>1040</c:v>
                </c:pt>
                <c:pt idx="1041">
                  <c:v>1041</c:v>
                </c:pt>
                <c:pt idx="1042">
                  <c:v>1042</c:v>
                </c:pt>
                <c:pt idx="1043">
                  <c:v>1043</c:v>
                </c:pt>
                <c:pt idx="1044">
                  <c:v>1044</c:v>
                </c:pt>
                <c:pt idx="1045">
                  <c:v>1045</c:v>
                </c:pt>
                <c:pt idx="1046">
                  <c:v>1046</c:v>
                </c:pt>
                <c:pt idx="1047">
                  <c:v>1047</c:v>
                </c:pt>
                <c:pt idx="1048">
                  <c:v>1048</c:v>
                </c:pt>
                <c:pt idx="1049">
                  <c:v>1049</c:v>
                </c:pt>
                <c:pt idx="1050">
                  <c:v>1050</c:v>
                </c:pt>
                <c:pt idx="1051">
                  <c:v>1051</c:v>
                </c:pt>
                <c:pt idx="1052">
                  <c:v>1052</c:v>
                </c:pt>
                <c:pt idx="1053">
                  <c:v>1053</c:v>
                </c:pt>
                <c:pt idx="1054">
                  <c:v>1054</c:v>
                </c:pt>
                <c:pt idx="1055">
                  <c:v>1055</c:v>
                </c:pt>
                <c:pt idx="1056">
                  <c:v>1056</c:v>
                </c:pt>
                <c:pt idx="1057">
                  <c:v>1057</c:v>
                </c:pt>
                <c:pt idx="1058">
                  <c:v>1058</c:v>
                </c:pt>
                <c:pt idx="1059">
                  <c:v>1059</c:v>
                </c:pt>
                <c:pt idx="1060">
                  <c:v>1060</c:v>
                </c:pt>
                <c:pt idx="1061">
                  <c:v>1061</c:v>
                </c:pt>
                <c:pt idx="1062">
                  <c:v>1062</c:v>
                </c:pt>
                <c:pt idx="1063">
                  <c:v>1063</c:v>
                </c:pt>
                <c:pt idx="1064">
                  <c:v>1064</c:v>
                </c:pt>
                <c:pt idx="1065">
                  <c:v>1065</c:v>
                </c:pt>
                <c:pt idx="1066">
                  <c:v>1066</c:v>
                </c:pt>
                <c:pt idx="1067">
                  <c:v>1067</c:v>
                </c:pt>
                <c:pt idx="1068">
                  <c:v>1068</c:v>
                </c:pt>
                <c:pt idx="1069">
                  <c:v>1069</c:v>
                </c:pt>
                <c:pt idx="1070">
                  <c:v>1070</c:v>
                </c:pt>
                <c:pt idx="1071">
                  <c:v>1071</c:v>
                </c:pt>
                <c:pt idx="1072">
                  <c:v>1072</c:v>
                </c:pt>
                <c:pt idx="1073">
                  <c:v>1073</c:v>
                </c:pt>
                <c:pt idx="1074">
                  <c:v>1074</c:v>
                </c:pt>
                <c:pt idx="1075">
                  <c:v>1075</c:v>
                </c:pt>
                <c:pt idx="1076">
                  <c:v>1076</c:v>
                </c:pt>
                <c:pt idx="1077">
                  <c:v>1077</c:v>
                </c:pt>
                <c:pt idx="1078">
                  <c:v>1078</c:v>
                </c:pt>
                <c:pt idx="1079">
                  <c:v>1079</c:v>
                </c:pt>
                <c:pt idx="1080">
                  <c:v>1080</c:v>
                </c:pt>
                <c:pt idx="1081">
                  <c:v>1081</c:v>
                </c:pt>
                <c:pt idx="1082">
                  <c:v>1082</c:v>
                </c:pt>
                <c:pt idx="1083">
                  <c:v>1083</c:v>
                </c:pt>
                <c:pt idx="1084">
                  <c:v>1084</c:v>
                </c:pt>
                <c:pt idx="1085">
                  <c:v>1085</c:v>
                </c:pt>
                <c:pt idx="1086">
                  <c:v>1086</c:v>
                </c:pt>
                <c:pt idx="1087">
                  <c:v>1087</c:v>
                </c:pt>
                <c:pt idx="1088">
                  <c:v>1088</c:v>
                </c:pt>
                <c:pt idx="1089">
                  <c:v>1089</c:v>
                </c:pt>
                <c:pt idx="1090">
                  <c:v>1090</c:v>
                </c:pt>
                <c:pt idx="1091">
                  <c:v>1091</c:v>
                </c:pt>
                <c:pt idx="1092">
                  <c:v>1092</c:v>
                </c:pt>
                <c:pt idx="1093">
                  <c:v>1093</c:v>
                </c:pt>
                <c:pt idx="1094">
                  <c:v>1094</c:v>
                </c:pt>
                <c:pt idx="1095">
                  <c:v>1095</c:v>
                </c:pt>
                <c:pt idx="1096">
                  <c:v>1096</c:v>
                </c:pt>
                <c:pt idx="1097">
                  <c:v>1097</c:v>
                </c:pt>
                <c:pt idx="1098">
                  <c:v>1098</c:v>
                </c:pt>
                <c:pt idx="1099">
                  <c:v>1099</c:v>
                </c:pt>
                <c:pt idx="1100">
                  <c:v>1100</c:v>
                </c:pt>
                <c:pt idx="1101">
                  <c:v>1101</c:v>
                </c:pt>
                <c:pt idx="1102">
                  <c:v>1102</c:v>
                </c:pt>
                <c:pt idx="1103">
                  <c:v>1103</c:v>
                </c:pt>
                <c:pt idx="1104">
                  <c:v>1104</c:v>
                </c:pt>
                <c:pt idx="1105">
                  <c:v>1105</c:v>
                </c:pt>
                <c:pt idx="1106">
                  <c:v>1106</c:v>
                </c:pt>
                <c:pt idx="1107">
                  <c:v>1107</c:v>
                </c:pt>
                <c:pt idx="1108">
                  <c:v>1108</c:v>
                </c:pt>
                <c:pt idx="1109">
                  <c:v>1109</c:v>
                </c:pt>
                <c:pt idx="1110">
                  <c:v>1110</c:v>
                </c:pt>
                <c:pt idx="1111">
                  <c:v>1111</c:v>
                </c:pt>
                <c:pt idx="1112">
                  <c:v>1112</c:v>
                </c:pt>
                <c:pt idx="1113">
                  <c:v>1113</c:v>
                </c:pt>
                <c:pt idx="1114">
                  <c:v>1114</c:v>
                </c:pt>
                <c:pt idx="1115">
                  <c:v>1115</c:v>
                </c:pt>
                <c:pt idx="1116">
                  <c:v>1116</c:v>
                </c:pt>
                <c:pt idx="1117">
                  <c:v>1117</c:v>
                </c:pt>
                <c:pt idx="1118">
                  <c:v>1118</c:v>
                </c:pt>
                <c:pt idx="1119">
                  <c:v>1119</c:v>
                </c:pt>
                <c:pt idx="1120">
                  <c:v>1120</c:v>
                </c:pt>
                <c:pt idx="1121">
                  <c:v>1121</c:v>
                </c:pt>
                <c:pt idx="1122">
                  <c:v>1122</c:v>
                </c:pt>
                <c:pt idx="1123">
                  <c:v>1123</c:v>
                </c:pt>
                <c:pt idx="1124">
                  <c:v>1124</c:v>
                </c:pt>
                <c:pt idx="1125">
                  <c:v>1125</c:v>
                </c:pt>
                <c:pt idx="1126">
                  <c:v>1126</c:v>
                </c:pt>
                <c:pt idx="1127">
                  <c:v>1127</c:v>
                </c:pt>
                <c:pt idx="1128">
                  <c:v>1128</c:v>
                </c:pt>
                <c:pt idx="1129">
                  <c:v>1129</c:v>
                </c:pt>
                <c:pt idx="1130">
                  <c:v>1130</c:v>
                </c:pt>
                <c:pt idx="1131">
                  <c:v>1131</c:v>
                </c:pt>
                <c:pt idx="1132">
                  <c:v>1132</c:v>
                </c:pt>
                <c:pt idx="1133">
                  <c:v>1133</c:v>
                </c:pt>
                <c:pt idx="1134">
                  <c:v>1134</c:v>
                </c:pt>
                <c:pt idx="1135">
                  <c:v>1135</c:v>
                </c:pt>
                <c:pt idx="1136">
                  <c:v>1136</c:v>
                </c:pt>
                <c:pt idx="1137">
                  <c:v>1137</c:v>
                </c:pt>
                <c:pt idx="1138">
                  <c:v>1138</c:v>
                </c:pt>
                <c:pt idx="1139">
                  <c:v>1139</c:v>
                </c:pt>
                <c:pt idx="1140">
                  <c:v>1140</c:v>
                </c:pt>
                <c:pt idx="1141">
                  <c:v>1141</c:v>
                </c:pt>
                <c:pt idx="1142">
                  <c:v>1142</c:v>
                </c:pt>
                <c:pt idx="1143">
                  <c:v>1143</c:v>
                </c:pt>
                <c:pt idx="1144">
                  <c:v>1144</c:v>
                </c:pt>
                <c:pt idx="1145">
                  <c:v>1145</c:v>
                </c:pt>
                <c:pt idx="1146">
                  <c:v>1146</c:v>
                </c:pt>
                <c:pt idx="1147">
                  <c:v>1147</c:v>
                </c:pt>
                <c:pt idx="1148">
                  <c:v>1148</c:v>
                </c:pt>
                <c:pt idx="1149">
                  <c:v>1149</c:v>
                </c:pt>
                <c:pt idx="1150">
                  <c:v>1150</c:v>
                </c:pt>
                <c:pt idx="1151">
                  <c:v>1151</c:v>
                </c:pt>
                <c:pt idx="1152">
                  <c:v>1152</c:v>
                </c:pt>
                <c:pt idx="1153">
                  <c:v>1153</c:v>
                </c:pt>
                <c:pt idx="1154">
                  <c:v>1154</c:v>
                </c:pt>
                <c:pt idx="1155">
                  <c:v>1155</c:v>
                </c:pt>
                <c:pt idx="1156">
                  <c:v>1156</c:v>
                </c:pt>
                <c:pt idx="1157">
                  <c:v>1157</c:v>
                </c:pt>
                <c:pt idx="1158">
                  <c:v>1158</c:v>
                </c:pt>
                <c:pt idx="1159">
                  <c:v>1159</c:v>
                </c:pt>
                <c:pt idx="1160">
                  <c:v>1160</c:v>
                </c:pt>
                <c:pt idx="1161">
                  <c:v>1161</c:v>
                </c:pt>
                <c:pt idx="1162">
                  <c:v>1162</c:v>
                </c:pt>
                <c:pt idx="1163">
                  <c:v>1163</c:v>
                </c:pt>
                <c:pt idx="1164">
                  <c:v>1164</c:v>
                </c:pt>
                <c:pt idx="1165">
                  <c:v>1165</c:v>
                </c:pt>
                <c:pt idx="1166">
                  <c:v>1166</c:v>
                </c:pt>
                <c:pt idx="1167">
                  <c:v>1167</c:v>
                </c:pt>
                <c:pt idx="1168">
                  <c:v>1168</c:v>
                </c:pt>
                <c:pt idx="1169">
                  <c:v>1169</c:v>
                </c:pt>
                <c:pt idx="1170">
                  <c:v>1170</c:v>
                </c:pt>
                <c:pt idx="1171">
                  <c:v>1171</c:v>
                </c:pt>
                <c:pt idx="1172">
                  <c:v>1172</c:v>
                </c:pt>
                <c:pt idx="1173">
                  <c:v>1173</c:v>
                </c:pt>
                <c:pt idx="1174">
                  <c:v>1174</c:v>
                </c:pt>
                <c:pt idx="1175">
                  <c:v>1175</c:v>
                </c:pt>
                <c:pt idx="1176">
                  <c:v>1176</c:v>
                </c:pt>
                <c:pt idx="1177">
                  <c:v>1177</c:v>
                </c:pt>
                <c:pt idx="1178">
                  <c:v>1178</c:v>
                </c:pt>
                <c:pt idx="1179">
                  <c:v>1179</c:v>
                </c:pt>
                <c:pt idx="1180">
                  <c:v>1180</c:v>
                </c:pt>
                <c:pt idx="1181">
                  <c:v>1181</c:v>
                </c:pt>
                <c:pt idx="1182">
                  <c:v>1182</c:v>
                </c:pt>
                <c:pt idx="1183">
                  <c:v>1183</c:v>
                </c:pt>
                <c:pt idx="1184">
                  <c:v>1184</c:v>
                </c:pt>
                <c:pt idx="1185">
                  <c:v>1185</c:v>
                </c:pt>
                <c:pt idx="1186">
                  <c:v>1186</c:v>
                </c:pt>
                <c:pt idx="1187">
                  <c:v>1187</c:v>
                </c:pt>
                <c:pt idx="1188">
                  <c:v>1188</c:v>
                </c:pt>
                <c:pt idx="1189">
                  <c:v>1189</c:v>
                </c:pt>
                <c:pt idx="1190">
                  <c:v>1190</c:v>
                </c:pt>
                <c:pt idx="1191">
                  <c:v>1191</c:v>
                </c:pt>
                <c:pt idx="1192">
                  <c:v>1192</c:v>
                </c:pt>
                <c:pt idx="1193">
                  <c:v>1193</c:v>
                </c:pt>
                <c:pt idx="1194">
                  <c:v>1194</c:v>
                </c:pt>
                <c:pt idx="1195">
                  <c:v>1195</c:v>
                </c:pt>
                <c:pt idx="1196">
                  <c:v>1196</c:v>
                </c:pt>
                <c:pt idx="1197">
                  <c:v>1197</c:v>
                </c:pt>
                <c:pt idx="1198">
                  <c:v>1198</c:v>
                </c:pt>
                <c:pt idx="1199">
                  <c:v>1199</c:v>
                </c:pt>
                <c:pt idx="1200">
                  <c:v>1200</c:v>
                </c:pt>
                <c:pt idx="1201">
                  <c:v>1201</c:v>
                </c:pt>
                <c:pt idx="1202">
                  <c:v>1202</c:v>
                </c:pt>
                <c:pt idx="1203">
                  <c:v>1203</c:v>
                </c:pt>
                <c:pt idx="1204">
                  <c:v>1204</c:v>
                </c:pt>
                <c:pt idx="1205">
                  <c:v>1205</c:v>
                </c:pt>
                <c:pt idx="1206">
                  <c:v>1206</c:v>
                </c:pt>
                <c:pt idx="1207">
                  <c:v>1207</c:v>
                </c:pt>
                <c:pt idx="1208">
                  <c:v>1208</c:v>
                </c:pt>
                <c:pt idx="1209">
                  <c:v>1209</c:v>
                </c:pt>
                <c:pt idx="1210">
                  <c:v>1210</c:v>
                </c:pt>
                <c:pt idx="1211">
                  <c:v>1211</c:v>
                </c:pt>
                <c:pt idx="1212">
                  <c:v>1212</c:v>
                </c:pt>
                <c:pt idx="1213">
                  <c:v>1213</c:v>
                </c:pt>
                <c:pt idx="1214">
                  <c:v>1214</c:v>
                </c:pt>
                <c:pt idx="1215">
                  <c:v>1215</c:v>
                </c:pt>
                <c:pt idx="1216">
                  <c:v>1216</c:v>
                </c:pt>
                <c:pt idx="1217">
                  <c:v>1217</c:v>
                </c:pt>
                <c:pt idx="1218">
                  <c:v>1218</c:v>
                </c:pt>
                <c:pt idx="1219">
                  <c:v>1219</c:v>
                </c:pt>
                <c:pt idx="1220">
                  <c:v>1220</c:v>
                </c:pt>
                <c:pt idx="1221">
                  <c:v>1221</c:v>
                </c:pt>
                <c:pt idx="1222">
                  <c:v>1222</c:v>
                </c:pt>
                <c:pt idx="1223">
                  <c:v>1223</c:v>
                </c:pt>
                <c:pt idx="1224">
                  <c:v>1224</c:v>
                </c:pt>
                <c:pt idx="1225">
                  <c:v>1225</c:v>
                </c:pt>
                <c:pt idx="1226">
                  <c:v>1226</c:v>
                </c:pt>
                <c:pt idx="1227">
                  <c:v>1227</c:v>
                </c:pt>
                <c:pt idx="1228">
                  <c:v>1228</c:v>
                </c:pt>
                <c:pt idx="1229">
                  <c:v>1229</c:v>
                </c:pt>
                <c:pt idx="1230">
                  <c:v>1230</c:v>
                </c:pt>
                <c:pt idx="1231">
                  <c:v>1231</c:v>
                </c:pt>
                <c:pt idx="1232">
                  <c:v>1232</c:v>
                </c:pt>
                <c:pt idx="1233">
                  <c:v>1233</c:v>
                </c:pt>
                <c:pt idx="1234">
                  <c:v>1234</c:v>
                </c:pt>
                <c:pt idx="1235">
                  <c:v>1235</c:v>
                </c:pt>
                <c:pt idx="1236">
                  <c:v>1236</c:v>
                </c:pt>
                <c:pt idx="1237">
                  <c:v>1237</c:v>
                </c:pt>
                <c:pt idx="1238">
                  <c:v>1238</c:v>
                </c:pt>
                <c:pt idx="1239">
                  <c:v>1239</c:v>
                </c:pt>
                <c:pt idx="1240">
                  <c:v>1240</c:v>
                </c:pt>
                <c:pt idx="1241">
                  <c:v>1241</c:v>
                </c:pt>
                <c:pt idx="1242">
                  <c:v>1242</c:v>
                </c:pt>
                <c:pt idx="1243">
                  <c:v>1243</c:v>
                </c:pt>
                <c:pt idx="1244">
                  <c:v>1244</c:v>
                </c:pt>
                <c:pt idx="1245">
                  <c:v>1245</c:v>
                </c:pt>
                <c:pt idx="1246">
                  <c:v>1246</c:v>
                </c:pt>
                <c:pt idx="1247">
                  <c:v>1247</c:v>
                </c:pt>
                <c:pt idx="1248">
                  <c:v>1248</c:v>
                </c:pt>
                <c:pt idx="1249">
                  <c:v>1249</c:v>
                </c:pt>
                <c:pt idx="1250">
                  <c:v>1250</c:v>
                </c:pt>
                <c:pt idx="1251">
                  <c:v>1251</c:v>
                </c:pt>
                <c:pt idx="1252">
                  <c:v>1252</c:v>
                </c:pt>
                <c:pt idx="1253">
                  <c:v>1253</c:v>
                </c:pt>
                <c:pt idx="1254">
                  <c:v>1254</c:v>
                </c:pt>
                <c:pt idx="1255">
                  <c:v>1255</c:v>
                </c:pt>
                <c:pt idx="1256">
                  <c:v>1256</c:v>
                </c:pt>
                <c:pt idx="1257">
                  <c:v>1257</c:v>
                </c:pt>
                <c:pt idx="1258">
                  <c:v>1258</c:v>
                </c:pt>
                <c:pt idx="1259">
                  <c:v>1259</c:v>
                </c:pt>
                <c:pt idx="1260">
                  <c:v>1260</c:v>
                </c:pt>
                <c:pt idx="1261">
                  <c:v>1261</c:v>
                </c:pt>
                <c:pt idx="1262">
                  <c:v>1262</c:v>
                </c:pt>
                <c:pt idx="1263">
                  <c:v>1263</c:v>
                </c:pt>
                <c:pt idx="1264">
                  <c:v>1264</c:v>
                </c:pt>
                <c:pt idx="1265">
                  <c:v>1265</c:v>
                </c:pt>
                <c:pt idx="1266">
                  <c:v>1266</c:v>
                </c:pt>
                <c:pt idx="1267">
                  <c:v>1267</c:v>
                </c:pt>
                <c:pt idx="1268">
                  <c:v>1268</c:v>
                </c:pt>
                <c:pt idx="1269">
                  <c:v>1269</c:v>
                </c:pt>
                <c:pt idx="1270">
                  <c:v>1270</c:v>
                </c:pt>
                <c:pt idx="1271">
                  <c:v>1271</c:v>
                </c:pt>
                <c:pt idx="1272">
                  <c:v>1272</c:v>
                </c:pt>
                <c:pt idx="1273">
                  <c:v>1273</c:v>
                </c:pt>
                <c:pt idx="1274">
                  <c:v>1274</c:v>
                </c:pt>
                <c:pt idx="1275">
                  <c:v>1275</c:v>
                </c:pt>
                <c:pt idx="1276">
                  <c:v>1276</c:v>
                </c:pt>
                <c:pt idx="1277">
                  <c:v>1277</c:v>
                </c:pt>
                <c:pt idx="1278">
                  <c:v>1278</c:v>
                </c:pt>
                <c:pt idx="1279">
                  <c:v>1279</c:v>
                </c:pt>
                <c:pt idx="1280">
                  <c:v>1280</c:v>
                </c:pt>
                <c:pt idx="1281">
                  <c:v>1281</c:v>
                </c:pt>
                <c:pt idx="1282">
                  <c:v>1282</c:v>
                </c:pt>
                <c:pt idx="1283">
                  <c:v>1283</c:v>
                </c:pt>
                <c:pt idx="1284">
                  <c:v>1284</c:v>
                </c:pt>
                <c:pt idx="1285">
                  <c:v>1285</c:v>
                </c:pt>
                <c:pt idx="1286">
                  <c:v>1286</c:v>
                </c:pt>
                <c:pt idx="1287">
                  <c:v>1287</c:v>
                </c:pt>
                <c:pt idx="1288">
                  <c:v>1288</c:v>
                </c:pt>
                <c:pt idx="1289">
                  <c:v>1289</c:v>
                </c:pt>
                <c:pt idx="1290">
                  <c:v>1290</c:v>
                </c:pt>
                <c:pt idx="1291">
                  <c:v>1291</c:v>
                </c:pt>
                <c:pt idx="1292">
                  <c:v>1292</c:v>
                </c:pt>
                <c:pt idx="1293">
                  <c:v>1293</c:v>
                </c:pt>
                <c:pt idx="1294">
                  <c:v>1294</c:v>
                </c:pt>
                <c:pt idx="1295">
                  <c:v>1295</c:v>
                </c:pt>
                <c:pt idx="1296">
                  <c:v>1296</c:v>
                </c:pt>
                <c:pt idx="1297">
                  <c:v>1297</c:v>
                </c:pt>
                <c:pt idx="1298">
                  <c:v>1298</c:v>
                </c:pt>
                <c:pt idx="1299">
                  <c:v>1299</c:v>
                </c:pt>
                <c:pt idx="1300">
                  <c:v>1300</c:v>
                </c:pt>
                <c:pt idx="1301">
                  <c:v>1301</c:v>
                </c:pt>
                <c:pt idx="1302">
                  <c:v>1302</c:v>
                </c:pt>
                <c:pt idx="1303">
                  <c:v>1303</c:v>
                </c:pt>
                <c:pt idx="1304">
                  <c:v>1304</c:v>
                </c:pt>
                <c:pt idx="1305">
                  <c:v>1305</c:v>
                </c:pt>
                <c:pt idx="1306">
                  <c:v>1306</c:v>
                </c:pt>
                <c:pt idx="1307">
                  <c:v>1307</c:v>
                </c:pt>
                <c:pt idx="1308">
                  <c:v>1308</c:v>
                </c:pt>
                <c:pt idx="1309">
                  <c:v>1309</c:v>
                </c:pt>
                <c:pt idx="1310">
                  <c:v>1310</c:v>
                </c:pt>
                <c:pt idx="1311">
                  <c:v>1311</c:v>
                </c:pt>
                <c:pt idx="1312">
                  <c:v>1312</c:v>
                </c:pt>
                <c:pt idx="1313">
                  <c:v>1313</c:v>
                </c:pt>
                <c:pt idx="1314">
                  <c:v>1314</c:v>
                </c:pt>
                <c:pt idx="1315">
                  <c:v>1315</c:v>
                </c:pt>
                <c:pt idx="1316">
                  <c:v>1316</c:v>
                </c:pt>
                <c:pt idx="1317">
                  <c:v>1317</c:v>
                </c:pt>
                <c:pt idx="1318">
                  <c:v>1318</c:v>
                </c:pt>
                <c:pt idx="1319">
                  <c:v>1319</c:v>
                </c:pt>
                <c:pt idx="1320">
                  <c:v>1320</c:v>
                </c:pt>
                <c:pt idx="1321">
                  <c:v>1321</c:v>
                </c:pt>
                <c:pt idx="1322">
                  <c:v>1322</c:v>
                </c:pt>
                <c:pt idx="1323">
                  <c:v>1323</c:v>
                </c:pt>
                <c:pt idx="1324">
                  <c:v>1324</c:v>
                </c:pt>
                <c:pt idx="1325">
                  <c:v>1325</c:v>
                </c:pt>
                <c:pt idx="1326">
                  <c:v>1326</c:v>
                </c:pt>
                <c:pt idx="1327">
                  <c:v>1327</c:v>
                </c:pt>
                <c:pt idx="1328">
                  <c:v>1328</c:v>
                </c:pt>
                <c:pt idx="1329">
                  <c:v>1329</c:v>
                </c:pt>
                <c:pt idx="1330">
                  <c:v>1330</c:v>
                </c:pt>
                <c:pt idx="1331">
                  <c:v>1331</c:v>
                </c:pt>
                <c:pt idx="1332">
                  <c:v>1332</c:v>
                </c:pt>
                <c:pt idx="1333">
                  <c:v>1333</c:v>
                </c:pt>
                <c:pt idx="1334">
                  <c:v>1334</c:v>
                </c:pt>
                <c:pt idx="1335">
                  <c:v>1335</c:v>
                </c:pt>
                <c:pt idx="1336">
                  <c:v>1336</c:v>
                </c:pt>
                <c:pt idx="1337">
                  <c:v>1337</c:v>
                </c:pt>
                <c:pt idx="1338">
                  <c:v>1338</c:v>
                </c:pt>
                <c:pt idx="1339">
                  <c:v>1339</c:v>
                </c:pt>
                <c:pt idx="1340">
                  <c:v>1340</c:v>
                </c:pt>
                <c:pt idx="1341">
                  <c:v>1341</c:v>
                </c:pt>
                <c:pt idx="1342">
                  <c:v>1342</c:v>
                </c:pt>
                <c:pt idx="1343">
                  <c:v>1343</c:v>
                </c:pt>
                <c:pt idx="1344">
                  <c:v>1344</c:v>
                </c:pt>
                <c:pt idx="1345">
                  <c:v>1345</c:v>
                </c:pt>
                <c:pt idx="1346">
                  <c:v>1346</c:v>
                </c:pt>
                <c:pt idx="1347">
                  <c:v>1347</c:v>
                </c:pt>
              </c:numCache>
            </c:numRef>
          </c:xVal>
          <c:yVal>
            <c:numRef>
              <c:f>'Fuel Rate_Gear Selection_MPG'!$AJ$2:$AJ$1349</c:f>
              <c:numCache>
                <c:formatCode>General</c:formatCode>
                <c:ptCount val="1348"/>
                <c:pt idx="0">
                  <c:v>0.31993880000000002</c:v>
                </c:pt>
                <c:pt idx="1">
                  <c:v>0.32653397635152437</c:v>
                </c:pt>
                <c:pt idx="2">
                  <c:v>0.32211816612965627</c:v>
                </c:pt>
                <c:pt idx="3">
                  <c:v>0.31993880000000002</c:v>
                </c:pt>
                <c:pt idx="4">
                  <c:v>0.31993880000000002</c:v>
                </c:pt>
                <c:pt idx="5">
                  <c:v>0.31993880000000002</c:v>
                </c:pt>
                <c:pt idx="6">
                  <c:v>0.31993880000000002</c:v>
                </c:pt>
                <c:pt idx="7">
                  <c:v>0.31993880000000002</c:v>
                </c:pt>
                <c:pt idx="8">
                  <c:v>0.31993880000000002</c:v>
                </c:pt>
                <c:pt idx="9">
                  <c:v>0.31993880000000002</c:v>
                </c:pt>
                <c:pt idx="10">
                  <c:v>0.31993880000000002</c:v>
                </c:pt>
                <c:pt idx="11">
                  <c:v>0.31993880000000002</c:v>
                </c:pt>
                <c:pt idx="12">
                  <c:v>0.31993880000000002</c:v>
                </c:pt>
                <c:pt idx="13">
                  <c:v>0.31993880000000002</c:v>
                </c:pt>
                <c:pt idx="14">
                  <c:v>0.31993880000000002</c:v>
                </c:pt>
                <c:pt idx="15">
                  <c:v>0.37532721538074593</c:v>
                </c:pt>
                <c:pt idx="16">
                  <c:v>0.33964579605567974</c:v>
                </c:pt>
                <c:pt idx="17">
                  <c:v>0.37597381066607521</c:v>
                </c:pt>
                <c:pt idx="18">
                  <c:v>0.36891820290256278</c:v>
                </c:pt>
                <c:pt idx="19">
                  <c:v>0.36386636162818831</c:v>
                </c:pt>
                <c:pt idx="20">
                  <c:v>0.83604748081666658</c:v>
                </c:pt>
                <c:pt idx="21">
                  <c:v>0.78577980711674034</c:v>
                </c:pt>
                <c:pt idx="22">
                  <c:v>1.3823604224526054</c:v>
                </c:pt>
                <c:pt idx="23">
                  <c:v>1.9012827354879831</c:v>
                </c:pt>
                <c:pt idx="24">
                  <c:v>1.6946793202105448</c:v>
                </c:pt>
                <c:pt idx="25">
                  <c:v>1.6295177877262206</c:v>
                </c:pt>
                <c:pt idx="26">
                  <c:v>1.1310081548221946</c:v>
                </c:pt>
                <c:pt idx="27">
                  <c:v>1.3574855423896151</c:v>
                </c:pt>
                <c:pt idx="28">
                  <c:v>1.8824992486678152</c:v>
                </c:pt>
                <c:pt idx="29">
                  <c:v>1.1650559424168583</c:v>
                </c:pt>
                <c:pt idx="30">
                  <c:v>0.66359954697660217</c:v>
                </c:pt>
                <c:pt idx="31">
                  <c:v>0.74282261708856456</c:v>
                </c:pt>
                <c:pt idx="32">
                  <c:v>0.46974829589529676</c:v>
                </c:pt>
                <c:pt idx="33">
                  <c:v>0.37366504906391496</c:v>
                </c:pt>
                <c:pt idx="34">
                  <c:v>0.36834099853159064</c:v>
                </c:pt>
                <c:pt idx="35">
                  <c:v>0.36305057553825087</c:v>
                </c:pt>
                <c:pt idx="36">
                  <c:v>0.34939722887247371</c:v>
                </c:pt>
                <c:pt idx="37">
                  <c:v>0.32207035275926055</c:v>
                </c:pt>
                <c:pt idx="38">
                  <c:v>0.35911477175385931</c:v>
                </c:pt>
                <c:pt idx="39">
                  <c:v>0.35382478836565973</c:v>
                </c:pt>
                <c:pt idx="40">
                  <c:v>0.64477477374294323</c:v>
                </c:pt>
                <c:pt idx="41">
                  <c:v>0.57180699935692314</c:v>
                </c:pt>
                <c:pt idx="42">
                  <c:v>0.87554589525173021</c:v>
                </c:pt>
                <c:pt idx="43">
                  <c:v>1.0402521149244355</c:v>
                </c:pt>
                <c:pt idx="44">
                  <c:v>1.4906682170742807</c:v>
                </c:pt>
                <c:pt idx="45">
                  <c:v>1.5723923904522892</c:v>
                </c:pt>
                <c:pt idx="46">
                  <c:v>1.5892911725467083</c:v>
                </c:pt>
                <c:pt idx="47">
                  <c:v>0.88895919305172855</c:v>
                </c:pt>
                <c:pt idx="48">
                  <c:v>0.51678616007246647</c:v>
                </c:pt>
                <c:pt idx="49">
                  <c:v>0.49020720830804954</c:v>
                </c:pt>
                <c:pt idx="50">
                  <c:v>0.36622122810578484</c:v>
                </c:pt>
                <c:pt idx="51">
                  <c:v>0.34102307898001538</c:v>
                </c:pt>
                <c:pt idx="52">
                  <c:v>0.32207035275926055</c:v>
                </c:pt>
                <c:pt idx="53">
                  <c:v>0.36190799461708234</c:v>
                </c:pt>
                <c:pt idx="54">
                  <c:v>1.6450090613480395</c:v>
                </c:pt>
                <c:pt idx="55">
                  <c:v>1.3778930357998471</c:v>
                </c:pt>
                <c:pt idx="56">
                  <c:v>1.8196573166773433</c:v>
                </c:pt>
                <c:pt idx="57">
                  <c:v>1.6819138389698463</c:v>
                </c:pt>
                <c:pt idx="58">
                  <c:v>1.5773011284583145</c:v>
                </c:pt>
                <c:pt idx="59">
                  <c:v>1.6392069992274525</c:v>
                </c:pt>
                <c:pt idx="60">
                  <c:v>1.0957893184825669</c:v>
                </c:pt>
                <c:pt idx="61">
                  <c:v>0.74077351455180929</c:v>
                </c:pt>
                <c:pt idx="62">
                  <c:v>0.76390100099254554</c:v>
                </c:pt>
                <c:pt idx="63">
                  <c:v>0.44554495514345083</c:v>
                </c:pt>
                <c:pt idx="64">
                  <c:v>0.6836241299041409</c:v>
                </c:pt>
                <c:pt idx="65">
                  <c:v>0.93391485545439956</c:v>
                </c:pt>
                <c:pt idx="66">
                  <c:v>0.93001426224126016</c:v>
                </c:pt>
                <c:pt idx="67">
                  <c:v>0.60568222593687671</c:v>
                </c:pt>
                <c:pt idx="68">
                  <c:v>0.74429476239651626</c:v>
                </c:pt>
                <c:pt idx="69">
                  <c:v>0.98450593168169087</c:v>
                </c:pt>
                <c:pt idx="70">
                  <c:v>0.95935407471280776</c:v>
                </c:pt>
                <c:pt idx="71">
                  <c:v>1.1774064916175913</c:v>
                </c:pt>
                <c:pt idx="72">
                  <c:v>0.87036124406495841</c:v>
                </c:pt>
                <c:pt idx="73">
                  <c:v>0.46234858296590925</c:v>
                </c:pt>
                <c:pt idx="74">
                  <c:v>0.61666268275807601</c:v>
                </c:pt>
                <c:pt idx="75">
                  <c:v>0.75327023263326731</c:v>
                </c:pt>
                <c:pt idx="76">
                  <c:v>0.88200554538788356</c:v>
                </c:pt>
                <c:pt idx="77">
                  <c:v>1.0261193202483028</c:v>
                </c:pt>
                <c:pt idx="78">
                  <c:v>0.79020301969298101</c:v>
                </c:pt>
                <c:pt idx="79">
                  <c:v>0.41839820802931155</c:v>
                </c:pt>
                <c:pt idx="80">
                  <c:v>1.1076604877056839</c:v>
                </c:pt>
                <c:pt idx="81">
                  <c:v>1.356393997676701</c:v>
                </c:pt>
                <c:pt idx="82">
                  <c:v>1.5380902288933962</c:v>
                </c:pt>
                <c:pt idx="83">
                  <c:v>1.7008164107911423</c:v>
                </c:pt>
                <c:pt idx="84">
                  <c:v>1.1831248480325975</c:v>
                </c:pt>
                <c:pt idx="85">
                  <c:v>0.9811612150879796</c:v>
                </c:pt>
                <c:pt idx="86">
                  <c:v>1.0383019943215803</c:v>
                </c:pt>
                <c:pt idx="87">
                  <c:v>0.8917177386395343</c:v>
                </c:pt>
                <c:pt idx="88">
                  <c:v>0.9074663111544049</c:v>
                </c:pt>
                <c:pt idx="89">
                  <c:v>0.97087681072921328</c:v>
                </c:pt>
                <c:pt idx="90">
                  <c:v>0.64773801091570771</c:v>
                </c:pt>
                <c:pt idx="91">
                  <c:v>0.57207616985323562</c:v>
                </c:pt>
                <c:pt idx="92">
                  <c:v>0.68955368288365748</c:v>
                </c:pt>
                <c:pt idx="93">
                  <c:v>0.81124874496089383</c:v>
                </c:pt>
                <c:pt idx="94">
                  <c:v>1.3018048345500017</c:v>
                </c:pt>
                <c:pt idx="95">
                  <c:v>0.55264879727506822</c:v>
                </c:pt>
                <c:pt idx="96">
                  <c:v>0.47682999025269401</c:v>
                </c:pt>
                <c:pt idx="97">
                  <c:v>0.47115116862977952</c:v>
                </c:pt>
                <c:pt idx="98">
                  <c:v>1.0941477510555149</c:v>
                </c:pt>
                <c:pt idx="99">
                  <c:v>0.99397292836559403</c:v>
                </c:pt>
                <c:pt idx="100">
                  <c:v>0.98431330617760959</c:v>
                </c:pt>
                <c:pt idx="101">
                  <c:v>0.79456437690020443</c:v>
                </c:pt>
                <c:pt idx="102">
                  <c:v>0.80871639646825444</c:v>
                </c:pt>
                <c:pt idx="103">
                  <c:v>0.70297616738043134</c:v>
                </c:pt>
                <c:pt idx="104">
                  <c:v>0.47971070950888101</c:v>
                </c:pt>
                <c:pt idx="105">
                  <c:v>0.47397697532202526</c:v>
                </c:pt>
                <c:pt idx="106">
                  <c:v>1.1099634997029404</c:v>
                </c:pt>
                <c:pt idx="107">
                  <c:v>0.86823088364537582</c:v>
                </c:pt>
                <c:pt idx="108">
                  <c:v>1.2510527029336511</c:v>
                </c:pt>
                <c:pt idx="109">
                  <c:v>1.1443777180347665</c:v>
                </c:pt>
                <c:pt idx="110">
                  <c:v>1.1614163339302461</c:v>
                </c:pt>
                <c:pt idx="111">
                  <c:v>0.92150002460772085</c:v>
                </c:pt>
                <c:pt idx="112">
                  <c:v>0.8916974459234055</c:v>
                </c:pt>
                <c:pt idx="113">
                  <c:v>0.79380469473477455</c:v>
                </c:pt>
                <c:pt idx="114">
                  <c:v>0.49001856072642686</c:v>
                </c:pt>
                <c:pt idx="115">
                  <c:v>0.44686142475791013</c:v>
                </c:pt>
                <c:pt idx="116">
                  <c:v>0.40789762405788776</c:v>
                </c:pt>
                <c:pt idx="117">
                  <c:v>0.36834099853159064</c:v>
                </c:pt>
                <c:pt idx="118">
                  <c:v>0.33368275598589642</c:v>
                </c:pt>
                <c:pt idx="119">
                  <c:v>0.35215391626047909</c:v>
                </c:pt>
                <c:pt idx="120">
                  <c:v>0.3913861263063827</c:v>
                </c:pt>
                <c:pt idx="121">
                  <c:v>0.3215982014248191</c:v>
                </c:pt>
                <c:pt idx="122">
                  <c:v>0.36449414199242058</c:v>
                </c:pt>
                <c:pt idx="123">
                  <c:v>0.37597381066607521</c:v>
                </c:pt>
                <c:pt idx="124">
                  <c:v>0.40403668247424895</c:v>
                </c:pt>
                <c:pt idx="125">
                  <c:v>0.37019167955230636</c:v>
                </c:pt>
                <c:pt idx="126">
                  <c:v>0.34316593054057326</c:v>
                </c:pt>
                <c:pt idx="127">
                  <c:v>0.38315380779630781</c:v>
                </c:pt>
                <c:pt idx="128">
                  <c:v>0.3539676162304512</c:v>
                </c:pt>
                <c:pt idx="129">
                  <c:v>0.3521424879034038</c:v>
                </c:pt>
                <c:pt idx="130">
                  <c:v>0.36261399032326708</c:v>
                </c:pt>
                <c:pt idx="131">
                  <c:v>0.36828303566764287</c:v>
                </c:pt>
                <c:pt idx="132">
                  <c:v>0.34613031128109145</c:v>
                </c:pt>
                <c:pt idx="133">
                  <c:v>0.37857045374971388</c:v>
                </c:pt>
                <c:pt idx="134">
                  <c:v>0.34494120057447636</c:v>
                </c:pt>
                <c:pt idx="135">
                  <c:v>0.37210972272073473</c:v>
                </c:pt>
                <c:pt idx="136">
                  <c:v>0.3437565653256543</c:v>
                </c:pt>
                <c:pt idx="137">
                  <c:v>0.37403711611222523</c:v>
                </c:pt>
                <c:pt idx="138">
                  <c:v>0.36074343418068899</c:v>
                </c:pt>
                <c:pt idx="139">
                  <c:v>0.3437565653256543</c:v>
                </c:pt>
                <c:pt idx="140">
                  <c:v>0.33964579605567974</c:v>
                </c:pt>
                <c:pt idx="141">
                  <c:v>0.3315917578166801</c:v>
                </c:pt>
                <c:pt idx="142">
                  <c:v>0.3379010297260947</c:v>
                </c:pt>
                <c:pt idx="143">
                  <c:v>0.33559065246847841</c:v>
                </c:pt>
                <c:pt idx="144">
                  <c:v>0.35274976937547881</c:v>
                </c:pt>
                <c:pt idx="145">
                  <c:v>0.36891820290256278</c:v>
                </c:pt>
                <c:pt idx="146">
                  <c:v>0.36136588369682382</c:v>
                </c:pt>
                <c:pt idx="147">
                  <c:v>0.36512298307508295</c:v>
                </c:pt>
                <c:pt idx="148">
                  <c:v>0.34852190092168239</c:v>
                </c:pt>
                <c:pt idx="149">
                  <c:v>0.33616652941935438</c:v>
                </c:pt>
                <c:pt idx="150">
                  <c:v>0.34198803573438646</c:v>
                </c:pt>
                <c:pt idx="151">
                  <c:v>0.33616652941935438</c:v>
                </c:pt>
                <c:pt idx="152">
                  <c:v>0.33848148025616892</c:v>
                </c:pt>
                <c:pt idx="153">
                  <c:v>0.34792233702577224</c:v>
                </c:pt>
                <c:pt idx="154">
                  <c:v>0.36955441813647172</c:v>
                </c:pt>
                <c:pt idx="155">
                  <c:v>0.35764729725340616</c:v>
                </c:pt>
                <c:pt idx="156">
                  <c:v>0.36198940301670424</c:v>
                </c:pt>
                <c:pt idx="157">
                  <c:v>0.33616652941935438</c:v>
                </c:pt>
                <c:pt idx="158">
                  <c:v>0.32989531933527033</c:v>
                </c:pt>
                <c:pt idx="159">
                  <c:v>0.35153630349102027</c:v>
                </c:pt>
                <c:pt idx="160">
                  <c:v>0.36323964379944956</c:v>
                </c:pt>
                <c:pt idx="161">
                  <c:v>0.36323964379944956</c:v>
                </c:pt>
                <c:pt idx="162">
                  <c:v>0.34613031128109145</c:v>
                </c:pt>
                <c:pt idx="163">
                  <c:v>1.1114020704675891</c:v>
                </c:pt>
                <c:pt idx="164">
                  <c:v>1.4161010610489515</c:v>
                </c:pt>
                <c:pt idx="165">
                  <c:v>1.4477401089497137</c:v>
                </c:pt>
                <c:pt idx="166">
                  <c:v>1.653765472818471</c:v>
                </c:pt>
                <c:pt idx="167">
                  <c:v>2.1363886444134446</c:v>
                </c:pt>
                <c:pt idx="168">
                  <c:v>2.5150002691760953</c:v>
                </c:pt>
                <c:pt idx="169">
                  <c:v>1.7899874091192487</c:v>
                </c:pt>
                <c:pt idx="170">
                  <c:v>2.2450337139787302</c:v>
                </c:pt>
                <c:pt idx="171">
                  <c:v>2.1932903147518936</c:v>
                </c:pt>
                <c:pt idx="172">
                  <c:v>0.74786053081968085</c:v>
                </c:pt>
                <c:pt idx="173">
                  <c:v>0.41839820802931155</c:v>
                </c:pt>
                <c:pt idx="174">
                  <c:v>0.41020445309547293</c:v>
                </c:pt>
                <c:pt idx="175">
                  <c:v>0.55450048347876202</c:v>
                </c:pt>
                <c:pt idx="176">
                  <c:v>0.64526244540698674</c:v>
                </c:pt>
                <c:pt idx="177">
                  <c:v>0.73050213889562954</c:v>
                </c:pt>
                <c:pt idx="178">
                  <c:v>0.77495187589430192</c:v>
                </c:pt>
                <c:pt idx="179">
                  <c:v>1.6512626519012348</c:v>
                </c:pt>
                <c:pt idx="180">
                  <c:v>1.177629056070745</c:v>
                </c:pt>
                <c:pt idx="181">
                  <c:v>0.42197061094097488</c:v>
                </c:pt>
                <c:pt idx="182">
                  <c:v>0.3954525538002836</c:v>
                </c:pt>
                <c:pt idx="183">
                  <c:v>0.37580582129259327</c:v>
                </c:pt>
                <c:pt idx="184">
                  <c:v>0.34311697932439078</c:v>
                </c:pt>
                <c:pt idx="185">
                  <c:v>0.32630807136408468</c:v>
                </c:pt>
                <c:pt idx="186">
                  <c:v>0.48718183358434008</c:v>
                </c:pt>
                <c:pt idx="187">
                  <c:v>0.98046683433792203</c:v>
                </c:pt>
                <c:pt idx="188">
                  <c:v>1.6052836189007649</c:v>
                </c:pt>
                <c:pt idx="189">
                  <c:v>1.4835161072606522</c:v>
                </c:pt>
                <c:pt idx="190">
                  <c:v>2.0655246371419933</c:v>
                </c:pt>
                <c:pt idx="191">
                  <c:v>2.254905187601973</c:v>
                </c:pt>
                <c:pt idx="192">
                  <c:v>2.6920510764556482</c:v>
                </c:pt>
                <c:pt idx="193">
                  <c:v>3.0338726913603691</c:v>
                </c:pt>
                <c:pt idx="194">
                  <c:v>3.4552378767022889</c:v>
                </c:pt>
                <c:pt idx="195">
                  <c:v>3.7224525173918908</c:v>
                </c:pt>
                <c:pt idx="196">
                  <c:v>3.1157625707628691</c:v>
                </c:pt>
                <c:pt idx="197">
                  <c:v>3.3451275326691432</c:v>
                </c:pt>
                <c:pt idx="198">
                  <c:v>3.256544504670094</c:v>
                </c:pt>
                <c:pt idx="199">
                  <c:v>3.5849116734827664</c:v>
                </c:pt>
                <c:pt idx="200">
                  <c:v>1.9402033939597756</c:v>
                </c:pt>
                <c:pt idx="201">
                  <c:v>1.9546852463194364</c:v>
                </c:pt>
                <c:pt idx="202">
                  <c:v>2.0535919289439879</c:v>
                </c:pt>
                <c:pt idx="203">
                  <c:v>2.0674351275242246</c:v>
                </c:pt>
                <c:pt idx="204">
                  <c:v>1.9121293271331792</c:v>
                </c:pt>
                <c:pt idx="205">
                  <c:v>1.1452254270311704</c:v>
                </c:pt>
                <c:pt idx="206">
                  <c:v>0.68636727507093243</c:v>
                </c:pt>
                <c:pt idx="207">
                  <c:v>0.93158203932170058</c:v>
                </c:pt>
                <c:pt idx="208">
                  <c:v>1.0629150121798228</c:v>
                </c:pt>
                <c:pt idx="209">
                  <c:v>1.5183546776303269</c:v>
                </c:pt>
                <c:pt idx="210">
                  <c:v>0.82859831523412497</c:v>
                </c:pt>
                <c:pt idx="211">
                  <c:v>0.7615667624594844</c:v>
                </c:pt>
                <c:pt idx="212">
                  <c:v>0.91962295151213014</c:v>
                </c:pt>
                <c:pt idx="213">
                  <c:v>1.3351953020174931</c:v>
                </c:pt>
                <c:pt idx="214">
                  <c:v>1.5827146720693825</c:v>
                </c:pt>
                <c:pt idx="215">
                  <c:v>1.6147240241244649</c:v>
                </c:pt>
                <c:pt idx="216">
                  <c:v>1.7682251288584983</c:v>
                </c:pt>
                <c:pt idx="217">
                  <c:v>1.8289753619350368</c:v>
                </c:pt>
                <c:pt idx="218">
                  <c:v>1.9033402621737177</c:v>
                </c:pt>
                <c:pt idx="219">
                  <c:v>1.4206714262996365</c:v>
                </c:pt>
                <c:pt idx="220">
                  <c:v>1.8995457041659094</c:v>
                </c:pt>
                <c:pt idx="221">
                  <c:v>1.8761688164395287</c:v>
                </c:pt>
                <c:pt idx="222">
                  <c:v>1.8679615225168913</c:v>
                </c:pt>
                <c:pt idx="223">
                  <c:v>1.8986690262756383</c:v>
                </c:pt>
                <c:pt idx="224">
                  <c:v>2.3851506686933703</c:v>
                </c:pt>
                <c:pt idx="225">
                  <c:v>2.4635965487670703</c:v>
                </c:pt>
                <c:pt idx="226">
                  <c:v>2.3873548335572146</c:v>
                </c:pt>
                <c:pt idx="227">
                  <c:v>2.1128141097092978</c:v>
                </c:pt>
                <c:pt idx="228">
                  <c:v>1.7005886110520256</c:v>
                </c:pt>
                <c:pt idx="229">
                  <c:v>0.5372561002087145</c:v>
                </c:pt>
                <c:pt idx="230">
                  <c:v>1.317286719435055</c:v>
                </c:pt>
                <c:pt idx="231">
                  <c:v>0.98287524152325689</c:v>
                </c:pt>
                <c:pt idx="232">
                  <c:v>1.8740606990253956</c:v>
                </c:pt>
                <c:pt idx="233">
                  <c:v>1.8608683300615376</c:v>
                </c:pt>
                <c:pt idx="234">
                  <c:v>1.6519861614518145</c:v>
                </c:pt>
                <c:pt idx="235">
                  <c:v>1.7138722972147329</c:v>
                </c:pt>
                <c:pt idx="236">
                  <c:v>1.8691376973323228</c:v>
                </c:pt>
                <c:pt idx="237">
                  <c:v>1.6819774395066445</c:v>
                </c:pt>
                <c:pt idx="238">
                  <c:v>1.4896770190344175</c:v>
                </c:pt>
                <c:pt idx="239">
                  <c:v>1.5217424955907719</c:v>
                </c:pt>
                <c:pt idx="240">
                  <c:v>1.2800876630190161</c:v>
                </c:pt>
                <c:pt idx="241">
                  <c:v>1.2299481517911257</c:v>
                </c:pt>
                <c:pt idx="242">
                  <c:v>1.6010062031826666</c:v>
                </c:pt>
                <c:pt idx="243">
                  <c:v>1.2665995216035091</c:v>
                </c:pt>
                <c:pt idx="244">
                  <c:v>1.2316643374524392</c:v>
                </c:pt>
                <c:pt idx="245">
                  <c:v>1.2441723319067401</c:v>
                </c:pt>
                <c:pt idx="246">
                  <c:v>1.3356878352077852</c:v>
                </c:pt>
                <c:pt idx="247">
                  <c:v>1.2297432993581152</c:v>
                </c:pt>
                <c:pt idx="248">
                  <c:v>0.71714605042310098</c:v>
                </c:pt>
                <c:pt idx="249">
                  <c:v>0.70943920631795476</c:v>
                </c:pt>
                <c:pt idx="250">
                  <c:v>0.51784759303967587</c:v>
                </c:pt>
                <c:pt idx="251">
                  <c:v>0.82932111184880419</c:v>
                </c:pt>
                <c:pt idx="252">
                  <c:v>0.965524340969797</c:v>
                </c:pt>
                <c:pt idx="253">
                  <c:v>0.94085981698357601</c:v>
                </c:pt>
                <c:pt idx="254">
                  <c:v>1.3941695378013617</c:v>
                </c:pt>
                <c:pt idx="255">
                  <c:v>1.4671804727583564</c:v>
                </c:pt>
                <c:pt idx="256">
                  <c:v>1.5272608295598371</c:v>
                </c:pt>
                <c:pt idx="257">
                  <c:v>1.3815017539260452</c:v>
                </c:pt>
                <c:pt idx="258">
                  <c:v>0.98519643322447392</c:v>
                </c:pt>
                <c:pt idx="259">
                  <c:v>1.2419451864531641</c:v>
                </c:pt>
                <c:pt idx="260">
                  <c:v>0.90716093115251351</c:v>
                </c:pt>
                <c:pt idx="261">
                  <c:v>0.72787907955507036</c:v>
                </c:pt>
                <c:pt idx="262">
                  <c:v>0.77422732673707695</c:v>
                </c:pt>
                <c:pt idx="263">
                  <c:v>0.68063431774404071</c:v>
                </c:pt>
                <c:pt idx="264">
                  <c:v>0.68022715325623107</c:v>
                </c:pt>
                <c:pt idx="265">
                  <c:v>1.4131211867128954</c:v>
                </c:pt>
                <c:pt idx="266">
                  <c:v>0.64187374152588816</c:v>
                </c:pt>
                <c:pt idx="267">
                  <c:v>0.93787243974065371</c:v>
                </c:pt>
                <c:pt idx="268">
                  <c:v>0.99356734845082206</c:v>
                </c:pt>
                <c:pt idx="269">
                  <c:v>1.1656232761415906</c:v>
                </c:pt>
                <c:pt idx="270">
                  <c:v>1.4111941012977052</c:v>
                </c:pt>
                <c:pt idx="271">
                  <c:v>1.4635524491861007</c:v>
                </c:pt>
                <c:pt idx="272">
                  <c:v>1.5066351806605105</c:v>
                </c:pt>
                <c:pt idx="273">
                  <c:v>1.7381875090667886</c:v>
                </c:pt>
                <c:pt idx="274">
                  <c:v>1.9904586223866922</c:v>
                </c:pt>
                <c:pt idx="275">
                  <c:v>2.1451098606634913</c:v>
                </c:pt>
                <c:pt idx="276">
                  <c:v>2.0102762759668318</c:v>
                </c:pt>
                <c:pt idx="277">
                  <c:v>2.1141771380184959</c:v>
                </c:pt>
                <c:pt idx="278">
                  <c:v>1.9759150239665915</c:v>
                </c:pt>
                <c:pt idx="279">
                  <c:v>1.8342034302220429</c:v>
                </c:pt>
                <c:pt idx="280">
                  <c:v>1.628726564385699</c:v>
                </c:pt>
                <c:pt idx="281">
                  <c:v>1.4330506166984844</c:v>
                </c:pt>
                <c:pt idx="282">
                  <c:v>0.70354535965263165</c:v>
                </c:pt>
                <c:pt idx="283">
                  <c:v>0.42157178718494809</c:v>
                </c:pt>
                <c:pt idx="284">
                  <c:v>0.4594903823470266</c:v>
                </c:pt>
                <c:pt idx="285">
                  <c:v>1.151182783867726</c:v>
                </c:pt>
                <c:pt idx="286">
                  <c:v>0.63263257769351722</c:v>
                </c:pt>
                <c:pt idx="287">
                  <c:v>0.4875848033423123</c:v>
                </c:pt>
                <c:pt idx="288">
                  <c:v>0.52034281931327653</c:v>
                </c:pt>
                <c:pt idx="289">
                  <c:v>1.0036019666299101</c:v>
                </c:pt>
                <c:pt idx="290">
                  <c:v>1.5862843082356306</c:v>
                </c:pt>
                <c:pt idx="291">
                  <c:v>0.79452026070108239</c:v>
                </c:pt>
                <c:pt idx="292">
                  <c:v>0.40371930130330685</c:v>
                </c:pt>
                <c:pt idx="293">
                  <c:v>0.66100197968103824</c:v>
                </c:pt>
                <c:pt idx="294">
                  <c:v>1.1305479994656009</c:v>
                </c:pt>
                <c:pt idx="295">
                  <c:v>1.2797213584205194</c:v>
                </c:pt>
                <c:pt idx="296">
                  <c:v>0.62053204110049931</c:v>
                </c:pt>
                <c:pt idx="297">
                  <c:v>0.56338928698224688</c:v>
                </c:pt>
                <c:pt idx="298">
                  <c:v>0.38350869200867793</c:v>
                </c:pt>
                <c:pt idx="299">
                  <c:v>0.60631604721203392</c:v>
                </c:pt>
                <c:pt idx="300">
                  <c:v>0.52090644827866761</c:v>
                </c:pt>
                <c:pt idx="301">
                  <c:v>0.45741289569656746</c:v>
                </c:pt>
                <c:pt idx="302">
                  <c:v>0.43416893119949046</c:v>
                </c:pt>
                <c:pt idx="303">
                  <c:v>0.4033263998174717</c:v>
                </c:pt>
                <c:pt idx="304">
                  <c:v>0.37046614936363403</c:v>
                </c:pt>
                <c:pt idx="305">
                  <c:v>0.35778602872303411</c:v>
                </c:pt>
                <c:pt idx="306">
                  <c:v>0.34625691117022617</c:v>
                </c:pt>
                <c:pt idx="307">
                  <c:v>0.33368275598589642</c:v>
                </c:pt>
                <c:pt idx="308">
                  <c:v>0.37316057353421972</c:v>
                </c:pt>
                <c:pt idx="309">
                  <c:v>0.34659851739902831</c:v>
                </c:pt>
                <c:pt idx="310">
                  <c:v>0.41233204098775411</c:v>
                </c:pt>
                <c:pt idx="311">
                  <c:v>0.36698611136552306</c:v>
                </c:pt>
                <c:pt idx="312">
                  <c:v>0.41421231270098757</c:v>
                </c:pt>
                <c:pt idx="313">
                  <c:v>0.34613031128109145</c:v>
                </c:pt>
                <c:pt idx="314">
                  <c:v>0.35274976937547881</c:v>
                </c:pt>
                <c:pt idx="315">
                  <c:v>0.37019167955230636</c:v>
                </c:pt>
                <c:pt idx="316">
                  <c:v>0.34732388290899496</c:v>
                </c:pt>
                <c:pt idx="317">
                  <c:v>0.36449414199242058</c:v>
                </c:pt>
                <c:pt idx="318">
                  <c:v>0.3315917578166801</c:v>
                </c:pt>
                <c:pt idx="319">
                  <c:v>0.36512298307508295</c:v>
                </c:pt>
                <c:pt idx="320">
                  <c:v>0.35764729725340616</c:v>
                </c:pt>
                <c:pt idx="321">
                  <c:v>0.3443483226093097</c:v>
                </c:pt>
                <c:pt idx="322">
                  <c:v>0.34198803573438646</c:v>
                </c:pt>
                <c:pt idx="323">
                  <c:v>0.34198803573438646</c:v>
                </c:pt>
                <c:pt idx="324">
                  <c:v>0.3443483226093097</c:v>
                </c:pt>
                <c:pt idx="325">
                  <c:v>0.35457817797922231</c:v>
                </c:pt>
                <c:pt idx="326">
                  <c:v>0.3539676162304512</c:v>
                </c:pt>
                <c:pt idx="327">
                  <c:v>0.36198940301670424</c:v>
                </c:pt>
                <c:pt idx="328">
                  <c:v>0.36012205628536287</c:v>
                </c:pt>
                <c:pt idx="329">
                  <c:v>0.41447297730302907</c:v>
                </c:pt>
                <c:pt idx="330">
                  <c:v>0.82948474218017232</c:v>
                </c:pt>
                <c:pt idx="331">
                  <c:v>1.3360711326794394</c:v>
                </c:pt>
                <c:pt idx="332">
                  <c:v>2.2029391663864115</c:v>
                </c:pt>
                <c:pt idx="333">
                  <c:v>1.8506657343038253</c:v>
                </c:pt>
                <c:pt idx="334">
                  <c:v>2.1631804005696136</c:v>
                </c:pt>
                <c:pt idx="335">
                  <c:v>1.7560770205205072</c:v>
                </c:pt>
                <c:pt idx="336">
                  <c:v>1.9428554684461929</c:v>
                </c:pt>
                <c:pt idx="337">
                  <c:v>2.0171041772851859</c:v>
                </c:pt>
                <c:pt idx="338">
                  <c:v>1.7693233901174821</c:v>
                </c:pt>
                <c:pt idx="339">
                  <c:v>1.6036246301405996</c:v>
                </c:pt>
                <c:pt idx="340">
                  <c:v>2.1563681328991984</c:v>
                </c:pt>
                <c:pt idx="341">
                  <c:v>2.1104276019022246</c:v>
                </c:pt>
                <c:pt idx="342">
                  <c:v>1.7624670049296578</c:v>
                </c:pt>
                <c:pt idx="343">
                  <c:v>1.473847719135059</c:v>
                </c:pt>
                <c:pt idx="344">
                  <c:v>1.6264561476107977</c:v>
                </c:pt>
                <c:pt idx="345">
                  <c:v>1.226550309874989</c:v>
                </c:pt>
                <c:pt idx="346">
                  <c:v>1.2832552573493472</c:v>
                </c:pt>
                <c:pt idx="347">
                  <c:v>1.0730778996801367</c:v>
                </c:pt>
                <c:pt idx="348">
                  <c:v>0.74013894276794168</c:v>
                </c:pt>
                <c:pt idx="349">
                  <c:v>0.81476963902718968</c:v>
                </c:pt>
                <c:pt idx="350">
                  <c:v>0.37156495155745317</c:v>
                </c:pt>
                <c:pt idx="351">
                  <c:v>0.42563807845221685</c:v>
                </c:pt>
                <c:pt idx="352">
                  <c:v>0.64822859260817633</c:v>
                </c:pt>
                <c:pt idx="353">
                  <c:v>1.4734814541713952</c:v>
                </c:pt>
                <c:pt idx="354">
                  <c:v>1.2843544324166227</c:v>
                </c:pt>
                <c:pt idx="355">
                  <c:v>0.7901631015631243</c:v>
                </c:pt>
                <c:pt idx="356">
                  <c:v>1.1237516400649512</c:v>
                </c:pt>
                <c:pt idx="357">
                  <c:v>0.62812157946546143</c:v>
                </c:pt>
                <c:pt idx="358">
                  <c:v>0.68910963933458669</c:v>
                </c:pt>
                <c:pt idx="359">
                  <c:v>0.95585468315598021</c:v>
                </c:pt>
                <c:pt idx="360">
                  <c:v>0.9000546600450775</c:v>
                </c:pt>
                <c:pt idx="361">
                  <c:v>1.0640257438620944</c:v>
                </c:pt>
                <c:pt idx="362">
                  <c:v>0.72590565886926073</c:v>
                </c:pt>
                <c:pt idx="363">
                  <c:v>0.78284480020744507</c:v>
                </c:pt>
                <c:pt idx="364">
                  <c:v>0.33939928983301831</c:v>
                </c:pt>
                <c:pt idx="365">
                  <c:v>0.41839820802931155</c:v>
                </c:pt>
                <c:pt idx="366">
                  <c:v>0.37795371023234203</c:v>
                </c:pt>
                <c:pt idx="367">
                  <c:v>0.35044437656989769</c:v>
                </c:pt>
                <c:pt idx="368">
                  <c:v>0.32419173077305274</c:v>
                </c:pt>
                <c:pt idx="369">
                  <c:v>0.33826585606068105</c:v>
                </c:pt>
                <c:pt idx="370">
                  <c:v>0.38912234923590255</c:v>
                </c:pt>
                <c:pt idx="371">
                  <c:v>0.4229820146525653</c:v>
                </c:pt>
                <c:pt idx="372">
                  <c:v>0.34613031128109145</c:v>
                </c:pt>
                <c:pt idx="373">
                  <c:v>0.38712173352138263</c:v>
                </c:pt>
                <c:pt idx="374">
                  <c:v>0.35274976937547881</c:v>
                </c:pt>
                <c:pt idx="375">
                  <c:v>0.3670158524630216</c:v>
                </c:pt>
                <c:pt idx="376">
                  <c:v>0.37403711611222523</c:v>
                </c:pt>
                <c:pt idx="377">
                  <c:v>0.37532721538074593</c:v>
                </c:pt>
                <c:pt idx="378">
                  <c:v>0.34613031128109145</c:v>
                </c:pt>
                <c:pt idx="379">
                  <c:v>0.36955441813647172</c:v>
                </c:pt>
                <c:pt idx="380">
                  <c:v>0.69311560317823895</c:v>
                </c:pt>
                <c:pt idx="381">
                  <c:v>0.94709220496841762</c:v>
                </c:pt>
                <c:pt idx="382">
                  <c:v>1.5524894625729246</c:v>
                </c:pt>
                <c:pt idx="383">
                  <c:v>2.2382980320248418</c:v>
                </c:pt>
                <c:pt idx="384">
                  <c:v>2.078919670789602</c:v>
                </c:pt>
                <c:pt idx="385">
                  <c:v>1.6931049868708234</c:v>
                </c:pt>
                <c:pt idx="386">
                  <c:v>2.6035047113486893</c:v>
                </c:pt>
                <c:pt idx="387">
                  <c:v>2.2477481724672002</c:v>
                </c:pt>
                <c:pt idx="388">
                  <c:v>2.3782097925700585</c:v>
                </c:pt>
                <c:pt idx="389">
                  <c:v>2.3621139738314638</c:v>
                </c:pt>
                <c:pt idx="390">
                  <c:v>1.4683783112918034</c:v>
                </c:pt>
                <c:pt idx="391">
                  <c:v>1.2143204142107458</c:v>
                </c:pt>
                <c:pt idx="392">
                  <c:v>0.7635352344812899</c:v>
                </c:pt>
                <c:pt idx="393">
                  <c:v>0.66557104054034055</c:v>
                </c:pt>
                <c:pt idx="394">
                  <c:v>0.61409092764668571</c:v>
                </c:pt>
                <c:pt idx="395">
                  <c:v>0.57514599879440331</c:v>
                </c:pt>
                <c:pt idx="396">
                  <c:v>0.46146794782706524</c:v>
                </c:pt>
                <c:pt idx="397">
                  <c:v>0.43666591169880165</c:v>
                </c:pt>
                <c:pt idx="398">
                  <c:v>0.40219207240943455</c:v>
                </c:pt>
                <c:pt idx="399">
                  <c:v>0.36516320551800369</c:v>
                </c:pt>
                <c:pt idx="400">
                  <c:v>0.33052762462624863</c:v>
                </c:pt>
                <c:pt idx="401">
                  <c:v>0.34521030702986227</c:v>
                </c:pt>
                <c:pt idx="402">
                  <c:v>0.38016920047543873</c:v>
                </c:pt>
                <c:pt idx="403">
                  <c:v>0.3960565024437902</c:v>
                </c:pt>
                <c:pt idx="404">
                  <c:v>0.37019167955230636</c:v>
                </c:pt>
                <c:pt idx="405">
                  <c:v>0.3818392106947559</c:v>
                </c:pt>
                <c:pt idx="406">
                  <c:v>0.37597381066607521</c:v>
                </c:pt>
                <c:pt idx="407">
                  <c:v>0.36955441813647172</c:v>
                </c:pt>
                <c:pt idx="408">
                  <c:v>0.34494120057447636</c:v>
                </c:pt>
                <c:pt idx="409">
                  <c:v>0.36891820290256278</c:v>
                </c:pt>
                <c:pt idx="410">
                  <c:v>0.34613031128109145</c:v>
                </c:pt>
                <c:pt idx="411">
                  <c:v>0.36891820290256278</c:v>
                </c:pt>
                <c:pt idx="412">
                  <c:v>0.35703130471806926</c:v>
                </c:pt>
                <c:pt idx="413">
                  <c:v>0.33616652941935438</c:v>
                </c:pt>
                <c:pt idx="414">
                  <c:v>0.33674355249062438</c:v>
                </c:pt>
                <c:pt idx="415">
                  <c:v>0.3379010297260947</c:v>
                </c:pt>
                <c:pt idx="416">
                  <c:v>0.34198803573438646</c:v>
                </c:pt>
                <c:pt idx="417">
                  <c:v>0.33272852311721807</c:v>
                </c:pt>
                <c:pt idx="418">
                  <c:v>0.33329864221017741</c:v>
                </c:pt>
                <c:pt idx="419">
                  <c:v>0.34140077934740681</c:v>
                </c:pt>
                <c:pt idx="420">
                  <c:v>0.33386991650884612</c:v>
                </c:pt>
                <c:pt idx="421">
                  <c:v>0.3390630696383849</c:v>
                </c:pt>
                <c:pt idx="422">
                  <c:v>0.34140077934740681</c:v>
                </c:pt>
                <c:pt idx="423">
                  <c:v>0.36198940301670424</c:v>
                </c:pt>
                <c:pt idx="424">
                  <c:v>0.37339361576315994</c:v>
                </c:pt>
                <c:pt idx="425">
                  <c:v>0.89791198263431371</c:v>
                </c:pt>
                <c:pt idx="426">
                  <c:v>1.3847808748576667</c:v>
                </c:pt>
                <c:pt idx="427">
                  <c:v>1.7616990810641973</c:v>
                </c:pt>
                <c:pt idx="428">
                  <c:v>1.732783955693608</c:v>
                </c:pt>
                <c:pt idx="429">
                  <c:v>2.1849542413030409</c:v>
                </c:pt>
                <c:pt idx="430">
                  <c:v>1.836184687789264</c:v>
                </c:pt>
                <c:pt idx="431">
                  <c:v>2.1359829972982278</c:v>
                </c:pt>
                <c:pt idx="432">
                  <c:v>2.4793517422610911</c:v>
                </c:pt>
                <c:pt idx="433">
                  <c:v>2.316702739419414</c:v>
                </c:pt>
                <c:pt idx="434">
                  <c:v>2.8023735182606369</c:v>
                </c:pt>
                <c:pt idx="435">
                  <c:v>2.8621840926072597</c:v>
                </c:pt>
                <c:pt idx="436">
                  <c:v>2.1073834103919298</c:v>
                </c:pt>
                <c:pt idx="437">
                  <c:v>1.5282894151787314</c:v>
                </c:pt>
                <c:pt idx="438">
                  <c:v>1.1525265694492777</c:v>
                </c:pt>
                <c:pt idx="439">
                  <c:v>0.99183286962473793</c:v>
                </c:pt>
                <c:pt idx="440">
                  <c:v>1.2657327277205908</c:v>
                </c:pt>
                <c:pt idx="441">
                  <c:v>0.81877498674762461</c:v>
                </c:pt>
                <c:pt idx="442">
                  <c:v>0.81577349407708255</c:v>
                </c:pt>
                <c:pt idx="443">
                  <c:v>1.149223096851256</c:v>
                </c:pt>
                <c:pt idx="444">
                  <c:v>0.50897564953916496</c:v>
                </c:pt>
                <c:pt idx="445">
                  <c:v>0.74930650775253105</c:v>
                </c:pt>
                <c:pt idx="446">
                  <c:v>0.50568681322961551</c:v>
                </c:pt>
                <c:pt idx="447">
                  <c:v>0.65048218327180019</c:v>
                </c:pt>
                <c:pt idx="448">
                  <c:v>0.65971039780847618</c:v>
                </c:pt>
                <c:pt idx="449">
                  <c:v>0.79534139513093938</c:v>
                </c:pt>
                <c:pt idx="450">
                  <c:v>0.69257020485093701</c:v>
                </c:pt>
                <c:pt idx="451">
                  <c:v>0.73265700847362536</c:v>
                </c:pt>
                <c:pt idx="452">
                  <c:v>0.8826674533291452</c:v>
                </c:pt>
                <c:pt idx="453">
                  <c:v>0.94691481923399923</c:v>
                </c:pt>
                <c:pt idx="454">
                  <c:v>0.53509965258592795</c:v>
                </c:pt>
                <c:pt idx="455">
                  <c:v>1.048726283818497</c:v>
                </c:pt>
                <c:pt idx="456">
                  <c:v>1.0606742222646015</c:v>
                </c:pt>
                <c:pt idx="457">
                  <c:v>0.53261916265437259</c:v>
                </c:pt>
                <c:pt idx="458">
                  <c:v>0.59286048759430843</c:v>
                </c:pt>
                <c:pt idx="459">
                  <c:v>1.4604207926124413</c:v>
                </c:pt>
                <c:pt idx="460">
                  <c:v>1.1355778441442379</c:v>
                </c:pt>
                <c:pt idx="461">
                  <c:v>1.0465223180977847</c:v>
                </c:pt>
                <c:pt idx="462">
                  <c:v>0.80268572713267283</c:v>
                </c:pt>
                <c:pt idx="463">
                  <c:v>0.96821339221611846</c:v>
                </c:pt>
                <c:pt idx="464">
                  <c:v>0.45537723544593572</c:v>
                </c:pt>
                <c:pt idx="465">
                  <c:v>1.1017246946312429</c:v>
                </c:pt>
                <c:pt idx="466">
                  <c:v>0.41096610606474177</c:v>
                </c:pt>
                <c:pt idx="467">
                  <c:v>0.64474078203044793</c:v>
                </c:pt>
                <c:pt idx="468">
                  <c:v>0.64440152815192575</c:v>
                </c:pt>
                <c:pt idx="469">
                  <c:v>0.32486830786765292</c:v>
                </c:pt>
                <c:pt idx="470">
                  <c:v>0.43918315521720386</c:v>
                </c:pt>
                <c:pt idx="471">
                  <c:v>0.41252608819410297</c:v>
                </c:pt>
                <c:pt idx="472">
                  <c:v>0.37795371023234203</c:v>
                </c:pt>
                <c:pt idx="473">
                  <c:v>0.3420701317375095</c:v>
                </c:pt>
                <c:pt idx="474">
                  <c:v>0.36470802859464502</c:v>
                </c:pt>
                <c:pt idx="475">
                  <c:v>0.32007654470680125</c:v>
                </c:pt>
                <c:pt idx="476">
                  <c:v>0.34753615846890201</c:v>
                </c:pt>
                <c:pt idx="477">
                  <c:v>0.36675234436587062</c:v>
                </c:pt>
                <c:pt idx="478">
                  <c:v>0.35764729725340616</c:v>
                </c:pt>
                <c:pt idx="479">
                  <c:v>0.34613031128109145</c:v>
                </c:pt>
                <c:pt idx="480">
                  <c:v>0.37727008345355634</c:v>
                </c:pt>
                <c:pt idx="481">
                  <c:v>0.33732171986522552</c:v>
                </c:pt>
                <c:pt idx="482">
                  <c:v>0.3443483226093097</c:v>
                </c:pt>
                <c:pt idx="483">
                  <c:v>0.37210972272073473</c:v>
                </c:pt>
                <c:pt idx="484">
                  <c:v>0.33674355249062438</c:v>
                </c:pt>
                <c:pt idx="485">
                  <c:v>0.38249600432519959</c:v>
                </c:pt>
                <c:pt idx="486">
                  <c:v>0.37339361576315994</c:v>
                </c:pt>
                <c:pt idx="487">
                  <c:v>0.48749703077456702</c:v>
                </c:pt>
                <c:pt idx="488">
                  <c:v>0.72748759201554314</c:v>
                </c:pt>
                <c:pt idx="489">
                  <c:v>1.1557013902534539</c:v>
                </c:pt>
                <c:pt idx="490">
                  <c:v>0.72951590456255067</c:v>
                </c:pt>
                <c:pt idx="491">
                  <c:v>0.57946281927871035</c:v>
                </c:pt>
                <c:pt idx="492">
                  <c:v>0.67789992895631268</c:v>
                </c:pt>
                <c:pt idx="493">
                  <c:v>1.2034359167039492</c:v>
                </c:pt>
                <c:pt idx="494">
                  <c:v>1.7762395076863282</c:v>
                </c:pt>
                <c:pt idx="495">
                  <c:v>1.9001101369437547</c:v>
                </c:pt>
                <c:pt idx="496">
                  <c:v>1.0772124287451414</c:v>
                </c:pt>
                <c:pt idx="497">
                  <c:v>1.169699927412317</c:v>
                </c:pt>
                <c:pt idx="498">
                  <c:v>1.1499466995592384</c:v>
                </c:pt>
                <c:pt idx="499">
                  <c:v>1.3078440437884387</c:v>
                </c:pt>
                <c:pt idx="500">
                  <c:v>1.0975777157369362</c:v>
                </c:pt>
                <c:pt idx="501">
                  <c:v>0.84448336902148946</c:v>
                </c:pt>
                <c:pt idx="502">
                  <c:v>0.93860371695347133</c:v>
                </c:pt>
                <c:pt idx="503">
                  <c:v>1.1178845274423823</c:v>
                </c:pt>
                <c:pt idx="504">
                  <c:v>0.68767539539757661</c:v>
                </c:pt>
                <c:pt idx="505">
                  <c:v>0.89558274068900445</c:v>
                </c:pt>
                <c:pt idx="506">
                  <c:v>0.73046872552003483</c:v>
                </c:pt>
                <c:pt idx="507">
                  <c:v>0.42031568221480237</c:v>
                </c:pt>
                <c:pt idx="508">
                  <c:v>0.59269503187489625</c:v>
                </c:pt>
                <c:pt idx="509">
                  <c:v>0.64839386909297814</c:v>
                </c:pt>
                <c:pt idx="510">
                  <c:v>0.69624967571599095</c:v>
                </c:pt>
                <c:pt idx="511">
                  <c:v>1.0328167038758582</c:v>
                </c:pt>
                <c:pt idx="512">
                  <c:v>0.87810399229377201</c:v>
                </c:pt>
                <c:pt idx="513">
                  <c:v>0.75394768281105928</c:v>
                </c:pt>
                <c:pt idx="514">
                  <c:v>0.54517747027440666</c:v>
                </c:pt>
                <c:pt idx="515">
                  <c:v>0.53729317390873432</c:v>
                </c:pt>
                <c:pt idx="516">
                  <c:v>0.54148938807215408</c:v>
                </c:pt>
                <c:pt idx="517">
                  <c:v>0.71012101476480605</c:v>
                </c:pt>
                <c:pt idx="518">
                  <c:v>0.6922943428898326</c:v>
                </c:pt>
                <c:pt idx="519">
                  <c:v>0.39768681705894715</c:v>
                </c:pt>
                <c:pt idx="520">
                  <c:v>0.37687884516814046</c:v>
                </c:pt>
                <c:pt idx="521">
                  <c:v>0.34311697932439078</c:v>
                </c:pt>
                <c:pt idx="522">
                  <c:v>0.36330708786456595</c:v>
                </c:pt>
                <c:pt idx="523">
                  <c:v>0.40994741666783585</c:v>
                </c:pt>
                <c:pt idx="524">
                  <c:v>0.33892810990964078</c:v>
                </c:pt>
                <c:pt idx="525">
                  <c:v>0.33837503019554627</c:v>
                </c:pt>
                <c:pt idx="526">
                  <c:v>0.40541595027799171</c:v>
                </c:pt>
                <c:pt idx="527">
                  <c:v>0.37987490701804322</c:v>
                </c:pt>
                <c:pt idx="528">
                  <c:v>0.36136588369682382</c:v>
                </c:pt>
                <c:pt idx="529">
                  <c:v>0.37597381066607521</c:v>
                </c:pt>
                <c:pt idx="530">
                  <c:v>0.39112555561049189</c:v>
                </c:pt>
                <c:pt idx="531">
                  <c:v>0.34494120057447636</c:v>
                </c:pt>
                <c:pt idx="532">
                  <c:v>0.3818392106947559</c:v>
                </c:pt>
                <c:pt idx="533">
                  <c:v>0.33732171986522552</c:v>
                </c:pt>
                <c:pt idx="534">
                  <c:v>0.36891820290256278</c:v>
                </c:pt>
                <c:pt idx="535">
                  <c:v>0.37082998533300382</c:v>
                </c:pt>
                <c:pt idx="536">
                  <c:v>0.36012205628536287</c:v>
                </c:pt>
                <c:pt idx="537">
                  <c:v>0.3443483226093097</c:v>
                </c:pt>
                <c:pt idx="538">
                  <c:v>0.36575288305911274</c:v>
                </c:pt>
                <c:pt idx="539">
                  <c:v>0.36955441813647172</c:v>
                </c:pt>
                <c:pt idx="540">
                  <c:v>0.34022965769099051</c:v>
                </c:pt>
                <c:pt idx="541">
                  <c:v>0.3437565653256543</c:v>
                </c:pt>
                <c:pt idx="542">
                  <c:v>0.34081465272725381</c:v>
                </c:pt>
                <c:pt idx="543">
                  <c:v>0.3539676162304512</c:v>
                </c:pt>
                <c:pt idx="544">
                  <c:v>0.82854736620520575</c:v>
                </c:pt>
                <c:pt idx="545">
                  <c:v>1.0979334072695015</c:v>
                </c:pt>
                <c:pt idx="546">
                  <c:v>1.8359055155689405</c:v>
                </c:pt>
                <c:pt idx="547">
                  <c:v>1.4849479057741892</c:v>
                </c:pt>
                <c:pt idx="548">
                  <c:v>1.0670351360572419</c:v>
                </c:pt>
                <c:pt idx="549">
                  <c:v>1.7152803799605114</c:v>
                </c:pt>
                <c:pt idx="550">
                  <c:v>1.1269124564467972</c:v>
                </c:pt>
                <c:pt idx="551">
                  <c:v>0.86336218685842148</c:v>
                </c:pt>
                <c:pt idx="552">
                  <c:v>0.37429657820748741</c:v>
                </c:pt>
                <c:pt idx="553">
                  <c:v>0.88450583204316091</c:v>
                </c:pt>
                <c:pt idx="554">
                  <c:v>0.71859739966980052</c:v>
                </c:pt>
                <c:pt idx="555">
                  <c:v>0.50220094533963011</c:v>
                </c:pt>
                <c:pt idx="556">
                  <c:v>0.34823666919411927</c:v>
                </c:pt>
                <c:pt idx="557">
                  <c:v>0.3252504997409702</c:v>
                </c:pt>
                <c:pt idx="558">
                  <c:v>0.40113171618634968</c:v>
                </c:pt>
                <c:pt idx="559">
                  <c:v>0.40105405423618207</c:v>
                </c:pt>
                <c:pt idx="560">
                  <c:v>0.38327608460398149</c:v>
                </c:pt>
                <c:pt idx="561">
                  <c:v>0.54748940557723669</c:v>
                </c:pt>
                <c:pt idx="562">
                  <c:v>0.3252504997409702</c:v>
                </c:pt>
                <c:pt idx="563">
                  <c:v>0.37919911135999002</c:v>
                </c:pt>
                <c:pt idx="564">
                  <c:v>0.35262316448908504</c:v>
                </c:pt>
                <c:pt idx="565">
                  <c:v>0.47427193341208967</c:v>
                </c:pt>
                <c:pt idx="566">
                  <c:v>0.54248546614012227</c:v>
                </c:pt>
                <c:pt idx="567">
                  <c:v>0.57929158659271285</c:v>
                </c:pt>
                <c:pt idx="568">
                  <c:v>0.88299405510234019</c:v>
                </c:pt>
                <c:pt idx="569">
                  <c:v>0.7295150829991115</c:v>
                </c:pt>
                <c:pt idx="570">
                  <c:v>0.83196833858557684</c:v>
                </c:pt>
                <c:pt idx="571">
                  <c:v>1.1149760357998202</c:v>
                </c:pt>
                <c:pt idx="572">
                  <c:v>0.95577043480187529</c:v>
                </c:pt>
                <c:pt idx="573">
                  <c:v>0.60399579985533725</c:v>
                </c:pt>
                <c:pt idx="574">
                  <c:v>0.76370227549006364</c:v>
                </c:pt>
                <c:pt idx="575">
                  <c:v>0.76330903739464417</c:v>
                </c:pt>
                <c:pt idx="576">
                  <c:v>0.8606595314200377</c:v>
                </c:pt>
                <c:pt idx="577">
                  <c:v>0.75037571303681683</c:v>
                </c:pt>
                <c:pt idx="578">
                  <c:v>0.63563812241460693</c:v>
                </c:pt>
                <c:pt idx="579">
                  <c:v>0.53371450104633889</c:v>
                </c:pt>
                <c:pt idx="580">
                  <c:v>0.75830234361487736</c:v>
                </c:pt>
                <c:pt idx="581">
                  <c:v>0.84795257963992055</c:v>
                </c:pt>
                <c:pt idx="582">
                  <c:v>1.9695834005510346</c:v>
                </c:pt>
                <c:pt idx="583">
                  <c:v>1.3623578189387249</c:v>
                </c:pt>
                <c:pt idx="584">
                  <c:v>1.2129571437967472</c:v>
                </c:pt>
                <c:pt idx="585">
                  <c:v>1.0688910940804879</c:v>
                </c:pt>
                <c:pt idx="586">
                  <c:v>0.55809412680528692</c:v>
                </c:pt>
                <c:pt idx="587">
                  <c:v>0.41369261304352711</c:v>
                </c:pt>
                <c:pt idx="588">
                  <c:v>0.38010921197025638</c:v>
                </c:pt>
                <c:pt idx="589">
                  <c:v>0.34416368375154605</c:v>
                </c:pt>
                <c:pt idx="590">
                  <c:v>0.36190799461708234</c:v>
                </c:pt>
                <c:pt idx="591">
                  <c:v>0.40757837416675341</c:v>
                </c:pt>
                <c:pt idx="592">
                  <c:v>0.33029361407721869</c:v>
                </c:pt>
                <c:pt idx="593">
                  <c:v>0.34842783589518972</c:v>
                </c:pt>
                <c:pt idx="594">
                  <c:v>0.3766214339626997</c:v>
                </c:pt>
                <c:pt idx="595">
                  <c:v>0.38052866022411469</c:v>
                </c:pt>
                <c:pt idx="596">
                  <c:v>0.35580256903401952</c:v>
                </c:pt>
                <c:pt idx="597">
                  <c:v>0.34972435078264946</c:v>
                </c:pt>
                <c:pt idx="598">
                  <c:v>0.3390630696383849</c:v>
                </c:pt>
                <c:pt idx="599">
                  <c:v>0.36136588369682382</c:v>
                </c:pt>
                <c:pt idx="600">
                  <c:v>0.36449414199242058</c:v>
                </c:pt>
                <c:pt idx="601">
                  <c:v>0.34912257277966247</c:v>
                </c:pt>
                <c:pt idx="602">
                  <c:v>0.34732388290899496</c:v>
                </c:pt>
                <c:pt idx="603">
                  <c:v>0.33964579605567974</c:v>
                </c:pt>
                <c:pt idx="604">
                  <c:v>0.34140077934740681</c:v>
                </c:pt>
                <c:pt idx="605">
                  <c:v>0.3390630696383849</c:v>
                </c:pt>
                <c:pt idx="606">
                  <c:v>0.34852190092168239</c:v>
                </c:pt>
                <c:pt idx="607">
                  <c:v>0.36891820290256278</c:v>
                </c:pt>
                <c:pt idx="608">
                  <c:v>0.37082998533300382</c:v>
                </c:pt>
                <c:pt idx="609">
                  <c:v>0.36012205628536287</c:v>
                </c:pt>
                <c:pt idx="610">
                  <c:v>0.33329864221017741</c:v>
                </c:pt>
                <c:pt idx="611">
                  <c:v>0.34140077934740681</c:v>
                </c:pt>
                <c:pt idx="612">
                  <c:v>0.33501592345505976</c:v>
                </c:pt>
                <c:pt idx="613">
                  <c:v>0.33848148025616892</c:v>
                </c:pt>
                <c:pt idx="614">
                  <c:v>0.32933216963489198</c:v>
                </c:pt>
                <c:pt idx="615">
                  <c:v>0.3379010297260947</c:v>
                </c:pt>
                <c:pt idx="616">
                  <c:v>0.34257642007112959</c:v>
                </c:pt>
                <c:pt idx="617">
                  <c:v>0.34494120057447636</c:v>
                </c:pt>
                <c:pt idx="618">
                  <c:v>0.34672654038841372</c:v>
                </c:pt>
                <c:pt idx="619">
                  <c:v>0.35950175182790844</c:v>
                </c:pt>
                <c:pt idx="620">
                  <c:v>0.33616652941935438</c:v>
                </c:pt>
                <c:pt idx="621">
                  <c:v>0.40541595027799171</c:v>
                </c:pt>
                <c:pt idx="622">
                  <c:v>0.84167389628737688</c:v>
                </c:pt>
                <c:pt idx="623">
                  <c:v>1.1188064848831405</c:v>
                </c:pt>
                <c:pt idx="624">
                  <c:v>0.96970064958875857</c:v>
                </c:pt>
                <c:pt idx="625">
                  <c:v>1.437612423620102</c:v>
                </c:pt>
                <c:pt idx="626">
                  <c:v>1.4646453520264493</c:v>
                </c:pt>
                <c:pt idx="627">
                  <c:v>1.1580258899838005</c:v>
                </c:pt>
                <c:pt idx="628">
                  <c:v>1.4678830879085489</c:v>
                </c:pt>
                <c:pt idx="629">
                  <c:v>1.7686066999369652</c:v>
                </c:pt>
                <c:pt idx="630">
                  <c:v>1.4082952533854733</c:v>
                </c:pt>
                <c:pt idx="631">
                  <c:v>1.7425861961194928</c:v>
                </c:pt>
                <c:pt idx="632">
                  <c:v>1.5038894147314643</c:v>
                </c:pt>
                <c:pt idx="633">
                  <c:v>1.0655627747424099</c:v>
                </c:pt>
                <c:pt idx="634">
                  <c:v>1.2816788986349921</c:v>
                </c:pt>
                <c:pt idx="635">
                  <c:v>1.0806434547733799</c:v>
                </c:pt>
                <c:pt idx="636">
                  <c:v>1.1544190091156206</c:v>
                </c:pt>
                <c:pt idx="637">
                  <c:v>0.99177810329326244</c:v>
                </c:pt>
                <c:pt idx="638">
                  <c:v>0.43046036842079943</c:v>
                </c:pt>
                <c:pt idx="639">
                  <c:v>0.49813619056808384</c:v>
                </c:pt>
                <c:pt idx="640">
                  <c:v>0.68339683510699978</c:v>
                </c:pt>
                <c:pt idx="641">
                  <c:v>0.87622402040778613</c:v>
                </c:pt>
                <c:pt idx="642">
                  <c:v>0.45347325419464013</c:v>
                </c:pt>
                <c:pt idx="643">
                  <c:v>0.41958479072721394</c:v>
                </c:pt>
                <c:pt idx="644">
                  <c:v>0.41136338888171387</c:v>
                </c:pt>
                <c:pt idx="645">
                  <c:v>0.38991647950340808</c:v>
                </c:pt>
                <c:pt idx="646">
                  <c:v>0.36305057553825087</c:v>
                </c:pt>
                <c:pt idx="647">
                  <c:v>0.33473298124251372</c:v>
                </c:pt>
                <c:pt idx="648">
                  <c:v>0.36611096151133027</c:v>
                </c:pt>
                <c:pt idx="649">
                  <c:v>0.33409125683610902</c:v>
                </c:pt>
                <c:pt idx="650">
                  <c:v>0.38686930670423697</c:v>
                </c:pt>
                <c:pt idx="651">
                  <c:v>0.36227789326498616</c:v>
                </c:pt>
                <c:pt idx="652">
                  <c:v>0.35006440834732239</c:v>
                </c:pt>
                <c:pt idx="653">
                  <c:v>0.40197492302114229</c:v>
                </c:pt>
                <c:pt idx="654">
                  <c:v>0.38712173352138263</c:v>
                </c:pt>
                <c:pt idx="655">
                  <c:v>0.35335814609018235</c:v>
                </c:pt>
                <c:pt idx="656">
                  <c:v>0.39381451894096864</c:v>
                </c:pt>
                <c:pt idx="657">
                  <c:v>0.37791975732158206</c:v>
                </c:pt>
                <c:pt idx="658">
                  <c:v>0.34316593054057326</c:v>
                </c:pt>
                <c:pt idx="659">
                  <c:v>0.36449414199242058</c:v>
                </c:pt>
                <c:pt idx="660">
                  <c:v>0.37082998533300382</c:v>
                </c:pt>
                <c:pt idx="661">
                  <c:v>0.35093121795539134</c:v>
                </c:pt>
                <c:pt idx="662">
                  <c:v>0.34732388290899496</c:v>
                </c:pt>
                <c:pt idx="663">
                  <c:v>0.33616652941935438</c:v>
                </c:pt>
                <c:pt idx="664">
                  <c:v>0.33732171986522552</c:v>
                </c:pt>
                <c:pt idx="665">
                  <c:v>0.33272852311721807</c:v>
                </c:pt>
                <c:pt idx="666">
                  <c:v>0.3443483226093097</c:v>
                </c:pt>
                <c:pt idx="667">
                  <c:v>0.34912257277966247</c:v>
                </c:pt>
                <c:pt idx="668">
                  <c:v>0.33616652941935438</c:v>
                </c:pt>
                <c:pt idx="669">
                  <c:v>0.3521424879034038</c:v>
                </c:pt>
                <c:pt idx="670">
                  <c:v>0.57279360573673255</c:v>
                </c:pt>
                <c:pt idx="671">
                  <c:v>0.65456362385053879</c:v>
                </c:pt>
                <c:pt idx="672">
                  <c:v>0.85778112266201001</c:v>
                </c:pt>
                <c:pt idx="673">
                  <c:v>1.3384337529518884</c:v>
                </c:pt>
                <c:pt idx="674">
                  <c:v>1.1887044898904837</c:v>
                </c:pt>
                <c:pt idx="675">
                  <c:v>1.4604650211424106</c:v>
                </c:pt>
                <c:pt idx="676">
                  <c:v>0.99066773917686479</c:v>
                </c:pt>
                <c:pt idx="677">
                  <c:v>1.692619101709</c:v>
                </c:pt>
                <c:pt idx="678">
                  <c:v>0.73400516153360773</c:v>
                </c:pt>
                <c:pt idx="679">
                  <c:v>0.39623153069451972</c:v>
                </c:pt>
                <c:pt idx="680">
                  <c:v>0.90418537338357596</c:v>
                </c:pt>
                <c:pt idx="681">
                  <c:v>1.1608066752669415</c:v>
                </c:pt>
                <c:pt idx="682">
                  <c:v>1.2703804634848801</c:v>
                </c:pt>
                <c:pt idx="683">
                  <c:v>1.2891336420159265</c:v>
                </c:pt>
                <c:pt idx="684">
                  <c:v>1.3936448323558945</c:v>
                </c:pt>
                <c:pt idx="685">
                  <c:v>0.84873834094826273</c:v>
                </c:pt>
                <c:pt idx="686">
                  <c:v>0.50522032283073148</c:v>
                </c:pt>
                <c:pt idx="687">
                  <c:v>0.38080865049244467</c:v>
                </c:pt>
                <c:pt idx="688">
                  <c:v>0.96486584426593014</c:v>
                </c:pt>
                <c:pt idx="689">
                  <c:v>1.1798442882939688</c:v>
                </c:pt>
                <c:pt idx="690">
                  <c:v>0.43493758358479229</c:v>
                </c:pt>
                <c:pt idx="691">
                  <c:v>0.38010921197025638</c:v>
                </c:pt>
                <c:pt idx="692">
                  <c:v>0.36834099853159064</c:v>
                </c:pt>
                <c:pt idx="693">
                  <c:v>0.35568571902198903</c:v>
                </c:pt>
                <c:pt idx="694">
                  <c:v>0.3284198706194516</c:v>
                </c:pt>
                <c:pt idx="695">
                  <c:v>0.34659851739902831</c:v>
                </c:pt>
                <c:pt idx="696">
                  <c:v>0.38686930670423697</c:v>
                </c:pt>
                <c:pt idx="697">
                  <c:v>0.41421231270098757</c:v>
                </c:pt>
                <c:pt idx="698">
                  <c:v>0.32834661491529915</c:v>
                </c:pt>
                <c:pt idx="699">
                  <c:v>0.33215956104703126</c:v>
                </c:pt>
                <c:pt idx="700">
                  <c:v>0.35335814609018235</c:v>
                </c:pt>
                <c:pt idx="701">
                  <c:v>0.34672654038841372</c:v>
                </c:pt>
                <c:pt idx="702">
                  <c:v>0.3818392106947559</c:v>
                </c:pt>
                <c:pt idx="703">
                  <c:v>0.36386636162818831</c:v>
                </c:pt>
                <c:pt idx="704">
                  <c:v>0.88386732991737238</c:v>
                </c:pt>
                <c:pt idx="705">
                  <c:v>1.46408263910905</c:v>
                </c:pt>
                <c:pt idx="706">
                  <c:v>1.2592236058272674</c:v>
                </c:pt>
                <c:pt idx="707">
                  <c:v>1.5916595269829117</c:v>
                </c:pt>
                <c:pt idx="708">
                  <c:v>1.3818848218176836</c:v>
                </c:pt>
                <c:pt idx="709">
                  <c:v>1.7596953605752617</c:v>
                </c:pt>
                <c:pt idx="710">
                  <c:v>1.2891615029642884</c:v>
                </c:pt>
                <c:pt idx="711">
                  <c:v>1.5823304673822582</c:v>
                </c:pt>
                <c:pt idx="712">
                  <c:v>1.7669686167316678</c:v>
                </c:pt>
                <c:pt idx="713">
                  <c:v>1.8261210140916626</c:v>
                </c:pt>
                <c:pt idx="714">
                  <c:v>1.6990522128800154</c:v>
                </c:pt>
                <c:pt idx="715">
                  <c:v>1.4005137832612424</c:v>
                </c:pt>
                <c:pt idx="716">
                  <c:v>1.5320798120663062</c:v>
                </c:pt>
                <c:pt idx="717">
                  <c:v>1.1512562884377087</c:v>
                </c:pt>
                <c:pt idx="718">
                  <c:v>0.94463545089312173</c:v>
                </c:pt>
                <c:pt idx="719">
                  <c:v>1.0358082658088521</c:v>
                </c:pt>
                <c:pt idx="720">
                  <c:v>1.0744092166656909</c:v>
                </c:pt>
                <c:pt idx="721">
                  <c:v>0.67890736910352556</c:v>
                </c:pt>
                <c:pt idx="722">
                  <c:v>0.67679068753161398</c:v>
                </c:pt>
                <c:pt idx="723">
                  <c:v>0.66206805294266091</c:v>
                </c:pt>
                <c:pt idx="724">
                  <c:v>0.62067628657653029</c:v>
                </c:pt>
                <c:pt idx="725">
                  <c:v>0.63317660909713547</c:v>
                </c:pt>
                <c:pt idx="726">
                  <c:v>0.44172115784179278</c:v>
                </c:pt>
                <c:pt idx="727">
                  <c:v>0.42801187508817529</c:v>
                </c:pt>
                <c:pt idx="728">
                  <c:v>0.40904921882449319</c:v>
                </c:pt>
                <c:pt idx="729">
                  <c:v>0.38662635484394414</c:v>
                </c:pt>
                <c:pt idx="730">
                  <c:v>0.3609420857469976</c:v>
                </c:pt>
                <c:pt idx="731">
                  <c:v>0.33683157602617197</c:v>
                </c:pt>
                <c:pt idx="732">
                  <c:v>0.37033316042112874</c:v>
                </c:pt>
                <c:pt idx="733">
                  <c:v>0.34521030702986227</c:v>
                </c:pt>
                <c:pt idx="734">
                  <c:v>0.40055935170983115</c:v>
                </c:pt>
                <c:pt idx="735">
                  <c:v>0.38089944712189566</c:v>
                </c:pt>
                <c:pt idx="736">
                  <c:v>0.42726031131050585</c:v>
                </c:pt>
                <c:pt idx="737">
                  <c:v>0.36012205628536287</c:v>
                </c:pt>
                <c:pt idx="738">
                  <c:v>0.37857045374971388</c:v>
                </c:pt>
                <c:pt idx="739">
                  <c:v>0.36261399032326708</c:v>
                </c:pt>
                <c:pt idx="740">
                  <c:v>0.38978698399007022</c:v>
                </c:pt>
                <c:pt idx="741">
                  <c:v>0.37597381066607521</c:v>
                </c:pt>
                <c:pt idx="742">
                  <c:v>0.66772410573397811</c:v>
                </c:pt>
                <c:pt idx="743">
                  <c:v>0.79048873142044185</c:v>
                </c:pt>
                <c:pt idx="744">
                  <c:v>1.8110351225579895</c:v>
                </c:pt>
                <c:pt idx="745">
                  <c:v>2.3981140602646853</c:v>
                </c:pt>
                <c:pt idx="746">
                  <c:v>1.596179693936741</c:v>
                </c:pt>
                <c:pt idx="747">
                  <c:v>1.0639714381412209</c:v>
                </c:pt>
                <c:pt idx="748">
                  <c:v>1.3036685447517029</c:v>
                </c:pt>
                <c:pt idx="749">
                  <c:v>1.3942245323049827</c:v>
                </c:pt>
                <c:pt idx="750">
                  <c:v>1.4507852122362053</c:v>
                </c:pt>
                <c:pt idx="751">
                  <c:v>1.5172694500269617</c:v>
                </c:pt>
                <c:pt idx="752">
                  <c:v>1.6923276993458023</c:v>
                </c:pt>
                <c:pt idx="753">
                  <c:v>2.109394918546478</c:v>
                </c:pt>
                <c:pt idx="754">
                  <c:v>2.1509527988293313</c:v>
                </c:pt>
                <c:pt idx="755">
                  <c:v>1.3613689696520179</c:v>
                </c:pt>
                <c:pt idx="756">
                  <c:v>1.2979059942341453</c:v>
                </c:pt>
                <c:pt idx="757">
                  <c:v>1.1577906857659941</c:v>
                </c:pt>
                <c:pt idx="758">
                  <c:v>0.97533852072184724</c:v>
                </c:pt>
                <c:pt idx="759">
                  <c:v>0.85125314567473298</c:v>
                </c:pt>
                <c:pt idx="760">
                  <c:v>0.85912739617338796</c:v>
                </c:pt>
                <c:pt idx="761">
                  <c:v>0.6727405378816036</c:v>
                </c:pt>
                <c:pt idx="762">
                  <c:v>0.62172987966026438</c:v>
                </c:pt>
                <c:pt idx="763">
                  <c:v>0.50235877408786156</c:v>
                </c:pt>
                <c:pt idx="764">
                  <c:v>0.71148142482636212</c:v>
                </c:pt>
                <c:pt idx="765">
                  <c:v>0.68849033057036813</c:v>
                </c:pt>
                <c:pt idx="766">
                  <c:v>0.57247415122662626</c:v>
                </c:pt>
                <c:pt idx="767">
                  <c:v>0.52696742142000341</c:v>
                </c:pt>
                <c:pt idx="768">
                  <c:v>0.56385799467231068</c:v>
                </c:pt>
                <c:pt idx="769">
                  <c:v>0.5652871144729894</c:v>
                </c:pt>
                <c:pt idx="770">
                  <c:v>0.61176292599487425</c:v>
                </c:pt>
                <c:pt idx="771">
                  <c:v>0.7495547067909738</c:v>
                </c:pt>
                <c:pt idx="772">
                  <c:v>0.66452022455479987</c:v>
                </c:pt>
                <c:pt idx="773">
                  <c:v>0.66993709692870596</c:v>
                </c:pt>
                <c:pt idx="774">
                  <c:v>0.88742387569834313</c:v>
                </c:pt>
                <c:pt idx="775">
                  <c:v>0.97923063593647974</c:v>
                </c:pt>
                <c:pt idx="776">
                  <c:v>1.5386890360153593</c:v>
                </c:pt>
                <c:pt idx="777">
                  <c:v>1.7179347413618109</c:v>
                </c:pt>
                <c:pt idx="778">
                  <c:v>1.6548251191022518</c:v>
                </c:pt>
                <c:pt idx="779">
                  <c:v>1.6235624625166185</c:v>
                </c:pt>
                <c:pt idx="780">
                  <c:v>1.4501825566063085</c:v>
                </c:pt>
                <c:pt idx="781">
                  <c:v>0.93840372740187195</c:v>
                </c:pt>
                <c:pt idx="782">
                  <c:v>1.5440909061328774</c:v>
                </c:pt>
                <c:pt idx="783">
                  <c:v>1.4145414751046599</c:v>
                </c:pt>
                <c:pt idx="784">
                  <c:v>1.5318763957487171</c:v>
                </c:pt>
                <c:pt idx="785">
                  <c:v>0.6284262553540424</c:v>
                </c:pt>
                <c:pt idx="786">
                  <c:v>0.54285844408648132</c:v>
                </c:pt>
                <c:pt idx="787">
                  <c:v>0.93380320269723849</c:v>
                </c:pt>
                <c:pt idx="788">
                  <c:v>0.38887294075990747</c:v>
                </c:pt>
                <c:pt idx="789">
                  <c:v>0.35709556214865845</c:v>
                </c:pt>
                <c:pt idx="790">
                  <c:v>0.37344440556576192</c:v>
                </c:pt>
                <c:pt idx="791">
                  <c:v>0.3987166038079466</c:v>
                </c:pt>
                <c:pt idx="792">
                  <c:v>0.47093155009850768</c:v>
                </c:pt>
                <c:pt idx="793">
                  <c:v>0.58662143602294536</c:v>
                </c:pt>
                <c:pt idx="794">
                  <c:v>0.60559231836106964</c:v>
                </c:pt>
                <c:pt idx="795">
                  <c:v>0.55823570698889025</c:v>
                </c:pt>
                <c:pt idx="796">
                  <c:v>0.54104346226082345</c:v>
                </c:pt>
                <c:pt idx="797">
                  <c:v>0.48261962917768125</c:v>
                </c:pt>
                <c:pt idx="798">
                  <c:v>0.47540005075211333</c:v>
                </c:pt>
                <c:pt idx="799">
                  <c:v>0.60760040876109311</c:v>
                </c:pt>
                <c:pt idx="800">
                  <c:v>0.57393318583313135</c:v>
                </c:pt>
                <c:pt idx="801">
                  <c:v>0.69730031111479951</c:v>
                </c:pt>
                <c:pt idx="802">
                  <c:v>0.70009578313662868</c:v>
                </c:pt>
                <c:pt idx="803">
                  <c:v>0.65944368453989277</c:v>
                </c:pt>
                <c:pt idx="804">
                  <c:v>0.64744593599894218</c:v>
                </c:pt>
                <c:pt idx="805">
                  <c:v>0.64289335767665812</c:v>
                </c:pt>
                <c:pt idx="806">
                  <c:v>0.64322897105399623</c:v>
                </c:pt>
                <c:pt idx="807">
                  <c:v>0.45741289569656746</c:v>
                </c:pt>
                <c:pt idx="808">
                  <c:v>0.45209068114391471</c:v>
                </c:pt>
                <c:pt idx="809">
                  <c:v>0.44428041565966303</c:v>
                </c:pt>
                <c:pt idx="810">
                  <c:v>0.43416893119949046</c:v>
                </c:pt>
                <c:pt idx="811">
                  <c:v>0.41136338888171387</c:v>
                </c:pt>
                <c:pt idx="812">
                  <c:v>0.388817268645472</c:v>
                </c:pt>
                <c:pt idx="813">
                  <c:v>0.37153089745921197</c:v>
                </c:pt>
                <c:pt idx="814">
                  <c:v>0.35778602872303411</c:v>
                </c:pt>
                <c:pt idx="815">
                  <c:v>0.34311697932439078</c:v>
                </c:pt>
                <c:pt idx="816">
                  <c:v>0.57521633090388735</c:v>
                </c:pt>
                <c:pt idx="817">
                  <c:v>1.0698946251267949</c:v>
                </c:pt>
                <c:pt idx="818">
                  <c:v>1.2226654143906608</c:v>
                </c:pt>
                <c:pt idx="819">
                  <c:v>1.344263983953967</c:v>
                </c:pt>
                <c:pt idx="820">
                  <c:v>1.1295257267630308</c:v>
                </c:pt>
                <c:pt idx="821">
                  <c:v>0.96993255207431206</c:v>
                </c:pt>
                <c:pt idx="822">
                  <c:v>0.84204051142863989</c:v>
                </c:pt>
                <c:pt idx="823">
                  <c:v>1.1919938036153956</c:v>
                </c:pt>
                <c:pt idx="824">
                  <c:v>1.2781112441992695</c:v>
                </c:pt>
                <c:pt idx="825">
                  <c:v>1.2796514400122836</c:v>
                </c:pt>
                <c:pt idx="826">
                  <c:v>0.90380366012428348</c:v>
                </c:pt>
                <c:pt idx="827">
                  <c:v>0.75414136641465712</c:v>
                </c:pt>
                <c:pt idx="828">
                  <c:v>0.86425419118019353</c:v>
                </c:pt>
                <c:pt idx="829">
                  <c:v>1.1116190086361093</c:v>
                </c:pt>
                <c:pt idx="830">
                  <c:v>0.99733195574369882</c:v>
                </c:pt>
                <c:pt idx="831">
                  <c:v>1.1347025558663435</c:v>
                </c:pt>
                <c:pt idx="832">
                  <c:v>1.2153957735110708</c:v>
                </c:pt>
                <c:pt idx="833">
                  <c:v>1.2866265180058527</c:v>
                </c:pt>
                <c:pt idx="834">
                  <c:v>0.77371979301602578</c:v>
                </c:pt>
                <c:pt idx="835">
                  <c:v>0.66926257008218404</c:v>
                </c:pt>
                <c:pt idx="836">
                  <c:v>0.99073700058365766</c:v>
                </c:pt>
                <c:pt idx="837">
                  <c:v>0.64138371905677172</c:v>
                </c:pt>
                <c:pt idx="838">
                  <c:v>0.44926220260825878</c:v>
                </c:pt>
                <c:pt idx="839">
                  <c:v>0.44172115784179278</c:v>
                </c:pt>
                <c:pt idx="840">
                  <c:v>0.43292788455477682</c:v>
                </c:pt>
                <c:pt idx="841">
                  <c:v>0.41958479072721394</c:v>
                </c:pt>
                <c:pt idx="842">
                  <c:v>0.41369261304352711</c:v>
                </c:pt>
                <c:pt idx="843">
                  <c:v>0.40789762405788776</c:v>
                </c:pt>
                <c:pt idx="844">
                  <c:v>0.83651882469833427</c:v>
                </c:pt>
                <c:pt idx="845">
                  <c:v>0.86836893738758214</c:v>
                </c:pt>
                <c:pt idx="846">
                  <c:v>1.1405416808581286</c:v>
                </c:pt>
                <c:pt idx="847">
                  <c:v>1.1371254959793433</c:v>
                </c:pt>
                <c:pt idx="848">
                  <c:v>0.90595762743395691</c:v>
                </c:pt>
                <c:pt idx="849">
                  <c:v>1.1290829554463606</c:v>
                </c:pt>
                <c:pt idx="850">
                  <c:v>1.1184394961089292</c:v>
                </c:pt>
                <c:pt idx="851">
                  <c:v>1.2201610421559732</c:v>
                </c:pt>
                <c:pt idx="852">
                  <c:v>1.2423686632211801</c:v>
                </c:pt>
                <c:pt idx="853">
                  <c:v>1.4435873395965637</c:v>
                </c:pt>
                <c:pt idx="854">
                  <c:v>1.1335559138718416</c:v>
                </c:pt>
                <c:pt idx="855">
                  <c:v>0.56753519748592918</c:v>
                </c:pt>
                <c:pt idx="856">
                  <c:v>0.66917420741920164</c:v>
                </c:pt>
                <c:pt idx="857">
                  <c:v>0.49640620648003442</c:v>
                </c:pt>
                <c:pt idx="858">
                  <c:v>0.45374183854482142</c:v>
                </c:pt>
                <c:pt idx="859">
                  <c:v>0.58355112386456631</c:v>
                </c:pt>
                <c:pt idx="860">
                  <c:v>0.60177504464459808</c:v>
                </c:pt>
                <c:pt idx="861">
                  <c:v>0.5624472201975832</c:v>
                </c:pt>
                <c:pt idx="862">
                  <c:v>0.44044953063578168</c:v>
                </c:pt>
                <c:pt idx="863">
                  <c:v>0.43541491957720291</c:v>
                </c:pt>
                <c:pt idx="864">
                  <c:v>0.42923377490976167</c:v>
                </c:pt>
                <c:pt idx="865">
                  <c:v>0.71075691128766083</c:v>
                </c:pt>
                <c:pt idx="866">
                  <c:v>1.3494192599989916</c:v>
                </c:pt>
                <c:pt idx="867">
                  <c:v>1.1922542819548727</c:v>
                </c:pt>
                <c:pt idx="868">
                  <c:v>0.58978369745017356</c:v>
                </c:pt>
                <c:pt idx="869">
                  <c:v>0.52576452988961775</c:v>
                </c:pt>
                <c:pt idx="870">
                  <c:v>0.86627048512157223</c:v>
                </c:pt>
                <c:pt idx="871">
                  <c:v>0.69904169488696044</c:v>
                </c:pt>
                <c:pt idx="872">
                  <c:v>0.61435187423681481</c:v>
                </c:pt>
                <c:pt idx="873">
                  <c:v>0.47064173534984521</c:v>
                </c:pt>
                <c:pt idx="874">
                  <c:v>0.43792196957517288</c:v>
                </c:pt>
                <c:pt idx="875">
                  <c:v>0.51300901633821971</c:v>
                </c:pt>
                <c:pt idx="876">
                  <c:v>0.48009564240020658</c:v>
                </c:pt>
                <c:pt idx="877">
                  <c:v>0.50901478397503119</c:v>
                </c:pt>
                <c:pt idx="878">
                  <c:v>0.64344373863302318</c:v>
                </c:pt>
                <c:pt idx="879">
                  <c:v>0.64992861108422795</c:v>
                </c:pt>
                <c:pt idx="880">
                  <c:v>0.54592571995874828</c:v>
                </c:pt>
                <c:pt idx="881">
                  <c:v>0.48630802322627242</c:v>
                </c:pt>
                <c:pt idx="882">
                  <c:v>0.56533345627199172</c:v>
                </c:pt>
                <c:pt idx="883">
                  <c:v>0.54284056535823055</c:v>
                </c:pt>
                <c:pt idx="884">
                  <c:v>0.44167883907442923</c:v>
                </c:pt>
                <c:pt idx="885">
                  <c:v>0.59144388459838881</c:v>
                </c:pt>
                <c:pt idx="886">
                  <c:v>0.83966814743370111</c:v>
                </c:pt>
                <c:pt idx="887">
                  <c:v>0.61278130114999474</c:v>
                </c:pt>
                <c:pt idx="888">
                  <c:v>0.46350681995107823</c:v>
                </c:pt>
                <c:pt idx="889">
                  <c:v>0.40106101244045056</c:v>
                </c:pt>
                <c:pt idx="890">
                  <c:v>0.388817268645472</c:v>
                </c:pt>
                <c:pt idx="891">
                  <c:v>0.37687884516814046</c:v>
                </c:pt>
                <c:pt idx="892">
                  <c:v>0.37153089745921197</c:v>
                </c:pt>
                <c:pt idx="893">
                  <c:v>0.51823505587424368</c:v>
                </c:pt>
                <c:pt idx="894">
                  <c:v>0.74112961478276884</c:v>
                </c:pt>
                <c:pt idx="895">
                  <c:v>1.4747265234267886</c:v>
                </c:pt>
                <c:pt idx="896">
                  <c:v>1.2589927879807059</c:v>
                </c:pt>
                <c:pt idx="897">
                  <c:v>1.0251323943364192</c:v>
                </c:pt>
                <c:pt idx="898">
                  <c:v>0.86469593900173702</c:v>
                </c:pt>
                <c:pt idx="899">
                  <c:v>1.0029881081382606</c:v>
                </c:pt>
                <c:pt idx="900">
                  <c:v>1.0592869773167046</c:v>
                </c:pt>
                <c:pt idx="901">
                  <c:v>0.93867075476576867</c:v>
                </c:pt>
                <c:pt idx="902">
                  <c:v>0.82502095699461198</c:v>
                </c:pt>
                <c:pt idx="903">
                  <c:v>0.75967194273373373</c:v>
                </c:pt>
                <c:pt idx="904">
                  <c:v>0.94516503273966046</c:v>
                </c:pt>
                <c:pt idx="905">
                  <c:v>0.73672165647830945</c:v>
                </c:pt>
                <c:pt idx="906">
                  <c:v>0.46816889166601067</c:v>
                </c:pt>
                <c:pt idx="907">
                  <c:v>0.4593846100175058</c:v>
                </c:pt>
                <c:pt idx="908">
                  <c:v>0.6976393730374788</c:v>
                </c:pt>
                <c:pt idx="909">
                  <c:v>0.65023278534021789</c:v>
                </c:pt>
                <c:pt idx="910">
                  <c:v>0.70856638485544743</c:v>
                </c:pt>
                <c:pt idx="911">
                  <c:v>0.54906708106238078</c:v>
                </c:pt>
                <c:pt idx="912">
                  <c:v>0.61351714447075001</c:v>
                </c:pt>
                <c:pt idx="913">
                  <c:v>1.0948927644293192</c:v>
                </c:pt>
                <c:pt idx="914">
                  <c:v>1.1360333169455823</c:v>
                </c:pt>
                <c:pt idx="915">
                  <c:v>0.64112252215869692</c:v>
                </c:pt>
                <c:pt idx="916">
                  <c:v>0.66014958209875474</c:v>
                </c:pt>
                <c:pt idx="917">
                  <c:v>0.4044640566754486</c:v>
                </c:pt>
                <c:pt idx="918">
                  <c:v>0.39880844677609373</c:v>
                </c:pt>
                <c:pt idx="919">
                  <c:v>1.4076696446438937</c:v>
                </c:pt>
                <c:pt idx="920">
                  <c:v>1.4068577814121987</c:v>
                </c:pt>
                <c:pt idx="921">
                  <c:v>0.76813953313792516</c:v>
                </c:pt>
                <c:pt idx="922">
                  <c:v>0.40789762405788776</c:v>
                </c:pt>
                <c:pt idx="923">
                  <c:v>0.39433979623699272</c:v>
                </c:pt>
                <c:pt idx="924">
                  <c:v>0.37259717668900993</c:v>
                </c:pt>
                <c:pt idx="925">
                  <c:v>0.3483503100806451</c:v>
                </c:pt>
                <c:pt idx="926">
                  <c:v>0.37599942828999022</c:v>
                </c:pt>
                <c:pt idx="927">
                  <c:v>0.3285077710285112</c:v>
                </c:pt>
                <c:pt idx="928">
                  <c:v>0.34753615846890201</c:v>
                </c:pt>
                <c:pt idx="929">
                  <c:v>0.37663977146246452</c:v>
                </c:pt>
                <c:pt idx="930">
                  <c:v>0.35888252262538883</c:v>
                </c:pt>
                <c:pt idx="931">
                  <c:v>0.38645790916461104</c:v>
                </c:pt>
                <c:pt idx="932">
                  <c:v>0.38778655499937753</c:v>
                </c:pt>
                <c:pt idx="933">
                  <c:v>0.37146933366150092</c:v>
                </c:pt>
                <c:pt idx="934">
                  <c:v>0.4033484752058159</c:v>
                </c:pt>
                <c:pt idx="935">
                  <c:v>0.71783108765549963</c:v>
                </c:pt>
                <c:pt idx="936">
                  <c:v>1.0882441931567415</c:v>
                </c:pt>
                <c:pt idx="937">
                  <c:v>1.4125729729517063</c:v>
                </c:pt>
                <c:pt idx="938">
                  <c:v>1.762400481195022</c:v>
                </c:pt>
                <c:pt idx="939">
                  <c:v>1.8899911242327641</c:v>
                </c:pt>
                <c:pt idx="940">
                  <c:v>1.4703364507408523</c:v>
                </c:pt>
                <c:pt idx="941">
                  <c:v>1.1881752981735825</c:v>
                </c:pt>
                <c:pt idx="942">
                  <c:v>1.4297733721104371</c:v>
                </c:pt>
                <c:pt idx="943">
                  <c:v>1.4456316961926756</c:v>
                </c:pt>
                <c:pt idx="944">
                  <c:v>1.2996878458061889</c:v>
                </c:pt>
                <c:pt idx="945">
                  <c:v>1.7012893968434426</c:v>
                </c:pt>
                <c:pt idx="946">
                  <c:v>1.7866240073768922</c:v>
                </c:pt>
                <c:pt idx="947">
                  <c:v>1.8784396033125821</c:v>
                </c:pt>
                <c:pt idx="948">
                  <c:v>1.4663070097886632</c:v>
                </c:pt>
                <c:pt idx="949">
                  <c:v>1.2454415186693422</c:v>
                </c:pt>
                <c:pt idx="950">
                  <c:v>1.1921252997863867</c:v>
                </c:pt>
                <c:pt idx="951">
                  <c:v>1.0078206324987025</c:v>
                </c:pt>
                <c:pt idx="952">
                  <c:v>0.69060302895759806</c:v>
                </c:pt>
                <c:pt idx="953">
                  <c:v>0.46094876926357375</c:v>
                </c:pt>
                <c:pt idx="954">
                  <c:v>0.44428041565966303</c:v>
                </c:pt>
                <c:pt idx="955">
                  <c:v>0.43918315521720386</c:v>
                </c:pt>
                <c:pt idx="956">
                  <c:v>0.50370068344192098</c:v>
                </c:pt>
                <c:pt idx="957">
                  <c:v>0.43169171763217545</c:v>
                </c:pt>
                <c:pt idx="958">
                  <c:v>0.44822111817030225</c:v>
                </c:pt>
                <c:pt idx="959">
                  <c:v>0.42197061094097488</c:v>
                </c:pt>
                <c:pt idx="960">
                  <c:v>0.41721576092287832</c:v>
                </c:pt>
                <c:pt idx="961">
                  <c:v>0.41136338888171387</c:v>
                </c:pt>
                <c:pt idx="962">
                  <c:v>0.39433979623699272</c:v>
                </c:pt>
                <c:pt idx="963">
                  <c:v>0.38118997266574289</c:v>
                </c:pt>
                <c:pt idx="964">
                  <c:v>0.37473457659481368</c:v>
                </c:pt>
                <c:pt idx="965">
                  <c:v>0.7237980529607807</c:v>
                </c:pt>
                <c:pt idx="966">
                  <c:v>0.71589684021824829</c:v>
                </c:pt>
                <c:pt idx="967">
                  <c:v>1.4103496340570441</c:v>
                </c:pt>
                <c:pt idx="968">
                  <c:v>0.96247567300690307</c:v>
                </c:pt>
                <c:pt idx="969">
                  <c:v>0.67182142181911741</c:v>
                </c:pt>
                <c:pt idx="970">
                  <c:v>0.62353118023280585</c:v>
                </c:pt>
                <c:pt idx="971">
                  <c:v>0.53972944568759407</c:v>
                </c:pt>
                <c:pt idx="972">
                  <c:v>0.54872143745740609</c:v>
                </c:pt>
                <c:pt idx="973">
                  <c:v>0.53355491101556107</c:v>
                </c:pt>
                <c:pt idx="974">
                  <c:v>0.82684306552380349</c:v>
                </c:pt>
                <c:pt idx="975">
                  <c:v>1.2679480294540988</c:v>
                </c:pt>
                <c:pt idx="976">
                  <c:v>1.4165507182182102</c:v>
                </c:pt>
                <c:pt idx="977">
                  <c:v>0.89224291020899682</c:v>
                </c:pt>
                <c:pt idx="978">
                  <c:v>0.84101032717028867</c:v>
                </c:pt>
                <c:pt idx="979">
                  <c:v>0.88206857371674996</c:v>
                </c:pt>
                <c:pt idx="980">
                  <c:v>0.95887334582433548</c:v>
                </c:pt>
                <c:pt idx="981">
                  <c:v>0.82205054315349435</c:v>
                </c:pt>
                <c:pt idx="982">
                  <c:v>0.70432502355954252</c:v>
                </c:pt>
                <c:pt idx="983">
                  <c:v>0.41136338888171387</c:v>
                </c:pt>
                <c:pt idx="984">
                  <c:v>0.40219207240943455</c:v>
                </c:pt>
                <c:pt idx="985">
                  <c:v>0.39433979623699272</c:v>
                </c:pt>
                <c:pt idx="986">
                  <c:v>0.41465682641088292</c:v>
                </c:pt>
                <c:pt idx="987">
                  <c:v>0.38444503818896236</c:v>
                </c:pt>
                <c:pt idx="988">
                  <c:v>0.43975659810759959</c:v>
                </c:pt>
                <c:pt idx="989">
                  <c:v>0.44937505127739552</c:v>
                </c:pt>
                <c:pt idx="990">
                  <c:v>0.36940287039138919</c:v>
                </c:pt>
                <c:pt idx="991">
                  <c:v>0.35463649663328495</c:v>
                </c:pt>
                <c:pt idx="992">
                  <c:v>0.32313170244944506</c:v>
                </c:pt>
                <c:pt idx="993">
                  <c:v>0.33409125683610902</c:v>
                </c:pt>
                <c:pt idx="994">
                  <c:v>0.36481079195520905</c:v>
                </c:pt>
                <c:pt idx="995">
                  <c:v>0.38198437361139426</c:v>
                </c:pt>
                <c:pt idx="996">
                  <c:v>0.35032723311358005</c:v>
                </c:pt>
                <c:pt idx="997">
                  <c:v>0.37532721538074593</c:v>
                </c:pt>
                <c:pt idx="998">
                  <c:v>0.39381451894096864</c:v>
                </c:pt>
                <c:pt idx="999">
                  <c:v>0.36764891824877477</c:v>
                </c:pt>
                <c:pt idx="1000">
                  <c:v>0.37791975732158206</c:v>
                </c:pt>
                <c:pt idx="1001">
                  <c:v>0.36074343418068899</c:v>
                </c:pt>
                <c:pt idx="1002">
                  <c:v>0.37791975732158206</c:v>
                </c:pt>
                <c:pt idx="1003">
                  <c:v>0.36386636162818831</c:v>
                </c:pt>
                <c:pt idx="1004">
                  <c:v>0.36638384012744662</c:v>
                </c:pt>
                <c:pt idx="1005">
                  <c:v>0.38118342872203997</c:v>
                </c:pt>
                <c:pt idx="1006">
                  <c:v>0.37727008345355634</c:v>
                </c:pt>
                <c:pt idx="1007">
                  <c:v>0.37403711611222523</c:v>
                </c:pt>
                <c:pt idx="1008">
                  <c:v>0.3551898295194329</c:v>
                </c:pt>
                <c:pt idx="1009">
                  <c:v>0.3917963216575015</c:v>
                </c:pt>
                <c:pt idx="1010">
                  <c:v>0.37019167955230636</c:v>
                </c:pt>
                <c:pt idx="1011">
                  <c:v>0.36512298307508295</c:v>
                </c:pt>
                <c:pt idx="1012">
                  <c:v>0.35950175182790844</c:v>
                </c:pt>
                <c:pt idx="1013">
                  <c:v>0.34852190092168239</c:v>
                </c:pt>
                <c:pt idx="1014">
                  <c:v>0.34672654038841372</c:v>
                </c:pt>
                <c:pt idx="1015">
                  <c:v>0.35764729725340616</c:v>
                </c:pt>
                <c:pt idx="1016">
                  <c:v>0.34732388290899496</c:v>
                </c:pt>
                <c:pt idx="1017">
                  <c:v>0.36074343418068899</c:v>
                </c:pt>
                <c:pt idx="1018">
                  <c:v>0.37597381066607521</c:v>
                </c:pt>
                <c:pt idx="1019">
                  <c:v>0.37987490701804322</c:v>
                </c:pt>
                <c:pt idx="1020">
                  <c:v>0.35580256903401952</c:v>
                </c:pt>
                <c:pt idx="1021">
                  <c:v>0.36449414199242058</c:v>
                </c:pt>
                <c:pt idx="1022">
                  <c:v>0.37791975732158206</c:v>
                </c:pt>
                <c:pt idx="1023">
                  <c:v>0.35703130471806926</c:v>
                </c:pt>
                <c:pt idx="1024">
                  <c:v>0.35641639470591929</c:v>
                </c:pt>
                <c:pt idx="1025">
                  <c:v>0.3792221709208885</c:v>
                </c:pt>
                <c:pt idx="1026">
                  <c:v>0.3551898295194329</c:v>
                </c:pt>
                <c:pt idx="1027">
                  <c:v>0.37857045374971388</c:v>
                </c:pt>
                <c:pt idx="1028">
                  <c:v>0.39719773586442447</c:v>
                </c:pt>
                <c:pt idx="1029">
                  <c:v>0.87637073356368522</c:v>
                </c:pt>
                <c:pt idx="1030">
                  <c:v>1.4483442235773714</c:v>
                </c:pt>
                <c:pt idx="1031">
                  <c:v>2.033837552741558</c:v>
                </c:pt>
                <c:pt idx="1032">
                  <c:v>1.7187912986629528</c:v>
                </c:pt>
                <c:pt idx="1033">
                  <c:v>2.0140639534524012</c:v>
                </c:pt>
                <c:pt idx="1034">
                  <c:v>1.3907067929889356</c:v>
                </c:pt>
                <c:pt idx="1035">
                  <c:v>1.760712620404588</c:v>
                </c:pt>
                <c:pt idx="1036">
                  <c:v>1.7270563910814325</c:v>
                </c:pt>
                <c:pt idx="1037">
                  <c:v>1.6024604438425931</c:v>
                </c:pt>
                <c:pt idx="1038">
                  <c:v>1.1924072311448781</c:v>
                </c:pt>
                <c:pt idx="1039">
                  <c:v>1.2203568834305196</c:v>
                </c:pt>
                <c:pt idx="1040">
                  <c:v>1.2664045997874096</c:v>
                </c:pt>
                <c:pt idx="1041">
                  <c:v>1.3157448908130065</c:v>
                </c:pt>
                <c:pt idx="1042">
                  <c:v>1.2854900822108779</c:v>
                </c:pt>
                <c:pt idx="1043">
                  <c:v>1.2392005410156561</c:v>
                </c:pt>
                <c:pt idx="1044">
                  <c:v>1.1901441131637673</c:v>
                </c:pt>
                <c:pt idx="1045">
                  <c:v>1.0292359612818494</c:v>
                </c:pt>
                <c:pt idx="1046">
                  <c:v>0.61729766802725472</c:v>
                </c:pt>
                <c:pt idx="1047">
                  <c:v>0.44428041565966303</c:v>
                </c:pt>
                <c:pt idx="1048">
                  <c:v>0.43918315521720386</c:v>
                </c:pt>
                <c:pt idx="1049">
                  <c:v>0.43416893119949046</c:v>
                </c:pt>
                <c:pt idx="1050">
                  <c:v>0.42077557102747287</c:v>
                </c:pt>
                <c:pt idx="1051">
                  <c:v>0.39993315789963246</c:v>
                </c:pt>
                <c:pt idx="1052">
                  <c:v>0.37687884516814046</c:v>
                </c:pt>
                <c:pt idx="1053">
                  <c:v>0.37046614936363403</c:v>
                </c:pt>
                <c:pt idx="1054">
                  <c:v>0.35568571902198903</c:v>
                </c:pt>
                <c:pt idx="1055">
                  <c:v>0.3284198706194516</c:v>
                </c:pt>
                <c:pt idx="1056">
                  <c:v>0.35275130553708334</c:v>
                </c:pt>
                <c:pt idx="1057">
                  <c:v>0.40288488027441999</c:v>
                </c:pt>
                <c:pt idx="1058">
                  <c:v>0.38016920047543873</c:v>
                </c:pt>
                <c:pt idx="1059">
                  <c:v>0.38003360977957429</c:v>
                </c:pt>
                <c:pt idx="1060">
                  <c:v>0.36439528200919491</c:v>
                </c:pt>
                <c:pt idx="1061">
                  <c:v>0.36428016026337717</c:v>
                </c:pt>
                <c:pt idx="1062">
                  <c:v>0.34538474070760405</c:v>
                </c:pt>
                <c:pt idx="1063">
                  <c:v>0.36811735073529628</c:v>
                </c:pt>
                <c:pt idx="1064">
                  <c:v>0.40280910834390937</c:v>
                </c:pt>
                <c:pt idx="1065">
                  <c:v>0.44890448806804717</c:v>
                </c:pt>
                <c:pt idx="1066">
                  <c:v>0.46422736134253223</c:v>
                </c:pt>
                <c:pt idx="1067">
                  <c:v>0.35462186216736513</c:v>
                </c:pt>
                <c:pt idx="1068">
                  <c:v>0.33258721787619194</c:v>
                </c:pt>
                <c:pt idx="1069">
                  <c:v>0.41357927996445715</c:v>
                </c:pt>
                <c:pt idx="1070">
                  <c:v>0.39846095338100018</c:v>
                </c:pt>
                <c:pt idx="1071">
                  <c:v>0.34732388290899496</c:v>
                </c:pt>
                <c:pt idx="1072">
                  <c:v>0.34613031128109145</c:v>
                </c:pt>
                <c:pt idx="1073">
                  <c:v>0.38447243699226596</c:v>
                </c:pt>
                <c:pt idx="1074">
                  <c:v>0.37339361576315994</c:v>
                </c:pt>
                <c:pt idx="1075">
                  <c:v>0.39584152677976886</c:v>
                </c:pt>
                <c:pt idx="1076">
                  <c:v>0.36261399032326708</c:v>
                </c:pt>
                <c:pt idx="1077">
                  <c:v>0.37403711611222523</c:v>
                </c:pt>
                <c:pt idx="1078">
                  <c:v>0.59167849485578627</c:v>
                </c:pt>
                <c:pt idx="1079">
                  <c:v>0.91100228317986276</c:v>
                </c:pt>
                <c:pt idx="1080">
                  <c:v>1.6663367477766697</c:v>
                </c:pt>
                <c:pt idx="1081">
                  <c:v>2.0272464945612558</c:v>
                </c:pt>
                <c:pt idx="1082">
                  <c:v>1.2914611071992865</c:v>
                </c:pt>
                <c:pt idx="1083">
                  <c:v>0.60668435239526208</c:v>
                </c:pt>
                <c:pt idx="1084">
                  <c:v>0.76753228505110094</c:v>
                </c:pt>
                <c:pt idx="1085">
                  <c:v>1.6249227038753364</c:v>
                </c:pt>
                <c:pt idx="1086">
                  <c:v>1.6821371972635089</c:v>
                </c:pt>
                <c:pt idx="1087">
                  <c:v>1.5290596836995554</c:v>
                </c:pt>
                <c:pt idx="1088">
                  <c:v>1.1641529635647345</c:v>
                </c:pt>
                <c:pt idx="1089">
                  <c:v>0.87089928212088785</c:v>
                </c:pt>
                <c:pt idx="1090">
                  <c:v>0.66250496107954693</c:v>
                </c:pt>
                <c:pt idx="1091">
                  <c:v>0.87508979086291716</c:v>
                </c:pt>
                <c:pt idx="1092">
                  <c:v>1.0214274617296406</c:v>
                </c:pt>
                <c:pt idx="1093">
                  <c:v>1.1335809749231578</c:v>
                </c:pt>
                <c:pt idx="1094">
                  <c:v>0.75904456350108507</c:v>
                </c:pt>
                <c:pt idx="1095">
                  <c:v>1.4154141879554534</c:v>
                </c:pt>
                <c:pt idx="1096">
                  <c:v>1.6558821878617447</c:v>
                </c:pt>
                <c:pt idx="1097">
                  <c:v>1.045444404157551</c:v>
                </c:pt>
                <c:pt idx="1098">
                  <c:v>0.73836114987101542</c:v>
                </c:pt>
                <c:pt idx="1099">
                  <c:v>0.62234835770900943</c:v>
                </c:pt>
                <c:pt idx="1100">
                  <c:v>0.98155799110682562</c:v>
                </c:pt>
                <c:pt idx="1101">
                  <c:v>1.0483724628454016</c:v>
                </c:pt>
                <c:pt idx="1102">
                  <c:v>0.88701087676225243</c:v>
                </c:pt>
                <c:pt idx="1103">
                  <c:v>1.0348171175532226</c:v>
                </c:pt>
                <c:pt idx="1104">
                  <c:v>1.0654693333986043</c:v>
                </c:pt>
                <c:pt idx="1105">
                  <c:v>1.0777819813136862</c:v>
                </c:pt>
                <c:pt idx="1106">
                  <c:v>0.84967393797111135</c:v>
                </c:pt>
                <c:pt idx="1107">
                  <c:v>0.96802293312557075</c:v>
                </c:pt>
                <c:pt idx="1108">
                  <c:v>0.90026543459219599</c:v>
                </c:pt>
                <c:pt idx="1109">
                  <c:v>0.73617602900592705</c:v>
                </c:pt>
                <c:pt idx="1110">
                  <c:v>0.65702210866943667</c:v>
                </c:pt>
                <c:pt idx="1111">
                  <c:v>0.83740757131610344</c:v>
                </c:pt>
                <c:pt idx="1112">
                  <c:v>0.71705798414035837</c:v>
                </c:pt>
                <c:pt idx="1113">
                  <c:v>0.61289660341658148</c:v>
                </c:pt>
                <c:pt idx="1114">
                  <c:v>0.67378324989432592</c:v>
                </c:pt>
                <c:pt idx="1115">
                  <c:v>0.68454698486994614</c:v>
                </c:pt>
                <c:pt idx="1116">
                  <c:v>0.414863025440873</c:v>
                </c:pt>
                <c:pt idx="1117">
                  <c:v>0.4044640566754486</c:v>
                </c:pt>
                <c:pt idx="1118">
                  <c:v>0.388817268645472</c:v>
                </c:pt>
                <c:pt idx="1119">
                  <c:v>0.37153089745921197</c:v>
                </c:pt>
                <c:pt idx="1120">
                  <c:v>0.35253960672507922</c:v>
                </c:pt>
                <c:pt idx="1121">
                  <c:v>0.32630807136408468</c:v>
                </c:pt>
                <c:pt idx="1122">
                  <c:v>0.3806453342272681</c:v>
                </c:pt>
                <c:pt idx="1123">
                  <c:v>0.33130247535160773</c:v>
                </c:pt>
                <c:pt idx="1124">
                  <c:v>0.36916677944796156</c:v>
                </c:pt>
                <c:pt idx="1125">
                  <c:v>0.43527215139729608</c:v>
                </c:pt>
                <c:pt idx="1126">
                  <c:v>0.36136588369682382</c:v>
                </c:pt>
                <c:pt idx="1127">
                  <c:v>0.41027315610167808</c:v>
                </c:pt>
                <c:pt idx="1128">
                  <c:v>0.42297206659979214</c:v>
                </c:pt>
                <c:pt idx="1129">
                  <c:v>0.39787729611319966</c:v>
                </c:pt>
                <c:pt idx="1130">
                  <c:v>0.4158803325950915</c:v>
                </c:pt>
                <c:pt idx="1131">
                  <c:v>0.42440130315407848</c:v>
                </c:pt>
                <c:pt idx="1132">
                  <c:v>0.38513325908298962</c:v>
                </c:pt>
                <c:pt idx="1133">
                  <c:v>0.3917963216575015</c:v>
                </c:pt>
                <c:pt idx="1134">
                  <c:v>0.39584152677976886</c:v>
                </c:pt>
                <c:pt idx="1135">
                  <c:v>0.40403668247424895</c:v>
                </c:pt>
                <c:pt idx="1136">
                  <c:v>0.37857045374971388</c:v>
                </c:pt>
                <c:pt idx="1137">
                  <c:v>0.37019167955230636</c:v>
                </c:pt>
                <c:pt idx="1138">
                  <c:v>0.37791975732158206</c:v>
                </c:pt>
                <c:pt idx="1139">
                  <c:v>0.40679901032381666</c:v>
                </c:pt>
                <c:pt idx="1140">
                  <c:v>0.39584152677976886</c:v>
                </c:pt>
                <c:pt idx="1141">
                  <c:v>0.39381451894096864</c:v>
                </c:pt>
                <c:pt idx="1142">
                  <c:v>0.39246807210629286</c:v>
                </c:pt>
                <c:pt idx="1143">
                  <c:v>0.41166937451981789</c:v>
                </c:pt>
                <c:pt idx="1144">
                  <c:v>0.61607345599439345</c:v>
                </c:pt>
                <c:pt idx="1145">
                  <c:v>1.0728896761431499</c:v>
                </c:pt>
                <c:pt idx="1146">
                  <c:v>1.4121458853620734</c:v>
                </c:pt>
                <c:pt idx="1147">
                  <c:v>2.4523867108264907</c:v>
                </c:pt>
                <c:pt idx="1148">
                  <c:v>1.9501273632860174</c:v>
                </c:pt>
                <c:pt idx="1149">
                  <c:v>2.3614761112834795</c:v>
                </c:pt>
                <c:pt idx="1150">
                  <c:v>2.5571212470323181</c:v>
                </c:pt>
                <c:pt idx="1151">
                  <c:v>1.9853786593776857</c:v>
                </c:pt>
                <c:pt idx="1152">
                  <c:v>0.98006738506663871</c:v>
                </c:pt>
                <c:pt idx="1153">
                  <c:v>0.47956040118305338</c:v>
                </c:pt>
                <c:pt idx="1154">
                  <c:v>0.37795371023234203</c:v>
                </c:pt>
                <c:pt idx="1155">
                  <c:v>0.34939722887247371</c:v>
                </c:pt>
                <c:pt idx="1156">
                  <c:v>0.37316057353421972</c:v>
                </c:pt>
                <c:pt idx="1157">
                  <c:v>0.32289596333819298</c:v>
                </c:pt>
                <c:pt idx="1158">
                  <c:v>0.37111680889258553</c:v>
                </c:pt>
                <c:pt idx="1159">
                  <c:v>0.38846149284133724</c:v>
                </c:pt>
                <c:pt idx="1160">
                  <c:v>0.41658539235651615</c:v>
                </c:pt>
                <c:pt idx="1161">
                  <c:v>0.42511727083948003</c:v>
                </c:pt>
                <c:pt idx="1162">
                  <c:v>0.4366935350576846</c:v>
                </c:pt>
                <c:pt idx="1163">
                  <c:v>0.42225880136503335</c:v>
                </c:pt>
                <c:pt idx="1164">
                  <c:v>0.39719773586442447</c:v>
                </c:pt>
                <c:pt idx="1165">
                  <c:v>0.4033484752058159</c:v>
                </c:pt>
                <c:pt idx="1166">
                  <c:v>0.41870607829760742</c:v>
                </c:pt>
                <c:pt idx="1167">
                  <c:v>0.37403711611222523</c:v>
                </c:pt>
                <c:pt idx="1168">
                  <c:v>0.39787729611319966</c:v>
                </c:pt>
                <c:pt idx="1169">
                  <c:v>0.41447297730302907</c:v>
                </c:pt>
                <c:pt idx="1170">
                  <c:v>0.3746816499237749</c:v>
                </c:pt>
                <c:pt idx="1171">
                  <c:v>0.40403668247424895</c:v>
                </c:pt>
                <c:pt idx="1172">
                  <c:v>0.39992177788055827</c:v>
                </c:pt>
                <c:pt idx="1173">
                  <c:v>0.39112555561049189</c:v>
                </c:pt>
                <c:pt idx="1174">
                  <c:v>1.1957707027226205</c:v>
                </c:pt>
                <c:pt idx="1175">
                  <c:v>1.6387213710897017</c:v>
                </c:pt>
                <c:pt idx="1176">
                  <c:v>1.6898837618972991</c:v>
                </c:pt>
                <c:pt idx="1177">
                  <c:v>1.3387302386670883</c:v>
                </c:pt>
                <c:pt idx="1178">
                  <c:v>0.93281448372082587</c:v>
                </c:pt>
                <c:pt idx="1179">
                  <c:v>0.43185003898109126</c:v>
                </c:pt>
                <c:pt idx="1180">
                  <c:v>0.40168445528949148</c:v>
                </c:pt>
                <c:pt idx="1181">
                  <c:v>0.5792587472901497</c:v>
                </c:pt>
                <c:pt idx="1182">
                  <c:v>0.38742187286833257</c:v>
                </c:pt>
                <c:pt idx="1183">
                  <c:v>0.62104984217990344</c:v>
                </c:pt>
                <c:pt idx="1184">
                  <c:v>0.93426134082417067</c:v>
                </c:pt>
                <c:pt idx="1185">
                  <c:v>1.633772977737546</c:v>
                </c:pt>
                <c:pt idx="1186">
                  <c:v>0.94363021744619358</c:v>
                </c:pt>
                <c:pt idx="1187">
                  <c:v>1.5767383496921701</c:v>
                </c:pt>
                <c:pt idx="1188">
                  <c:v>1.5613399481607089</c:v>
                </c:pt>
                <c:pt idx="1189">
                  <c:v>1.4661524790193337</c:v>
                </c:pt>
                <c:pt idx="1190">
                  <c:v>1.1725574169388362</c:v>
                </c:pt>
                <c:pt idx="1191">
                  <c:v>0.67259681558531759</c:v>
                </c:pt>
                <c:pt idx="1192">
                  <c:v>0.60894584430774201</c:v>
                </c:pt>
                <c:pt idx="1193">
                  <c:v>0.37153089745921197</c:v>
                </c:pt>
                <c:pt idx="1194">
                  <c:v>0.39273338901197841</c:v>
                </c:pt>
                <c:pt idx="1195">
                  <c:v>0.99882332347635228</c:v>
                </c:pt>
                <c:pt idx="1196">
                  <c:v>0.62536656053680584</c:v>
                </c:pt>
                <c:pt idx="1197">
                  <c:v>0.67232550621063392</c:v>
                </c:pt>
                <c:pt idx="1198">
                  <c:v>0.59452077025796601</c:v>
                </c:pt>
                <c:pt idx="1199">
                  <c:v>0.53618615115637913</c:v>
                </c:pt>
                <c:pt idx="1200">
                  <c:v>0.50263946850865171</c:v>
                </c:pt>
                <c:pt idx="1201">
                  <c:v>0.59412680617999158</c:v>
                </c:pt>
                <c:pt idx="1202">
                  <c:v>0.36834099853159064</c:v>
                </c:pt>
                <c:pt idx="1203">
                  <c:v>0.3588372400571489</c:v>
                </c:pt>
                <c:pt idx="1204">
                  <c:v>0.3514918151838039</c:v>
                </c:pt>
                <c:pt idx="1205">
                  <c:v>0.50435491241567343</c:v>
                </c:pt>
                <c:pt idx="1206">
                  <c:v>0.75230604535940993</c:v>
                </c:pt>
                <c:pt idx="1207">
                  <c:v>0.57851026641184111</c:v>
                </c:pt>
                <c:pt idx="1208">
                  <c:v>0.70856208508574192</c:v>
                </c:pt>
                <c:pt idx="1209">
                  <c:v>0.34939722887247371</c:v>
                </c:pt>
                <c:pt idx="1210">
                  <c:v>0.3252504997409702</c:v>
                </c:pt>
                <c:pt idx="1211">
                  <c:v>0.35076439352937722</c:v>
                </c:pt>
                <c:pt idx="1212">
                  <c:v>0.40994741666783585</c:v>
                </c:pt>
                <c:pt idx="1213">
                  <c:v>0.35615222930181922</c:v>
                </c:pt>
                <c:pt idx="1214">
                  <c:v>0.43133434699560463</c:v>
                </c:pt>
                <c:pt idx="1215">
                  <c:v>0.41508069016403615</c:v>
                </c:pt>
                <c:pt idx="1216">
                  <c:v>0.35888252262538883</c:v>
                </c:pt>
                <c:pt idx="1217">
                  <c:v>0.39584152677976886</c:v>
                </c:pt>
                <c:pt idx="1218">
                  <c:v>0.4033484752058159</c:v>
                </c:pt>
                <c:pt idx="1219">
                  <c:v>0.34972435078264946</c:v>
                </c:pt>
                <c:pt idx="1220">
                  <c:v>0.37791975732158206</c:v>
                </c:pt>
                <c:pt idx="1221">
                  <c:v>0.38315380779630781</c:v>
                </c:pt>
                <c:pt idx="1222">
                  <c:v>0.35093121795539134</c:v>
                </c:pt>
                <c:pt idx="1223">
                  <c:v>0.34912257277966247</c:v>
                </c:pt>
                <c:pt idx="1224">
                  <c:v>0.35826437049486692</c:v>
                </c:pt>
                <c:pt idx="1225">
                  <c:v>0.34912257277966247</c:v>
                </c:pt>
                <c:pt idx="1226">
                  <c:v>0.35093121795539134</c:v>
                </c:pt>
                <c:pt idx="1227">
                  <c:v>0.36828303566764287</c:v>
                </c:pt>
                <c:pt idx="1228">
                  <c:v>0.35032723311358005</c:v>
                </c:pt>
                <c:pt idx="1229">
                  <c:v>0.38579508374612576</c:v>
                </c:pt>
                <c:pt idx="1230">
                  <c:v>0.35274976937547881</c:v>
                </c:pt>
                <c:pt idx="1231">
                  <c:v>0.37597381066607521</c:v>
                </c:pt>
                <c:pt idx="1232">
                  <c:v>0.39992177788055827</c:v>
                </c:pt>
                <c:pt idx="1233">
                  <c:v>0.5466454558090188</c:v>
                </c:pt>
                <c:pt idx="1234">
                  <c:v>0.51540303144851274</c:v>
                </c:pt>
                <c:pt idx="1235">
                  <c:v>0.53605532973218784</c:v>
                </c:pt>
                <c:pt idx="1236">
                  <c:v>0.56585981249898665</c:v>
                </c:pt>
                <c:pt idx="1237">
                  <c:v>0.97489343935329087</c:v>
                </c:pt>
                <c:pt idx="1238">
                  <c:v>0.73103260828146133</c:v>
                </c:pt>
                <c:pt idx="1239">
                  <c:v>0.40045052592137165</c:v>
                </c:pt>
                <c:pt idx="1240">
                  <c:v>0.38710339999781873</c:v>
                </c:pt>
                <c:pt idx="1241">
                  <c:v>0.3320284265334485</c:v>
                </c:pt>
                <c:pt idx="1242">
                  <c:v>0.41754869286145352</c:v>
                </c:pt>
                <c:pt idx="1243">
                  <c:v>0.83840110891056807</c:v>
                </c:pt>
                <c:pt idx="1244">
                  <c:v>1.2822591225476758</c:v>
                </c:pt>
                <c:pt idx="1245">
                  <c:v>1.8517605900874183</c:v>
                </c:pt>
                <c:pt idx="1246">
                  <c:v>2.0647960066768669</c:v>
                </c:pt>
                <c:pt idx="1247">
                  <c:v>1.3791300616189397</c:v>
                </c:pt>
                <c:pt idx="1248">
                  <c:v>1.5739473046078234</c:v>
                </c:pt>
                <c:pt idx="1249">
                  <c:v>1.5130006999748549</c:v>
                </c:pt>
                <c:pt idx="1250">
                  <c:v>0.85312861060467127</c:v>
                </c:pt>
                <c:pt idx="1251">
                  <c:v>1.7133293064938235</c:v>
                </c:pt>
                <c:pt idx="1252">
                  <c:v>0.83491007914698812</c:v>
                </c:pt>
                <c:pt idx="1253">
                  <c:v>0.63445901251054515</c:v>
                </c:pt>
                <c:pt idx="1254">
                  <c:v>0.71644144101277218</c:v>
                </c:pt>
                <c:pt idx="1255">
                  <c:v>0.76932746988774336</c:v>
                </c:pt>
                <c:pt idx="1256">
                  <c:v>0.84406186397416294</c:v>
                </c:pt>
                <c:pt idx="1257">
                  <c:v>0.39656820673730608</c:v>
                </c:pt>
                <c:pt idx="1258">
                  <c:v>0.40798017125881558</c:v>
                </c:pt>
                <c:pt idx="1259">
                  <c:v>0.50581826869544633</c:v>
                </c:pt>
                <c:pt idx="1260">
                  <c:v>1.0875435176895838</c:v>
                </c:pt>
                <c:pt idx="1261">
                  <c:v>0.68668524495022532</c:v>
                </c:pt>
                <c:pt idx="1262">
                  <c:v>0.62711138449675585</c:v>
                </c:pt>
                <c:pt idx="1263">
                  <c:v>1.0931573351273434</c:v>
                </c:pt>
                <c:pt idx="1264">
                  <c:v>1.1743933330687804</c:v>
                </c:pt>
                <c:pt idx="1265">
                  <c:v>0.85303501861870445</c:v>
                </c:pt>
                <c:pt idx="1266">
                  <c:v>1.2360457666930551</c:v>
                </c:pt>
                <c:pt idx="1267">
                  <c:v>1.0770464928202801</c:v>
                </c:pt>
                <c:pt idx="1268">
                  <c:v>0.77645977678201183</c:v>
                </c:pt>
                <c:pt idx="1269">
                  <c:v>1.1031378000019605</c:v>
                </c:pt>
                <c:pt idx="1270">
                  <c:v>0.84395058766687026</c:v>
                </c:pt>
                <c:pt idx="1271">
                  <c:v>0.86906034747430116</c:v>
                </c:pt>
                <c:pt idx="1272">
                  <c:v>1.0497828260033792</c:v>
                </c:pt>
                <c:pt idx="1273">
                  <c:v>1.292952601349068</c:v>
                </c:pt>
                <c:pt idx="1274">
                  <c:v>1.25709434689253</c:v>
                </c:pt>
                <c:pt idx="1275">
                  <c:v>1.2300419372367282</c:v>
                </c:pt>
                <c:pt idx="1276">
                  <c:v>0.95408920887577398</c:v>
                </c:pt>
                <c:pt idx="1277">
                  <c:v>0.72830850613019704</c:v>
                </c:pt>
                <c:pt idx="1278">
                  <c:v>0.70879127816625687</c:v>
                </c:pt>
                <c:pt idx="1279">
                  <c:v>0.4681252003861418</c:v>
                </c:pt>
                <c:pt idx="1280">
                  <c:v>0.40789762405788776</c:v>
                </c:pt>
                <c:pt idx="1281">
                  <c:v>0.36516320551800369</c:v>
                </c:pt>
                <c:pt idx="1282">
                  <c:v>0.32736450765328284</c:v>
                </c:pt>
                <c:pt idx="1283">
                  <c:v>0.33826585606068105</c:v>
                </c:pt>
                <c:pt idx="1284">
                  <c:v>0.36916677944796156</c:v>
                </c:pt>
                <c:pt idx="1285">
                  <c:v>0.38313577861808673</c:v>
                </c:pt>
                <c:pt idx="1286">
                  <c:v>0.32933216963489198</c:v>
                </c:pt>
                <c:pt idx="1287">
                  <c:v>0.42225880136503335</c:v>
                </c:pt>
                <c:pt idx="1288">
                  <c:v>0.38118342872203997</c:v>
                </c:pt>
                <c:pt idx="1289">
                  <c:v>0.37857045374971388</c:v>
                </c:pt>
                <c:pt idx="1290">
                  <c:v>0.39448921169272683</c:v>
                </c:pt>
                <c:pt idx="1291">
                  <c:v>0.3746816499237749</c:v>
                </c:pt>
                <c:pt idx="1292">
                  <c:v>0.35457817797922231</c:v>
                </c:pt>
                <c:pt idx="1293">
                  <c:v>0.3792221709208885</c:v>
                </c:pt>
                <c:pt idx="1294">
                  <c:v>0.39045577578232721</c:v>
                </c:pt>
                <c:pt idx="1295">
                  <c:v>0.35764729725340616</c:v>
                </c:pt>
                <c:pt idx="1296">
                  <c:v>0.34494120057447636</c:v>
                </c:pt>
                <c:pt idx="1297">
                  <c:v>0.35274976937547881</c:v>
                </c:pt>
                <c:pt idx="1298">
                  <c:v>0.35703130471806926</c:v>
                </c:pt>
                <c:pt idx="1299">
                  <c:v>0.34972435078264946</c:v>
                </c:pt>
                <c:pt idx="1300">
                  <c:v>0.37082998533300382</c:v>
                </c:pt>
                <c:pt idx="1301">
                  <c:v>0.34553519740409139</c:v>
                </c:pt>
                <c:pt idx="1302">
                  <c:v>0.39314080513980293</c:v>
                </c:pt>
                <c:pt idx="1303">
                  <c:v>0.37987490701804322</c:v>
                </c:pt>
                <c:pt idx="1304">
                  <c:v>0.35153630349102027</c:v>
                </c:pt>
                <c:pt idx="1305">
                  <c:v>0.34022965769099051</c:v>
                </c:pt>
                <c:pt idx="1306">
                  <c:v>0.35093121795539134</c:v>
                </c:pt>
                <c:pt idx="1307">
                  <c:v>0.3539676162304512</c:v>
                </c:pt>
                <c:pt idx="1308">
                  <c:v>0.35274976937547881</c:v>
                </c:pt>
                <c:pt idx="1309">
                  <c:v>0.3437565653256543</c:v>
                </c:pt>
                <c:pt idx="1310">
                  <c:v>0.35032723311358005</c:v>
                </c:pt>
                <c:pt idx="1311">
                  <c:v>0.34732388290899496</c:v>
                </c:pt>
                <c:pt idx="1312">
                  <c:v>0.36386636162818831</c:v>
                </c:pt>
                <c:pt idx="1313">
                  <c:v>0.4742677627410487</c:v>
                </c:pt>
                <c:pt idx="1314">
                  <c:v>1.100991344366075</c:v>
                </c:pt>
                <c:pt idx="1315">
                  <c:v>1.4020746796968253</c:v>
                </c:pt>
                <c:pt idx="1316">
                  <c:v>1.3620193578342146</c:v>
                </c:pt>
                <c:pt idx="1317">
                  <c:v>1.4523789338572524</c:v>
                </c:pt>
                <c:pt idx="1318">
                  <c:v>1.5116615235265989</c:v>
                </c:pt>
                <c:pt idx="1319">
                  <c:v>1.4689088132181272</c:v>
                </c:pt>
                <c:pt idx="1320">
                  <c:v>1.4712411958164822</c:v>
                </c:pt>
                <c:pt idx="1321">
                  <c:v>1.4982691098230307</c:v>
                </c:pt>
                <c:pt idx="1322">
                  <c:v>1.3355900343581242</c:v>
                </c:pt>
                <c:pt idx="1323">
                  <c:v>1.0837380569318356</c:v>
                </c:pt>
                <c:pt idx="1324">
                  <c:v>0.85800650333006478</c:v>
                </c:pt>
                <c:pt idx="1325">
                  <c:v>0.71471729086005309</c:v>
                </c:pt>
                <c:pt idx="1326">
                  <c:v>0.72595716123227383</c:v>
                </c:pt>
                <c:pt idx="1327">
                  <c:v>0.43996676823140457</c:v>
                </c:pt>
                <c:pt idx="1328">
                  <c:v>0.37259717668900993</c:v>
                </c:pt>
                <c:pt idx="1329">
                  <c:v>0.36728047177335144</c:v>
                </c:pt>
                <c:pt idx="1330">
                  <c:v>0.36199584412450514</c:v>
                </c:pt>
                <c:pt idx="1331">
                  <c:v>0.35673554238160976</c:v>
                </c:pt>
                <c:pt idx="1332">
                  <c:v>0.3483503100806451</c:v>
                </c:pt>
                <c:pt idx="1333">
                  <c:v>0.33788006957498656</c:v>
                </c:pt>
                <c:pt idx="1334">
                  <c:v>0.32850130647122078</c:v>
                </c:pt>
                <c:pt idx="1335">
                  <c:v>0.37033316042112874</c:v>
                </c:pt>
                <c:pt idx="1336">
                  <c:v>0.35354412884209163</c:v>
                </c:pt>
                <c:pt idx="1337">
                  <c:v>0.33409125683610902</c:v>
                </c:pt>
                <c:pt idx="1338">
                  <c:v>0.41378276783782464</c:v>
                </c:pt>
                <c:pt idx="1339">
                  <c:v>0.34779846550400423</c:v>
                </c:pt>
                <c:pt idx="1340">
                  <c:v>0.37061538063886085</c:v>
                </c:pt>
                <c:pt idx="1341">
                  <c:v>0.38712173352138263</c:v>
                </c:pt>
                <c:pt idx="1342">
                  <c:v>0.37082998533300382</c:v>
                </c:pt>
                <c:pt idx="1343">
                  <c:v>0.39992177788055827</c:v>
                </c:pt>
                <c:pt idx="1344">
                  <c:v>0.39112555561049189</c:v>
                </c:pt>
                <c:pt idx="1345">
                  <c:v>0.37403711611222523</c:v>
                </c:pt>
                <c:pt idx="1346">
                  <c:v>0.35826437049486692</c:v>
                </c:pt>
                <c:pt idx="1347">
                  <c:v>0.37403711611222523</c:v>
                </c:pt>
              </c:numCache>
            </c:numRef>
          </c:yVal>
          <c:smooth val="0"/>
          <c:extLst>
            <c:ext xmlns:c16="http://schemas.microsoft.com/office/drawing/2014/chart" uri="{C3380CC4-5D6E-409C-BE32-E72D297353CC}">
              <c16:uniqueId val="{00000000-D2FD-45CE-850C-95ABD44C51F9}"/>
            </c:ext>
          </c:extLst>
        </c:ser>
        <c:dLbls>
          <c:showLegendKey val="0"/>
          <c:showVal val="0"/>
          <c:showCatName val="0"/>
          <c:showSerName val="0"/>
          <c:showPercent val="0"/>
          <c:showBubbleSize val="0"/>
        </c:dLbls>
        <c:axId val="658088367"/>
        <c:axId val="658088847"/>
      </c:scatterChart>
      <c:valAx>
        <c:axId val="6580883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088847"/>
        <c:crosses val="autoZero"/>
        <c:crossBetween val="midCat"/>
      </c:valAx>
      <c:valAx>
        <c:axId val="658088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FUeal consumption/cc/s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0883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'Fuel Rate_Gear Selection_MPG'!$AI$1</c:f>
              <c:strCache>
                <c:ptCount val="1"/>
                <c:pt idx="0">
                  <c:v>Gear Selection</c:v>
                </c:pt>
              </c:strCache>
            </c:strRef>
          </c:tx>
          <c:spPr>
            <a:ln w="19050" cap="rnd">
              <a:solidFill>
                <a:schemeClr val="accent1"/>
              </a:solidFill>
              <a:round/>
            </a:ln>
            <a:effectLst/>
          </c:spPr>
          <c:marker>
            <c:symbol val="none"/>
          </c:marker>
          <c:xVal>
            <c:numRef>
              <c:f>'Fuel Rate_Gear Selection_MPG'!$I$2:$I$1349</c:f>
              <c:numCache>
                <c:formatCode>General</c:formatCode>
                <c:ptCount val="1348"/>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pt idx="746">
                  <c:v>746</c:v>
                </c:pt>
                <c:pt idx="747">
                  <c:v>747</c:v>
                </c:pt>
                <c:pt idx="748">
                  <c:v>748</c:v>
                </c:pt>
                <c:pt idx="749">
                  <c:v>749</c:v>
                </c:pt>
                <c:pt idx="750">
                  <c:v>750</c:v>
                </c:pt>
                <c:pt idx="751">
                  <c:v>751</c:v>
                </c:pt>
                <c:pt idx="752">
                  <c:v>752</c:v>
                </c:pt>
                <c:pt idx="753">
                  <c:v>753</c:v>
                </c:pt>
                <c:pt idx="754">
                  <c:v>754</c:v>
                </c:pt>
                <c:pt idx="755">
                  <c:v>755</c:v>
                </c:pt>
                <c:pt idx="756">
                  <c:v>756</c:v>
                </c:pt>
                <c:pt idx="757">
                  <c:v>757</c:v>
                </c:pt>
                <c:pt idx="758">
                  <c:v>758</c:v>
                </c:pt>
                <c:pt idx="759">
                  <c:v>759</c:v>
                </c:pt>
                <c:pt idx="760">
                  <c:v>760</c:v>
                </c:pt>
                <c:pt idx="761">
                  <c:v>761</c:v>
                </c:pt>
                <c:pt idx="762">
                  <c:v>762</c:v>
                </c:pt>
                <c:pt idx="763">
                  <c:v>763</c:v>
                </c:pt>
                <c:pt idx="764">
                  <c:v>764</c:v>
                </c:pt>
                <c:pt idx="765">
                  <c:v>765</c:v>
                </c:pt>
                <c:pt idx="766">
                  <c:v>766</c:v>
                </c:pt>
                <c:pt idx="767">
                  <c:v>767</c:v>
                </c:pt>
                <c:pt idx="768">
                  <c:v>768</c:v>
                </c:pt>
                <c:pt idx="769">
                  <c:v>769</c:v>
                </c:pt>
                <c:pt idx="770">
                  <c:v>770</c:v>
                </c:pt>
                <c:pt idx="771">
                  <c:v>771</c:v>
                </c:pt>
                <c:pt idx="772">
                  <c:v>772</c:v>
                </c:pt>
                <c:pt idx="773">
                  <c:v>773</c:v>
                </c:pt>
                <c:pt idx="774">
                  <c:v>774</c:v>
                </c:pt>
                <c:pt idx="775">
                  <c:v>775</c:v>
                </c:pt>
                <c:pt idx="776">
                  <c:v>776</c:v>
                </c:pt>
                <c:pt idx="777">
                  <c:v>777</c:v>
                </c:pt>
                <c:pt idx="778">
                  <c:v>778</c:v>
                </c:pt>
                <c:pt idx="779">
                  <c:v>779</c:v>
                </c:pt>
                <c:pt idx="780">
                  <c:v>780</c:v>
                </c:pt>
                <c:pt idx="781">
                  <c:v>781</c:v>
                </c:pt>
                <c:pt idx="782">
                  <c:v>782</c:v>
                </c:pt>
                <c:pt idx="783">
                  <c:v>783</c:v>
                </c:pt>
                <c:pt idx="784">
                  <c:v>784</c:v>
                </c:pt>
                <c:pt idx="785">
                  <c:v>785</c:v>
                </c:pt>
                <c:pt idx="786">
                  <c:v>786</c:v>
                </c:pt>
                <c:pt idx="787">
                  <c:v>787</c:v>
                </c:pt>
                <c:pt idx="788">
                  <c:v>788</c:v>
                </c:pt>
                <c:pt idx="789">
                  <c:v>789</c:v>
                </c:pt>
                <c:pt idx="790">
                  <c:v>790</c:v>
                </c:pt>
                <c:pt idx="791">
                  <c:v>791</c:v>
                </c:pt>
                <c:pt idx="792">
                  <c:v>792</c:v>
                </c:pt>
                <c:pt idx="793">
                  <c:v>793</c:v>
                </c:pt>
                <c:pt idx="794">
                  <c:v>794</c:v>
                </c:pt>
                <c:pt idx="795">
                  <c:v>795</c:v>
                </c:pt>
                <c:pt idx="796">
                  <c:v>796</c:v>
                </c:pt>
                <c:pt idx="797">
                  <c:v>797</c:v>
                </c:pt>
                <c:pt idx="798">
                  <c:v>798</c:v>
                </c:pt>
                <c:pt idx="799">
                  <c:v>799</c:v>
                </c:pt>
                <c:pt idx="800">
                  <c:v>800</c:v>
                </c:pt>
                <c:pt idx="801">
                  <c:v>801</c:v>
                </c:pt>
                <c:pt idx="802">
                  <c:v>802</c:v>
                </c:pt>
                <c:pt idx="803">
                  <c:v>803</c:v>
                </c:pt>
                <c:pt idx="804">
                  <c:v>804</c:v>
                </c:pt>
                <c:pt idx="805">
                  <c:v>805</c:v>
                </c:pt>
                <c:pt idx="806">
                  <c:v>806</c:v>
                </c:pt>
                <c:pt idx="807">
                  <c:v>807</c:v>
                </c:pt>
                <c:pt idx="808">
                  <c:v>808</c:v>
                </c:pt>
                <c:pt idx="809">
                  <c:v>809</c:v>
                </c:pt>
                <c:pt idx="810">
                  <c:v>810</c:v>
                </c:pt>
                <c:pt idx="811">
                  <c:v>811</c:v>
                </c:pt>
                <c:pt idx="812">
                  <c:v>812</c:v>
                </c:pt>
                <c:pt idx="813">
                  <c:v>813</c:v>
                </c:pt>
                <c:pt idx="814">
                  <c:v>814</c:v>
                </c:pt>
                <c:pt idx="815">
                  <c:v>815</c:v>
                </c:pt>
                <c:pt idx="816">
                  <c:v>816</c:v>
                </c:pt>
                <c:pt idx="817">
                  <c:v>817</c:v>
                </c:pt>
                <c:pt idx="818">
                  <c:v>818</c:v>
                </c:pt>
                <c:pt idx="819">
                  <c:v>819</c:v>
                </c:pt>
                <c:pt idx="820">
                  <c:v>820</c:v>
                </c:pt>
                <c:pt idx="821">
                  <c:v>821</c:v>
                </c:pt>
                <c:pt idx="822">
                  <c:v>822</c:v>
                </c:pt>
                <c:pt idx="823">
                  <c:v>823</c:v>
                </c:pt>
                <c:pt idx="824">
                  <c:v>824</c:v>
                </c:pt>
                <c:pt idx="825">
                  <c:v>825</c:v>
                </c:pt>
                <c:pt idx="826">
                  <c:v>826</c:v>
                </c:pt>
                <c:pt idx="827">
                  <c:v>827</c:v>
                </c:pt>
                <c:pt idx="828">
                  <c:v>828</c:v>
                </c:pt>
                <c:pt idx="829">
                  <c:v>829</c:v>
                </c:pt>
                <c:pt idx="830">
                  <c:v>830</c:v>
                </c:pt>
                <c:pt idx="831">
                  <c:v>831</c:v>
                </c:pt>
                <c:pt idx="832">
                  <c:v>832</c:v>
                </c:pt>
                <c:pt idx="833">
                  <c:v>833</c:v>
                </c:pt>
                <c:pt idx="834">
                  <c:v>834</c:v>
                </c:pt>
                <c:pt idx="835">
                  <c:v>835</c:v>
                </c:pt>
                <c:pt idx="836">
                  <c:v>836</c:v>
                </c:pt>
                <c:pt idx="837">
                  <c:v>837</c:v>
                </c:pt>
                <c:pt idx="838">
                  <c:v>838</c:v>
                </c:pt>
                <c:pt idx="839">
                  <c:v>839</c:v>
                </c:pt>
                <c:pt idx="840">
                  <c:v>840</c:v>
                </c:pt>
                <c:pt idx="841">
                  <c:v>841</c:v>
                </c:pt>
                <c:pt idx="842">
                  <c:v>842</c:v>
                </c:pt>
                <c:pt idx="843">
                  <c:v>843</c:v>
                </c:pt>
                <c:pt idx="844">
                  <c:v>844</c:v>
                </c:pt>
                <c:pt idx="845">
                  <c:v>845</c:v>
                </c:pt>
                <c:pt idx="846">
                  <c:v>846</c:v>
                </c:pt>
                <c:pt idx="847">
                  <c:v>847</c:v>
                </c:pt>
                <c:pt idx="848">
                  <c:v>848</c:v>
                </c:pt>
                <c:pt idx="849">
                  <c:v>849</c:v>
                </c:pt>
                <c:pt idx="850">
                  <c:v>850</c:v>
                </c:pt>
                <c:pt idx="851">
                  <c:v>851</c:v>
                </c:pt>
                <c:pt idx="852">
                  <c:v>852</c:v>
                </c:pt>
                <c:pt idx="853">
                  <c:v>853</c:v>
                </c:pt>
                <c:pt idx="854">
                  <c:v>854</c:v>
                </c:pt>
                <c:pt idx="855">
                  <c:v>855</c:v>
                </c:pt>
                <c:pt idx="856">
                  <c:v>856</c:v>
                </c:pt>
                <c:pt idx="857">
                  <c:v>857</c:v>
                </c:pt>
                <c:pt idx="858">
                  <c:v>858</c:v>
                </c:pt>
                <c:pt idx="859">
                  <c:v>859</c:v>
                </c:pt>
                <c:pt idx="860">
                  <c:v>860</c:v>
                </c:pt>
                <c:pt idx="861">
                  <c:v>861</c:v>
                </c:pt>
                <c:pt idx="862">
                  <c:v>862</c:v>
                </c:pt>
                <c:pt idx="863">
                  <c:v>863</c:v>
                </c:pt>
                <c:pt idx="864">
                  <c:v>864</c:v>
                </c:pt>
                <c:pt idx="865">
                  <c:v>865</c:v>
                </c:pt>
                <c:pt idx="866">
                  <c:v>866</c:v>
                </c:pt>
                <c:pt idx="867">
                  <c:v>867</c:v>
                </c:pt>
                <c:pt idx="868">
                  <c:v>868</c:v>
                </c:pt>
                <c:pt idx="869">
                  <c:v>869</c:v>
                </c:pt>
                <c:pt idx="870">
                  <c:v>870</c:v>
                </c:pt>
                <c:pt idx="871">
                  <c:v>871</c:v>
                </c:pt>
                <c:pt idx="872">
                  <c:v>872</c:v>
                </c:pt>
                <c:pt idx="873">
                  <c:v>873</c:v>
                </c:pt>
                <c:pt idx="874">
                  <c:v>874</c:v>
                </c:pt>
                <c:pt idx="875">
                  <c:v>875</c:v>
                </c:pt>
                <c:pt idx="876">
                  <c:v>876</c:v>
                </c:pt>
                <c:pt idx="877">
                  <c:v>877</c:v>
                </c:pt>
                <c:pt idx="878">
                  <c:v>878</c:v>
                </c:pt>
                <c:pt idx="879">
                  <c:v>879</c:v>
                </c:pt>
                <c:pt idx="880">
                  <c:v>880</c:v>
                </c:pt>
                <c:pt idx="881">
                  <c:v>881</c:v>
                </c:pt>
                <c:pt idx="882">
                  <c:v>882</c:v>
                </c:pt>
                <c:pt idx="883">
                  <c:v>883</c:v>
                </c:pt>
                <c:pt idx="884">
                  <c:v>884</c:v>
                </c:pt>
                <c:pt idx="885">
                  <c:v>885</c:v>
                </c:pt>
                <c:pt idx="886">
                  <c:v>886</c:v>
                </c:pt>
                <c:pt idx="887">
                  <c:v>887</c:v>
                </c:pt>
                <c:pt idx="888">
                  <c:v>888</c:v>
                </c:pt>
                <c:pt idx="889">
                  <c:v>889</c:v>
                </c:pt>
                <c:pt idx="890">
                  <c:v>890</c:v>
                </c:pt>
                <c:pt idx="891">
                  <c:v>891</c:v>
                </c:pt>
                <c:pt idx="892">
                  <c:v>892</c:v>
                </c:pt>
                <c:pt idx="893">
                  <c:v>893</c:v>
                </c:pt>
                <c:pt idx="894">
                  <c:v>894</c:v>
                </c:pt>
                <c:pt idx="895">
                  <c:v>895</c:v>
                </c:pt>
                <c:pt idx="896">
                  <c:v>896</c:v>
                </c:pt>
                <c:pt idx="897">
                  <c:v>897</c:v>
                </c:pt>
                <c:pt idx="898">
                  <c:v>898</c:v>
                </c:pt>
                <c:pt idx="899">
                  <c:v>899</c:v>
                </c:pt>
                <c:pt idx="900">
                  <c:v>900</c:v>
                </c:pt>
                <c:pt idx="901">
                  <c:v>901</c:v>
                </c:pt>
                <c:pt idx="902">
                  <c:v>902</c:v>
                </c:pt>
                <c:pt idx="903">
                  <c:v>903</c:v>
                </c:pt>
                <c:pt idx="904">
                  <c:v>904</c:v>
                </c:pt>
                <c:pt idx="905">
                  <c:v>905</c:v>
                </c:pt>
                <c:pt idx="906">
                  <c:v>906</c:v>
                </c:pt>
                <c:pt idx="907">
                  <c:v>907</c:v>
                </c:pt>
                <c:pt idx="908">
                  <c:v>908</c:v>
                </c:pt>
                <c:pt idx="909">
                  <c:v>909</c:v>
                </c:pt>
                <c:pt idx="910">
                  <c:v>910</c:v>
                </c:pt>
                <c:pt idx="911">
                  <c:v>911</c:v>
                </c:pt>
                <c:pt idx="912">
                  <c:v>912</c:v>
                </c:pt>
                <c:pt idx="913">
                  <c:v>913</c:v>
                </c:pt>
                <c:pt idx="914">
                  <c:v>914</c:v>
                </c:pt>
                <c:pt idx="915">
                  <c:v>915</c:v>
                </c:pt>
                <c:pt idx="916">
                  <c:v>916</c:v>
                </c:pt>
                <c:pt idx="917">
                  <c:v>917</c:v>
                </c:pt>
                <c:pt idx="918">
                  <c:v>918</c:v>
                </c:pt>
                <c:pt idx="919">
                  <c:v>919</c:v>
                </c:pt>
                <c:pt idx="920">
                  <c:v>920</c:v>
                </c:pt>
                <c:pt idx="921">
                  <c:v>921</c:v>
                </c:pt>
                <c:pt idx="922">
                  <c:v>922</c:v>
                </c:pt>
                <c:pt idx="923">
                  <c:v>923</c:v>
                </c:pt>
                <c:pt idx="924">
                  <c:v>924</c:v>
                </c:pt>
                <c:pt idx="925">
                  <c:v>925</c:v>
                </c:pt>
                <c:pt idx="926">
                  <c:v>926</c:v>
                </c:pt>
                <c:pt idx="927">
                  <c:v>927</c:v>
                </c:pt>
                <c:pt idx="928">
                  <c:v>928</c:v>
                </c:pt>
                <c:pt idx="929">
                  <c:v>929</c:v>
                </c:pt>
                <c:pt idx="930">
                  <c:v>930</c:v>
                </c:pt>
                <c:pt idx="931">
                  <c:v>931</c:v>
                </c:pt>
                <c:pt idx="932">
                  <c:v>932</c:v>
                </c:pt>
                <c:pt idx="933">
                  <c:v>933</c:v>
                </c:pt>
                <c:pt idx="934">
                  <c:v>934</c:v>
                </c:pt>
                <c:pt idx="935">
                  <c:v>935</c:v>
                </c:pt>
                <c:pt idx="936">
                  <c:v>936</c:v>
                </c:pt>
                <c:pt idx="937">
                  <c:v>937</c:v>
                </c:pt>
                <c:pt idx="938">
                  <c:v>938</c:v>
                </c:pt>
                <c:pt idx="939">
                  <c:v>939</c:v>
                </c:pt>
                <c:pt idx="940">
                  <c:v>940</c:v>
                </c:pt>
                <c:pt idx="941">
                  <c:v>941</c:v>
                </c:pt>
                <c:pt idx="942">
                  <c:v>942</c:v>
                </c:pt>
                <c:pt idx="943">
                  <c:v>943</c:v>
                </c:pt>
                <c:pt idx="944">
                  <c:v>944</c:v>
                </c:pt>
                <c:pt idx="945">
                  <c:v>945</c:v>
                </c:pt>
                <c:pt idx="946">
                  <c:v>946</c:v>
                </c:pt>
                <c:pt idx="947">
                  <c:v>947</c:v>
                </c:pt>
                <c:pt idx="948">
                  <c:v>948</c:v>
                </c:pt>
                <c:pt idx="949">
                  <c:v>949</c:v>
                </c:pt>
                <c:pt idx="950">
                  <c:v>950</c:v>
                </c:pt>
                <c:pt idx="951">
                  <c:v>951</c:v>
                </c:pt>
                <c:pt idx="952">
                  <c:v>952</c:v>
                </c:pt>
                <c:pt idx="953">
                  <c:v>953</c:v>
                </c:pt>
                <c:pt idx="954">
                  <c:v>954</c:v>
                </c:pt>
                <c:pt idx="955">
                  <c:v>955</c:v>
                </c:pt>
                <c:pt idx="956">
                  <c:v>956</c:v>
                </c:pt>
                <c:pt idx="957">
                  <c:v>957</c:v>
                </c:pt>
                <c:pt idx="958">
                  <c:v>958</c:v>
                </c:pt>
                <c:pt idx="959">
                  <c:v>959</c:v>
                </c:pt>
                <c:pt idx="960">
                  <c:v>960</c:v>
                </c:pt>
                <c:pt idx="961">
                  <c:v>961</c:v>
                </c:pt>
                <c:pt idx="962">
                  <c:v>962</c:v>
                </c:pt>
                <c:pt idx="963">
                  <c:v>963</c:v>
                </c:pt>
                <c:pt idx="964">
                  <c:v>964</c:v>
                </c:pt>
                <c:pt idx="965">
                  <c:v>965</c:v>
                </c:pt>
                <c:pt idx="966">
                  <c:v>966</c:v>
                </c:pt>
                <c:pt idx="967">
                  <c:v>967</c:v>
                </c:pt>
                <c:pt idx="968">
                  <c:v>968</c:v>
                </c:pt>
                <c:pt idx="969">
                  <c:v>969</c:v>
                </c:pt>
                <c:pt idx="970">
                  <c:v>970</c:v>
                </c:pt>
                <c:pt idx="971">
                  <c:v>971</c:v>
                </c:pt>
                <c:pt idx="972">
                  <c:v>972</c:v>
                </c:pt>
                <c:pt idx="973">
                  <c:v>973</c:v>
                </c:pt>
                <c:pt idx="974">
                  <c:v>974</c:v>
                </c:pt>
                <c:pt idx="975">
                  <c:v>975</c:v>
                </c:pt>
                <c:pt idx="976">
                  <c:v>976</c:v>
                </c:pt>
                <c:pt idx="977">
                  <c:v>977</c:v>
                </c:pt>
                <c:pt idx="978">
                  <c:v>978</c:v>
                </c:pt>
                <c:pt idx="979">
                  <c:v>979</c:v>
                </c:pt>
                <c:pt idx="980">
                  <c:v>980</c:v>
                </c:pt>
                <c:pt idx="981">
                  <c:v>981</c:v>
                </c:pt>
                <c:pt idx="982">
                  <c:v>982</c:v>
                </c:pt>
                <c:pt idx="983">
                  <c:v>983</c:v>
                </c:pt>
                <c:pt idx="984">
                  <c:v>984</c:v>
                </c:pt>
                <c:pt idx="985">
                  <c:v>985</c:v>
                </c:pt>
                <c:pt idx="986">
                  <c:v>986</c:v>
                </c:pt>
                <c:pt idx="987">
                  <c:v>987</c:v>
                </c:pt>
                <c:pt idx="988">
                  <c:v>988</c:v>
                </c:pt>
                <c:pt idx="989">
                  <c:v>989</c:v>
                </c:pt>
                <c:pt idx="990">
                  <c:v>990</c:v>
                </c:pt>
                <c:pt idx="991">
                  <c:v>991</c:v>
                </c:pt>
                <c:pt idx="992">
                  <c:v>992</c:v>
                </c:pt>
                <c:pt idx="993">
                  <c:v>993</c:v>
                </c:pt>
                <c:pt idx="994">
                  <c:v>994</c:v>
                </c:pt>
                <c:pt idx="995">
                  <c:v>995</c:v>
                </c:pt>
                <c:pt idx="996">
                  <c:v>996</c:v>
                </c:pt>
                <c:pt idx="997">
                  <c:v>997</c:v>
                </c:pt>
                <c:pt idx="998">
                  <c:v>998</c:v>
                </c:pt>
                <c:pt idx="999">
                  <c:v>999</c:v>
                </c:pt>
                <c:pt idx="1000">
                  <c:v>1000</c:v>
                </c:pt>
                <c:pt idx="1001">
                  <c:v>1001</c:v>
                </c:pt>
                <c:pt idx="1002">
                  <c:v>1002</c:v>
                </c:pt>
                <c:pt idx="1003">
                  <c:v>1003</c:v>
                </c:pt>
                <c:pt idx="1004">
                  <c:v>1004</c:v>
                </c:pt>
                <c:pt idx="1005">
                  <c:v>1005</c:v>
                </c:pt>
                <c:pt idx="1006">
                  <c:v>1006</c:v>
                </c:pt>
                <c:pt idx="1007">
                  <c:v>1007</c:v>
                </c:pt>
                <c:pt idx="1008">
                  <c:v>1008</c:v>
                </c:pt>
                <c:pt idx="1009">
                  <c:v>1009</c:v>
                </c:pt>
                <c:pt idx="1010">
                  <c:v>1010</c:v>
                </c:pt>
                <c:pt idx="1011">
                  <c:v>1011</c:v>
                </c:pt>
                <c:pt idx="1012">
                  <c:v>1012</c:v>
                </c:pt>
                <c:pt idx="1013">
                  <c:v>1013</c:v>
                </c:pt>
                <c:pt idx="1014">
                  <c:v>1014</c:v>
                </c:pt>
                <c:pt idx="1015">
                  <c:v>1015</c:v>
                </c:pt>
                <c:pt idx="1016">
                  <c:v>1016</c:v>
                </c:pt>
                <c:pt idx="1017">
                  <c:v>1017</c:v>
                </c:pt>
                <c:pt idx="1018">
                  <c:v>1018</c:v>
                </c:pt>
                <c:pt idx="1019">
                  <c:v>1019</c:v>
                </c:pt>
                <c:pt idx="1020">
                  <c:v>1020</c:v>
                </c:pt>
                <c:pt idx="1021">
                  <c:v>1021</c:v>
                </c:pt>
                <c:pt idx="1022">
                  <c:v>1022</c:v>
                </c:pt>
                <c:pt idx="1023">
                  <c:v>1023</c:v>
                </c:pt>
                <c:pt idx="1024">
                  <c:v>1024</c:v>
                </c:pt>
                <c:pt idx="1025">
                  <c:v>1025</c:v>
                </c:pt>
                <c:pt idx="1026">
                  <c:v>1026</c:v>
                </c:pt>
                <c:pt idx="1027">
                  <c:v>1027</c:v>
                </c:pt>
                <c:pt idx="1028">
                  <c:v>1028</c:v>
                </c:pt>
                <c:pt idx="1029">
                  <c:v>1029</c:v>
                </c:pt>
                <c:pt idx="1030">
                  <c:v>1030</c:v>
                </c:pt>
                <c:pt idx="1031">
                  <c:v>1031</c:v>
                </c:pt>
                <c:pt idx="1032">
                  <c:v>1032</c:v>
                </c:pt>
                <c:pt idx="1033">
                  <c:v>1033</c:v>
                </c:pt>
                <c:pt idx="1034">
                  <c:v>1034</c:v>
                </c:pt>
                <c:pt idx="1035">
                  <c:v>1035</c:v>
                </c:pt>
                <c:pt idx="1036">
                  <c:v>1036</c:v>
                </c:pt>
                <c:pt idx="1037">
                  <c:v>1037</c:v>
                </c:pt>
                <c:pt idx="1038">
                  <c:v>1038</c:v>
                </c:pt>
                <c:pt idx="1039">
                  <c:v>1039</c:v>
                </c:pt>
                <c:pt idx="1040">
                  <c:v>1040</c:v>
                </c:pt>
                <c:pt idx="1041">
                  <c:v>1041</c:v>
                </c:pt>
                <c:pt idx="1042">
                  <c:v>1042</c:v>
                </c:pt>
                <c:pt idx="1043">
                  <c:v>1043</c:v>
                </c:pt>
                <c:pt idx="1044">
                  <c:v>1044</c:v>
                </c:pt>
                <c:pt idx="1045">
                  <c:v>1045</c:v>
                </c:pt>
                <c:pt idx="1046">
                  <c:v>1046</c:v>
                </c:pt>
                <c:pt idx="1047">
                  <c:v>1047</c:v>
                </c:pt>
                <c:pt idx="1048">
                  <c:v>1048</c:v>
                </c:pt>
                <c:pt idx="1049">
                  <c:v>1049</c:v>
                </c:pt>
                <c:pt idx="1050">
                  <c:v>1050</c:v>
                </c:pt>
                <c:pt idx="1051">
                  <c:v>1051</c:v>
                </c:pt>
                <c:pt idx="1052">
                  <c:v>1052</c:v>
                </c:pt>
                <c:pt idx="1053">
                  <c:v>1053</c:v>
                </c:pt>
                <c:pt idx="1054">
                  <c:v>1054</c:v>
                </c:pt>
                <c:pt idx="1055">
                  <c:v>1055</c:v>
                </c:pt>
                <c:pt idx="1056">
                  <c:v>1056</c:v>
                </c:pt>
                <c:pt idx="1057">
                  <c:v>1057</c:v>
                </c:pt>
                <c:pt idx="1058">
                  <c:v>1058</c:v>
                </c:pt>
                <c:pt idx="1059">
                  <c:v>1059</c:v>
                </c:pt>
                <c:pt idx="1060">
                  <c:v>1060</c:v>
                </c:pt>
                <c:pt idx="1061">
                  <c:v>1061</c:v>
                </c:pt>
                <c:pt idx="1062">
                  <c:v>1062</c:v>
                </c:pt>
                <c:pt idx="1063">
                  <c:v>1063</c:v>
                </c:pt>
                <c:pt idx="1064">
                  <c:v>1064</c:v>
                </c:pt>
                <c:pt idx="1065">
                  <c:v>1065</c:v>
                </c:pt>
                <c:pt idx="1066">
                  <c:v>1066</c:v>
                </c:pt>
                <c:pt idx="1067">
                  <c:v>1067</c:v>
                </c:pt>
                <c:pt idx="1068">
                  <c:v>1068</c:v>
                </c:pt>
                <c:pt idx="1069">
                  <c:v>1069</c:v>
                </c:pt>
                <c:pt idx="1070">
                  <c:v>1070</c:v>
                </c:pt>
                <c:pt idx="1071">
                  <c:v>1071</c:v>
                </c:pt>
                <c:pt idx="1072">
                  <c:v>1072</c:v>
                </c:pt>
                <c:pt idx="1073">
                  <c:v>1073</c:v>
                </c:pt>
                <c:pt idx="1074">
                  <c:v>1074</c:v>
                </c:pt>
                <c:pt idx="1075">
                  <c:v>1075</c:v>
                </c:pt>
                <c:pt idx="1076">
                  <c:v>1076</c:v>
                </c:pt>
                <c:pt idx="1077">
                  <c:v>1077</c:v>
                </c:pt>
                <c:pt idx="1078">
                  <c:v>1078</c:v>
                </c:pt>
                <c:pt idx="1079">
                  <c:v>1079</c:v>
                </c:pt>
                <c:pt idx="1080">
                  <c:v>1080</c:v>
                </c:pt>
                <c:pt idx="1081">
                  <c:v>1081</c:v>
                </c:pt>
                <c:pt idx="1082">
                  <c:v>1082</c:v>
                </c:pt>
                <c:pt idx="1083">
                  <c:v>1083</c:v>
                </c:pt>
                <c:pt idx="1084">
                  <c:v>1084</c:v>
                </c:pt>
                <c:pt idx="1085">
                  <c:v>1085</c:v>
                </c:pt>
                <c:pt idx="1086">
                  <c:v>1086</c:v>
                </c:pt>
                <c:pt idx="1087">
                  <c:v>1087</c:v>
                </c:pt>
                <c:pt idx="1088">
                  <c:v>1088</c:v>
                </c:pt>
                <c:pt idx="1089">
                  <c:v>1089</c:v>
                </c:pt>
                <c:pt idx="1090">
                  <c:v>1090</c:v>
                </c:pt>
                <c:pt idx="1091">
                  <c:v>1091</c:v>
                </c:pt>
                <c:pt idx="1092">
                  <c:v>1092</c:v>
                </c:pt>
                <c:pt idx="1093">
                  <c:v>1093</c:v>
                </c:pt>
                <c:pt idx="1094">
                  <c:v>1094</c:v>
                </c:pt>
                <c:pt idx="1095">
                  <c:v>1095</c:v>
                </c:pt>
                <c:pt idx="1096">
                  <c:v>1096</c:v>
                </c:pt>
                <c:pt idx="1097">
                  <c:v>1097</c:v>
                </c:pt>
                <c:pt idx="1098">
                  <c:v>1098</c:v>
                </c:pt>
                <c:pt idx="1099">
                  <c:v>1099</c:v>
                </c:pt>
                <c:pt idx="1100">
                  <c:v>1100</c:v>
                </c:pt>
                <c:pt idx="1101">
                  <c:v>1101</c:v>
                </c:pt>
                <c:pt idx="1102">
                  <c:v>1102</c:v>
                </c:pt>
                <c:pt idx="1103">
                  <c:v>1103</c:v>
                </c:pt>
                <c:pt idx="1104">
                  <c:v>1104</c:v>
                </c:pt>
                <c:pt idx="1105">
                  <c:v>1105</c:v>
                </c:pt>
                <c:pt idx="1106">
                  <c:v>1106</c:v>
                </c:pt>
                <c:pt idx="1107">
                  <c:v>1107</c:v>
                </c:pt>
                <c:pt idx="1108">
                  <c:v>1108</c:v>
                </c:pt>
                <c:pt idx="1109">
                  <c:v>1109</c:v>
                </c:pt>
                <c:pt idx="1110">
                  <c:v>1110</c:v>
                </c:pt>
                <c:pt idx="1111">
                  <c:v>1111</c:v>
                </c:pt>
                <c:pt idx="1112">
                  <c:v>1112</c:v>
                </c:pt>
                <c:pt idx="1113">
                  <c:v>1113</c:v>
                </c:pt>
                <c:pt idx="1114">
                  <c:v>1114</c:v>
                </c:pt>
                <c:pt idx="1115">
                  <c:v>1115</c:v>
                </c:pt>
                <c:pt idx="1116">
                  <c:v>1116</c:v>
                </c:pt>
                <c:pt idx="1117">
                  <c:v>1117</c:v>
                </c:pt>
                <c:pt idx="1118">
                  <c:v>1118</c:v>
                </c:pt>
                <c:pt idx="1119">
                  <c:v>1119</c:v>
                </c:pt>
                <c:pt idx="1120">
                  <c:v>1120</c:v>
                </c:pt>
                <c:pt idx="1121">
                  <c:v>1121</c:v>
                </c:pt>
                <c:pt idx="1122">
                  <c:v>1122</c:v>
                </c:pt>
                <c:pt idx="1123">
                  <c:v>1123</c:v>
                </c:pt>
                <c:pt idx="1124">
                  <c:v>1124</c:v>
                </c:pt>
                <c:pt idx="1125">
                  <c:v>1125</c:v>
                </c:pt>
                <c:pt idx="1126">
                  <c:v>1126</c:v>
                </c:pt>
                <c:pt idx="1127">
                  <c:v>1127</c:v>
                </c:pt>
                <c:pt idx="1128">
                  <c:v>1128</c:v>
                </c:pt>
                <c:pt idx="1129">
                  <c:v>1129</c:v>
                </c:pt>
                <c:pt idx="1130">
                  <c:v>1130</c:v>
                </c:pt>
                <c:pt idx="1131">
                  <c:v>1131</c:v>
                </c:pt>
                <c:pt idx="1132">
                  <c:v>1132</c:v>
                </c:pt>
                <c:pt idx="1133">
                  <c:v>1133</c:v>
                </c:pt>
                <c:pt idx="1134">
                  <c:v>1134</c:v>
                </c:pt>
                <c:pt idx="1135">
                  <c:v>1135</c:v>
                </c:pt>
                <c:pt idx="1136">
                  <c:v>1136</c:v>
                </c:pt>
                <c:pt idx="1137">
                  <c:v>1137</c:v>
                </c:pt>
                <c:pt idx="1138">
                  <c:v>1138</c:v>
                </c:pt>
                <c:pt idx="1139">
                  <c:v>1139</c:v>
                </c:pt>
                <c:pt idx="1140">
                  <c:v>1140</c:v>
                </c:pt>
                <c:pt idx="1141">
                  <c:v>1141</c:v>
                </c:pt>
                <c:pt idx="1142">
                  <c:v>1142</c:v>
                </c:pt>
                <c:pt idx="1143">
                  <c:v>1143</c:v>
                </c:pt>
                <c:pt idx="1144">
                  <c:v>1144</c:v>
                </c:pt>
                <c:pt idx="1145">
                  <c:v>1145</c:v>
                </c:pt>
                <c:pt idx="1146">
                  <c:v>1146</c:v>
                </c:pt>
                <c:pt idx="1147">
                  <c:v>1147</c:v>
                </c:pt>
                <c:pt idx="1148">
                  <c:v>1148</c:v>
                </c:pt>
                <c:pt idx="1149">
                  <c:v>1149</c:v>
                </c:pt>
                <c:pt idx="1150">
                  <c:v>1150</c:v>
                </c:pt>
                <c:pt idx="1151">
                  <c:v>1151</c:v>
                </c:pt>
                <c:pt idx="1152">
                  <c:v>1152</c:v>
                </c:pt>
                <c:pt idx="1153">
                  <c:v>1153</c:v>
                </c:pt>
                <c:pt idx="1154">
                  <c:v>1154</c:v>
                </c:pt>
                <c:pt idx="1155">
                  <c:v>1155</c:v>
                </c:pt>
                <c:pt idx="1156">
                  <c:v>1156</c:v>
                </c:pt>
                <c:pt idx="1157">
                  <c:v>1157</c:v>
                </c:pt>
                <c:pt idx="1158">
                  <c:v>1158</c:v>
                </c:pt>
                <c:pt idx="1159">
                  <c:v>1159</c:v>
                </c:pt>
                <c:pt idx="1160">
                  <c:v>1160</c:v>
                </c:pt>
                <c:pt idx="1161">
                  <c:v>1161</c:v>
                </c:pt>
                <c:pt idx="1162">
                  <c:v>1162</c:v>
                </c:pt>
                <c:pt idx="1163">
                  <c:v>1163</c:v>
                </c:pt>
                <c:pt idx="1164">
                  <c:v>1164</c:v>
                </c:pt>
                <c:pt idx="1165">
                  <c:v>1165</c:v>
                </c:pt>
                <c:pt idx="1166">
                  <c:v>1166</c:v>
                </c:pt>
                <c:pt idx="1167">
                  <c:v>1167</c:v>
                </c:pt>
                <c:pt idx="1168">
                  <c:v>1168</c:v>
                </c:pt>
                <c:pt idx="1169">
                  <c:v>1169</c:v>
                </c:pt>
                <c:pt idx="1170">
                  <c:v>1170</c:v>
                </c:pt>
                <c:pt idx="1171">
                  <c:v>1171</c:v>
                </c:pt>
                <c:pt idx="1172">
                  <c:v>1172</c:v>
                </c:pt>
                <c:pt idx="1173">
                  <c:v>1173</c:v>
                </c:pt>
                <c:pt idx="1174">
                  <c:v>1174</c:v>
                </c:pt>
                <c:pt idx="1175">
                  <c:v>1175</c:v>
                </c:pt>
                <c:pt idx="1176">
                  <c:v>1176</c:v>
                </c:pt>
                <c:pt idx="1177">
                  <c:v>1177</c:v>
                </c:pt>
                <c:pt idx="1178">
                  <c:v>1178</c:v>
                </c:pt>
                <c:pt idx="1179">
                  <c:v>1179</c:v>
                </c:pt>
                <c:pt idx="1180">
                  <c:v>1180</c:v>
                </c:pt>
                <c:pt idx="1181">
                  <c:v>1181</c:v>
                </c:pt>
                <c:pt idx="1182">
                  <c:v>1182</c:v>
                </c:pt>
                <c:pt idx="1183">
                  <c:v>1183</c:v>
                </c:pt>
                <c:pt idx="1184">
                  <c:v>1184</c:v>
                </c:pt>
                <c:pt idx="1185">
                  <c:v>1185</c:v>
                </c:pt>
                <c:pt idx="1186">
                  <c:v>1186</c:v>
                </c:pt>
                <c:pt idx="1187">
                  <c:v>1187</c:v>
                </c:pt>
                <c:pt idx="1188">
                  <c:v>1188</c:v>
                </c:pt>
                <c:pt idx="1189">
                  <c:v>1189</c:v>
                </c:pt>
                <c:pt idx="1190">
                  <c:v>1190</c:v>
                </c:pt>
                <c:pt idx="1191">
                  <c:v>1191</c:v>
                </c:pt>
                <c:pt idx="1192">
                  <c:v>1192</c:v>
                </c:pt>
                <c:pt idx="1193">
                  <c:v>1193</c:v>
                </c:pt>
                <c:pt idx="1194">
                  <c:v>1194</c:v>
                </c:pt>
                <c:pt idx="1195">
                  <c:v>1195</c:v>
                </c:pt>
                <c:pt idx="1196">
                  <c:v>1196</c:v>
                </c:pt>
                <c:pt idx="1197">
                  <c:v>1197</c:v>
                </c:pt>
                <c:pt idx="1198">
                  <c:v>1198</c:v>
                </c:pt>
                <c:pt idx="1199">
                  <c:v>1199</c:v>
                </c:pt>
                <c:pt idx="1200">
                  <c:v>1200</c:v>
                </c:pt>
                <c:pt idx="1201">
                  <c:v>1201</c:v>
                </c:pt>
                <c:pt idx="1202">
                  <c:v>1202</c:v>
                </c:pt>
                <c:pt idx="1203">
                  <c:v>1203</c:v>
                </c:pt>
                <c:pt idx="1204">
                  <c:v>1204</c:v>
                </c:pt>
                <c:pt idx="1205">
                  <c:v>1205</c:v>
                </c:pt>
                <c:pt idx="1206">
                  <c:v>1206</c:v>
                </c:pt>
                <c:pt idx="1207">
                  <c:v>1207</c:v>
                </c:pt>
                <c:pt idx="1208">
                  <c:v>1208</c:v>
                </c:pt>
                <c:pt idx="1209">
                  <c:v>1209</c:v>
                </c:pt>
                <c:pt idx="1210">
                  <c:v>1210</c:v>
                </c:pt>
                <c:pt idx="1211">
                  <c:v>1211</c:v>
                </c:pt>
                <c:pt idx="1212">
                  <c:v>1212</c:v>
                </c:pt>
                <c:pt idx="1213">
                  <c:v>1213</c:v>
                </c:pt>
                <c:pt idx="1214">
                  <c:v>1214</c:v>
                </c:pt>
                <c:pt idx="1215">
                  <c:v>1215</c:v>
                </c:pt>
                <c:pt idx="1216">
                  <c:v>1216</c:v>
                </c:pt>
                <c:pt idx="1217">
                  <c:v>1217</c:v>
                </c:pt>
                <c:pt idx="1218">
                  <c:v>1218</c:v>
                </c:pt>
                <c:pt idx="1219">
                  <c:v>1219</c:v>
                </c:pt>
                <c:pt idx="1220">
                  <c:v>1220</c:v>
                </c:pt>
                <c:pt idx="1221">
                  <c:v>1221</c:v>
                </c:pt>
                <c:pt idx="1222">
                  <c:v>1222</c:v>
                </c:pt>
                <c:pt idx="1223">
                  <c:v>1223</c:v>
                </c:pt>
                <c:pt idx="1224">
                  <c:v>1224</c:v>
                </c:pt>
                <c:pt idx="1225">
                  <c:v>1225</c:v>
                </c:pt>
                <c:pt idx="1226">
                  <c:v>1226</c:v>
                </c:pt>
                <c:pt idx="1227">
                  <c:v>1227</c:v>
                </c:pt>
                <c:pt idx="1228">
                  <c:v>1228</c:v>
                </c:pt>
                <c:pt idx="1229">
                  <c:v>1229</c:v>
                </c:pt>
                <c:pt idx="1230">
                  <c:v>1230</c:v>
                </c:pt>
                <c:pt idx="1231">
                  <c:v>1231</c:v>
                </c:pt>
                <c:pt idx="1232">
                  <c:v>1232</c:v>
                </c:pt>
                <c:pt idx="1233">
                  <c:v>1233</c:v>
                </c:pt>
                <c:pt idx="1234">
                  <c:v>1234</c:v>
                </c:pt>
                <c:pt idx="1235">
                  <c:v>1235</c:v>
                </c:pt>
                <c:pt idx="1236">
                  <c:v>1236</c:v>
                </c:pt>
                <c:pt idx="1237">
                  <c:v>1237</c:v>
                </c:pt>
                <c:pt idx="1238">
                  <c:v>1238</c:v>
                </c:pt>
                <c:pt idx="1239">
                  <c:v>1239</c:v>
                </c:pt>
                <c:pt idx="1240">
                  <c:v>1240</c:v>
                </c:pt>
                <c:pt idx="1241">
                  <c:v>1241</c:v>
                </c:pt>
                <c:pt idx="1242">
                  <c:v>1242</c:v>
                </c:pt>
                <c:pt idx="1243">
                  <c:v>1243</c:v>
                </c:pt>
                <c:pt idx="1244">
                  <c:v>1244</c:v>
                </c:pt>
                <c:pt idx="1245">
                  <c:v>1245</c:v>
                </c:pt>
                <c:pt idx="1246">
                  <c:v>1246</c:v>
                </c:pt>
                <c:pt idx="1247">
                  <c:v>1247</c:v>
                </c:pt>
                <c:pt idx="1248">
                  <c:v>1248</c:v>
                </c:pt>
                <c:pt idx="1249">
                  <c:v>1249</c:v>
                </c:pt>
                <c:pt idx="1250">
                  <c:v>1250</c:v>
                </c:pt>
                <c:pt idx="1251">
                  <c:v>1251</c:v>
                </c:pt>
                <c:pt idx="1252">
                  <c:v>1252</c:v>
                </c:pt>
                <c:pt idx="1253">
                  <c:v>1253</c:v>
                </c:pt>
                <c:pt idx="1254">
                  <c:v>1254</c:v>
                </c:pt>
                <c:pt idx="1255">
                  <c:v>1255</c:v>
                </c:pt>
                <c:pt idx="1256">
                  <c:v>1256</c:v>
                </c:pt>
                <c:pt idx="1257">
                  <c:v>1257</c:v>
                </c:pt>
                <c:pt idx="1258">
                  <c:v>1258</c:v>
                </c:pt>
                <c:pt idx="1259">
                  <c:v>1259</c:v>
                </c:pt>
                <c:pt idx="1260">
                  <c:v>1260</c:v>
                </c:pt>
                <c:pt idx="1261">
                  <c:v>1261</c:v>
                </c:pt>
                <c:pt idx="1262">
                  <c:v>1262</c:v>
                </c:pt>
                <c:pt idx="1263">
                  <c:v>1263</c:v>
                </c:pt>
                <c:pt idx="1264">
                  <c:v>1264</c:v>
                </c:pt>
                <c:pt idx="1265">
                  <c:v>1265</c:v>
                </c:pt>
                <c:pt idx="1266">
                  <c:v>1266</c:v>
                </c:pt>
                <c:pt idx="1267">
                  <c:v>1267</c:v>
                </c:pt>
                <c:pt idx="1268">
                  <c:v>1268</c:v>
                </c:pt>
                <c:pt idx="1269">
                  <c:v>1269</c:v>
                </c:pt>
                <c:pt idx="1270">
                  <c:v>1270</c:v>
                </c:pt>
                <c:pt idx="1271">
                  <c:v>1271</c:v>
                </c:pt>
                <c:pt idx="1272">
                  <c:v>1272</c:v>
                </c:pt>
                <c:pt idx="1273">
                  <c:v>1273</c:v>
                </c:pt>
                <c:pt idx="1274">
                  <c:v>1274</c:v>
                </c:pt>
                <c:pt idx="1275">
                  <c:v>1275</c:v>
                </c:pt>
                <c:pt idx="1276">
                  <c:v>1276</c:v>
                </c:pt>
                <c:pt idx="1277">
                  <c:v>1277</c:v>
                </c:pt>
                <c:pt idx="1278">
                  <c:v>1278</c:v>
                </c:pt>
                <c:pt idx="1279">
                  <c:v>1279</c:v>
                </c:pt>
                <c:pt idx="1280">
                  <c:v>1280</c:v>
                </c:pt>
                <c:pt idx="1281">
                  <c:v>1281</c:v>
                </c:pt>
                <c:pt idx="1282">
                  <c:v>1282</c:v>
                </c:pt>
                <c:pt idx="1283">
                  <c:v>1283</c:v>
                </c:pt>
                <c:pt idx="1284">
                  <c:v>1284</c:v>
                </c:pt>
                <c:pt idx="1285">
                  <c:v>1285</c:v>
                </c:pt>
                <c:pt idx="1286">
                  <c:v>1286</c:v>
                </c:pt>
                <c:pt idx="1287">
                  <c:v>1287</c:v>
                </c:pt>
                <c:pt idx="1288">
                  <c:v>1288</c:v>
                </c:pt>
                <c:pt idx="1289">
                  <c:v>1289</c:v>
                </c:pt>
                <c:pt idx="1290">
                  <c:v>1290</c:v>
                </c:pt>
                <c:pt idx="1291">
                  <c:v>1291</c:v>
                </c:pt>
                <c:pt idx="1292">
                  <c:v>1292</c:v>
                </c:pt>
                <c:pt idx="1293">
                  <c:v>1293</c:v>
                </c:pt>
                <c:pt idx="1294">
                  <c:v>1294</c:v>
                </c:pt>
                <c:pt idx="1295">
                  <c:v>1295</c:v>
                </c:pt>
                <c:pt idx="1296">
                  <c:v>1296</c:v>
                </c:pt>
                <c:pt idx="1297">
                  <c:v>1297</c:v>
                </c:pt>
                <c:pt idx="1298">
                  <c:v>1298</c:v>
                </c:pt>
                <c:pt idx="1299">
                  <c:v>1299</c:v>
                </c:pt>
                <c:pt idx="1300">
                  <c:v>1300</c:v>
                </c:pt>
                <c:pt idx="1301">
                  <c:v>1301</c:v>
                </c:pt>
                <c:pt idx="1302">
                  <c:v>1302</c:v>
                </c:pt>
                <c:pt idx="1303">
                  <c:v>1303</c:v>
                </c:pt>
                <c:pt idx="1304">
                  <c:v>1304</c:v>
                </c:pt>
                <c:pt idx="1305">
                  <c:v>1305</c:v>
                </c:pt>
                <c:pt idx="1306">
                  <c:v>1306</c:v>
                </c:pt>
                <c:pt idx="1307">
                  <c:v>1307</c:v>
                </c:pt>
                <c:pt idx="1308">
                  <c:v>1308</c:v>
                </c:pt>
                <c:pt idx="1309">
                  <c:v>1309</c:v>
                </c:pt>
                <c:pt idx="1310">
                  <c:v>1310</c:v>
                </c:pt>
                <c:pt idx="1311">
                  <c:v>1311</c:v>
                </c:pt>
                <c:pt idx="1312">
                  <c:v>1312</c:v>
                </c:pt>
                <c:pt idx="1313">
                  <c:v>1313</c:v>
                </c:pt>
                <c:pt idx="1314">
                  <c:v>1314</c:v>
                </c:pt>
                <c:pt idx="1315">
                  <c:v>1315</c:v>
                </c:pt>
                <c:pt idx="1316">
                  <c:v>1316</c:v>
                </c:pt>
                <c:pt idx="1317">
                  <c:v>1317</c:v>
                </c:pt>
                <c:pt idx="1318">
                  <c:v>1318</c:v>
                </c:pt>
                <c:pt idx="1319">
                  <c:v>1319</c:v>
                </c:pt>
                <c:pt idx="1320">
                  <c:v>1320</c:v>
                </c:pt>
                <c:pt idx="1321">
                  <c:v>1321</c:v>
                </c:pt>
                <c:pt idx="1322">
                  <c:v>1322</c:v>
                </c:pt>
                <c:pt idx="1323">
                  <c:v>1323</c:v>
                </c:pt>
                <c:pt idx="1324">
                  <c:v>1324</c:v>
                </c:pt>
                <c:pt idx="1325">
                  <c:v>1325</c:v>
                </c:pt>
                <c:pt idx="1326">
                  <c:v>1326</c:v>
                </c:pt>
                <c:pt idx="1327">
                  <c:v>1327</c:v>
                </c:pt>
                <c:pt idx="1328">
                  <c:v>1328</c:v>
                </c:pt>
                <c:pt idx="1329">
                  <c:v>1329</c:v>
                </c:pt>
                <c:pt idx="1330">
                  <c:v>1330</c:v>
                </c:pt>
                <c:pt idx="1331">
                  <c:v>1331</c:v>
                </c:pt>
                <c:pt idx="1332">
                  <c:v>1332</c:v>
                </c:pt>
                <c:pt idx="1333">
                  <c:v>1333</c:v>
                </c:pt>
                <c:pt idx="1334">
                  <c:v>1334</c:v>
                </c:pt>
                <c:pt idx="1335">
                  <c:v>1335</c:v>
                </c:pt>
                <c:pt idx="1336">
                  <c:v>1336</c:v>
                </c:pt>
                <c:pt idx="1337">
                  <c:v>1337</c:v>
                </c:pt>
                <c:pt idx="1338">
                  <c:v>1338</c:v>
                </c:pt>
                <c:pt idx="1339">
                  <c:v>1339</c:v>
                </c:pt>
                <c:pt idx="1340">
                  <c:v>1340</c:v>
                </c:pt>
                <c:pt idx="1341">
                  <c:v>1341</c:v>
                </c:pt>
                <c:pt idx="1342">
                  <c:v>1342</c:v>
                </c:pt>
                <c:pt idx="1343">
                  <c:v>1343</c:v>
                </c:pt>
                <c:pt idx="1344">
                  <c:v>1344</c:v>
                </c:pt>
                <c:pt idx="1345">
                  <c:v>1345</c:v>
                </c:pt>
                <c:pt idx="1346">
                  <c:v>1346</c:v>
                </c:pt>
                <c:pt idx="1347">
                  <c:v>1347</c:v>
                </c:pt>
              </c:numCache>
            </c:numRef>
          </c:xVal>
          <c:yVal>
            <c:numRef>
              <c:f>'Fuel Rate_Gear Selection_MPG'!$AI$2:$AI$1349</c:f>
              <c:numCache>
                <c:formatCode>General</c:formatCode>
                <c:ptCount val="13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2</c:v>
                </c:pt>
                <c:pt idx="24">
                  <c:v>3</c:v>
                </c:pt>
                <c:pt idx="25">
                  <c:v>3</c:v>
                </c:pt>
                <c:pt idx="26">
                  <c:v>4</c:v>
                </c:pt>
                <c:pt idx="27">
                  <c:v>4</c:v>
                </c:pt>
                <c:pt idx="28">
                  <c:v>4</c:v>
                </c:pt>
                <c:pt idx="29">
                  <c:v>4</c:v>
                </c:pt>
                <c:pt idx="30">
                  <c:v>4</c:v>
                </c:pt>
                <c:pt idx="31">
                  <c:v>4</c:v>
                </c:pt>
                <c:pt idx="32">
                  <c:v>4</c:v>
                </c:pt>
                <c:pt idx="33">
                  <c:v>4</c:v>
                </c:pt>
                <c:pt idx="34">
                  <c:v>4</c:v>
                </c:pt>
                <c:pt idx="35">
                  <c:v>4</c:v>
                </c:pt>
                <c:pt idx="36">
                  <c:v>4</c:v>
                </c:pt>
                <c:pt idx="37">
                  <c:v>4</c:v>
                </c:pt>
                <c:pt idx="38">
                  <c:v>3</c:v>
                </c:pt>
                <c:pt idx="39">
                  <c:v>3</c:v>
                </c:pt>
                <c:pt idx="40">
                  <c:v>3</c:v>
                </c:pt>
                <c:pt idx="41">
                  <c:v>3</c:v>
                </c:pt>
                <c:pt idx="42">
                  <c:v>3</c:v>
                </c:pt>
                <c:pt idx="43">
                  <c:v>4</c:v>
                </c:pt>
                <c:pt idx="44">
                  <c:v>4</c:v>
                </c:pt>
                <c:pt idx="45">
                  <c:v>4</c:v>
                </c:pt>
                <c:pt idx="46">
                  <c:v>4</c:v>
                </c:pt>
                <c:pt idx="47">
                  <c:v>4</c:v>
                </c:pt>
                <c:pt idx="48">
                  <c:v>4</c:v>
                </c:pt>
                <c:pt idx="49">
                  <c:v>4</c:v>
                </c:pt>
                <c:pt idx="50">
                  <c:v>4</c:v>
                </c:pt>
                <c:pt idx="51">
                  <c:v>4</c:v>
                </c:pt>
                <c:pt idx="52">
                  <c:v>4</c:v>
                </c:pt>
                <c:pt idx="53">
                  <c:v>3</c:v>
                </c:pt>
                <c:pt idx="54">
                  <c:v>3</c:v>
                </c:pt>
                <c:pt idx="55">
                  <c:v>4</c:v>
                </c:pt>
                <c:pt idx="56">
                  <c:v>4</c:v>
                </c:pt>
                <c:pt idx="57">
                  <c:v>4</c:v>
                </c:pt>
                <c:pt idx="58">
                  <c:v>4</c:v>
                </c:pt>
                <c:pt idx="59">
                  <c:v>4</c:v>
                </c:pt>
                <c:pt idx="60">
                  <c:v>4</c:v>
                </c:pt>
                <c:pt idx="61">
                  <c:v>4</c:v>
                </c:pt>
                <c:pt idx="62">
                  <c:v>4</c:v>
                </c:pt>
                <c:pt idx="63">
                  <c:v>4</c:v>
                </c:pt>
                <c:pt idx="64">
                  <c:v>4</c:v>
                </c:pt>
                <c:pt idx="65">
                  <c:v>4</c:v>
                </c:pt>
                <c:pt idx="66">
                  <c:v>4</c:v>
                </c:pt>
                <c:pt idx="67">
                  <c:v>4</c:v>
                </c:pt>
                <c:pt idx="68">
                  <c:v>4</c:v>
                </c:pt>
                <c:pt idx="69">
                  <c:v>4</c:v>
                </c:pt>
                <c:pt idx="70">
                  <c:v>4</c:v>
                </c:pt>
                <c:pt idx="71">
                  <c:v>4</c:v>
                </c:pt>
                <c:pt idx="72">
                  <c:v>4</c:v>
                </c:pt>
                <c:pt idx="73">
                  <c:v>4</c:v>
                </c:pt>
                <c:pt idx="74">
                  <c:v>4</c:v>
                </c:pt>
                <c:pt idx="75">
                  <c:v>4</c:v>
                </c:pt>
                <c:pt idx="76">
                  <c:v>4</c:v>
                </c:pt>
                <c:pt idx="77">
                  <c:v>4</c:v>
                </c:pt>
                <c:pt idx="78">
                  <c:v>4</c:v>
                </c:pt>
                <c:pt idx="79">
                  <c:v>4</c:v>
                </c:pt>
                <c:pt idx="80">
                  <c:v>4</c:v>
                </c:pt>
                <c:pt idx="81">
                  <c:v>4</c:v>
                </c:pt>
                <c:pt idx="82">
                  <c:v>4</c:v>
                </c:pt>
                <c:pt idx="83">
                  <c:v>4</c:v>
                </c:pt>
                <c:pt idx="84">
                  <c:v>4</c:v>
                </c:pt>
                <c:pt idx="85">
                  <c:v>4</c:v>
                </c:pt>
                <c:pt idx="86">
                  <c:v>4</c:v>
                </c:pt>
                <c:pt idx="87">
                  <c:v>4</c:v>
                </c:pt>
                <c:pt idx="88">
                  <c:v>4</c:v>
                </c:pt>
                <c:pt idx="89">
                  <c:v>4</c:v>
                </c:pt>
                <c:pt idx="90">
                  <c:v>4</c:v>
                </c:pt>
                <c:pt idx="91">
                  <c:v>4</c:v>
                </c:pt>
                <c:pt idx="92">
                  <c:v>4</c:v>
                </c:pt>
                <c:pt idx="93">
                  <c:v>4</c:v>
                </c:pt>
                <c:pt idx="94">
                  <c:v>4</c:v>
                </c:pt>
                <c:pt idx="95">
                  <c:v>4</c:v>
                </c:pt>
                <c:pt idx="96">
                  <c:v>4</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3</c:v>
                </c:pt>
                <c:pt idx="120">
                  <c:v>2</c:v>
                </c:pt>
                <c:pt idx="121">
                  <c:v>2</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2</c:v>
                </c:pt>
                <c:pt idx="166">
                  <c:v>3</c:v>
                </c:pt>
                <c:pt idx="167">
                  <c:v>3</c:v>
                </c:pt>
                <c:pt idx="168">
                  <c:v>3</c:v>
                </c:pt>
                <c:pt idx="169">
                  <c:v>4</c:v>
                </c:pt>
                <c:pt idx="170">
                  <c:v>4</c:v>
                </c:pt>
                <c:pt idx="171">
                  <c:v>4</c:v>
                </c:pt>
                <c:pt idx="172">
                  <c:v>4</c:v>
                </c:pt>
                <c:pt idx="173">
                  <c:v>4</c:v>
                </c:pt>
                <c:pt idx="174">
                  <c:v>4</c:v>
                </c:pt>
                <c:pt idx="175">
                  <c:v>4</c:v>
                </c:pt>
                <c:pt idx="176">
                  <c:v>4</c:v>
                </c:pt>
                <c:pt idx="177">
                  <c:v>4</c:v>
                </c:pt>
                <c:pt idx="178">
                  <c:v>4</c:v>
                </c:pt>
                <c:pt idx="179">
                  <c:v>4</c:v>
                </c:pt>
                <c:pt idx="180">
                  <c:v>4</c:v>
                </c:pt>
                <c:pt idx="181">
                  <c:v>4</c:v>
                </c:pt>
                <c:pt idx="182">
                  <c:v>4</c:v>
                </c:pt>
                <c:pt idx="183">
                  <c:v>4</c:v>
                </c:pt>
                <c:pt idx="184">
                  <c:v>4</c:v>
                </c:pt>
                <c:pt idx="185">
                  <c:v>4</c:v>
                </c:pt>
                <c:pt idx="186">
                  <c:v>4</c:v>
                </c:pt>
                <c:pt idx="187">
                  <c:v>4</c:v>
                </c:pt>
                <c:pt idx="188">
                  <c:v>4</c:v>
                </c:pt>
                <c:pt idx="189">
                  <c:v>4</c:v>
                </c:pt>
                <c:pt idx="190">
                  <c:v>4</c:v>
                </c:pt>
                <c:pt idx="191">
                  <c:v>4</c:v>
                </c:pt>
                <c:pt idx="192">
                  <c:v>4</c:v>
                </c:pt>
                <c:pt idx="193">
                  <c:v>4</c:v>
                </c:pt>
                <c:pt idx="194">
                  <c:v>4</c:v>
                </c:pt>
                <c:pt idx="195">
                  <c:v>4</c:v>
                </c:pt>
                <c:pt idx="196">
                  <c:v>4</c:v>
                </c:pt>
                <c:pt idx="197">
                  <c:v>4</c:v>
                </c:pt>
                <c:pt idx="198">
                  <c:v>4</c:v>
                </c:pt>
                <c:pt idx="199">
                  <c:v>4</c:v>
                </c:pt>
                <c:pt idx="200">
                  <c:v>6</c:v>
                </c:pt>
                <c:pt idx="201">
                  <c:v>6</c:v>
                </c:pt>
                <c:pt idx="202">
                  <c:v>6</c:v>
                </c:pt>
                <c:pt idx="203">
                  <c:v>6</c:v>
                </c:pt>
                <c:pt idx="204">
                  <c:v>6</c:v>
                </c:pt>
                <c:pt idx="205">
                  <c:v>6</c:v>
                </c:pt>
                <c:pt idx="206">
                  <c:v>6</c:v>
                </c:pt>
                <c:pt idx="207">
                  <c:v>6</c:v>
                </c:pt>
                <c:pt idx="208">
                  <c:v>6</c:v>
                </c:pt>
                <c:pt idx="209">
                  <c:v>6</c:v>
                </c:pt>
                <c:pt idx="210">
                  <c:v>6</c:v>
                </c:pt>
                <c:pt idx="211">
                  <c:v>6</c:v>
                </c:pt>
                <c:pt idx="212">
                  <c:v>6</c:v>
                </c:pt>
                <c:pt idx="213">
                  <c:v>6</c:v>
                </c:pt>
                <c:pt idx="214">
                  <c:v>6</c:v>
                </c:pt>
                <c:pt idx="215">
                  <c:v>6</c:v>
                </c:pt>
                <c:pt idx="216">
                  <c:v>6</c:v>
                </c:pt>
                <c:pt idx="217">
                  <c:v>6</c:v>
                </c:pt>
                <c:pt idx="218">
                  <c:v>6</c:v>
                </c:pt>
                <c:pt idx="219">
                  <c:v>6</c:v>
                </c:pt>
                <c:pt idx="220">
                  <c:v>6</c:v>
                </c:pt>
                <c:pt idx="221">
                  <c:v>6</c:v>
                </c:pt>
                <c:pt idx="222">
                  <c:v>6</c:v>
                </c:pt>
                <c:pt idx="223">
                  <c:v>6</c:v>
                </c:pt>
                <c:pt idx="224">
                  <c:v>6</c:v>
                </c:pt>
                <c:pt idx="225">
                  <c:v>6</c:v>
                </c:pt>
                <c:pt idx="226">
                  <c:v>6</c:v>
                </c:pt>
                <c:pt idx="227">
                  <c:v>6</c:v>
                </c:pt>
                <c:pt idx="228">
                  <c:v>6</c:v>
                </c:pt>
                <c:pt idx="229">
                  <c:v>6</c:v>
                </c:pt>
                <c:pt idx="230">
                  <c:v>6</c:v>
                </c:pt>
                <c:pt idx="231">
                  <c:v>6</c:v>
                </c:pt>
                <c:pt idx="232">
                  <c:v>6</c:v>
                </c:pt>
                <c:pt idx="233">
                  <c:v>6</c:v>
                </c:pt>
                <c:pt idx="234">
                  <c:v>5</c:v>
                </c:pt>
                <c:pt idx="235">
                  <c:v>6</c:v>
                </c:pt>
                <c:pt idx="236">
                  <c:v>6</c:v>
                </c:pt>
                <c:pt idx="237">
                  <c:v>5</c:v>
                </c:pt>
                <c:pt idx="238">
                  <c:v>5</c:v>
                </c:pt>
                <c:pt idx="239">
                  <c:v>5</c:v>
                </c:pt>
                <c:pt idx="240">
                  <c:v>6</c:v>
                </c:pt>
                <c:pt idx="241">
                  <c:v>6</c:v>
                </c:pt>
                <c:pt idx="242">
                  <c:v>5</c:v>
                </c:pt>
                <c:pt idx="243">
                  <c:v>6</c:v>
                </c:pt>
                <c:pt idx="244">
                  <c:v>6</c:v>
                </c:pt>
                <c:pt idx="245">
                  <c:v>6</c:v>
                </c:pt>
                <c:pt idx="246">
                  <c:v>6</c:v>
                </c:pt>
                <c:pt idx="247">
                  <c:v>6</c:v>
                </c:pt>
                <c:pt idx="248">
                  <c:v>6</c:v>
                </c:pt>
                <c:pt idx="249">
                  <c:v>6</c:v>
                </c:pt>
                <c:pt idx="250">
                  <c:v>6</c:v>
                </c:pt>
                <c:pt idx="251">
                  <c:v>6</c:v>
                </c:pt>
                <c:pt idx="252">
                  <c:v>6</c:v>
                </c:pt>
                <c:pt idx="253">
                  <c:v>6</c:v>
                </c:pt>
                <c:pt idx="254">
                  <c:v>6</c:v>
                </c:pt>
                <c:pt idx="255">
                  <c:v>5</c:v>
                </c:pt>
                <c:pt idx="256">
                  <c:v>5</c:v>
                </c:pt>
                <c:pt idx="257">
                  <c:v>6</c:v>
                </c:pt>
                <c:pt idx="258">
                  <c:v>6</c:v>
                </c:pt>
                <c:pt idx="259">
                  <c:v>6</c:v>
                </c:pt>
                <c:pt idx="260">
                  <c:v>6</c:v>
                </c:pt>
                <c:pt idx="261">
                  <c:v>6</c:v>
                </c:pt>
                <c:pt idx="262">
                  <c:v>6</c:v>
                </c:pt>
                <c:pt idx="263">
                  <c:v>6</c:v>
                </c:pt>
                <c:pt idx="264">
                  <c:v>6</c:v>
                </c:pt>
                <c:pt idx="265">
                  <c:v>6</c:v>
                </c:pt>
                <c:pt idx="266">
                  <c:v>6</c:v>
                </c:pt>
                <c:pt idx="267">
                  <c:v>6</c:v>
                </c:pt>
                <c:pt idx="268">
                  <c:v>6</c:v>
                </c:pt>
                <c:pt idx="269">
                  <c:v>6</c:v>
                </c:pt>
                <c:pt idx="270">
                  <c:v>6</c:v>
                </c:pt>
                <c:pt idx="271">
                  <c:v>6</c:v>
                </c:pt>
                <c:pt idx="272">
                  <c:v>6</c:v>
                </c:pt>
                <c:pt idx="273">
                  <c:v>6</c:v>
                </c:pt>
                <c:pt idx="274">
                  <c:v>6</c:v>
                </c:pt>
                <c:pt idx="275">
                  <c:v>6</c:v>
                </c:pt>
                <c:pt idx="276">
                  <c:v>6</c:v>
                </c:pt>
                <c:pt idx="277">
                  <c:v>6</c:v>
                </c:pt>
                <c:pt idx="278">
                  <c:v>6</c:v>
                </c:pt>
                <c:pt idx="279">
                  <c:v>6</c:v>
                </c:pt>
                <c:pt idx="280">
                  <c:v>5</c:v>
                </c:pt>
                <c:pt idx="281">
                  <c:v>6</c:v>
                </c:pt>
                <c:pt idx="282">
                  <c:v>6</c:v>
                </c:pt>
                <c:pt idx="283">
                  <c:v>6</c:v>
                </c:pt>
                <c:pt idx="284">
                  <c:v>6</c:v>
                </c:pt>
                <c:pt idx="285">
                  <c:v>6</c:v>
                </c:pt>
                <c:pt idx="286">
                  <c:v>6</c:v>
                </c:pt>
                <c:pt idx="287">
                  <c:v>6</c:v>
                </c:pt>
                <c:pt idx="288">
                  <c:v>6</c:v>
                </c:pt>
                <c:pt idx="289">
                  <c:v>6</c:v>
                </c:pt>
                <c:pt idx="290">
                  <c:v>6</c:v>
                </c:pt>
                <c:pt idx="291">
                  <c:v>6</c:v>
                </c:pt>
                <c:pt idx="292">
                  <c:v>6</c:v>
                </c:pt>
                <c:pt idx="293">
                  <c:v>6</c:v>
                </c:pt>
                <c:pt idx="294">
                  <c:v>6</c:v>
                </c:pt>
                <c:pt idx="295">
                  <c:v>6</c:v>
                </c:pt>
                <c:pt idx="296">
                  <c:v>6</c:v>
                </c:pt>
                <c:pt idx="297">
                  <c:v>6</c:v>
                </c:pt>
                <c:pt idx="298">
                  <c:v>6</c:v>
                </c:pt>
                <c:pt idx="299">
                  <c:v>4</c:v>
                </c:pt>
                <c:pt idx="300">
                  <c:v>4</c:v>
                </c:pt>
                <c:pt idx="301">
                  <c:v>4</c:v>
                </c:pt>
                <c:pt idx="302">
                  <c:v>4</c:v>
                </c:pt>
                <c:pt idx="303">
                  <c:v>4</c:v>
                </c:pt>
                <c:pt idx="304">
                  <c:v>4</c:v>
                </c:pt>
                <c:pt idx="305">
                  <c:v>4</c:v>
                </c:pt>
                <c:pt idx="306">
                  <c:v>4</c:v>
                </c:pt>
                <c:pt idx="307">
                  <c:v>4</c:v>
                </c:pt>
                <c:pt idx="308">
                  <c:v>3</c:v>
                </c:pt>
                <c:pt idx="309">
                  <c:v>3</c:v>
                </c:pt>
                <c:pt idx="310">
                  <c:v>2</c:v>
                </c:pt>
                <c:pt idx="311">
                  <c:v>2</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2</c:v>
                </c:pt>
                <c:pt idx="333">
                  <c:v>3</c:v>
                </c:pt>
                <c:pt idx="334">
                  <c:v>3</c:v>
                </c:pt>
                <c:pt idx="335">
                  <c:v>4</c:v>
                </c:pt>
                <c:pt idx="336">
                  <c:v>4</c:v>
                </c:pt>
                <c:pt idx="337">
                  <c:v>4</c:v>
                </c:pt>
                <c:pt idx="338">
                  <c:v>4</c:v>
                </c:pt>
                <c:pt idx="339">
                  <c:v>4</c:v>
                </c:pt>
                <c:pt idx="340">
                  <c:v>4</c:v>
                </c:pt>
                <c:pt idx="341">
                  <c:v>4</c:v>
                </c:pt>
                <c:pt idx="342">
                  <c:v>4</c:v>
                </c:pt>
                <c:pt idx="343">
                  <c:v>4</c:v>
                </c:pt>
                <c:pt idx="344">
                  <c:v>4</c:v>
                </c:pt>
                <c:pt idx="345">
                  <c:v>5</c:v>
                </c:pt>
                <c:pt idx="346">
                  <c:v>5</c:v>
                </c:pt>
                <c:pt idx="347">
                  <c:v>5</c:v>
                </c:pt>
                <c:pt idx="348">
                  <c:v>5</c:v>
                </c:pt>
                <c:pt idx="349">
                  <c:v>5</c:v>
                </c:pt>
                <c:pt idx="350">
                  <c:v>5</c:v>
                </c:pt>
                <c:pt idx="351">
                  <c:v>5</c:v>
                </c:pt>
                <c:pt idx="352">
                  <c:v>5</c:v>
                </c:pt>
                <c:pt idx="353">
                  <c:v>6</c:v>
                </c:pt>
                <c:pt idx="354">
                  <c:v>6</c:v>
                </c:pt>
                <c:pt idx="355">
                  <c:v>6</c:v>
                </c:pt>
                <c:pt idx="356">
                  <c:v>6</c:v>
                </c:pt>
                <c:pt idx="357">
                  <c:v>6</c:v>
                </c:pt>
                <c:pt idx="358">
                  <c:v>6</c:v>
                </c:pt>
                <c:pt idx="359">
                  <c:v>6</c:v>
                </c:pt>
                <c:pt idx="360">
                  <c:v>6</c:v>
                </c:pt>
                <c:pt idx="361">
                  <c:v>6</c:v>
                </c:pt>
                <c:pt idx="362">
                  <c:v>6</c:v>
                </c:pt>
                <c:pt idx="363">
                  <c:v>6</c:v>
                </c:pt>
                <c:pt idx="364">
                  <c:v>6</c:v>
                </c:pt>
                <c:pt idx="365">
                  <c:v>4</c:v>
                </c:pt>
                <c:pt idx="366">
                  <c:v>4</c:v>
                </c:pt>
                <c:pt idx="367">
                  <c:v>4</c:v>
                </c:pt>
                <c:pt idx="368">
                  <c:v>4</c:v>
                </c:pt>
                <c:pt idx="369">
                  <c:v>3</c:v>
                </c:pt>
                <c:pt idx="370">
                  <c:v>2</c:v>
                </c:pt>
                <c:pt idx="371">
                  <c:v>1</c:v>
                </c:pt>
                <c:pt idx="372">
                  <c:v>1</c:v>
                </c:pt>
                <c:pt idx="373">
                  <c:v>1</c:v>
                </c:pt>
                <c:pt idx="374">
                  <c:v>1</c:v>
                </c:pt>
                <c:pt idx="375">
                  <c:v>1</c:v>
                </c:pt>
                <c:pt idx="376">
                  <c:v>1</c:v>
                </c:pt>
                <c:pt idx="377">
                  <c:v>1</c:v>
                </c:pt>
                <c:pt idx="378">
                  <c:v>1</c:v>
                </c:pt>
                <c:pt idx="379">
                  <c:v>1</c:v>
                </c:pt>
                <c:pt idx="380">
                  <c:v>1</c:v>
                </c:pt>
                <c:pt idx="381">
                  <c:v>1</c:v>
                </c:pt>
                <c:pt idx="382">
                  <c:v>2</c:v>
                </c:pt>
                <c:pt idx="383">
                  <c:v>2</c:v>
                </c:pt>
                <c:pt idx="384">
                  <c:v>3</c:v>
                </c:pt>
                <c:pt idx="385">
                  <c:v>4</c:v>
                </c:pt>
                <c:pt idx="386">
                  <c:v>3</c:v>
                </c:pt>
                <c:pt idx="387">
                  <c:v>4</c:v>
                </c:pt>
                <c:pt idx="388">
                  <c:v>4</c:v>
                </c:pt>
                <c:pt idx="389">
                  <c:v>4</c:v>
                </c:pt>
                <c:pt idx="390">
                  <c:v>4</c:v>
                </c:pt>
                <c:pt idx="391">
                  <c:v>4</c:v>
                </c:pt>
                <c:pt idx="392">
                  <c:v>4</c:v>
                </c:pt>
                <c:pt idx="393">
                  <c:v>4</c:v>
                </c:pt>
                <c:pt idx="394">
                  <c:v>4</c:v>
                </c:pt>
                <c:pt idx="395">
                  <c:v>4</c:v>
                </c:pt>
                <c:pt idx="396">
                  <c:v>4</c:v>
                </c:pt>
                <c:pt idx="397">
                  <c:v>4</c:v>
                </c:pt>
                <c:pt idx="398">
                  <c:v>4</c:v>
                </c:pt>
                <c:pt idx="399">
                  <c:v>4</c:v>
                </c:pt>
                <c:pt idx="400">
                  <c:v>4</c:v>
                </c:pt>
                <c:pt idx="401">
                  <c:v>3</c:v>
                </c:pt>
                <c:pt idx="402">
                  <c:v>2</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2</c:v>
                </c:pt>
                <c:pt idx="428">
                  <c:v>3</c:v>
                </c:pt>
                <c:pt idx="429">
                  <c:v>3</c:v>
                </c:pt>
                <c:pt idx="430">
                  <c:v>4</c:v>
                </c:pt>
                <c:pt idx="431">
                  <c:v>4</c:v>
                </c:pt>
                <c:pt idx="432">
                  <c:v>4</c:v>
                </c:pt>
                <c:pt idx="433">
                  <c:v>4</c:v>
                </c:pt>
                <c:pt idx="434">
                  <c:v>4</c:v>
                </c:pt>
                <c:pt idx="435">
                  <c:v>4</c:v>
                </c:pt>
                <c:pt idx="436">
                  <c:v>4</c:v>
                </c:pt>
                <c:pt idx="437">
                  <c:v>5</c:v>
                </c:pt>
                <c:pt idx="438">
                  <c:v>5</c:v>
                </c:pt>
                <c:pt idx="439">
                  <c:v>5</c:v>
                </c:pt>
                <c:pt idx="440">
                  <c:v>6</c:v>
                </c:pt>
                <c:pt idx="441">
                  <c:v>6</c:v>
                </c:pt>
                <c:pt idx="442">
                  <c:v>6</c:v>
                </c:pt>
                <c:pt idx="443">
                  <c:v>6</c:v>
                </c:pt>
                <c:pt idx="444">
                  <c:v>6</c:v>
                </c:pt>
                <c:pt idx="445">
                  <c:v>6</c:v>
                </c:pt>
                <c:pt idx="446">
                  <c:v>6</c:v>
                </c:pt>
                <c:pt idx="447">
                  <c:v>6</c:v>
                </c:pt>
                <c:pt idx="448">
                  <c:v>6</c:v>
                </c:pt>
                <c:pt idx="449">
                  <c:v>6</c:v>
                </c:pt>
                <c:pt idx="450">
                  <c:v>6</c:v>
                </c:pt>
                <c:pt idx="451">
                  <c:v>6</c:v>
                </c:pt>
                <c:pt idx="452">
                  <c:v>5</c:v>
                </c:pt>
                <c:pt idx="453">
                  <c:v>5</c:v>
                </c:pt>
                <c:pt idx="454">
                  <c:v>5</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4</c:v>
                </c:pt>
                <c:pt idx="471">
                  <c:v>4</c:v>
                </c:pt>
                <c:pt idx="472">
                  <c:v>4</c:v>
                </c:pt>
                <c:pt idx="473">
                  <c:v>4</c:v>
                </c:pt>
                <c:pt idx="474">
                  <c:v>3</c:v>
                </c:pt>
                <c:pt idx="475">
                  <c:v>3</c:v>
                </c:pt>
                <c:pt idx="476">
                  <c:v>2</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2</c:v>
                </c:pt>
                <c:pt idx="491">
                  <c:v>2</c:v>
                </c:pt>
                <c:pt idx="492">
                  <c:v>2</c:v>
                </c:pt>
                <c:pt idx="493">
                  <c:v>2</c:v>
                </c:pt>
                <c:pt idx="494">
                  <c:v>3</c:v>
                </c:pt>
                <c:pt idx="495">
                  <c:v>3</c:v>
                </c:pt>
                <c:pt idx="496">
                  <c:v>4</c:v>
                </c:pt>
                <c:pt idx="497">
                  <c:v>4</c:v>
                </c:pt>
                <c:pt idx="498">
                  <c:v>4</c:v>
                </c:pt>
                <c:pt idx="499">
                  <c:v>4</c:v>
                </c:pt>
                <c:pt idx="500">
                  <c:v>4</c:v>
                </c:pt>
                <c:pt idx="501">
                  <c:v>4</c:v>
                </c:pt>
                <c:pt idx="502">
                  <c:v>4</c:v>
                </c:pt>
                <c:pt idx="503">
                  <c:v>4</c:v>
                </c:pt>
                <c:pt idx="504">
                  <c:v>4</c:v>
                </c:pt>
                <c:pt idx="505">
                  <c:v>4</c:v>
                </c:pt>
                <c:pt idx="506">
                  <c:v>4</c:v>
                </c:pt>
                <c:pt idx="507">
                  <c:v>4</c:v>
                </c:pt>
                <c:pt idx="508">
                  <c:v>4</c:v>
                </c:pt>
                <c:pt idx="509">
                  <c:v>4</c:v>
                </c:pt>
                <c:pt idx="510">
                  <c:v>4</c:v>
                </c:pt>
                <c:pt idx="511">
                  <c:v>4</c:v>
                </c:pt>
                <c:pt idx="512">
                  <c:v>4</c:v>
                </c:pt>
                <c:pt idx="513">
                  <c:v>4</c:v>
                </c:pt>
                <c:pt idx="514">
                  <c:v>4</c:v>
                </c:pt>
                <c:pt idx="515">
                  <c:v>4</c:v>
                </c:pt>
                <c:pt idx="516">
                  <c:v>4</c:v>
                </c:pt>
                <c:pt idx="517">
                  <c:v>4</c:v>
                </c:pt>
                <c:pt idx="518">
                  <c:v>4</c:v>
                </c:pt>
                <c:pt idx="519">
                  <c:v>4</c:v>
                </c:pt>
                <c:pt idx="520">
                  <c:v>4</c:v>
                </c:pt>
                <c:pt idx="521">
                  <c:v>4</c:v>
                </c:pt>
                <c:pt idx="522">
                  <c:v>3</c:v>
                </c:pt>
                <c:pt idx="523">
                  <c:v>2</c:v>
                </c:pt>
                <c:pt idx="524">
                  <c:v>2</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2</c:v>
                </c:pt>
                <c:pt idx="547">
                  <c:v>3</c:v>
                </c:pt>
                <c:pt idx="548">
                  <c:v>3</c:v>
                </c:pt>
                <c:pt idx="549">
                  <c:v>3</c:v>
                </c:pt>
                <c:pt idx="550">
                  <c:v>4</c:v>
                </c:pt>
                <c:pt idx="551">
                  <c:v>4</c:v>
                </c:pt>
                <c:pt idx="552">
                  <c:v>4</c:v>
                </c:pt>
                <c:pt idx="553">
                  <c:v>4</c:v>
                </c:pt>
                <c:pt idx="554">
                  <c:v>4</c:v>
                </c:pt>
                <c:pt idx="555">
                  <c:v>4</c:v>
                </c:pt>
                <c:pt idx="556">
                  <c:v>4</c:v>
                </c:pt>
                <c:pt idx="557">
                  <c:v>4</c:v>
                </c:pt>
                <c:pt idx="558">
                  <c:v>4</c:v>
                </c:pt>
                <c:pt idx="559">
                  <c:v>4</c:v>
                </c:pt>
                <c:pt idx="560">
                  <c:v>4</c:v>
                </c:pt>
                <c:pt idx="561">
                  <c:v>4</c:v>
                </c:pt>
                <c:pt idx="562">
                  <c:v>4</c:v>
                </c:pt>
                <c:pt idx="563">
                  <c:v>4</c:v>
                </c:pt>
                <c:pt idx="564">
                  <c:v>4</c:v>
                </c:pt>
                <c:pt idx="565">
                  <c:v>4</c:v>
                </c:pt>
                <c:pt idx="566">
                  <c:v>4</c:v>
                </c:pt>
                <c:pt idx="567">
                  <c:v>4</c:v>
                </c:pt>
                <c:pt idx="568">
                  <c:v>4</c:v>
                </c:pt>
                <c:pt idx="569">
                  <c:v>4</c:v>
                </c:pt>
                <c:pt idx="570">
                  <c:v>4</c:v>
                </c:pt>
                <c:pt idx="571">
                  <c:v>4</c:v>
                </c:pt>
                <c:pt idx="572">
                  <c:v>4</c:v>
                </c:pt>
                <c:pt idx="573">
                  <c:v>4</c:v>
                </c:pt>
                <c:pt idx="574">
                  <c:v>4</c:v>
                </c:pt>
                <c:pt idx="575">
                  <c:v>4</c:v>
                </c:pt>
                <c:pt idx="576">
                  <c:v>4</c:v>
                </c:pt>
                <c:pt idx="577">
                  <c:v>4</c:v>
                </c:pt>
                <c:pt idx="578">
                  <c:v>4</c:v>
                </c:pt>
                <c:pt idx="579">
                  <c:v>4</c:v>
                </c:pt>
                <c:pt idx="580">
                  <c:v>4</c:v>
                </c:pt>
                <c:pt idx="581">
                  <c:v>4</c:v>
                </c:pt>
                <c:pt idx="582">
                  <c:v>4</c:v>
                </c:pt>
                <c:pt idx="583">
                  <c:v>4</c:v>
                </c:pt>
                <c:pt idx="584">
                  <c:v>4</c:v>
                </c:pt>
                <c:pt idx="585">
                  <c:v>4</c:v>
                </c:pt>
                <c:pt idx="586">
                  <c:v>4</c:v>
                </c:pt>
                <c:pt idx="587">
                  <c:v>4</c:v>
                </c:pt>
                <c:pt idx="588">
                  <c:v>4</c:v>
                </c:pt>
                <c:pt idx="589">
                  <c:v>4</c:v>
                </c:pt>
                <c:pt idx="590">
                  <c:v>3</c:v>
                </c:pt>
                <c:pt idx="591">
                  <c:v>2</c:v>
                </c:pt>
                <c:pt idx="592">
                  <c:v>2</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2</c:v>
                </c:pt>
                <c:pt idx="625">
                  <c:v>2</c:v>
                </c:pt>
                <c:pt idx="626">
                  <c:v>3</c:v>
                </c:pt>
                <c:pt idx="627">
                  <c:v>3</c:v>
                </c:pt>
                <c:pt idx="628">
                  <c:v>4</c:v>
                </c:pt>
                <c:pt idx="629">
                  <c:v>4</c:v>
                </c:pt>
                <c:pt idx="630">
                  <c:v>4</c:v>
                </c:pt>
                <c:pt idx="631">
                  <c:v>4</c:v>
                </c:pt>
                <c:pt idx="632">
                  <c:v>4</c:v>
                </c:pt>
                <c:pt idx="633">
                  <c:v>4</c:v>
                </c:pt>
                <c:pt idx="634">
                  <c:v>4</c:v>
                </c:pt>
                <c:pt idx="635">
                  <c:v>4</c:v>
                </c:pt>
                <c:pt idx="636">
                  <c:v>4</c:v>
                </c:pt>
                <c:pt idx="637">
                  <c:v>4</c:v>
                </c:pt>
                <c:pt idx="638">
                  <c:v>4</c:v>
                </c:pt>
                <c:pt idx="639">
                  <c:v>4</c:v>
                </c:pt>
                <c:pt idx="640">
                  <c:v>4</c:v>
                </c:pt>
                <c:pt idx="641">
                  <c:v>4</c:v>
                </c:pt>
                <c:pt idx="642">
                  <c:v>4</c:v>
                </c:pt>
                <c:pt idx="643">
                  <c:v>4</c:v>
                </c:pt>
                <c:pt idx="644">
                  <c:v>4</c:v>
                </c:pt>
                <c:pt idx="645">
                  <c:v>4</c:v>
                </c:pt>
                <c:pt idx="646">
                  <c:v>4</c:v>
                </c:pt>
                <c:pt idx="647">
                  <c:v>4</c:v>
                </c:pt>
                <c:pt idx="648">
                  <c:v>3</c:v>
                </c:pt>
                <c:pt idx="649">
                  <c:v>3</c:v>
                </c:pt>
                <c:pt idx="650">
                  <c:v>2</c:v>
                </c:pt>
                <c:pt idx="651">
                  <c:v>2</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2</c:v>
                </c:pt>
                <c:pt idx="674">
                  <c:v>2</c:v>
                </c:pt>
                <c:pt idx="675">
                  <c:v>3</c:v>
                </c:pt>
                <c:pt idx="676">
                  <c:v>3</c:v>
                </c:pt>
                <c:pt idx="677">
                  <c:v>3</c:v>
                </c:pt>
                <c:pt idx="678">
                  <c:v>4</c:v>
                </c:pt>
                <c:pt idx="679">
                  <c:v>4</c:v>
                </c:pt>
                <c:pt idx="680">
                  <c:v>4</c:v>
                </c:pt>
                <c:pt idx="681">
                  <c:v>4</c:v>
                </c:pt>
                <c:pt idx="682">
                  <c:v>4</c:v>
                </c:pt>
                <c:pt idx="683">
                  <c:v>4</c:v>
                </c:pt>
                <c:pt idx="684">
                  <c:v>4</c:v>
                </c:pt>
                <c:pt idx="685">
                  <c:v>4</c:v>
                </c:pt>
                <c:pt idx="686">
                  <c:v>4</c:v>
                </c:pt>
                <c:pt idx="687">
                  <c:v>4</c:v>
                </c:pt>
                <c:pt idx="688">
                  <c:v>4</c:v>
                </c:pt>
                <c:pt idx="689">
                  <c:v>4</c:v>
                </c:pt>
                <c:pt idx="690">
                  <c:v>4</c:v>
                </c:pt>
                <c:pt idx="691">
                  <c:v>4</c:v>
                </c:pt>
                <c:pt idx="692">
                  <c:v>4</c:v>
                </c:pt>
                <c:pt idx="693">
                  <c:v>4</c:v>
                </c:pt>
                <c:pt idx="694">
                  <c:v>4</c:v>
                </c:pt>
                <c:pt idx="695">
                  <c:v>3</c:v>
                </c:pt>
                <c:pt idx="696">
                  <c:v>2</c:v>
                </c:pt>
                <c:pt idx="697">
                  <c:v>1</c:v>
                </c:pt>
                <c:pt idx="698">
                  <c:v>1</c:v>
                </c:pt>
                <c:pt idx="699">
                  <c:v>1</c:v>
                </c:pt>
                <c:pt idx="700">
                  <c:v>1</c:v>
                </c:pt>
                <c:pt idx="701">
                  <c:v>1</c:v>
                </c:pt>
                <c:pt idx="702">
                  <c:v>1</c:v>
                </c:pt>
                <c:pt idx="703">
                  <c:v>1</c:v>
                </c:pt>
                <c:pt idx="704">
                  <c:v>1</c:v>
                </c:pt>
                <c:pt idx="705">
                  <c:v>1</c:v>
                </c:pt>
                <c:pt idx="706">
                  <c:v>2</c:v>
                </c:pt>
                <c:pt idx="707">
                  <c:v>2</c:v>
                </c:pt>
                <c:pt idx="708">
                  <c:v>3</c:v>
                </c:pt>
                <c:pt idx="709">
                  <c:v>3</c:v>
                </c:pt>
                <c:pt idx="710">
                  <c:v>4</c:v>
                </c:pt>
                <c:pt idx="711">
                  <c:v>4</c:v>
                </c:pt>
                <c:pt idx="712">
                  <c:v>4</c:v>
                </c:pt>
                <c:pt idx="713">
                  <c:v>4</c:v>
                </c:pt>
                <c:pt idx="714">
                  <c:v>4</c:v>
                </c:pt>
                <c:pt idx="715">
                  <c:v>4</c:v>
                </c:pt>
                <c:pt idx="716">
                  <c:v>4</c:v>
                </c:pt>
                <c:pt idx="717">
                  <c:v>4</c:v>
                </c:pt>
                <c:pt idx="718">
                  <c:v>4</c:v>
                </c:pt>
                <c:pt idx="719">
                  <c:v>4</c:v>
                </c:pt>
                <c:pt idx="720">
                  <c:v>4</c:v>
                </c:pt>
                <c:pt idx="721">
                  <c:v>4</c:v>
                </c:pt>
                <c:pt idx="722">
                  <c:v>4</c:v>
                </c:pt>
                <c:pt idx="723">
                  <c:v>4</c:v>
                </c:pt>
                <c:pt idx="724">
                  <c:v>4</c:v>
                </c:pt>
                <c:pt idx="725">
                  <c:v>4</c:v>
                </c:pt>
                <c:pt idx="726">
                  <c:v>4</c:v>
                </c:pt>
                <c:pt idx="727">
                  <c:v>4</c:v>
                </c:pt>
                <c:pt idx="728">
                  <c:v>4</c:v>
                </c:pt>
                <c:pt idx="729">
                  <c:v>4</c:v>
                </c:pt>
                <c:pt idx="730">
                  <c:v>4</c:v>
                </c:pt>
                <c:pt idx="731">
                  <c:v>4</c:v>
                </c:pt>
                <c:pt idx="732">
                  <c:v>3</c:v>
                </c:pt>
                <c:pt idx="733">
                  <c:v>3</c:v>
                </c:pt>
                <c:pt idx="734">
                  <c:v>2</c:v>
                </c:pt>
                <c:pt idx="735">
                  <c:v>2</c:v>
                </c:pt>
                <c:pt idx="736">
                  <c:v>1</c:v>
                </c:pt>
                <c:pt idx="737">
                  <c:v>1</c:v>
                </c:pt>
                <c:pt idx="738">
                  <c:v>1</c:v>
                </c:pt>
                <c:pt idx="739">
                  <c:v>1</c:v>
                </c:pt>
                <c:pt idx="740">
                  <c:v>1</c:v>
                </c:pt>
                <c:pt idx="741">
                  <c:v>1</c:v>
                </c:pt>
                <c:pt idx="742">
                  <c:v>1</c:v>
                </c:pt>
                <c:pt idx="743">
                  <c:v>1</c:v>
                </c:pt>
                <c:pt idx="744">
                  <c:v>2</c:v>
                </c:pt>
                <c:pt idx="745">
                  <c:v>2</c:v>
                </c:pt>
                <c:pt idx="746">
                  <c:v>3</c:v>
                </c:pt>
                <c:pt idx="747">
                  <c:v>4</c:v>
                </c:pt>
                <c:pt idx="748">
                  <c:v>4</c:v>
                </c:pt>
                <c:pt idx="749">
                  <c:v>4</c:v>
                </c:pt>
                <c:pt idx="750">
                  <c:v>4</c:v>
                </c:pt>
                <c:pt idx="751">
                  <c:v>4</c:v>
                </c:pt>
                <c:pt idx="752">
                  <c:v>4</c:v>
                </c:pt>
                <c:pt idx="753">
                  <c:v>4</c:v>
                </c:pt>
                <c:pt idx="754">
                  <c:v>4</c:v>
                </c:pt>
                <c:pt idx="755">
                  <c:v>4</c:v>
                </c:pt>
                <c:pt idx="756">
                  <c:v>4</c:v>
                </c:pt>
                <c:pt idx="757">
                  <c:v>4</c:v>
                </c:pt>
                <c:pt idx="758">
                  <c:v>4</c:v>
                </c:pt>
                <c:pt idx="759">
                  <c:v>4</c:v>
                </c:pt>
                <c:pt idx="760">
                  <c:v>4</c:v>
                </c:pt>
                <c:pt idx="761">
                  <c:v>4</c:v>
                </c:pt>
                <c:pt idx="762">
                  <c:v>4</c:v>
                </c:pt>
                <c:pt idx="763">
                  <c:v>4</c:v>
                </c:pt>
                <c:pt idx="764">
                  <c:v>4</c:v>
                </c:pt>
                <c:pt idx="765">
                  <c:v>4</c:v>
                </c:pt>
                <c:pt idx="766">
                  <c:v>4</c:v>
                </c:pt>
                <c:pt idx="767">
                  <c:v>4</c:v>
                </c:pt>
                <c:pt idx="768">
                  <c:v>4</c:v>
                </c:pt>
                <c:pt idx="769">
                  <c:v>4</c:v>
                </c:pt>
                <c:pt idx="770">
                  <c:v>4</c:v>
                </c:pt>
                <c:pt idx="771">
                  <c:v>4</c:v>
                </c:pt>
                <c:pt idx="772">
                  <c:v>4</c:v>
                </c:pt>
                <c:pt idx="773">
                  <c:v>4</c:v>
                </c:pt>
                <c:pt idx="774">
                  <c:v>4</c:v>
                </c:pt>
                <c:pt idx="775">
                  <c:v>4</c:v>
                </c:pt>
                <c:pt idx="776">
                  <c:v>4</c:v>
                </c:pt>
                <c:pt idx="777">
                  <c:v>4</c:v>
                </c:pt>
                <c:pt idx="778">
                  <c:v>4</c:v>
                </c:pt>
                <c:pt idx="779">
                  <c:v>4</c:v>
                </c:pt>
                <c:pt idx="780">
                  <c:v>5</c:v>
                </c:pt>
                <c:pt idx="781">
                  <c:v>5</c:v>
                </c:pt>
                <c:pt idx="782">
                  <c:v>5</c:v>
                </c:pt>
                <c:pt idx="783">
                  <c:v>5</c:v>
                </c:pt>
                <c:pt idx="784">
                  <c:v>5</c:v>
                </c:pt>
                <c:pt idx="785">
                  <c:v>5</c:v>
                </c:pt>
                <c:pt idx="786">
                  <c:v>5</c:v>
                </c:pt>
                <c:pt idx="787">
                  <c:v>5</c:v>
                </c:pt>
                <c:pt idx="788">
                  <c:v>5</c:v>
                </c:pt>
                <c:pt idx="789">
                  <c:v>5</c:v>
                </c:pt>
                <c:pt idx="790">
                  <c:v>5</c:v>
                </c:pt>
                <c:pt idx="791">
                  <c:v>5</c:v>
                </c:pt>
                <c:pt idx="792">
                  <c:v>5</c:v>
                </c:pt>
                <c:pt idx="793">
                  <c:v>4</c:v>
                </c:pt>
                <c:pt idx="794">
                  <c:v>4</c:v>
                </c:pt>
                <c:pt idx="795">
                  <c:v>4</c:v>
                </c:pt>
                <c:pt idx="796">
                  <c:v>4</c:v>
                </c:pt>
                <c:pt idx="797">
                  <c:v>4</c:v>
                </c:pt>
                <c:pt idx="798">
                  <c:v>4</c:v>
                </c:pt>
                <c:pt idx="799">
                  <c:v>4</c:v>
                </c:pt>
                <c:pt idx="800">
                  <c:v>4</c:v>
                </c:pt>
                <c:pt idx="801">
                  <c:v>4</c:v>
                </c:pt>
                <c:pt idx="802">
                  <c:v>4</c:v>
                </c:pt>
                <c:pt idx="803">
                  <c:v>4</c:v>
                </c:pt>
                <c:pt idx="804">
                  <c:v>4</c:v>
                </c:pt>
                <c:pt idx="805">
                  <c:v>4</c:v>
                </c:pt>
                <c:pt idx="806">
                  <c:v>4</c:v>
                </c:pt>
                <c:pt idx="807">
                  <c:v>4</c:v>
                </c:pt>
                <c:pt idx="808">
                  <c:v>4</c:v>
                </c:pt>
                <c:pt idx="809">
                  <c:v>4</c:v>
                </c:pt>
                <c:pt idx="810">
                  <c:v>4</c:v>
                </c:pt>
                <c:pt idx="811">
                  <c:v>4</c:v>
                </c:pt>
                <c:pt idx="812">
                  <c:v>4</c:v>
                </c:pt>
                <c:pt idx="813">
                  <c:v>4</c:v>
                </c:pt>
                <c:pt idx="814">
                  <c:v>4</c:v>
                </c:pt>
                <c:pt idx="815">
                  <c:v>4</c:v>
                </c:pt>
                <c:pt idx="816">
                  <c:v>4</c:v>
                </c:pt>
                <c:pt idx="817">
                  <c:v>4</c:v>
                </c:pt>
                <c:pt idx="818">
                  <c:v>4</c:v>
                </c:pt>
                <c:pt idx="819">
                  <c:v>4</c:v>
                </c:pt>
                <c:pt idx="820">
                  <c:v>4</c:v>
                </c:pt>
                <c:pt idx="821">
                  <c:v>4</c:v>
                </c:pt>
                <c:pt idx="822">
                  <c:v>4</c:v>
                </c:pt>
                <c:pt idx="823">
                  <c:v>4</c:v>
                </c:pt>
                <c:pt idx="824">
                  <c:v>4</c:v>
                </c:pt>
                <c:pt idx="825">
                  <c:v>4</c:v>
                </c:pt>
                <c:pt idx="826">
                  <c:v>4</c:v>
                </c:pt>
                <c:pt idx="827">
                  <c:v>4</c:v>
                </c:pt>
                <c:pt idx="828">
                  <c:v>4</c:v>
                </c:pt>
                <c:pt idx="829">
                  <c:v>4</c:v>
                </c:pt>
                <c:pt idx="830">
                  <c:v>4</c:v>
                </c:pt>
                <c:pt idx="831">
                  <c:v>4</c:v>
                </c:pt>
                <c:pt idx="832">
                  <c:v>4</c:v>
                </c:pt>
                <c:pt idx="833">
                  <c:v>4</c:v>
                </c:pt>
                <c:pt idx="834">
                  <c:v>4</c:v>
                </c:pt>
                <c:pt idx="835">
                  <c:v>4</c:v>
                </c:pt>
                <c:pt idx="836">
                  <c:v>4</c:v>
                </c:pt>
                <c:pt idx="837">
                  <c:v>4</c:v>
                </c:pt>
                <c:pt idx="838">
                  <c:v>4</c:v>
                </c:pt>
                <c:pt idx="839">
                  <c:v>4</c:v>
                </c:pt>
                <c:pt idx="840">
                  <c:v>4</c:v>
                </c:pt>
                <c:pt idx="841">
                  <c:v>4</c:v>
                </c:pt>
                <c:pt idx="842">
                  <c:v>4</c:v>
                </c:pt>
                <c:pt idx="843">
                  <c:v>4</c:v>
                </c:pt>
                <c:pt idx="844">
                  <c:v>4</c:v>
                </c:pt>
                <c:pt idx="845">
                  <c:v>4</c:v>
                </c:pt>
                <c:pt idx="846">
                  <c:v>4</c:v>
                </c:pt>
                <c:pt idx="847">
                  <c:v>4</c:v>
                </c:pt>
                <c:pt idx="848">
                  <c:v>4</c:v>
                </c:pt>
                <c:pt idx="849">
                  <c:v>4</c:v>
                </c:pt>
                <c:pt idx="850">
                  <c:v>4</c:v>
                </c:pt>
                <c:pt idx="851">
                  <c:v>4</c:v>
                </c:pt>
                <c:pt idx="852">
                  <c:v>4</c:v>
                </c:pt>
                <c:pt idx="853">
                  <c:v>4</c:v>
                </c:pt>
                <c:pt idx="854">
                  <c:v>4</c:v>
                </c:pt>
                <c:pt idx="855">
                  <c:v>4</c:v>
                </c:pt>
                <c:pt idx="856">
                  <c:v>4</c:v>
                </c:pt>
                <c:pt idx="857">
                  <c:v>4</c:v>
                </c:pt>
                <c:pt idx="858">
                  <c:v>4</c:v>
                </c:pt>
                <c:pt idx="859">
                  <c:v>4</c:v>
                </c:pt>
                <c:pt idx="860">
                  <c:v>4</c:v>
                </c:pt>
                <c:pt idx="861">
                  <c:v>4</c:v>
                </c:pt>
                <c:pt idx="862">
                  <c:v>4</c:v>
                </c:pt>
                <c:pt idx="863">
                  <c:v>4</c:v>
                </c:pt>
                <c:pt idx="864">
                  <c:v>4</c:v>
                </c:pt>
                <c:pt idx="865">
                  <c:v>4</c:v>
                </c:pt>
                <c:pt idx="866">
                  <c:v>4</c:v>
                </c:pt>
                <c:pt idx="867">
                  <c:v>4</c:v>
                </c:pt>
                <c:pt idx="868">
                  <c:v>4</c:v>
                </c:pt>
                <c:pt idx="869">
                  <c:v>4</c:v>
                </c:pt>
                <c:pt idx="870">
                  <c:v>4</c:v>
                </c:pt>
                <c:pt idx="871">
                  <c:v>4</c:v>
                </c:pt>
                <c:pt idx="872">
                  <c:v>4</c:v>
                </c:pt>
                <c:pt idx="873">
                  <c:v>4</c:v>
                </c:pt>
                <c:pt idx="874">
                  <c:v>4</c:v>
                </c:pt>
                <c:pt idx="875">
                  <c:v>4</c:v>
                </c:pt>
                <c:pt idx="876">
                  <c:v>4</c:v>
                </c:pt>
                <c:pt idx="877">
                  <c:v>4</c:v>
                </c:pt>
                <c:pt idx="878">
                  <c:v>4</c:v>
                </c:pt>
                <c:pt idx="879">
                  <c:v>4</c:v>
                </c:pt>
                <c:pt idx="880">
                  <c:v>4</c:v>
                </c:pt>
                <c:pt idx="881">
                  <c:v>4</c:v>
                </c:pt>
                <c:pt idx="882">
                  <c:v>4</c:v>
                </c:pt>
                <c:pt idx="883">
                  <c:v>4</c:v>
                </c:pt>
                <c:pt idx="884">
                  <c:v>4</c:v>
                </c:pt>
                <c:pt idx="885">
                  <c:v>4</c:v>
                </c:pt>
                <c:pt idx="886">
                  <c:v>4</c:v>
                </c:pt>
                <c:pt idx="887">
                  <c:v>4</c:v>
                </c:pt>
                <c:pt idx="888">
                  <c:v>4</c:v>
                </c:pt>
                <c:pt idx="889">
                  <c:v>4</c:v>
                </c:pt>
                <c:pt idx="890">
                  <c:v>4</c:v>
                </c:pt>
                <c:pt idx="891">
                  <c:v>4</c:v>
                </c:pt>
                <c:pt idx="892">
                  <c:v>4</c:v>
                </c:pt>
                <c:pt idx="893">
                  <c:v>4</c:v>
                </c:pt>
                <c:pt idx="894">
                  <c:v>4</c:v>
                </c:pt>
                <c:pt idx="895">
                  <c:v>4</c:v>
                </c:pt>
                <c:pt idx="896">
                  <c:v>4</c:v>
                </c:pt>
                <c:pt idx="897">
                  <c:v>4</c:v>
                </c:pt>
                <c:pt idx="898">
                  <c:v>4</c:v>
                </c:pt>
                <c:pt idx="899">
                  <c:v>4</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4</c:v>
                </c:pt>
                <c:pt idx="924">
                  <c:v>4</c:v>
                </c:pt>
                <c:pt idx="925">
                  <c:v>4</c:v>
                </c:pt>
                <c:pt idx="926">
                  <c:v>3</c:v>
                </c:pt>
                <c:pt idx="927">
                  <c:v>3</c:v>
                </c:pt>
                <c:pt idx="928">
                  <c:v>2</c:v>
                </c:pt>
                <c:pt idx="929">
                  <c:v>1</c:v>
                </c:pt>
                <c:pt idx="930">
                  <c:v>1</c:v>
                </c:pt>
                <c:pt idx="931">
                  <c:v>1</c:v>
                </c:pt>
                <c:pt idx="932">
                  <c:v>1</c:v>
                </c:pt>
                <c:pt idx="933">
                  <c:v>1</c:v>
                </c:pt>
                <c:pt idx="934">
                  <c:v>1</c:v>
                </c:pt>
                <c:pt idx="935">
                  <c:v>1</c:v>
                </c:pt>
                <c:pt idx="936">
                  <c:v>1</c:v>
                </c:pt>
                <c:pt idx="937">
                  <c:v>2</c:v>
                </c:pt>
                <c:pt idx="938">
                  <c:v>2</c:v>
                </c:pt>
                <c:pt idx="939">
                  <c:v>3</c:v>
                </c:pt>
                <c:pt idx="940">
                  <c:v>4</c:v>
                </c:pt>
                <c:pt idx="941">
                  <c:v>4</c:v>
                </c:pt>
                <c:pt idx="942">
                  <c:v>4</c:v>
                </c:pt>
                <c:pt idx="943">
                  <c:v>4</c:v>
                </c:pt>
                <c:pt idx="944">
                  <c:v>4</c:v>
                </c:pt>
                <c:pt idx="945">
                  <c:v>4</c:v>
                </c:pt>
                <c:pt idx="946">
                  <c:v>4</c:v>
                </c:pt>
                <c:pt idx="947">
                  <c:v>4</c:v>
                </c:pt>
                <c:pt idx="948">
                  <c:v>4</c:v>
                </c:pt>
                <c:pt idx="949">
                  <c:v>4</c:v>
                </c:pt>
                <c:pt idx="950">
                  <c:v>4</c:v>
                </c:pt>
                <c:pt idx="951">
                  <c:v>4</c:v>
                </c:pt>
                <c:pt idx="952">
                  <c:v>4</c:v>
                </c:pt>
                <c:pt idx="953">
                  <c:v>4</c:v>
                </c:pt>
                <c:pt idx="954">
                  <c:v>4</c:v>
                </c:pt>
                <c:pt idx="955">
                  <c:v>4</c:v>
                </c:pt>
                <c:pt idx="956">
                  <c:v>4</c:v>
                </c:pt>
                <c:pt idx="957">
                  <c:v>4</c:v>
                </c:pt>
                <c:pt idx="958">
                  <c:v>4</c:v>
                </c:pt>
                <c:pt idx="959">
                  <c:v>4</c:v>
                </c:pt>
                <c:pt idx="960">
                  <c:v>4</c:v>
                </c:pt>
                <c:pt idx="961">
                  <c:v>4</c:v>
                </c:pt>
                <c:pt idx="962">
                  <c:v>4</c:v>
                </c:pt>
                <c:pt idx="963">
                  <c:v>4</c:v>
                </c:pt>
                <c:pt idx="964">
                  <c:v>4</c:v>
                </c:pt>
                <c:pt idx="965">
                  <c:v>4</c:v>
                </c:pt>
                <c:pt idx="966">
                  <c:v>4</c:v>
                </c:pt>
                <c:pt idx="967">
                  <c:v>4</c:v>
                </c:pt>
                <c:pt idx="968">
                  <c:v>4</c:v>
                </c:pt>
                <c:pt idx="969">
                  <c:v>4</c:v>
                </c:pt>
                <c:pt idx="970">
                  <c:v>4</c:v>
                </c:pt>
                <c:pt idx="971">
                  <c:v>4</c:v>
                </c:pt>
                <c:pt idx="972">
                  <c:v>4</c:v>
                </c:pt>
                <c:pt idx="973">
                  <c:v>4</c:v>
                </c:pt>
                <c:pt idx="974">
                  <c:v>4</c:v>
                </c:pt>
                <c:pt idx="975">
                  <c:v>4</c:v>
                </c:pt>
                <c:pt idx="976">
                  <c:v>4</c:v>
                </c:pt>
                <c:pt idx="977">
                  <c:v>4</c:v>
                </c:pt>
                <c:pt idx="978">
                  <c:v>4</c:v>
                </c:pt>
                <c:pt idx="979">
                  <c:v>4</c:v>
                </c:pt>
                <c:pt idx="980">
                  <c:v>4</c:v>
                </c:pt>
                <c:pt idx="981">
                  <c:v>4</c:v>
                </c:pt>
                <c:pt idx="982">
                  <c:v>4</c:v>
                </c:pt>
                <c:pt idx="983">
                  <c:v>4</c:v>
                </c:pt>
                <c:pt idx="984">
                  <c:v>4</c:v>
                </c:pt>
                <c:pt idx="985">
                  <c:v>4</c:v>
                </c:pt>
                <c:pt idx="986">
                  <c:v>4</c:v>
                </c:pt>
                <c:pt idx="987">
                  <c:v>4</c:v>
                </c:pt>
                <c:pt idx="988">
                  <c:v>4</c:v>
                </c:pt>
                <c:pt idx="989">
                  <c:v>4</c:v>
                </c:pt>
                <c:pt idx="990">
                  <c:v>4</c:v>
                </c:pt>
                <c:pt idx="991">
                  <c:v>4</c:v>
                </c:pt>
                <c:pt idx="992">
                  <c:v>4</c:v>
                </c:pt>
                <c:pt idx="993">
                  <c:v>3</c:v>
                </c:pt>
                <c:pt idx="994">
                  <c:v>2</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2</c:v>
                </c:pt>
                <c:pt idx="1032">
                  <c:v>3</c:v>
                </c:pt>
                <c:pt idx="1033">
                  <c:v>3</c:v>
                </c:pt>
                <c:pt idx="1034">
                  <c:v>4</c:v>
                </c:pt>
                <c:pt idx="1035">
                  <c:v>4</c:v>
                </c:pt>
                <c:pt idx="1036">
                  <c:v>4</c:v>
                </c:pt>
                <c:pt idx="1037">
                  <c:v>4</c:v>
                </c:pt>
                <c:pt idx="1038">
                  <c:v>4</c:v>
                </c:pt>
                <c:pt idx="1039">
                  <c:v>4</c:v>
                </c:pt>
                <c:pt idx="1040">
                  <c:v>4</c:v>
                </c:pt>
                <c:pt idx="1041">
                  <c:v>4</c:v>
                </c:pt>
                <c:pt idx="1042">
                  <c:v>4</c:v>
                </c:pt>
                <c:pt idx="1043">
                  <c:v>4</c:v>
                </c:pt>
                <c:pt idx="1044">
                  <c:v>4</c:v>
                </c:pt>
                <c:pt idx="1045">
                  <c:v>4</c:v>
                </c:pt>
                <c:pt idx="1046">
                  <c:v>4</c:v>
                </c:pt>
                <c:pt idx="1047">
                  <c:v>4</c:v>
                </c:pt>
                <c:pt idx="1048">
                  <c:v>4</c:v>
                </c:pt>
                <c:pt idx="1049">
                  <c:v>4</c:v>
                </c:pt>
                <c:pt idx="1050">
                  <c:v>4</c:v>
                </c:pt>
                <c:pt idx="1051">
                  <c:v>4</c:v>
                </c:pt>
                <c:pt idx="1052">
                  <c:v>4</c:v>
                </c:pt>
                <c:pt idx="1053">
                  <c:v>4</c:v>
                </c:pt>
                <c:pt idx="1054">
                  <c:v>4</c:v>
                </c:pt>
                <c:pt idx="1055">
                  <c:v>4</c:v>
                </c:pt>
                <c:pt idx="1056">
                  <c:v>3</c:v>
                </c:pt>
                <c:pt idx="1057">
                  <c:v>2</c:v>
                </c:pt>
                <c:pt idx="1058">
                  <c:v>2</c:v>
                </c:pt>
                <c:pt idx="1059">
                  <c:v>2</c:v>
                </c:pt>
                <c:pt idx="1060">
                  <c:v>2</c:v>
                </c:pt>
                <c:pt idx="1061">
                  <c:v>2</c:v>
                </c:pt>
                <c:pt idx="1062">
                  <c:v>2</c:v>
                </c:pt>
                <c:pt idx="1063">
                  <c:v>2</c:v>
                </c:pt>
                <c:pt idx="1064">
                  <c:v>2</c:v>
                </c:pt>
                <c:pt idx="1065">
                  <c:v>2</c:v>
                </c:pt>
                <c:pt idx="1066">
                  <c:v>2</c:v>
                </c:pt>
                <c:pt idx="1067">
                  <c:v>2</c:v>
                </c:pt>
                <c:pt idx="1068">
                  <c:v>2</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2</c:v>
                </c:pt>
                <c:pt idx="1082">
                  <c:v>3</c:v>
                </c:pt>
                <c:pt idx="1083">
                  <c:v>3</c:v>
                </c:pt>
                <c:pt idx="1084">
                  <c:v>3</c:v>
                </c:pt>
                <c:pt idx="1085">
                  <c:v>3</c:v>
                </c:pt>
                <c:pt idx="1086">
                  <c:v>4</c:v>
                </c:pt>
                <c:pt idx="1087">
                  <c:v>4</c:v>
                </c:pt>
                <c:pt idx="1088">
                  <c:v>4</c:v>
                </c:pt>
                <c:pt idx="1089">
                  <c:v>4</c:v>
                </c:pt>
                <c:pt idx="1090">
                  <c:v>4</c:v>
                </c:pt>
                <c:pt idx="1091">
                  <c:v>4</c:v>
                </c:pt>
                <c:pt idx="1092">
                  <c:v>4</c:v>
                </c:pt>
                <c:pt idx="1093">
                  <c:v>4</c:v>
                </c:pt>
                <c:pt idx="1094">
                  <c:v>4</c:v>
                </c:pt>
                <c:pt idx="1095">
                  <c:v>4</c:v>
                </c:pt>
                <c:pt idx="1096">
                  <c:v>4</c:v>
                </c:pt>
                <c:pt idx="1097">
                  <c:v>4</c:v>
                </c:pt>
                <c:pt idx="1098">
                  <c:v>4</c:v>
                </c:pt>
                <c:pt idx="1099">
                  <c:v>4</c:v>
                </c:pt>
                <c:pt idx="1100">
                  <c:v>4</c:v>
                </c:pt>
                <c:pt idx="1101">
                  <c:v>4</c:v>
                </c:pt>
                <c:pt idx="1102">
                  <c:v>4</c:v>
                </c:pt>
                <c:pt idx="1103">
                  <c:v>4</c:v>
                </c:pt>
                <c:pt idx="1104">
                  <c:v>4</c:v>
                </c:pt>
                <c:pt idx="1105">
                  <c:v>4</c:v>
                </c:pt>
                <c:pt idx="1106">
                  <c:v>4</c:v>
                </c:pt>
                <c:pt idx="1107">
                  <c:v>4</c:v>
                </c:pt>
                <c:pt idx="1108">
                  <c:v>4</c:v>
                </c:pt>
                <c:pt idx="1109">
                  <c:v>4</c:v>
                </c:pt>
                <c:pt idx="1110">
                  <c:v>4</c:v>
                </c:pt>
                <c:pt idx="1111">
                  <c:v>4</c:v>
                </c:pt>
                <c:pt idx="1112">
                  <c:v>4</c:v>
                </c:pt>
                <c:pt idx="1113">
                  <c:v>4</c:v>
                </c:pt>
                <c:pt idx="1114">
                  <c:v>4</c:v>
                </c:pt>
                <c:pt idx="1115">
                  <c:v>4</c:v>
                </c:pt>
                <c:pt idx="1116">
                  <c:v>4</c:v>
                </c:pt>
                <c:pt idx="1117">
                  <c:v>4</c:v>
                </c:pt>
                <c:pt idx="1118">
                  <c:v>4</c:v>
                </c:pt>
                <c:pt idx="1119">
                  <c:v>4</c:v>
                </c:pt>
                <c:pt idx="1120">
                  <c:v>4</c:v>
                </c:pt>
                <c:pt idx="1121">
                  <c:v>4</c:v>
                </c:pt>
                <c:pt idx="1122">
                  <c:v>3</c:v>
                </c:pt>
                <c:pt idx="1123">
                  <c:v>3</c:v>
                </c:pt>
                <c:pt idx="1124">
                  <c:v>2</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2</c:v>
                </c:pt>
                <c:pt idx="1147">
                  <c:v>2</c:v>
                </c:pt>
                <c:pt idx="1148">
                  <c:v>3</c:v>
                </c:pt>
                <c:pt idx="1149">
                  <c:v>3</c:v>
                </c:pt>
                <c:pt idx="1150">
                  <c:v>3</c:v>
                </c:pt>
                <c:pt idx="1151">
                  <c:v>4</c:v>
                </c:pt>
                <c:pt idx="1152">
                  <c:v>4</c:v>
                </c:pt>
                <c:pt idx="1153">
                  <c:v>4</c:v>
                </c:pt>
                <c:pt idx="1154">
                  <c:v>4</c:v>
                </c:pt>
                <c:pt idx="1155">
                  <c:v>4</c:v>
                </c:pt>
                <c:pt idx="1156">
                  <c:v>3</c:v>
                </c:pt>
                <c:pt idx="1157">
                  <c:v>3</c:v>
                </c:pt>
                <c:pt idx="1158">
                  <c:v>2</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2</c:v>
                </c:pt>
                <c:pt idx="1177">
                  <c:v>2</c:v>
                </c:pt>
                <c:pt idx="1178">
                  <c:v>3</c:v>
                </c:pt>
                <c:pt idx="1179">
                  <c:v>3</c:v>
                </c:pt>
                <c:pt idx="1180">
                  <c:v>3</c:v>
                </c:pt>
                <c:pt idx="1181">
                  <c:v>3</c:v>
                </c:pt>
                <c:pt idx="1182">
                  <c:v>3</c:v>
                </c:pt>
                <c:pt idx="1183">
                  <c:v>3</c:v>
                </c:pt>
                <c:pt idx="1184">
                  <c:v>3</c:v>
                </c:pt>
                <c:pt idx="1185">
                  <c:v>3</c:v>
                </c:pt>
                <c:pt idx="1186">
                  <c:v>4</c:v>
                </c:pt>
                <c:pt idx="1187">
                  <c:v>4</c:v>
                </c:pt>
                <c:pt idx="1188">
                  <c:v>4</c:v>
                </c:pt>
                <c:pt idx="1189">
                  <c:v>4</c:v>
                </c:pt>
                <c:pt idx="1190">
                  <c:v>4</c:v>
                </c:pt>
                <c:pt idx="1191">
                  <c:v>4</c:v>
                </c:pt>
                <c:pt idx="1192">
                  <c:v>4</c:v>
                </c:pt>
                <c:pt idx="1193">
                  <c:v>4</c:v>
                </c:pt>
                <c:pt idx="1194">
                  <c:v>4</c:v>
                </c:pt>
                <c:pt idx="1195">
                  <c:v>4</c:v>
                </c:pt>
                <c:pt idx="1196">
                  <c:v>4</c:v>
                </c:pt>
                <c:pt idx="1197">
                  <c:v>4</c:v>
                </c:pt>
                <c:pt idx="1198">
                  <c:v>4</c:v>
                </c:pt>
                <c:pt idx="1199">
                  <c:v>4</c:v>
                </c:pt>
                <c:pt idx="1200">
                  <c:v>4</c:v>
                </c:pt>
                <c:pt idx="1201">
                  <c:v>4</c:v>
                </c:pt>
                <c:pt idx="1202">
                  <c:v>4</c:v>
                </c:pt>
                <c:pt idx="1203">
                  <c:v>4</c:v>
                </c:pt>
                <c:pt idx="1204">
                  <c:v>4</c:v>
                </c:pt>
                <c:pt idx="1205">
                  <c:v>4</c:v>
                </c:pt>
                <c:pt idx="1206">
                  <c:v>4</c:v>
                </c:pt>
                <c:pt idx="1207">
                  <c:v>4</c:v>
                </c:pt>
                <c:pt idx="1208">
                  <c:v>4</c:v>
                </c:pt>
                <c:pt idx="1209">
                  <c:v>4</c:v>
                </c:pt>
                <c:pt idx="1210">
                  <c:v>4</c:v>
                </c:pt>
                <c:pt idx="1211">
                  <c:v>3</c:v>
                </c:pt>
                <c:pt idx="1212">
                  <c:v>2</c:v>
                </c:pt>
                <c:pt idx="1213">
                  <c:v>2</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2</c:v>
                </c:pt>
                <c:pt idx="1238">
                  <c:v>2</c:v>
                </c:pt>
                <c:pt idx="1239">
                  <c:v>2</c:v>
                </c:pt>
                <c:pt idx="1240">
                  <c:v>2</c:v>
                </c:pt>
                <c:pt idx="1241">
                  <c:v>2</c:v>
                </c:pt>
                <c:pt idx="1242">
                  <c:v>1</c:v>
                </c:pt>
                <c:pt idx="1243">
                  <c:v>2</c:v>
                </c:pt>
                <c:pt idx="1244">
                  <c:v>2</c:v>
                </c:pt>
                <c:pt idx="1245">
                  <c:v>3</c:v>
                </c:pt>
                <c:pt idx="1246">
                  <c:v>3</c:v>
                </c:pt>
                <c:pt idx="1247">
                  <c:v>4</c:v>
                </c:pt>
                <c:pt idx="1248">
                  <c:v>4</c:v>
                </c:pt>
                <c:pt idx="1249">
                  <c:v>4</c:v>
                </c:pt>
                <c:pt idx="1250">
                  <c:v>4</c:v>
                </c:pt>
                <c:pt idx="1251">
                  <c:v>4</c:v>
                </c:pt>
                <c:pt idx="1252">
                  <c:v>4</c:v>
                </c:pt>
                <c:pt idx="1253">
                  <c:v>4</c:v>
                </c:pt>
                <c:pt idx="1254">
                  <c:v>4</c:v>
                </c:pt>
                <c:pt idx="1255">
                  <c:v>4</c:v>
                </c:pt>
                <c:pt idx="1256">
                  <c:v>4</c:v>
                </c:pt>
                <c:pt idx="1257">
                  <c:v>4</c:v>
                </c:pt>
                <c:pt idx="1258">
                  <c:v>4</c:v>
                </c:pt>
                <c:pt idx="1259">
                  <c:v>4</c:v>
                </c:pt>
                <c:pt idx="1260">
                  <c:v>4</c:v>
                </c:pt>
                <c:pt idx="1261">
                  <c:v>4</c:v>
                </c:pt>
                <c:pt idx="1262">
                  <c:v>4</c:v>
                </c:pt>
                <c:pt idx="1263">
                  <c:v>4</c:v>
                </c:pt>
                <c:pt idx="1264">
                  <c:v>4</c:v>
                </c:pt>
                <c:pt idx="1265">
                  <c:v>4</c:v>
                </c:pt>
                <c:pt idx="1266">
                  <c:v>4</c:v>
                </c:pt>
                <c:pt idx="1267">
                  <c:v>4</c:v>
                </c:pt>
                <c:pt idx="1268">
                  <c:v>4</c:v>
                </c:pt>
                <c:pt idx="1269">
                  <c:v>4</c:v>
                </c:pt>
                <c:pt idx="1270">
                  <c:v>4</c:v>
                </c:pt>
                <c:pt idx="1271">
                  <c:v>4</c:v>
                </c:pt>
                <c:pt idx="1272">
                  <c:v>4</c:v>
                </c:pt>
                <c:pt idx="1273">
                  <c:v>4</c:v>
                </c:pt>
                <c:pt idx="1274">
                  <c:v>4</c:v>
                </c:pt>
                <c:pt idx="1275">
                  <c:v>4</c:v>
                </c:pt>
                <c:pt idx="1276">
                  <c:v>4</c:v>
                </c:pt>
                <c:pt idx="1277">
                  <c:v>4</c:v>
                </c:pt>
                <c:pt idx="1278">
                  <c:v>4</c:v>
                </c:pt>
                <c:pt idx="1279">
                  <c:v>4</c:v>
                </c:pt>
                <c:pt idx="1280">
                  <c:v>4</c:v>
                </c:pt>
                <c:pt idx="1281">
                  <c:v>4</c:v>
                </c:pt>
                <c:pt idx="1282">
                  <c:v>4</c:v>
                </c:pt>
                <c:pt idx="1283">
                  <c:v>3</c:v>
                </c:pt>
                <c:pt idx="1284">
                  <c:v>2</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2</c:v>
                </c:pt>
                <c:pt idx="1316">
                  <c:v>2</c:v>
                </c:pt>
                <c:pt idx="1317">
                  <c:v>3</c:v>
                </c:pt>
                <c:pt idx="1318">
                  <c:v>3</c:v>
                </c:pt>
                <c:pt idx="1319">
                  <c:v>4</c:v>
                </c:pt>
                <c:pt idx="1320">
                  <c:v>4</c:v>
                </c:pt>
                <c:pt idx="1321">
                  <c:v>4</c:v>
                </c:pt>
                <c:pt idx="1322">
                  <c:v>4</c:v>
                </c:pt>
                <c:pt idx="1323">
                  <c:v>4</c:v>
                </c:pt>
                <c:pt idx="1324">
                  <c:v>4</c:v>
                </c:pt>
                <c:pt idx="1325">
                  <c:v>4</c:v>
                </c:pt>
                <c:pt idx="1326">
                  <c:v>4</c:v>
                </c:pt>
                <c:pt idx="1327">
                  <c:v>4</c:v>
                </c:pt>
                <c:pt idx="1328">
                  <c:v>4</c:v>
                </c:pt>
                <c:pt idx="1329">
                  <c:v>4</c:v>
                </c:pt>
                <c:pt idx="1330">
                  <c:v>4</c:v>
                </c:pt>
                <c:pt idx="1331">
                  <c:v>4</c:v>
                </c:pt>
                <c:pt idx="1332">
                  <c:v>4</c:v>
                </c:pt>
                <c:pt idx="1333">
                  <c:v>4</c:v>
                </c:pt>
                <c:pt idx="1334">
                  <c:v>4</c:v>
                </c:pt>
                <c:pt idx="1335">
                  <c:v>3</c:v>
                </c:pt>
                <c:pt idx="1336">
                  <c:v>3</c:v>
                </c:pt>
                <c:pt idx="1337">
                  <c:v>3</c:v>
                </c:pt>
                <c:pt idx="1338">
                  <c:v>2</c:v>
                </c:pt>
                <c:pt idx="1339">
                  <c:v>2</c:v>
                </c:pt>
                <c:pt idx="1340">
                  <c:v>1</c:v>
                </c:pt>
                <c:pt idx="1341">
                  <c:v>1</c:v>
                </c:pt>
                <c:pt idx="1342">
                  <c:v>1</c:v>
                </c:pt>
                <c:pt idx="1343">
                  <c:v>1</c:v>
                </c:pt>
                <c:pt idx="1344">
                  <c:v>1</c:v>
                </c:pt>
                <c:pt idx="1345">
                  <c:v>1</c:v>
                </c:pt>
                <c:pt idx="1346">
                  <c:v>1</c:v>
                </c:pt>
                <c:pt idx="1347">
                  <c:v>1</c:v>
                </c:pt>
              </c:numCache>
            </c:numRef>
          </c:yVal>
          <c:smooth val="0"/>
          <c:extLst>
            <c:ext xmlns:c16="http://schemas.microsoft.com/office/drawing/2014/chart" uri="{C3380CC4-5D6E-409C-BE32-E72D297353CC}">
              <c16:uniqueId val="{00000000-5B45-400F-855E-9A836AF9F6D5}"/>
            </c:ext>
          </c:extLst>
        </c:ser>
        <c:dLbls>
          <c:showLegendKey val="0"/>
          <c:showVal val="0"/>
          <c:showCatName val="0"/>
          <c:showSerName val="0"/>
          <c:showPercent val="0"/>
          <c:showBubbleSize val="0"/>
        </c:dLbls>
        <c:axId val="913829455"/>
        <c:axId val="913827535"/>
      </c:scatterChart>
      <c:valAx>
        <c:axId val="913829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27535"/>
        <c:crosses val="autoZero"/>
        <c:crossBetween val="midCat"/>
      </c:valAx>
      <c:valAx>
        <c:axId val="913827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GEar Selection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294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'Fuel Rate_Gear Selection_MPG'!$B$4</c:f>
              <c:strCache>
                <c:ptCount val="1"/>
                <c:pt idx="0">
                  <c:v>Torque [Nm]</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'Fuel Rate_Gear Selection_MPG'!$A$5:$A$17</c:f>
              <c:numCache>
                <c:formatCode>General</c:formatCode>
                <c:ptCount val="13"/>
                <c:pt idx="0">
                  <c:v>1000</c:v>
                </c:pt>
                <c:pt idx="1">
                  <c:v>1500</c:v>
                </c:pt>
                <c:pt idx="2">
                  <c:v>2000</c:v>
                </c:pt>
                <c:pt idx="3">
                  <c:v>2500</c:v>
                </c:pt>
                <c:pt idx="4">
                  <c:v>3000</c:v>
                </c:pt>
                <c:pt idx="5">
                  <c:v>3500</c:v>
                </c:pt>
                <c:pt idx="6">
                  <c:v>4000</c:v>
                </c:pt>
                <c:pt idx="7">
                  <c:v>4500</c:v>
                </c:pt>
                <c:pt idx="8">
                  <c:v>5000</c:v>
                </c:pt>
                <c:pt idx="9">
                  <c:v>5500</c:v>
                </c:pt>
                <c:pt idx="10">
                  <c:v>6000</c:v>
                </c:pt>
                <c:pt idx="11">
                  <c:v>6500</c:v>
                </c:pt>
                <c:pt idx="12">
                  <c:v>6900</c:v>
                </c:pt>
              </c:numCache>
            </c:numRef>
          </c:xVal>
          <c:yVal>
            <c:numRef>
              <c:f>'Fuel Rate_Gear Selection_MPG'!$B$5:$B$17</c:f>
              <c:numCache>
                <c:formatCode>General</c:formatCode>
                <c:ptCount val="13"/>
                <c:pt idx="0">
                  <c:v>139.53299999999999</c:v>
                </c:pt>
                <c:pt idx="1">
                  <c:v>210.69300000000001</c:v>
                </c:pt>
                <c:pt idx="2">
                  <c:v>245.934</c:v>
                </c:pt>
                <c:pt idx="3">
                  <c:v>266.94299999999998</c:v>
                </c:pt>
                <c:pt idx="4">
                  <c:v>280.49700000000001</c:v>
                </c:pt>
                <c:pt idx="5">
                  <c:v>291.33999999999997</c:v>
                </c:pt>
                <c:pt idx="6">
                  <c:v>298.79500000000002</c:v>
                </c:pt>
                <c:pt idx="7">
                  <c:v>302.18400000000003</c:v>
                </c:pt>
                <c:pt idx="8">
                  <c:v>298.11700000000002</c:v>
                </c:pt>
                <c:pt idx="9">
                  <c:v>290.66300000000001</c:v>
                </c:pt>
                <c:pt idx="10">
                  <c:v>278.464</c:v>
                </c:pt>
                <c:pt idx="11">
                  <c:v>263.55399999999997</c:v>
                </c:pt>
                <c:pt idx="12">
                  <c:v>236.446</c:v>
                </c:pt>
              </c:numCache>
            </c:numRef>
          </c:yVal>
          <c:smooth val="0"/>
          <c:extLst>
            <c:ext xmlns:c16="http://schemas.microsoft.com/office/drawing/2014/chart" uri="{C3380CC4-5D6E-409C-BE32-E72D297353CC}">
              <c16:uniqueId val="{00000000-DB22-4386-9773-4DF0D4FC77EF}"/>
            </c:ext>
          </c:extLst>
        </c:ser>
        <c:dLbls>
          <c:showLegendKey val="0"/>
          <c:showVal val="0"/>
          <c:showCatName val="0"/>
          <c:showSerName val="0"/>
          <c:showPercent val="0"/>
          <c:showBubbleSize val="0"/>
        </c:dLbls>
        <c:axId val="674082863"/>
        <c:axId val="674083343"/>
      </c:scatterChart>
      <c:valAx>
        <c:axId val="6740828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083343"/>
        <c:crosses val="autoZero"/>
        <c:crossBetween val="midCat"/>
      </c:valAx>
      <c:valAx>
        <c:axId val="674083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Torqu/Nm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082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152400</xdr:rowOff>
    </xdr:from>
    <xdr:to>
      <xdr:col>7</xdr:col>
      <xdr:colOff>180976</xdr:colOff>
      <xdr:row>35</xdr:row>
      <xdr:rowOff>38100</xdr:rowOff>
    </xdr:to>
    <xdr:graphicFrame macro="">
      <xdr:nvGraphicFramePr>
        <xdr:cNvPr id="2" name="Chart 1">
          <a:extLst>
            <a:ext uri="{FF2B5EF4-FFF2-40B4-BE49-F238E27FC236}">
              <a16:creationId xmlns:a16="http://schemas.microsoft.com/office/drawing/2014/main" id="{4647EE94-B9A1-D705-C93E-4D7A5AEFD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35</xdr:row>
      <xdr:rowOff>133350</xdr:rowOff>
    </xdr:from>
    <xdr:to>
      <xdr:col>7</xdr:col>
      <xdr:colOff>190500</xdr:colOff>
      <xdr:row>50</xdr:row>
      <xdr:rowOff>19050</xdr:rowOff>
    </xdr:to>
    <xdr:graphicFrame macro="">
      <xdr:nvGraphicFramePr>
        <xdr:cNvPr id="3" name="Chart 2">
          <a:extLst>
            <a:ext uri="{FF2B5EF4-FFF2-40B4-BE49-F238E27FC236}">
              <a16:creationId xmlns:a16="http://schemas.microsoft.com/office/drawing/2014/main" id="{DEDDB827-1B6D-E4FF-88D1-EFA3DBC24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167405</xdr:colOff>
      <xdr:row>2</xdr:row>
      <xdr:rowOff>120589</xdr:rowOff>
    </xdr:from>
    <xdr:to>
      <xdr:col>7</xdr:col>
      <xdr:colOff>251604</xdr:colOff>
      <xdr:row>18</xdr:row>
      <xdr:rowOff>35943</xdr:rowOff>
    </xdr:to>
    <xdr:graphicFrame macro="">
      <xdr:nvGraphicFramePr>
        <xdr:cNvPr id="4" name="Chart 3">
          <a:extLst>
            <a:ext uri="{FF2B5EF4-FFF2-40B4-BE49-F238E27FC236}">
              <a16:creationId xmlns:a16="http://schemas.microsoft.com/office/drawing/2014/main" id="{19C916DB-EDAB-AFF9-8CA1-D02C96A39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B4FC-38D9-4F71-94AA-1C30597E1063}">
  <dimension ref="A1:O1349"/>
  <sheetViews>
    <sheetView workbookViewId="0">
      <selection activeCell="H7" sqref="H7"/>
    </sheetView>
  </sheetViews>
  <sheetFormatPr defaultRowHeight="14.25" x14ac:dyDescent="0.45"/>
  <cols>
    <col min="1" max="1" width="17" bestFit="1" customWidth="1"/>
    <col min="6" max="6" width="7.265625" bestFit="1" customWidth="1"/>
    <col min="7" max="7" width="14.19921875" bestFit="1" customWidth="1"/>
    <col min="8" max="8" width="16.86328125" bestFit="1" customWidth="1"/>
    <col min="9" max="9" width="11.73046875" bestFit="1" customWidth="1"/>
    <col min="10" max="10" width="16.06640625" bestFit="1" customWidth="1"/>
    <col min="11" max="11" width="23" bestFit="1" customWidth="1"/>
    <col min="12" max="12" width="13.53125" bestFit="1" customWidth="1"/>
    <col min="13" max="13" width="14.19921875" bestFit="1" customWidth="1"/>
    <col min="15" max="15" width="20.06640625" bestFit="1" customWidth="1"/>
  </cols>
  <sheetData>
    <row r="1" spans="1:15" x14ac:dyDescent="0.45">
      <c r="F1" t="s">
        <v>0</v>
      </c>
      <c r="G1" t="s">
        <v>18</v>
      </c>
      <c r="H1" t="s">
        <v>17</v>
      </c>
      <c r="I1" t="s">
        <v>21</v>
      </c>
      <c r="J1" t="s">
        <v>1</v>
      </c>
      <c r="K1" t="s">
        <v>11</v>
      </c>
      <c r="L1" t="s">
        <v>12</v>
      </c>
      <c r="M1" t="s">
        <v>13</v>
      </c>
      <c r="N1" t="s">
        <v>14</v>
      </c>
      <c r="O1" t="s">
        <v>15</v>
      </c>
    </row>
    <row r="2" spans="1:15" x14ac:dyDescent="0.45">
      <c r="F2">
        <v>0</v>
      </c>
      <c r="G2">
        <v>0</v>
      </c>
      <c r="H2">
        <f>IF(G2&lt;0,0,G2)</f>
        <v>0</v>
      </c>
      <c r="I2">
        <f t="shared" ref="I2:I65" si="0">H2*(1/3600)</f>
        <v>0</v>
      </c>
      <c r="J2">
        <v>-0.19</v>
      </c>
      <c r="K2">
        <f>IF(J2&lt;0,0,J2)</f>
        <v>0</v>
      </c>
      <c r="L2">
        <f>(1/$B$5)*K2+((3.4798*$B$6)+0.9585)</f>
        <v>11.3979</v>
      </c>
      <c r="M2">
        <f>L2*1000</f>
        <v>11397.9</v>
      </c>
      <c r="N2">
        <f>M2*0.0009478171</f>
        <v>10.80312452409</v>
      </c>
      <c r="O2">
        <f>(M2*453.59237)/(18489*0.74*1000)</f>
        <v>0.377872633839478</v>
      </c>
    </row>
    <row r="3" spans="1:15" x14ac:dyDescent="0.45">
      <c r="A3" t="s">
        <v>2</v>
      </c>
      <c r="B3">
        <v>0.74</v>
      </c>
      <c r="C3" t="s">
        <v>5</v>
      </c>
      <c r="F3">
        <v>1</v>
      </c>
      <c r="G3">
        <v>0</v>
      </c>
      <c r="H3">
        <f t="shared" ref="H3:H66" si="1">IF(G3&lt;0,0,G3)</f>
        <v>0</v>
      </c>
      <c r="I3">
        <f t="shared" si="0"/>
        <v>0</v>
      </c>
      <c r="J3">
        <v>0.12</v>
      </c>
      <c r="K3">
        <f t="shared" ref="K3:K66" si="2">IF(J3&lt;0,0,J3)</f>
        <v>0.12</v>
      </c>
      <c r="L3">
        <f t="shared" ref="L3:L66" si="3">(1/$B$5)*K3+((3.4798*$B$6)+0.9585)</f>
        <v>11.697900000000001</v>
      </c>
      <c r="M3">
        <f t="shared" ref="M3:M66" si="4">L3*1000</f>
        <v>11697.900000000001</v>
      </c>
      <c r="N3">
        <f t="shared" ref="N3:N66" si="5">M3*0.0009478171</f>
        <v>11.087469654090002</v>
      </c>
      <c r="O3">
        <f t="shared" ref="O3:O66" si="6">(M3*453.59237)/(18489*0.74*1000)</f>
        <v>0.38781848264950819</v>
      </c>
    </row>
    <row r="4" spans="1:15" x14ac:dyDescent="0.45">
      <c r="A4" t="s">
        <v>3</v>
      </c>
      <c r="B4">
        <v>18489</v>
      </c>
      <c r="C4" t="s">
        <v>6</v>
      </c>
      <c r="F4">
        <v>2</v>
      </c>
      <c r="G4">
        <v>0</v>
      </c>
      <c r="H4">
        <f t="shared" si="1"/>
        <v>0</v>
      </c>
      <c r="I4">
        <f t="shared" si="0"/>
        <v>0</v>
      </c>
      <c r="J4">
        <v>0.04</v>
      </c>
      <c r="K4">
        <f t="shared" si="2"/>
        <v>0.04</v>
      </c>
      <c r="L4">
        <f t="shared" si="3"/>
        <v>11.4979</v>
      </c>
      <c r="M4">
        <f t="shared" si="4"/>
        <v>11497.9</v>
      </c>
      <c r="N4">
        <f t="shared" si="5"/>
        <v>10.89790623409</v>
      </c>
      <c r="O4">
        <f t="shared" si="6"/>
        <v>0.38118791677615471</v>
      </c>
    </row>
    <row r="5" spans="1:15" x14ac:dyDescent="0.45">
      <c r="A5" t="s">
        <v>4</v>
      </c>
      <c r="B5">
        <v>0.4</v>
      </c>
      <c r="F5">
        <v>3</v>
      </c>
      <c r="G5">
        <v>0</v>
      </c>
      <c r="H5">
        <f t="shared" si="1"/>
        <v>0</v>
      </c>
      <c r="I5">
        <f t="shared" si="0"/>
        <v>0</v>
      </c>
      <c r="J5">
        <v>-0.12</v>
      </c>
      <c r="K5">
        <f t="shared" si="2"/>
        <v>0</v>
      </c>
      <c r="L5">
        <f t="shared" si="3"/>
        <v>11.3979</v>
      </c>
      <c r="M5">
        <f t="shared" si="4"/>
        <v>11397.9</v>
      </c>
      <c r="N5">
        <f t="shared" si="5"/>
        <v>10.80312452409</v>
      </c>
      <c r="O5">
        <f t="shared" si="6"/>
        <v>0.377872633839478</v>
      </c>
    </row>
    <row r="6" spans="1:15" x14ac:dyDescent="0.45">
      <c r="A6" t="s">
        <v>9</v>
      </c>
      <c r="B6">
        <v>3</v>
      </c>
      <c r="C6" t="s">
        <v>10</v>
      </c>
      <c r="F6">
        <v>4</v>
      </c>
      <c r="G6">
        <v>0</v>
      </c>
      <c r="H6">
        <f t="shared" si="1"/>
        <v>0</v>
      </c>
      <c r="I6">
        <f t="shared" si="0"/>
        <v>0</v>
      </c>
      <c r="J6">
        <v>-0.18</v>
      </c>
      <c r="K6">
        <f t="shared" si="2"/>
        <v>0</v>
      </c>
      <c r="L6">
        <f t="shared" si="3"/>
        <v>11.3979</v>
      </c>
      <c r="M6">
        <f t="shared" si="4"/>
        <v>11397.9</v>
      </c>
      <c r="N6">
        <f t="shared" si="5"/>
        <v>10.80312452409</v>
      </c>
      <c r="O6">
        <f t="shared" si="6"/>
        <v>0.377872633839478</v>
      </c>
    </row>
    <row r="7" spans="1:15" x14ac:dyDescent="0.45">
      <c r="F7">
        <v>5</v>
      </c>
      <c r="G7">
        <v>0</v>
      </c>
      <c r="H7">
        <f t="shared" si="1"/>
        <v>0</v>
      </c>
      <c r="I7">
        <f t="shared" si="0"/>
        <v>0</v>
      </c>
      <c r="J7">
        <v>-0.19</v>
      </c>
      <c r="K7">
        <f t="shared" si="2"/>
        <v>0</v>
      </c>
      <c r="L7">
        <f t="shared" si="3"/>
        <v>11.3979</v>
      </c>
      <c r="M7">
        <f t="shared" si="4"/>
        <v>11397.9</v>
      </c>
      <c r="N7">
        <f t="shared" si="5"/>
        <v>10.80312452409</v>
      </c>
      <c r="O7">
        <f t="shared" si="6"/>
        <v>0.377872633839478</v>
      </c>
    </row>
    <row r="8" spans="1:15" x14ac:dyDescent="0.45">
      <c r="F8">
        <v>6</v>
      </c>
      <c r="G8">
        <v>0</v>
      </c>
      <c r="H8">
        <f t="shared" si="1"/>
        <v>0</v>
      </c>
      <c r="I8">
        <f t="shared" si="0"/>
        <v>0</v>
      </c>
      <c r="J8">
        <v>-0.68</v>
      </c>
      <c r="K8">
        <f t="shared" si="2"/>
        <v>0</v>
      </c>
      <c r="L8">
        <f t="shared" si="3"/>
        <v>11.3979</v>
      </c>
      <c r="M8">
        <f t="shared" si="4"/>
        <v>11397.9</v>
      </c>
      <c r="N8">
        <f t="shared" si="5"/>
        <v>10.80312452409</v>
      </c>
      <c r="O8">
        <f t="shared" si="6"/>
        <v>0.377872633839478</v>
      </c>
    </row>
    <row r="9" spans="1:15" x14ac:dyDescent="0.45">
      <c r="A9" t="s">
        <v>7</v>
      </c>
      <c r="B9">
        <f>SUM(O:O)</f>
        <v>1133.2132447137496</v>
      </c>
      <c r="C9" t="s">
        <v>16</v>
      </c>
      <c r="F9">
        <v>7</v>
      </c>
      <c r="G9">
        <v>0</v>
      </c>
      <c r="H9">
        <f t="shared" si="1"/>
        <v>0</v>
      </c>
      <c r="I9">
        <f t="shared" si="0"/>
        <v>0</v>
      </c>
      <c r="J9">
        <v>-0.39</v>
      </c>
      <c r="K9">
        <f t="shared" si="2"/>
        <v>0</v>
      </c>
      <c r="L9">
        <f t="shared" si="3"/>
        <v>11.3979</v>
      </c>
      <c r="M9">
        <f t="shared" si="4"/>
        <v>11397.9</v>
      </c>
      <c r="N9">
        <f t="shared" si="5"/>
        <v>10.80312452409</v>
      </c>
      <c r="O9">
        <f t="shared" si="6"/>
        <v>0.377872633839478</v>
      </c>
    </row>
    <row r="10" spans="1:15" x14ac:dyDescent="0.45">
      <c r="B10">
        <f>B9*0.00026417</f>
        <v>0.29936094285603121</v>
      </c>
      <c r="C10" t="s">
        <v>19</v>
      </c>
      <c r="F10">
        <v>8</v>
      </c>
      <c r="G10">
        <v>0</v>
      </c>
      <c r="H10">
        <f t="shared" si="1"/>
        <v>0</v>
      </c>
      <c r="I10">
        <f t="shared" si="0"/>
        <v>0</v>
      </c>
      <c r="J10">
        <v>-0.8</v>
      </c>
      <c r="K10">
        <f t="shared" si="2"/>
        <v>0</v>
      </c>
      <c r="L10">
        <f t="shared" si="3"/>
        <v>11.3979</v>
      </c>
      <c r="M10">
        <f t="shared" si="4"/>
        <v>11397.9</v>
      </c>
      <c r="N10">
        <f t="shared" si="5"/>
        <v>10.80312452409</v>
      </c>
      <c r="O10">
        <f t="shared" si="6"/>
        <v>0.377872633839478</v>
      </c>
    </row>
    <row r="11" spans="1:15" x14ac:dyDescent="0.45">
      <c r="A11" t="s">
        <v>8</v>
      </c>
      <c r="B11">
        <f>SUM(I:I)/B10</f>
        <v>24.020984086433465</v>
      </c>
      <c r="C11" t="s">
        <v>20</v>
      </c>
      <c r="F11">
        <v>9</v>
      </c>
      <c r="G11">
        <v>0</v>
      </c>
      <c r="H11">
        <f t="shared" si="1"/>
        <v>0</v>
      </c>
      <c r="I11">
        <f t="shared" si="0"/>
        <v>0</v>
      </c>
      <c r="J11">
        <v>-0.34</v>
      </c>
      <c r="K11">
        <f t="shared" si="2"/>
        <v>0</v>
      </c>
      <c r="L11">
        <f t="shared" si="3"/>
        <v>11.3979</v>
      </c>
      <c r="M11">
        <f t="shared" si="4"/>
        <v>11397.9</v>
      </c>
      <c r="N11">
        <f t="shared" si="5"/>
        <v>10.80312452409</v>
      </c>
      <c r="O11">
        <f t="shared" si="6"/>
        <v>0.377872633839478</v>
      </c>
    </row>
    <row r="12" spans="1:15" x14ac:dyDescent="0.45">
      <c r="F12">
        <v>10</v>
      </c>
      <c r="G12">
        <v>0</v>
      </c>
      <c r="H12">
        <f t="shared" si="1"/>
        <v>0</v>
      </c>
      <c r="I12">
        <f t="shared" si="0"/>
        <v>0</v>
      </c>
      <c r="J12">
        <v>-0.31</v>
      </c>
      <c r="K12">
        <f t="shared" si="2"/>
        <v>0</v>
      </c>
      <c r="L12">
        <f t="shared" si="3"/>
        <v>11.3979</v>
      </c>
      <c r="M12">
        <f t="shared" si="4"/>
        <v>11397.9</v>
      </c>
      <c r="N12">
        <f t="shared" si="5"/>
        <v>10.80312452409</v>
      </c>
      <c r="O12">
        <f t="shared" si="6"/>
        <v>0.377872633839478</v>
      </c>
    </row>
    <row r="13" spans="1:15" x14ac:dyDescent="0.45">
      <c r="F13">
        <v>11</v>
      </c>
      <c r="G13">
        <v>0</v>
      </c>
      <c r="H13">
        <f t="shared" si="1"/>
        <v>0</v>
      </c>
      <c r="I13">
        <f t="shared" si="0"/>
        <v>0</v>
      </c>
      <c r="J13">
        <v>-0.28999999999999998</v>
      </c>
      <c r="K13">
        <f t="shared" si="2"/>
        <v>0</v>
      </c>
      <c r="L13">
        <f t="shared" si="3"/>
        <v>11.3979</v>
      </c>
      <c r="M13">
        <f t="shared" si="4"/>
        <v>11397.9</v>
      </c>
      <c r="N13">
        <f t="shared" si="5"/>
        <v>10.80312452409</v>
      </c>
      <c r="O13">
        <f t="shared" si="6"/>
        <v>0.377872633839478</v>
      </c>
    </row>
    <row r="14" spans="1:15" x14ac:dyDescent="0.45">
      <c r="F14">
        <v>12</v>
      </c>
      <c r="G14">
        <v>0</v>
      </c>
      <c r="H14">
        <f t="shared" si="1"/>
        <v>0</v>
      </c>
      <c r="I14">
        <f t="shared" si="0"/>
        <v>0</v>
      </c>
      <c r="J14">
        <v>-0.32</v>
      </c>
      <c r="K14">
        <f t="shared" si="2"/>
        <v>0</v>
      </c>
      <c r="L14">
        <f t="shared" si="3"/>
        <v>11.3979</v>
      </c>
      <c r="M14">
        <f t="shared" si="4"/>
        <v>11397.9</v>
      </c>
      <c r="N14">
        <f t="shared" si="5"/>
        <v>10.80312452409</v>
      </c>
      <c r="O14">
        <f t="shared" si="6"/>
        <v>0.377872633839478</v>
      </c>
    </row>
    <row r="15" spans="1:15" x14ac:dyDescent="0.45">
      <c r="F15">
        <v>13</v>
      </c>
      <c r="G15">
        <v>0</v>
      </c>
      <c r="H15">
        <f t="shared" si="1"/>
        <v>0</v>
      </c>
      <c r="I15">
        <f t="shared" si="0"/>
        <v>0</v>
      </c>
      <c r="J15">
        <v>-0.19</v>
      </c>
      <c r="K15">
        <f t="shared" si="2"/>
        <v>0</v>
      </c>
      <c r="L15">
        <f t="shared" si="3"/>
        <v>11.3979</v>
      </c>
      <c r="M15">
        <f t="shared" si="4"/>
        <v>11397.9</v>
      </c>
      <c r="N15">
        <f t="shared" si="5"/>
        <v>10.80312452409</v>
      </c>
      <c r="O15">
        <f t="shared" si="6"/>
        <v>0.377872633839478</v>
      </c>
    </row>
    <row r="16" spans="1:15" x14ac:dyDescent="0.45">
      <c r="F16">
        <v>14</v>
      </c>
      <c r="G16">
        <v>0</v>
      </c>
      <c r="H16">
        <f t="shared" si="1"/>
        <v>0</v>
      </c>
      <c r="I16">
        <f t="shared" si="0"/>
        <v>0</v>
      </c>
      <c r="J16">
        <v>-0.14000000000000001</v>
      </c>
      <c r="K16">
        <f t="shared" si="2"/>
        <v>0</v>
      </c>
      <c r="L16">
        <f t="shared" si="3"/>
        <v>11.3979</v>
      </c>
      <c r="M16">
        <f t="shared" si="4"/>
        <v>11397.9</v>
      </c>
      <c r="N16">
        <f t="shared" si="5"/>
        <v>10.80312452409</v>
      </c>
      <c r="O16">
        <f t="shared" si="6"/>
        <v>0.377872633839478</v>
      </c>
    </row>
    <row r="17" spans="6:15" x14ac:dyDescent="0.45">
      <c r="F17">
        <v>15</v>
      </c>
      <c r="G17">
        <v>0</v>
      </c>
      <c r="H17">
        <f t="shared" si="1"/>
        <v>0</v>
      </c>
      <c r="I17">
        <f t="shared" si="0"/>
        <v>0</v>
      </c>
      <c r="J17">
        <v>0.93</v>
      </c>
      <c r="K17">
        <f t="shared" si="2"/>
        <v>0.93</v>
      </c>
      <c r="L17">
        <f t="shared" si="3"/>
        <v>13.722899999999999</v>
      </c>
      <c r="M17">
        <f t="shared" si="4"/>
        <v>13722.9</v>
      </c>
      <c r="N17">
        <f t="shared" si="5"/>
        <v>13.00679928159</v>
      </c>
      <c r="O17">
        <f t="shared" si="6"/>
        <v>0.45495296211721209</v>
      </c>
    </row>
    <row r="18" spans="6:15" x14ac:dyDescent="0.45">
      <c r="F18">
        <v>16</v>
      </c>
      <c r="G18">
        <v>0</v>
      </c>
      <c r="H18">
        <f t="shared" si="1"/>
        <v>0</v>
      </c>
      <c r="I18">
        <f t="shared" si="0"/>
        <v>0</v>
      </c>
      <c r="J18">
        <v>0.35</v>
      </c>
      <c r="K18">
        <f t="shared" si="2"/>
        <v>0.35</v>
      </c>
      <c r="L18">
        <f t="shared" si="3"/>
        <v>12.2729</v>
      </c>
      <c r="M18">
        <f t="shared" si="4"/>
        <v>12272.9</v>
      </c>
      <c r="N18">
        <f t="shared" si="5"/>
        <v>11.632464486590001</v>
      </c>
      <c r="O18">
        <f t="shared" si="6"/>
        <v>0.40688135953539939</v>
      </c>
    </row>
    <row r="19" spans="6:15" x14ac:dyDescent="0.45">
      <c r="F19">
        <v>17</v>
      </c>
      <c r="G19">
        <v>0</v>
      </c>
      <c r="H19">
        <f t="shared" si="1"/>
        <v>0</v>
      </c>
      <c r="I19">
        <f t="shared" si="0"/>
        <v>0</v>
      </c>
      <c r="J19">
        <v>0.94</v>
      </c>
      <c r="K19">
        <f t="shared" si="2"/>
        <v>0.94</v>
      </c>
      <c r="L19">
        <f t="shared" si="3"/>
        <v>13.7479</v>
      </c>
      <c r="M19">
        <f t="shared" si="4"/>
        <v>13747.9</v>
      </c>
      <c r="N19">
        <f t="shared" si="5"/>
        <v>13.03049470909</v>
      </c>
      <c r="O19">
        <f t="shared" si="6"/>
        <v>0.45578178285138127</v>
      </c>
    </row>
    <row r="20" spans="6:15" x14ac:dyDescent="0.45">
      <c r="F20">
        <v>18</v>
      </c>
      <c r="G20">
        <v>0</v>
      </c>
      <c r="H20">
        <f t="shared" si="1"/>
        <v>0</v>
      </c>
      <c r="I20">
        <f t="shared" si="0"/>
        <v>0</v>
      </c>
      <c r="J20">
        <v>0.83</v>
      </c>
      <c r="K20">
        <f t="shared" si="2"/>
        <v>0.83</v>
      </c>
      <c r="L20">
        <f t="shared" si="3"/>
        <v>13.472899999999999</v>
      </c>
      <c r="M20">
        <f t="shared" si="4"/>
        <v>13472.9</v>
      </c>
      <c r="N20">
        <f t="shared" si="5"/>
        <v>12.76984500659</v>
      </c>
      <c r="O20">
        <f t="shared" si="6"/>
        <v>0.44666475477552031</v>
      </c>
    </row>
    <row r="21" spans="6:15" x14ac:dyDescent="0.45">
      <c r="F21">
        <v>19</v>
      </c>
      <c r="G21">
        <v>0.6</v>
      </c>
      <c r="H21">
        <f t="shared" si="1"/>
        <v>0.6</v>
      </c>
      <c r="I21">
        <f t="shared" si="0"/>
        <v>1.6666666666666666E-4</v>
      </c>
      <c r="J21">
        <v>0.75</v>
      </c>
      <c r="K21">
        <f t="shared" si="2"/>
        <v>0.75</v>
      </c>
      <c r="L21">
        <f t="shared" si="3"/>
        <v>13.2729</v>
      </c>
      <c r="M21">
        <f t="shared" si="4"/>
        <v>13272.9</v>
      </c>
      <c r="N21">
        <f t="shared" si="5"/>
        <v>12.580281586590001</v>
      </c>
      <c r="O21">
        <f t="shared" si="6"/>
        <v>0.44003418890216683</v>
      </c>
    </row>
    <row r="22" spans="6:15" x14ac:dyDescent="0.45">
      <c r="F22">
        <v>20</v>
      </c>
      <c r="G22">
        <v>2.6</v>
      </c>
      <c r="H22">
        <f t="shared" si="1"/>
        <v>2.6</v>
      </c>
      <c r="I22">
        <f t="shared" si="0"/>
        <v>7.222222222222223E-4</v>
      </c>
      <c r="J22">
        <v>6.43</v>
      </c>
      <c r="K22">
        <f t="shared" si="2"/>
        <v>6.43</v>
      </c>
      <c r="L22">
        <f t="shared" si="3"/>
        <v>27.472899999999999</v>
      </c>
      <c r="M22">
        <f t="shared" si="4"/>
        <v>27472.899999999998</v>
      </c>
      <c r="N22">
        <f t="shared" si="5"/>
        <v>26.039284406589999</v>
      </c>
      <c r="O22">
        <f t="shared" si="6"/>
        <v>0.9108043659102637</v>
      </c>
    </row>
    <row r="23" spans="6:15" x14ac:dyDescent="0.45">
      <c r="F23">
        <v>21</v>
      </c>
      <c r="G23">
        <v>5.4</v>
      </c>
      <c r="H23">
        <f t="shared" si="1"/>
        <v>5.4</v>
      </c>
      <c r="I23">
        <f t="shared" si="0"/>
        <v>1.5E-3</v>
      </c>
      <c r="J23">
        <v>5.87</v>
      </c>
      <c r="K23">
        <f t="shared" si="2"/>
        <v>5.87</v>
      </c>
      <c r="L23">
        <f t="shared" si="3"/>
        <v>26.072900000000001</v>
      </c>
      <c r="M23">
        <f t="shared" si="4"/>
        <v>26072.9</v>
      </c>
      <c r="N23">
        <f t="shared" si="5"/>
        <v>24.712340466590003</v>
      </c>
      <c r="O23">
        <f t="shared" si="6"/>
        <v>0.86439040479678941</v>
      </c>
    </row>
    <row r="24" spans="6:15" x14ac:dyDescent="0.45">
      <c r="F24">
        <v>22</v>
      </c>
      <c r="G24">
        <v>7.9</v>
      </c>
      <c r="H24">
        <f t="shared" si="1"/>
        <v>7.9</v>
      </c>
      <c r="I24">
        <f t="shared" si="0"/>
        <v>2.1944444444444446E-3</v>
      </c>
      <c r="J24">
        <v>12.18</v>
      </c>
      <c r="K24">
        <f t="shared" si="2"/>
        <v>12.18</v>
      </c>
      <c r="L24">
        <f t="shared" si="3"/>
        <v>41.847899999999996</v>
      </c>
      <c r="M24">
        <f t="shared" si="4"/>
        <v>41847.899999999994</v>
      </c>
      <c r="N24">
        <f t="shared" si="5"/>
        <v>39.664155219089999</v>
      </c>
      <c r="O24">
        <f t="shared" si="6"/>
        <v>1.3873762880575446</v>
      </c>
    </row>
    <row r="25" spans="6:15" x14ac:dyDescent="0.45">
      <c r="F25">
        <v>23</v>
      </c>
      <c r="G25">
        <v>10.9</v>
      </c>
      <c r="H25">
        <f t="shared" si="1"/>
        <v>10.9</v>
      </c>
      <c r="I25">
        <f t="shared" si="0"/>
        <v>3.0277777777777777E-3</v>
      </c>
      <c r="J25">
        <v>18.84</v>
      </c>
      <c r="K25">
        <f t="shared" si="2"/>
        <v>18.84</v>
      </c>
      <c r="L25">
        <f t="shared" si="3"/>
        <v>58.497900000000001</v>
      </c>
      <c r="M25">
        <f t="shared" si="4"/>
        <v>58497.9</v>
      </c>
      <c r="N25">
        <f t="shared" si="5"/>
        <v>55.445309934090005</v>
      </c>
      <c r="O25">
        <f t="shared" si="6"/>
        <v>1.9393708970142221</v>
      </c>
    </row>
    <row r="26" spans="6:15" x14ac:dyDescent="0.45">
      <c r="F26">
        <v>24</v>
      </c>
      <c r="G26">
        <v>14.2</v>
      </c>
      <c r="H26">
        <f t="shared" si="1"/>
        <v>14.2</v>
      </c>
      <c r="I26">
        <f t="shared" si="0"/>
        <v>3.944444444444444E-3</v>
      </c>
      <c r="J26">
        <v>18.04</v>
      </c>
      <c r="K26">
        <f t="shared" si="2"/>
        <v>18.04</v>
      </c>
      <c r="L26">
        <f t="shared" si="3"/>
        <v>56.497899999999994</v>
      </c>
      <c r="M26">
        <f t="shared" si="4"/>
        <v>56497.899999999994</v>
      </c>
      <c r="N26">
        <f t="shared" si="5"/>
        <v>53.549675734089995</v>
      </c>
      <c r="O26">
        <f t="shared" si="6"/>
        <v>1.8730652382806867</v>
      </c>
    </row>
    <row r="27" spans="6:15" x14ac:dyDescent="0.45">
      <c r="F27">
        <v>25</v>
      </c>
      <c r="G27">
        <v>16.100000000000001</v>
      </c>
      <c r="H27">
        <f t="shared" si="1"/>
        <v>16.100000000000001</v>
      </c>
      <c r="I27">
        <f t="shared" si="0"/>
        <v>4.4722222222222229E-3</v>
      </c>
      <c r="J27">
        <v>15.21</v>
      </c>
      <c r="K27">
        <f t="shared" si="2"/>
        <v>15.21</v>
      </c>
      <c r="L27">
        <f t="shared" si="3"/>
        <v>49.422900000000006</v>
      </c>
      <c r="M27">
        <f t="shared" si="4"/>
        <v>49422.900000000009</v>
      </c>
      <c r="N27">
        <f t="shared" si="5"/>
        <v>46.843869751590013</v>
      </c>
      <c r="O27">
        <f t="shared" si="6"/>
        <v>1.6385089705108082</v>
      </c>
    </row>
    <row r="28" spans="6:15" x14ac:dyDescent="0.45">
      <c r="F28">
        <v>26</v>
      </c>
      <c r="G28">
        <v>17.2</v>
      </c>
      <c r="H28">
        <f t="shared" si="1"/>
        <v>17.2</v>
      </c>
      <c r="I28">
        <f t="shared" si="0"/>
        <v>4.7777777777777775E-3</v>
      </c>
      <c r="J28">
        <v>9.6199999999999992</v>
      </c>
      <c r="K28">
        <f t="shared" si="2"/>
        <v>9.6199999999999992</v>
      </c>
      <c r="L28">
        <f t="shared" si="3"/>
        <v>35.447899999999997</v>
      </c>
      <c r="M28">
        <f t="shared" si="4"/>
        <v>35447.899999999994</v>
      </c>
      <c r="N28">
        <f t="shared" si="5"/>
        <v>33.598125779089997</v>
      </c>
      <c r="O28">
        <f t="shared" si="6"/>
        <v>1.1751981801102334</v>
      </c>
    </row>
    <row r="29" spans="6:15" x14ac:dyDescent="0.45">
      <c r="F29">
        <v>27</v>
      </c>
      <c r="G29">
        <v>18.3</v>
      </c>
      <c r="H29">
        <f t="shared" si="1"/>
        <v>18.3</v>
      </c>
      <c r="I29">
        <f t="shared" si="0"/>
        <v>5.0833333333333338E-3</v>
      </c>
      <c r="J29">
        <v>12.22</v>
      </c>
      <c r="K29">
        <f t="shared" si="2"/>
        <v>12.22</v>
      </c>
      <c r="L29">
        <f t="shared" si="3"/>
        <v>41.947900000000004</v>
      </c>
      <c r="M29">
        <f t="shared" si="4"/>
        <v>41947.9</v>
      </c>
      <c r="N29">
        <f t="shared" si="5"/>
        <v>39.758936929090005</v>
      </c>
      <c r="O29">
        <f t="shared" si="6"/>
        <v>1.3906915709942216</v>
      </c>
    </row>
    <row r="30" spans="6:15" x14ac:dyDescent="0.45">
      <c r="F30">
        <v>28</v>
      </c>
      <c r="G30">
        <v>20.6</v>
      </c>
      <c r="H30">
        <f t="shared" si="1"/>
        <v>20.6</v>
      </c>
      <c r="I30">
        <f t="shared" si="0"/>
        <v>5.7222222222222223E-3</v>
      </c>
      <c r="J30">
        <v>20.28</v>
      </c>
      <c r="K30">
        <f t="shared" si="2"/>
        <v>20.28</v>
      </c>
      <c r="L30">
        <f t="shared" si="3"/>
        <v>62.097900000000003</v>
      </c>
      <c r="M30">
        <f t="shared" si="4"/>
        <v>62097.9</v>
      </c>
      <c r="N30">
        <f t="shared" si="5"/>
        <v>58.85745149409</v>
      </c>
      <c r="O30">
        <f t="shared" si="6"/>
        <v>2.0587210827345843</v>
      </c>
    </row>
    <row r="31" spans="6:15" x14ac:dyDescent="0.45">
      <c r="F31">
        <v>29</v>
      </c>
      <c r="G31">
        <v>21.5</v>
      </c>
      <c r="H31">
        <f t="shared" si="1"/>
        <v>21.5</v>
      </c>
      <c r="I31">
        <f t="shared" si="0"/>
        <v>5.9722222222222225E-3</v>
      </c>
      <c r="J31">
        <v>9.83</v>
      </c>
      <c r="K31">
        <f t="shared" si="2"/>
        <v>9.83</v>
      </c>
      <c r="L31">
        <f t="shared" si="3"/>
        <v>35.972899999999996</v>
      </c>
      <c r="M31">
        <f t="shared" si="4"/>
        <v>35972.899999999994</v>
      </c>
      <c r="N31">
        <f t="shared" si="5"/>
        <v>34.095729756589996</v>
      </c>
      <c r="O31">
        <f t="shared" si="6"/>
        <v>1.1926034155277863</v>
      </c>
    </row>
    <row r="32" spans="6:15" x14ac:dyDescent="0.45">
      <c r="F32">
        <v>30</v>
      </c>
      <c r="G32">
        <v>21.9</v>
      </c>
      <c r="H32">
        <f t="shared" si="1"/>
        <v>21.9</v>
      </c>
      <c r="I32">
        <f t="shared" si="0"/>
        <v>6.083333333333333E-3</v>
      </c>
      <c r="J32">
        <v>4.16</v>
      </c>
      <c r="K32">
        <f t="shared" si="2"/>
        <v>4.16</v>
      </c>
      <c r="L32">
        <f t="shared" si="3"/>
        <v>21.797899999999998</v>
      </c>
      <c r="M32">
        <f t="shared" si="4"/>
        <v>21797.899999999998</v>
      </c>
      <c r="N32">
        <f t="shared" si="5"/>
        <v>20.66042236409</v>
      </c>
      <c r="O32">
        <f t="shared" si="6"/>
        <v>0.72266205925385874</v>
      </c>
    </row>
    <row r="33" spans="6:15" x14ac:dyDescent="0.45">
      <c r="F33">
        <v>31</v>
      </c>
      <c r="G33">
        <v>22.3</v>
      </c>
      <c r="H33">
        <f t="shared" si="1"/>
        <v>22.3</v>
      </c>
      <c r="I33">
        <f t="shared" si="0"/>
        <v>6.1944444444444443E-3</v>
      </c>
      <c r="J33">
        <v>5.09</v>
      </c>
      <c r="K33">
        <f t="shared" si="2"/>
        <v>5.09</v>
      </c>
      <c r="L33">
        <f t="shared" si="3"/>
        <v>24.122900000000001</v>
      </c>
      <c r="M33">
        <f t="shared" si="4"/>
        <v>24122.9</v>
      </c>
      <c r="N33">
        <f t="shared" si="5"/>
        <v>22.864097121590003</v>
      </c>
      <c r="O33">
        <f t="shared" si="6"/>
        <v>0.79974238753159299</v>
      </c>
    </row>
    <row r="34" spans="6:15" x14ac:dyDescent="0.45">
      <c r="F34">
        <v>32</v>
      </c>
      <c r="G34">
        <v>22.2</v>
      </c>
      <c r="H34">
        <f t="shared" si="1"/>
        <v>22.2</v>
      </c>
      <c r="I34">
        <f t="shared" si="0"/>
        <v>6.1666666666666667E-3</v>
      </c>
      <c r="J34">
        <v>1.5</v>
      </c>
      <c r="K34">
        <f t="shared" si="2"/>
        <v>1.5</v>
      </c>
      <c r="L34">
        <f t="shared" si="3"/>
        <v>15.1479</v>
      </c>
      <c r="M34">
        <f t="shared" si="4"/>
        <v>15147.9</v>
      </c>
      <c r="N34">
        <f t="shared" si="5"/>
        <v>14.35743864909</v>
      </c>
      <c r="O34">
        <f t="shared" si="6"/>
        <v>0.50219574396485567</v>
      </c>
    </row>
    <row r="35" spans="6:15" x14ac:dyDescent="0.45">
      <c r="F35">
        <v>33</v>
      </c>
      <c r="G35">
        <v>21.8</v>
      </c>
      <c r="H35">
        <f t="shared" si="1"/>
        <v>21.8</v>
      </c>
      <c r="I35">
        <f t="shared" si="0"/>
        <v>6.0555555555555553E-3</v>
      </c>
      <c r="J35">
        <v>-0.82</v>
      </c>
      <c r="K35">
        <f t="shared" si="2"/>
        <v>0</v>
      </c>
      <c r="L35">
        <f t="shared" si="3"/>
        <v>11.3979</v>
      </c>
      <c r="M35">
        <f t="shared" si="4"/>
        <v>11397.9</v>
      </c>
      <c r="N35">
        <f t="shared" si="5"/>
        <v>10.80312452409</v>
      </c>
      <c r="O35">
        <f t="shared" si="6"/>
        <v>0.377872633839478</v>
      </c>
    </row>
    <row r="36" spans="6:15" x14ac:dyDescent="0.45">
      <c r="F36">
        <v>34</v>
      </c>
      <c r="G36">
        <v>21.3</v>
      </c>
      <c r="H36">
        <f t="shared" si="1"/>
        <v>21.3</v>
      </c>
      <c r="I36">
        <f t="shared" si="0"/>
        <v>5.9166666666666664E-3</v>
      </c>
      <c r="J36">
        <v>-0.67</v>
      </c>
      <c r="K36">
        <f t="shared" si="2"/>
        <v>0</v>
      </c>
      <c r="L36">
        <f t="shared" si="3"/>
        <v>11.3979</v>
      </c>
      <c r="M36">
        <f t="shared" si="4"/>
        <v>11397.9</v>
      </c>
      <c r="N36">
        <f t="shared" si="5"/>
        <v>10.80312452409</v>
      </c>
      <c r="O36">
        <f t="shared" si="6"/>
        <v>0.377872633839478</v>
      </c>
    </row>
    <row r="37" spans="6:15" x14ac:dyDescent="0.45">
      <c r="F37">
        <v>35</v>
      </c>
      <c r="G37">
        <v>20.8</v>
      </c>
      <c r="H37">
        <f t="shared" si="1"/>
        <v>20.8</v>
      </c>
      <c r="I37">
        <f t="shared" si="0"/>
        <v>5.7777777777777784E-3</v>
      </c>
      <c r="J37">
        <v>-0.73</v>
      </c>
      <c r="K37">
        <f t="shared" si="2"/>
        <v>0</v>
      </c>
      <c r="L37">
        <f t="shared" si="3"/>
        <v>11.3979</v>
      </c>
      <c r="M37">
        <f t="shared" si="4"/>
        <v>11397.9</v>
      </c>
      <c r="N37">
        <f t="shared" si="5"/>
        <v>10.80312452409</v>
      </c>
      <c r="O37">
        <f t="shared" si="6"/>
        <v>0.377872633839478</v>
      </c>
    </row>
    <row r="38" spans="6:15" x14ac:dyDescent="0.45">
      <c r="F38">
        <v>36</v>
      </c>
      <c r="G38">
        <v>19.5</v>
      </c>
      <c r="H38">
        <f t="shared" si="1"/>
        <v>19.5</v>
      </c>
      <c r="I38">
        <f t="shared" si="0"/>
        <v>5.4166666666666669E-3</v>
      </c>
      <c r="J38">
        <v>-0.59</v>
      </c>
      <c r="K38">
        <f t="shared" si="2"/>
        <v>0</v>
      </c>
      <c r="L38">
        <f t="shared" si="3"/>
        <v>11.3979</v>
      </c>
      <c r="M38">
        <f t="shared" si="4"/>
        <v>11397.9</v>
      </c>
      <c r="N38">
        <f t="shared" si="5"/>
        <v>10.80312452409</v>
      </c>
      <c r="O38">
        <f t="shared" si="6"/>
        <v>0.377872633839478</v>
      </c>
    </row>
    <row r="39" spans="6:15" x14ac:dyDescent="0.45">
      <c r="F39">
        <v>37</v>
      </c>
      <c r="G39">
        <v>16.899999999999999</v>
      </c>
      <c r="H39">
        <f t="shared" si="1"/>
        <v>16.899999999999999</v>
      </c>
      <c r="I39">
        <f t="shared" si="0"/>
        <v>4.6944444444444438E-3</v>
      </c>
      <c r="J39">
        <v>-0.57999999999999996</v>
      </c>
      <c r="K39">
        <f t="shared" si="2"/>
        <v>0</v>
      </c>
      <c r="L39">
        <f t="shared" si="3"/>
        <v>11.3979</v>
      </c>
      <c r="M39">
        <f t="shared" si="4"/>
        <v>11397.9</v>
      </c>
      <c r="N39">
        <f t="shared" si="5"/>
        <v>10.80312452409</v>
      </c>
      <c r="O39">
        <f t="shared" si="6"/>
        <v>0.377872633839478</v>
      </c>
    </row>
    <row r="40" spans="6:15" x14ac:dyDescent="0.45">
      <c r="F40">
        <v>38</v>
      </c>
      <c r="G40">
        <v>15.4</v>
      </c>
      <c r="H40">
        <f t="shared" si="1"/>
        <v>15.4</v>
      </c>
      <c r="I40">
        <f t="shared" si="0"/>
        <v>4.2777777777777779E-3</v>
      </c>
      <c r="J40">
        <v>-0.64</v>
      </c>
      <c r="K40">
        <f t="shared" si="2"/>
        <v>0</v>
      </c>
      <c r="L40">
        <f t="shared" si="3"/>
        <v>11.3979</v>
      </c>
      <c r="M40">
        <f t="shared" si="4"/>
        <v>11397.9</v>
      </c>
      <c r="N40">
        <f t="shared" si="5"/>
        <v>10.80312452409</v>
      </c>
      <c r="O40">
        <f t="shared" si="6"/>
        <v>0.377872633839478</v>
      </c>
    </row>
    <row r="41" spans="6:15" x14ac:dyDescent="0.45">
      <c r="F41">
        <v>39</v>
      </c>
      <c r="G41">
        <v>14.9</v>
      </c>
      <c r="H41">
        <f t="shared" si="1"/>
        <v>14.9</v>
      </c>
      <c r="I41">
        <f t="shared" si="0"/>
        <v>4.138888888888889E-3</v>
      </c>
      <c r="J41">
        <v>0.03</v>
      </c>
      <c r="K41">
        <f t="shared" si="2"/>
        <v>0.03</v>
      </c>
      <c r="L41">
        <f t="shared" si="3"/>
        <v>11.472899999999999</v>
      </c>
      <c r="M41">
        <f t="shared" si="4"/>
        <v>11472.9</v>
      </c>
      <c r="N41">
        <f t="shared" si="5"/>
        <v>10.87421080659</v>
      </c>
      <c r="O41">
        <f t="shared" si="6"/>
        <v>0.38035909604198553</v>
      </c>
    </row>
    <row r="42" spans="6:15" x14ac:dyDescent="0.45">
      <c r="F42">
        <v>40</v>
      </c>
      <c r="G42">
        <v>15.4</v>
      </c>
      <c r="H42">
        <f t="shared" si="1"/>
        <v>15.4</v>
      </c>
      <c r="I42">
        <f t="shared" si="0"/>
        <v>4.2777777777777779E-3</v>
      </c>
      <c r="J42">
        <v>4.0599999999999996</v>
      </c>
      <c r="K42">
        <f t="shared" si="2"/>
        <v>4.0599999999999996</v>
      </c>
      <c r="L42">
        <f t="shared" si="3"/>
        <v>21.547899999999998</v>
      </c>
      <c r="M42">
        <f t="shared" si="4"/>
        <v>21547.899999999998</v>
      </c>
      <c r="N42">
        <f t="shared" si="5"/>
        <v>20.423468089089997</v>
      </c>
      <c r="O42">
        <f t="shared" si="6"/>
        <v>0.71437385191216696</v>
      </c>
    </row>
    <row r="43" spans="6:15" x14ac:dyDescent="0.45">
      <c r="F43">
        <v>41</v>
      </c>
      <c r="G43">
        <v>15.6</v>
      </c>
      <c r="H43">
        <f t="shared" si="1"/>
        <v>15.6</v>
      </c>
      <c r="I43">
        <f t="shared" si="0"/>
        <v>4.3333333333333331E-3</v>
      </c>
      <c r="J43">
        <v>3.12</v>
      </c>
      <c r="K43">
        <f t="shared" si="2"/>
        <v>3.12</v>
      </c>
      <c r="L43">
        <f t="shared" si="3"/>
        <v>19.197900000000001</v>
      </c>
      <c r="M43">
        <f t="shared" si="4"/>
        <v>19197.900000000001</v>
      </c>
      <c r="N43">
        <f t="shared" si="5"/>
        <v>18.196097904090003</v>
      </c>
      <c r="O43">
        <f t="shared" si="6"/>
        <v>0.63646470290026358</v>
      </c>
    </row>
    <row r="44" spans="6:15" x14ac:dyDescent="0.45">
      <c r="F44">
        <v>42</v>
      </c>
      <c r="G44">
        <v>16.3</v>
      </c>
      <c r="H44">
        <f t="shared" si="1"/>
        <v>16.3</v>
      </c>
      <c r="I44">
        <f t="shared" si="0"/>
        <v>4.5277777777777781E-3</v>
      </c>
      <c r="J44">
        <v>6.66</v>
      </c>
      <c r="K44">
        <f t="shared" si="2"/>
        <v>6.66</v>
      </c>
      <c r="L44">
        <f t="shared" si="3"/>
        <v>28.047899999999998</v>
      </c>
      <c r="M44">
        <f t="shared" si="4"/>
        <v>28047.899999999998</v>
      </c>
      <c r="N44">
        <f t="shared" si="5"/>
        <v>26.584279239089998</v>
      </c>
      <c r="O44">
        <f t="shared" si="6"/>
        <v>0.92986724279615485</v>
      </c>
    </row>
    <row r="45" spans="6:15" x14ac:dyDescent="0.45">
      <c r="F45">
        <v>43</v>
      </c>
      <c r="G45">
        <v>17.7</v>
      </c>
      <c r="H45">
        <f t="shared" si="1"/>
        <v>17.7</v>
      </c>
      <c r="I45">
        <f t="shared" si="0"/>
        <v>4.9166666666666664E-3</v>
      </c>
      <c r="J45">
        <v>8.58</v>
      </c>
      <c r="K45">
        <f t="shared" si="2"/>
        <v>8.58</v>
      </c>
      <c r="L45">
        <f t="shared" si="3"/>
        <v>32.847899999999996</v>
      </c>
      <c r="M45">
        <f t="shared" si="4"/>
        <v>32847.899999999994</v>
      </c>
      <c r="N45">
        <f t="shared" si="5"/>
        <v>31.133801319089997</v>
      </c>
      <c r="O45">
        <f t="shared" si="6"/>
        <v>1.0890008237566382</v>
      </c>
    </row>
    <row r="46" spans="6:15" x14ac:dyDescent="0.45">
      <c r="F46">
        <v>44</v>
      </c>
      <c r="G46">
        <v>19.5</v>
      </c>
      <c r="H46">
        <f t="shared" si="1"/>
        <v>19.5</v>
      </c>
      <c r="I46">
        <f t="shared" si="0"/>
        <v>5.4166666666666669E-3</v>
      </c>
      <c r="J46">
        <v>13.73</v>
      </c>
      <c r="K46">
        <f t="shared" si="2"/>
        <v>13.73</v>
      </c>
      <c r="L46">
        <f t="shared" si="3"/>
        <v>45.722900000000003</v>
      </c>
      <c r="M46">
        <f t="shared" si="4"/>
        <v>45722.9</v>
      </c>
      <c r="N46">
        <f t="shared" si="5"/>
        <v>43.336946481590005</v>
      </c>
      <c r="O46">
        <f t="shared" si="6"/>
        <v>1.5158435018537686</v>
      </c>
    </row>
    <row r="47" spans="6:15" x14ac:dyDescent="0.45">
      <c r="F47">
        <v>45</v>
      </c>
      <c r="G47">
        <v>21.2</v>
      </c>
      <c r="H47">
        <f t="shared" si="1"/>
        <v>21.2</v>
      </c>
      <c r="I47">
        <f t="shared" si="0"/>
        <v>5.8888888888888888E-3</v>
      </c>
      <c r="J47">
        <v>14.5</v>
      </c>
      <c r="K47">
        <f t="shared" si="2"/>
        <v>14.5</v>
      </c>
      <c r="L47">
        <f t="shared" si="3"/>
        <v>47.6479</v>
      </c>
      <c r="M47">
        <f t="shared" si="4"/>
        <v>47647.9</v>
      </c>
      <c r="N47">
        <f t="shared" si="5"/>
        <v>45.161494399090003</v>
      </c>
      <c r="O47">
        <f t="shared" si="6"/>
        <v>1.5796626983847957</v>
      </c>
    </row>
    <row r="48" spans="6:15" x14ac:dyDescent="0.45">
      <c r="F48">
        <v>46</v>
      </c>
      <c r="G48">
        <v>22.6</v>
      </c>
      <c r="H48">
        <f t="shared" si="1"/>
        <v>22.6</v>
      </c>
      <c r="I48">
        <f t="shared" si="0"/>
        <v>6.277777777777778E-3</v>
      </c>
      <c r="J48">
        <v>14.57</v>
      </c>
      <c r="K48">
        <f t="shared" si="2"/>
        <v>14.57</v>
      </c>
      <c r="L48">
        <f t="shared" si="3"/>
        <v>47.822899999999997</v>
      </c>
      <c r="M48">
        <f t="shared" si="4"/>
        <v>47822.899999999994</v>
      </c>
      <c r="N48">
        <f t="shared" si="5"/>
        <v>45.327362391589993</v>
      </c>
      <c r="O48">
        <f t="shared" si="6"/>
        <v>1.58546444352398</v>
      </c>
    </row>
    <row r="49" spans="6:15" x14ac:dyDescent="0.45">
      <c r="F49">
        <v>47</v>
      </c>
      <c r="G49">
        <v>23</v>
      </c>
      <c r="H49">
        <f t="shared" si="1"/>
        <v>23</v>
      </c>
      <c r="I49">
        <f t="shared" si="0"/>
        <v>6.3888888888888893E-3</v>
      </c>
      <c r="J49">
        <v>6.75</v>
      </c>
      <c r="K49">
        <f t="shared" si="2"/>
        <v>6.75</v>
      </c>
      <c r="L49">
        <f t="shared" si="3"/>
        <v>28.2729</v>
      </c>
      <c r="M49">
        <f t="shared" si="4"/>
        <v>28272.9</v>
      </c>
      <c r="N49">
        <f t="shared" si="5"/>
        <v>26.797538086590002</v>
      </c>
      <c r="O49">
        <f t="shared" si="6"/>
        <v>0.93732662940367772</v>
      </c>
    </row>
    <row r="50" spans="6:15" x14ac:dyDescent="0.45">
      <c r="F50">
        <v>48</v>
      </c>
      <c r="G50">
        <v>22.9</v>
      </c>
      <c r="H50">
        <f t="shared" si="1"/>
        <v>22.9</v>
      </c>
      <c r="I50">
        <f t="shared" si="0"/>
        <v>6.3611111111111108E-3</v>
      </c>
      <c r="J50">
        <v>2.09</v>
      </c>
      <c r="K50">
        <f t="shared" si="2"/>
        <v>2.09</v>
      </c>
      <c r="L50">
        <f t="shared" si="3"/>
        <v>16.622900000000001</v>
      </c>
      <c r="M50">
        <f t="shared" si="4"/>
        <v>16622.900000000001</v>
      </c>
      <c r="N50">
        <f t="shared" si="5"/>
        <v>15.755468871590002</v>
      </c>
      <c r="O50">
        <f t="shared" si="6"/>
        <v>0.55109616728083766</v>
      </c>
    </row>
    <row r="51" spans="6:15" x14ac:dyDescent="0.45">
      <c r="F51">
        <v>49</v>
      </c>
      <c r="G51">
        <v>22.7</v>
      </c>
      <c r="H51">
        <f t="shared" si="1"/>
        <v>22.7</v>
      </c>
      <c r="I51">
        <f t="shared" si="0"/>
        <v>6.3055555555555556E-3</v>
      </c>
      <c r="J51">
        <v>1.73</v>
      </c>
      <c r="K51">
        <f t="shared" si="2"/>
        <v>1.73</v>
      </c>
      <c r="L51">
        <f t="shared" si="3"/>
        <v>15.722899999999999</v>
      </c>
      <c r="M51">
        <f t="shared" si="4"/>
        <v>15722.9</v>
      </c>
      <c r="N51">
        <f t="shared" si="5"/>
        <v>14.90243348159</v>
      </c>
      <c r="O51">
        <f t="shared" si="6"/>
        <v>0.52125862085074692</v>
      </c>
    </row>
    <row r="52" spans="6:15" x14ac:dyDescent="0.45">
      <c r="F52">
        <v>50</v>
      </c>
      <c r="G52">
        <v>21.1</v>
      </c>
      <c r="H52">
        <f t="shared" si="1"/>
        <v>21.1</v>
      </c>
      <c r="I52">
        <f t="shared" si="0"/>
        <v>5.8611111111111112E-3</v>
      </c>
      <c r="J52">
        <v>-1.05</v>
      </c>
      <c r="K52">
        <f t="shared" si="2"/>
        <v>0</v>
      </c>
      <c r="L52">
        <f t="shared" si="3"/>
        <v>11.3979</v>
      </c>
      <c r="M52">
        <f t="shared" si="4"/>
        <v>11397.9</v>
      </c>
      <c r="N52">
        <f t="shared" si="5"/>
        <v>10.80312452409</v>
      </c>
      <c r="O52">
        <f t="shared" si="6"/>
        <v>0.377872633839478</v>
      </c>
    </row>
    <row r="53" spans="6:15" x14ac:dyDescent="0.45">
      <c r="F53">
        <v>51</v>
      </c>
      <c r="G53">
        <v>18.7</v>
      </c>
      <c r="H53">
        <f t="shared" si="1"/>
        <v>18.7</v>
      </c>
      <c r="I53">
        <f t="shared" si="0"/>
        <v>5.1944444444444442E-3</v>
      </c>
      <c r="J53">
        <v>-0.97</v>
      </c>
      <c r="K53">
        <f t="shared" si="2"/>
        <v>0</v>
      </c>
      <c r="L53">
        <f t="shared" si="3"/>
        <v>11.3979</v>
      </c>
      <c r="M53">
        <f t="shared" si="4"/>
        <v>11397.9</v>
      </c>
      <c r="N53">
        <f t="shared" si="5"/>
        <v>10.80312452409</v>
      </c>
      <c r="O53">
        <f t="shared" si="6"/>
        <v>0.377872633839478</v>
      </c>
    </row>
    <row r="54" spans="6:15" x14ac:dyDescent="0.45">
      <c r="F54">
        <v>52</v>
      </c>
      <c r="G54">
        <v>16.899999999999999</v>
      </c>
      <c r="H54">
        <f t="shared" si="1"/>
        <v>16.899999999999999</v>
      </c>
      <c r="I54">
        <f t="shared" si="0"/>
        <v>4.6944444444444438E-3</v>
      </c>
      <c r="J54">
        <v>-0.68</v>
      </c>
      <c r="K54">
        <f t="shared" si="2"/>
        <v>0</v>
      </c>
      <c r="L54">
        <f t="shared" si="3"/>
        <v>11.3979</v>
      </c>
      <c r="M54">
        <f t="shared" si="4"/>
        <v>11397.9</v>
      </c>
      <c r="N54">
        <f t="shared" si="5"/>
        <v>10.80312452409</v>
      </c>
      <c r="O54">
        <f t="shared" si="6"/>
        <v>0.377872633839478</v>
      </c>
    </row>
    <row r="55" spans="6:15" x14ac:dyDescent="0.45">
      <c r="F55">
        <v>53</v>
      </c>
      <c r="G55">
        <v>15.6</v>
      </c>
      <c r="H55">
        <f t="shared" si="1"/>
        <v>15.6</v>
      </c>
      <c r="I55">
        <f t="shared" si="0"/>
        <v>4.3333333333333331E-3</v>
      </c>
      <c r="J55">
        <v>-0.4</v>
      </c>
      <c r="K55">
        <f t="shared" si="2"/>
        <v>0</v>
      </c>
      <c r="L55">
        <f t="shared" si="3"/>
        <v>11.3979</v>
      </c>
      <c r="M55">
        <f t="shared" si="4"/>
        <v>11397.9</v>
      </c>
      <c r="N55">
        <f t="shared" si="5"/>
        <v>10.80312452409</v>
      </c>
      <c r="O55">
        <f t="shared" si="6"/>
        <v>0.377872633839478</v>
      </c>
    </row>
    <row r="56" spans="6:15" x14ac:dyDescent="0.45">
      <c r="F56">
        <v>54</v>
      </c>
      <c r="G56">
        <v>16</v>
      </c>
      <c r="H56">
        <f t="shared" si="1"/>
        <v>16</v>
      </c>
      <c r="I56">
        <f t="shared" si="0"/>
        <v>4.4444444444444444E-3</v>
      </c>
      <c r="J56">
        <v>15.44</v>
      </c>
      <c r="K56">
        <f t="shared" si="2"/>
        <v>15.44</v>
      </c>
      <c r="L56">
        <f t="shared" si="3"/>
        <v>49.997900000000001</v>
      </c>
      <c r="M56">
        <f t="shared" si="4"/>
        <v>49997.9</v>
      </c>
      <c r="N56">
        <f t="shared" si="5"/>
        <v>47.388864584090001</v>
      </c>
      <c r="O56">
        <f t="shared" si="6"/>
        <v>1.6575718473966989</v>
      </c>
    </row>
    <row r="57" spans="6:15" x14ac:dyDescent="0.45">
      <c r="F57">
        <v>55</v>
      </c>
      <c r="G57">
        <v>17.600000000000001</v>
      </c>
      <c r="H57">
        <f t="shared" si="1"/>
        <v>17.600000000000001</v>
      </c>
      <c r="I57">
        <f t="shared" si="0"/>
        <v>4.8888888888888897E-3</v>
      </c>
      <c r="J57">
        <v>12.67</v>
      </c>
      <c r="K57">
        <f t="shared" si="2"/>
        <v>12.67</v>
      </c>
      <c r="L57">
        <f t="shared" si="3"/>
        <v>43.072900000000004</v>
      </c>
      <c r="M57">
        <f t="shared" si="4"/>
        <v>43072.9</v>
      </c>
      <c r="N57">
        <f t="shared" si="5"/>
        <v>40.825231166590001</v>
      </c>
      <c r="O57">
        <f t="shared" si="6"/>
        <v>1.427988504031835</v>
      </c>
    </row>
    <row r="58" spans="6:15" x14ac:dyDescent="0.45">
      <c r="F58">
        <v>56</v>
      </c>
      <c r="G58">
        <v>19.8</v>
      </c>
      <c r="H58">
        <f t="shared" si="1"/>
        <v>19.8</v>
      </c>
      <c r="I58">
        <f t="shared" si="0"/>
        <v>5.5000000000000005E-3</v>
      </c>
      <c r="J58">
        <v>20.38</v>
      </c>
      <c r="K58">
        <f t="shared" si="2"/>
        <v>20.38</v>
      </c>
      <c r="L58">
        <f t="shared" si="3"/>
        <v>62.347899999999996</v>
      </c>
      <c r="M58">
        <f t="shared" si="4"/>
        <v>62347.899999999994</v>
      </c>
      <c r="N58">
        <f t="shared" si="5"/>
        <v>59.094405769089995</v>
      </c>
      <c r="O58">
        <f t="shared" si="6"/>
        <v>2.067009290076276</v>
      </c>
    </row>
    <row r="59" spans="6:15" x14ac:dyDescent="0.45">
      <c r="F59">
        <v>57</v>
      </c>
      <c r="G59">
        <v>21.7</v>
      </c>
      <c r="H59">
        <f t="shared" si="1"/>
        <v>21.7</v>
      </c>
      <c r="I59">
        <f t="shared" si="0"/>
        <v>6.0277777777777777E-3</v>
      </c>
      <c r="J59">
        <v>15.84</v>
      </c>
      <c r="K59">
        <f t="shared" si="2"/>
        <v>15.84</v>
      </c>
      <c r="L59">
        <f t="shared" si="3"/>
        <v>50.997900000000001</v>
      </c>
      <c r="M59">
        <f t="shared" si="4"/>
        <v>50997.9</v>
      </c>
      <c r="N59">
        <f t="shared" si="5"/>
        <v>48.336681684090003</v>
      </c>
      <c r="O59">
        <f t="shared" si="6"/>
        <v>1.6907246767634665</v>
      </c>
    </row>
    <row r="60" spans="6:15" x14ac:dyDescent="0.45">
      <c r="F60">
        <v>58</v>
      </c>
      <c r="G60">
        <v>23.1</v>
      </c>
      <c r="H60">
        <f t="shared" si="1"/>
        <v>23.1</v>
      </c>
      <c r="I60">
        <f t="shared" si="0"/>
        <v>6.4166666666666669E-3</v>
      </c>
      <c r="J60">
        <v>14.4</v>
      </c>
      <c r="K60">
        <f t="shared" si="2"/>
        <v>14.4</v>
      </c>
      <c r="L60">
        <f t="shared" si="3"/>
        <v>47.3979</v>
      </c>
      <c r="M60">
        <f t="shared" si="4"/>
        <v>47397.9</v>
      </c>
      <c r="N60">
        <f t="shared" si="5"/>
        <v>44.924540124090001</v>
      </c>
      <c r="O60">
        <f t="shared" si="6"/>
        <v>1.5713744910431038</v>
      </c>
    </row>
    <row r="61" spans="6:15" x14ac:dyDescent="0.45">
      <c r="F61">
        <v>59</v>
      </c>
      <c r="G61">
        <v>24.1</v>
      </c>
      <c r="H61">
        <f t="shared" si="1"/>
        <v>24.1</v>
      </c>
      <c r="I61">
        <f t="shared" si="0"/>
        <v>6.6944444444444447E-3</v>
      </c>
      <c r="J61">
        <v>15.08</v>
      </c>
      <c r="K61">
        <f t="shared" si="2"/>
        <v>15.08</v>
      </c>
      <c r="L61">
        <f t="shared" si="3"/>
        <v>49.097900000000003</v>
      </c>
      <c r="M61">
        <f t="shared" si="4"/>
        <v>49097.9</v>
      </c>
      <c r="N61">
        <f t="shared" si="5"/>
        <v>46.535829194090006</v>
      </c>
      <c r="O61">
        <f t="shared" si="6"/>
        <v>1.6277343009666085</v>
      </c>
    </row>
    <row r="62" spans="6:15" x14ac:dyDescent="0.45">
      <c r="F62">
        <v>60</v>
      </c>
      <c r="G62">
        <v>24.7</v>
      </c>
      <c r="H62">
        <f t="shared" si="1"/>
        <v>24.7</v>
      </c>
      <c r="I62">
        <f t="shared" si="0"/>
        <v>6.8611111111111112E-3</v>
      </c>
      <c r="J62">
        <v>9.02</v>
      </c>
      <c r="K62">
        <f t="shared" si="2"/>
        <v>9.02</v>
      </c>
      <c r="L62">
        <f t="shared" si="3"/>
        <v>33.947899999999997</v>
      </c>
      <c r="M62">
        <f t="shared" si="4"/>
        <v>33947.899999999994</v>
      </c>
      <c r="N62">
        <f t="shared" si="5"/>
        <v>32.176400129089998</v>
      </c>
      <c r="O62">
        <f t="shared" si="6"/>
        <v>1.1254689360600825</v>
      </c>
    </row>
    <row r="63" spans="6:15" x14ac:dyDescent="0.45">
      <c r="F63">
        <v>61</v>
      </c>
      <c r="G63">
        <v>25</v>
      </c>
      <c r="H63">
        <f t="shared" si="1"/>
        <v>25</v>
      </c>
      <c r="I63">
        <f t="shared" si="0"/>
        <v>6.9444444444444441E-3</v>
      </c>
      <c r="J63">
        <v>4.84</v>
      </c>
      <c r="K63">
        <f t="shared" si="2"/>
        <v>4.84</v>
      </c>
      <c r="L63">
        <f t="shared" si="3"/>
        <v>23.497900000000001</v>
      </c>
      <c r="M63">
        <f t="shared" si="4"/>
        <v>23497.9</v>
      </c>
      <c r="N63">
        <f t="shared" si="5"/>
        <v>22.271711434090001</v>
      </c>
      <c r="O63">
        <f t="shared" si="6"/>
        <v>0.77902186917736338</v>
      </c>
    </row>
    <row r="64" spans="6:15" x14ac:dyDescent="0.45">
      <c r="F64">
        <v>62</v>
      </c>
      <c r="G64">
        <v>25</v>
      </c>
      <c r="H64">
        <f t="shared" si="1"/>
        <v>25</v>
      </c>
      <c r="I64">
        <f t="shared" si="0"/>
        <v>6.9444444444444441E-3</v>
      </c>
      <c r="J64">
        <v>5.13</v>
      </c>
      <c r="K64">
        <f t="shared" si="2"/>
        <v>5.13</v>
      </c>
      <c r="L64">
        <f t="shared" si="3"/>
        <v>24.222899999999999</v>
      </c>
      <c r="M64">
        <f t="shared" si="4"/>
        <v>24222.899999999998</v>
      </c>
      <c r="N64">
        <f t="shared" si="5"/>
        <v>22.958878831589999</v>
      </c>
      <c r="O64">
        <f t="shared" si="6"/>
        <v>0.80305767046826959</v>
      </c>
    </row>
    <row r="65" spans="6:15" x14ac:dyDescent="0.45">
      <c r="F65">
        <v>63</v>
      </c>
      <c r="G65">
        <v>24.7</v>
      </c>
      <c r="H65">
        <f t="shared" si="1"/>
        <v>24.7</v>
      </c>
      <c r="I65">
        <f t="shared" si="0"/>
        <v>6.8611111111111112E-3</v>
      </c>
      <c r="J65">
        <v>0.69</v>
      </c>
      <c r="K65">
        <f t="shared" si="2"/>
        <v>0.69</v>
      </c>
      <c r="L65">
        <f t="shared" si="3"/>
        <v>13.1229</v>
      </c>
      <c r="M65">
        <f t="shared" si="4"/>
        <v>13122.9</v>
      </c>
      <c r="N65">
        <f t="shared" si="5"/>
        <v>12.43810902159</v>
      </c>
      <c r="O65">
        <f t="shared" si="6"/>
        <v>0.43506126449715171</v>
      </c>
    </row>
    <row r="66" spans="6:15" x14ac:dyDescent="0.45">
      <c r="F66">
        <v>64</v>
      </c>
      <c r="G66">
        <v>24.5</v>
      </c>
      <c r="H66">
        <f t="shared" si="1"/>
        <v>24.5</v>
      </c>
      <c r="I66">
        <f t="shared" ref="I66:I129" si="7">H66*(1/3600)</f>
        <v>6.8055555555555551E-3</v>
      </c>
      <c r="J66">
        <v>4.16</v>
      </c>
      <c r="K66">
        <f t="shared" si="2"/>
        <v>4.16</v>
      </c>
      <c r="L66">
        <f t="shared" si="3"/>
        <v>21.797899999999998</v>
      </c>
      <c r="M66">
        <f t="shared" si="4"/>
        <v>21797.899999999998</v>
      </c>
      <c r="N66">
        <f t="shared" si="5"/>
        <v>20.66042236409</v>
      </c>
      <c r="O66">
        <f t="shared" si="6"/>
        <v>0.72266205925385874</v>
      </c>
    </row>
    <row r="67" spans="6:15" x14ac:dyDescent="0.45">
      <c r="F67">
        <v>65</v>
      </c>
      <c r="G67">
        <v>24.6</v>
      </c>
      <c r="H67">
        <f t="shared" ref="H67:H130" si="8">IF(G67&lt;0,0,G67)</f>
        <v>24.6</v>
      </c>
      <c r="I67">
        <f t="shared" si="7"/>
        <v>6.8333333333333336E-3</v>
      </c>
      <c r="J67">
        <v>7.19</v>
      </c>
      <c r="K67">
        <f t="shared" ref="K67:K130" si="9">IF(J67&lt;0,0,J67)</f>
        <v>7.19</v>
      </c>
      <c r="L67">
        <f t="shared" ref="L67:L130" si="10">(1/$B$5)*K67+((3.4798*$B$6)+0.9585)</f>
        <v>29.372900000000001</v>
      </c>
      <c r="M67">
        <f t="shared" ref="M67:M130" si="11">L67*1000</f>
        <v>29372.9</v>
      </c>
      <c r="N67">
        <f t="shared" ref="N67:N130" si="12">M67*0.0009478171</f>
        <v>27.840136896590003</v>
      </c>
      <c r="O67">
        <f t="shared" ref="O67:O130" si="13">(M67*453.59237)/(18489*0.74*1000)</f>
        <v>0.97379474170712177</v>
      </c>
    </row>
    <row r="68" spans="6:15" x14ac:dyDescent="0.45">
      <c r="F68">
        <v>66</v>
      </c>
      <c r="G68">
        <v>24.7</v>
      </c>
      <c r="H68">
        <f t="shared" si="8"/>
        <v>24.7</v>
      </c>
      <c r="I68">
        <f t="shared" si="7"/>
        <v>6.8611111111111112E-3</v>
      </c>
      <c r="J68">
        <v>7.14</v>
      </c>
      <c r="K68">
        <f t="shared" si="9"/>
        <v>7.14</v>
      </c>
      <c r="L68">
        <f t="shared" si="10"/>
        <v>29.247899999999998</v>
      </c>
      <c r="M68">
        <f t="shared" si="11"/>
        <v>29247.899999999998</v>
      </c>
      <c r="N68">
        <f t="shared" si="12"/>
        <v>27.721659759089999</v>
      </c>
      <c r="O68">
        <f t="shared" si="13"/>
        <v>0.96965063803627571</v>
      </c>
    </row>
    <row r="69" spans="6:15" x14ac:dyDescent="0.45">
      <c r="F69">
        <v>67</v>
      </c>
      <c r="G69">
        <v>24.6</v>
      </c>
      <c r="H69">
        <f t="shared" si="8"/>
        <v>24.6</v>
      </c>
      <c r="I69">
        <f t="shared" si="7"/>
        <v>6.8333333333333336E-3</v>
      </c>
      <c r="J69">
        <v>3.11</v>
      </c>
      <c r="K69">
        <f t="shared" si="9"/>
        <v>3.11</v>
      </c>
      <c r="L69">
        <f t="shared" si="10"/>
        <v>19.172899999999998</v>
      </c>
      <c r="M69">
        <f t="shared" si="11"/>
        <v>19172.899999999998</v>
      </c>
      <c r="N69">
        <f t="shared" si="12"/>
        <v>18.172402476589998</v>
      </c>
      <c r="O69">
        <f t="shared" si="13"/>
        <v>0.63563588216609435</v>
      </c>
    </row>
    <row r="70" spans="6:15" x14ac:dyDescent="0.45">
      <c r="F70">
        <v>68</v>
      </c>
      <c r="G70">
        <v>24.5</v>
      </c>
      <c r="H70">
        <f t="shared" si="8"/>
        <v>24.5</v>
      </c>
      <c r="I70">
        <f t="shared" si="7"/>
        <v>6.8055555555555551E-3</v>
      </c>
      <c r="J70">
        <v>4.93</v>
      </c>
      <c r="K70">
        <f t="shared" si="9"/>
        <v>4.93</v>
      </c>
      <c r="L70">
        <f t="shared" si="10"/>
        <v>23.722899999999999</v>
      </c>
      <c r="M70">
        <f t="shared" si="11"/>
        <v>23722.899999999998</v>
      </c>
      <c r="N70">
        <f t="shared" si="12"/>
        <v>22.484970281589998</v>
      </c>
      <c r="O70">
        <f t="shared" si="13"/>
        <v>0.78648125578488592</v>
      </c>
    </row>
    <row r="71" spans="6:15" x14ac:dyDescent="0.45">
      <c r="F71">
        <v>69</v>
      </c>
      <c r="G71">
        <v>24.6</v>
      </c>
      <c r="H71">
        <f t="shared" si="8"/>
        <v>24.6</v>
      </c>
      <c r="I71">
        <f t="shared" si="7"/>
        <v>6.8333333333333336E-3</v>
      </c>
      <c r="J71">
        <v>7.77</v>
      </c>
      <c r="K71">
        <f t="shared" si="9"/>
        <v>7.77</v>
      </c>
      <c r="L71">
        <f t="shared" si="10"/>
        <v>30.822899999999997</v>
      </c>
      <c r="M71">
        <f t="shared" si="11"/>
        <v>30822.899999999998</v>
      </c>
      <c r="N71">
        <f t="shared" si="12"/>
        <v>29.214471691589999</v>
      </c>
      <c r="O71">
        <f t="shared" si="13"/>
        <v>1.0218663442889344</v>
      </c>
    </row>
    <row r="72" spans="6:15" x14ac:dyDescent="0.45">
      <c r="F72">
        <v>70</v>
      </c>
      <c r="G72">
        <v>25.1</v>
      </c>
      <c r="H72">
        <f t="shared" si="8"/>
        <v>25.1</v>
      </c>
      <c r="I72">
        <f t="shared" si="7"/>
        <v>6.9722222222222225E-3</v>
      </c>
      <c r="J72">
        <v>7.46</v>
      </c>
      <c r="K72">
        <f t="shared" si="9"/>
        <v>7.46</v>
      </c>
      <c r="L72">
        <f t="shared" si="10"/>
        <v>30.047899999999998</v>
      </c>
      <c r="M72">
        <f t="shared" si="11"/>
        <v>30047.899999999998</v>
      </c>
      <c r="N72">
        <f t="shared" si="12"/>
        <v>28.479913439089998</v>
      </c>
      <c r="O72">
        <f t="shared" si="13"/>
        <v>0.99617290152968963</v>
      </c>
    </row>
    <row r="73" spans="6:15" x14ac:dyDescent="0.45">
      <c r="F73">
        <v>71</v>
      </c>
      <c r="G73">
        <v>25.7</v>
      </c>
      <c r="H73">
        <f t="shared" si="8"/>
        <v>25.7</v>
      </c>
      <c r="I73">
        <f t="shared" si="7"/>
        <v>7.1388888888888891E-3</v>
      </c>
      <c r="J73">
        <v>9.91</v>
      </c>
      <c r="K73">
        <f t="shared" si="9"/>
        <v>9.91</v>
      </c>
      <c r="L73">
        <f t="shared" si="10"/>
        <v>36.172899999999998</v>
      </c>
      <c r="M73">
        <f t="shared" si="11"/>
        <v>36172.9</v>
      </c>
      <c r="N73">
        <f t="shared" si="12"/>
        <v>34.285293176590002</v>
      </c>
      <c r="O73">
        <f t="shared" si="13"/>
        <v>1.1992339814011399</v>
      </c>
    </row>
    <row r="74" spans="6:15" x14ac:dyDescent="0.45">
      <c r="F74">
        <v>72</v>
      </c>
      <c r="G74">
        <v>25.8</v>
      </c>
      <c r="H74">
        <f t="shared" si="8"/>
        <v>25.8</v>
      </c>
      <c r="I74">
        <f t="shared" si="7"/>
        <v>7.1666666666666667E-3</v>
      </c>
      <c r="J74">
        <v>6.37</v>
      </c>
      <c r="K74">
        <f t="shared" si="9"/>
        <v>6.37</v>
      </c>
      <c r="L74">
        <f t="shared" si="10"/>
        <v>27.322900000000001</v>
      </c>
      <c r="M74">
        <f t="shared" si="11"/>
        <v>27322.9</v>
      </c>
      <c r="N74">
        <f t="shared" si="12"/>
        <v>25.897111841590004</v>
      </c>
      <c r="O74">
        <f t="shared" si="13"/>
        <v>0.90583144150524864</v>
      </c>
    </row>
    <row r="75" spans="6:15" x14ac:dyDescent="0.45">
      <c r="F75">
        <v>73</v>
      </c>
      <c r="G75">
        <v>25.7</v>
      </c>
      <c r="H75">
        <f t="shared" si="8"/>
        <v>25.7</v>
      </c>
      <c r="I75">
        <f t="shared" si="7"/>
        <v>7.1388888888888891E-3</v>
      </c>
      <c r="J75">
        <v>0.78</v>
      </c>
      <c r="K75">
        <f t="shared" si="9"/>
        <v>0.78</v>
      </c>
      <c r="L75">
        <f t="shared" si="10"/>
        <v>13.347899999999999</v>
      </c>
      <c r="M75">
        <f t="shared" si="11"/>
        <v>13347.9</v>
      </c>
      <c r="N75">
        <f t="shared" si="12"/>
        <v>12.65136786909</v>
      </c>
      <c r="O75">
        <f t="shared" si="13"/>
        <v>0.44252065110467437</v>
      </c>
    </row>
    <row r="76" spans="6:15" x14ac:dyDescent="0.45">
      <c r="F76">
        <v>74</v>
      </c>
      <c r="G76">
        <v>25.3</v>
      </c>
      <c r="H76">
        <f t="shared" si="8"/>
        <v>25.3</v>
      </c>
      <c r="I76">
        <f t="shared" si="7"/>
        <v>7.0277777777777778E-3</v>
      </c>
      <c r="J76">
        <v>3.17</v>
      </c>
      <c r="K76">
        <f t="shared" si="9"/>
        <v>3.17</v>
      </c>
      <c r="L76">
        <f t="shared" si="10"/>
        <v>19.322900000000001</v>
      </c>
      <c r="M76">
        <f t="shared" si="11"/>
        <v>19322.900000000001</v>
      </c>
      <c r="N76">
        <f t="shared" si="12"/>
        <v>18.31457504159</v>
      </c>
      <c r="O76">
        <f t="shared" si="13"/>
        <v>0.64060880657110963</v>
      </c>
    </row>
    <row r="77" spans="6:15" x14ac:dyDescent="0.45">
      <c r="F77">
        <v>75</v>
      </c>
      <c r="G77">
        <v>25.4</v>
      </c>
      <c r="H77">
        <f t="shared" si="8"/>
        <v>25.4</v>
      </c>
      <c r="I77">
        <f t="shared" si="7"/>
        <v>7.0555555555555554E-3</v>
      </c>
      <c r="J77">
        <v>4.96</v>
      </c>
      <c r="K77">
        <f t="shared" si="9"/>
        <v>4.96</v>
      </c>
      <c r="L77">
        <f t="shared" si="10"/>
        <v>23.797899999999998</v>
      </c>
      <c r="M77">
        <f t="shared" si="11"/>
        <v>23797.899999999998</v>
      </c>
      <c r="N77">
        <f t="shared" si="12"/>
        <v>22.556056564089999</v>
      </c>
      <c r="O77">
        <f t="shared" si="13"/>
        <v>0.78896771798739351</v>
      </c>
    </row>
    <row r="78" spans="6:15" x14ac:dyDescent="0.45">
      <c r="F78">
        <v>76</v>
      </c>
      <c r="G78">
        <v>25.5</v>
      </c>
      <c r="H78">
        <f t="shared" si="8"/>
        <v>25.5</v>
      </c>
      <c r="I78">
        <f t="shared" si="7"/>
        <v>7.083333333333333E-3</v>
      </c>
      <c r="J78">
        <v>6.53</v>
      </c>
      <c r="K78">
        <f t="shared" si="9"/>
        <v>6.53</v>
      </c>
      <c r="L78">
        <f t="shared" si="10"/>
        <v>27.722899999999999</v>
      </c>
      <c r="M78">
        <f t="shared" si="11"/>
        <v>27722.899999999998</v>
      </c>
      <c r="N78">
        <f t="shared" si="12"/>
        <v>26.276238681589998</v>
      </c>
      <c r="O78">
        <f t="shared" si="13"/>
        <v>0.91909257325195548</v>
      </c>
    </row>
    <row r="79" spans="6:15" x14ac:dyDescent="0.45">
      <c r="F79">
        <v>77</v>
      </c>
      <c r="G79">
        <v>26</v>
      </c>
      <c r="H79">
        <f t="shared" si="8"/>
        <v>26</v>
      </c>
      <c r="I79">
        <f t="shared" si="7"/>
        <v>7.2222222222222219E-3</v>
      </c>
      <c r="J79">
        <v>8.19</v>
      </c>
      <c r="K79">
        <f t="shared" si="9"/>
        <v>8.19</v>
      </c>
      <c r="L79">
        <f t="shared" si="10"/>
        <v>31.872899999999998</v>
      </c>
      <c r="M79">
        <f t="shared" si="11"/>
        <v>31872.899999999998</v>
      </c>
      <c r="N79">
        <f t="shared" si="12"/>
        <v>30.209679646590001</v>
      </c>
      <c r="O79">
        <f t="shared" si="13"/>
        <v>1.0566768151240402</v>
      </c>
    </row>
    <row r="80" spans="6:15" x14ac:dyDescent="0.45">
      <c r="F80">
        <v>78</v>
      </c>
      <c r="G80">
        <v>26.1</v>
      </c>
      <c r="H80">
        <f t="shared" si="8"/>
        <v>26.1</v>
      </c>
      <c r="I80">
        <f t="shared" si="7"/>
        <v>7.2500000000000004E-3</v>
      </c>
      <c r="J80">
        <v>5.36</v>
      </c>
      <c r="K80">
        <f t="shared" si="9"/>
        <v>5.36</v>
      </c>
      <c r="L80">
        <f t="shared" si="10"/>
        <v>24.797899999999998</v>
      </c>
      <c r="M80">
        <f t="shared" si="11"/>
        <v>24797.899999999998</v>
      </c>
      <c r="N80">
        <f t="shared" si="12"/>
        <v>23.503873664089998</v>
      </c>
      <c r="O80">
        <f t="shared" si="13"/>
        <v>0.82212054735416085</v>
      </c>
    </row>
    <row r="81" spans="6:15" x14ac:dyDescent="0.45">
      <c r="F81">
        <v>79</v>
      </c>
      <c r="G81">
        <v>25.8</v>
      </c>
      <c r="H81">
        <f t="shared" si="8"/>
        <v>25.8</v>
      </c>
      <c r="I81">
        <f t="shared" si="7"/>
        <v>7.1666666666666667E-3</v>
      </c>
      <c r="J81">
        <v>-0.85</v>
      </c>
      <c r="K81">
        <f t="shared" si="9"/>
        <v>0</v>
      </c>
      <c r="L81">
        <f t="shared" si="10"/>
        <v>11.3979</v>
      </c>
      <c r="M81">
        <f t="shared" si="11"/>
        <v>11397.9</v>
      </c>
      <c r="N81">
        <f t="shared" si="12"/>
        <v>10.80312452409</v>
      </c>
      <c r="O81">
        <f t="shared" si="13"/>
        <v>0.377872633839478</v>
      </c>
    </row>
    <row r="82" spans="6:15" x14ac:dyDescent="0.45">
      <c r="F82">
        <v>80</v>
      </c>
      <c r="G82">
        <v>26</v>
      </c>
      <c r="H82">
        <f t="shared" si="8"/>
        <v>26</v>
      </c>
      <c r="I82">
        <f t="shared" si="7"/>
        <v>7.2222222222222219E-3</v>
      </c>
      <c r="J82">
        <v>9.1199999999999992</v>
      </c>
      <c r="K82">
        <f t="shared" si="9"/>
        <v>9.1199999999999992</v>
      </c>
      <c r="L82">
        <f t="shared" si="10"/>
        <v>34.197899999999997</v>
      </c>
      <c r="M82">
        <f t="shared" si="11"/>
        <v>34197.899999999994</v>
      </c>
      <c r="N82">
        <f t="shared" si="12"/>
        <v>32.413354404089993</v>
      </c>
      <c r="O82">
        <f t="shared" si="13"/>
        <v>1.1337571434017741</v>
      </c>
    </row>
    <row r="83" spans="6:15" x14ac:dyDescent="0.45">
      <c r="F83">
        <v>81</v>
      </c>
      <c r="G83">
        <v>26.6</v>
      </c>
      <c r="H83">
        <f t="shared" si="8"/>
        <v>26.6</v>
      </c>
      <c r="I83">
        <f t="shared" si="7"/>
        <v>7.3888888888888893E-3</v>
      </c>
      <c r="J83">
        <v>11.89</v>
      </c>
      <c r="K83">
        <f t="shared" si="9"/>
        <v>11.89</v>
      </c>
      <c r="L83">
        <f t="shared" si="10"/>
        <v>41.122900000000001</v>
      </c>
      <c r="M83">
        <f t="shared" si="11"/>
        <v>41122.9</v>
      </c>
      <c r="N83">
        <f t="shared" si="12"/>
        <v>38.976987821590001</v>
      </c>
      <c r="O83">
        <f t="shared" si="13"/>
        <v>1.3633404867666385</v>
      </c>
    </row>
    <row r="84" spans="6:15" x14ac:dyDescent="0.45">
      <c r="F84">
        <v>82</v>
      </c>
      <c r="G84">
        <v>27.5</v>
      </c>
      <c r="H84">
        <f t="shared" si="8"/>
        <v>27.5</v>
      </c>
      <c r="I84">
        <f t="shared" si="7"/>
        <v>7.6388888888888886E-3</v>
      </c>
      <c r="J84">
        <v>13.91</v>
      </c>
      <c r="K84">
        <f t="shared" si="9"/>
        <v>13.91</v>
      </c>
      <c r="L84">
        <f t="shared" si="10"/>
        <v>46.172899999999998</v>
      </c>
      <c r="M84">
        <f t="shared" si="11"/>
        <v>46172.9</v>
      </c>
      <c r="N84">
        <f t="shared" si="12"/>
        <v>43.763464176590006</v>
      </c>
      <c r="O84">
        <f t="shared" si="13"/>
        <v>1.5307622750688139</v>
      </c>
    </row>
    <row r="85" spans="6:15" x14ac:dyDescent="0.45">
      <c r="F85">
        <v>83</v>
      </c>
      <c r="G85">
        <v>28.6</v>
      </c>
      <c r="H85">
        <f t="shared" si="8"/>
        <v>28.6</v>
      </c>
      <c r="I85">
        <f t="shared" si="7"/>
        <v>7.9444444444444449E-3</v>
      </c>
      <c r="J85">
        <v>15.74</v>
      </c>
      <c r="K85">
        <f t="shared" si="9"/>
        <v>15.74</v>
      </c>
      <c r="L85">
        <f t="shared" si="10"/>
        <v>50.747900000000001</v>
      </c>
      <c r="M85">
        <f t="shared" si="11"/>
        <v>50747.9</v>
      </c>
      <c r="N85">
        <f t="shared" si="12"/>
        <v>48.099727409090001</v>
      </c>
      <c r="O85">
        <f t="shared" si="13"/>
        <v>1.6824364694217746</v>
      </c>
    </row>
    <row r="86" spans="6:15" x14ac:dyDescent="0.45">
      <c r="F86">
        <v>84</v>
      </c>
      <c r="G86">
        <v>29.1</v>
      </c>
      <c r="H86">
        <f t="shared" si="8"/>
        <v>29.1</v>
      </c>
      <c r="I86">
        <f t="shared" si="7"/>
        <v>8.083333333333333E-3</v>
      </c>
      <c r="J86">
        <v>9.8800000000000008</v>
      </c>
      <c r="K86">
        <f t="shared" si="9"/>
        <v>9.8800000000000008</v>
      </c>
      <c r="L86">
        <f t="shared" si="10"/>
        <v>36.097900000000003</v>
      </c>
      <c r="M86">
        <f t="shared" si="11"/>
        <v>36097.9</v>
      </c>
      <c r="N86">
        <f t="shared" si="12"/>
        <v>34.214206894090005</v>
      </c>
      <c r="O86">
        <f t="shared" si="13"/>
        <v>1.1967475191986325</v>
      </c>
    </row>
    <row r="87" spans="6:15" x14ac:dyDescent="0.45">
      <c r="F87">
        <v>85</v>
      </c>
      <c r="G87">
        <v>29.5</v>
      </c>
      <c r="H87">
        <f t="shared" si="8"/>
        <v>29.5</v>
      </c>
      <c r="I87">
        <f t="shared" si="7"/>
        <v>8.1944444444444452E-3</v>
      </c>
      <c r="J87">
        <v>7.44</v>
      </c>
      <c r="K87">
        <f t="shared" si="9"/>
        <v>7.44</v>
      </c>
      <c r="L87">
        <f t="shared" si="10"/>
        <v>29.997900000000001</v>
      </c>
      <c r="M87">
        <f t="shared" si="11"/>
        <v>29997.9</v>
      </c>
      <c r="N87">
        <f t="shared" si="12"/>
        <v>28.432522584090002</v>
      </c>
      <c r="O87">
        <f t="shared" si="13"/>
        <v>0.99451526006135138</v>
      </c>
    </row>
    <row r="88" spans="6:15" x14ac:dyDescent="0.45">
      <c r="F88">
        <v>86</v>
      </c>
      <c r="G88">
        <v>29.9</v>
      </c>
      <c r="H88">
        <f t="shared" si="8"/>
        <v>29.9</v>
      </c>
      <c r="I88">
        <f t="shared" si="7"/>
        <v>8.3055555555555556E-3</v>
      </c>
      <c r="J88">
        <v>8.11</v>
      </c>
      <c r="K88">
        <f t="shared" si="9"/>
        <v>8.11</v>
      </c>
      <c r="L88">
        <f t="shared" si="10"/>
        <v>31.672899999999998</v>
      </c>
      <c r="M88">
        <f t="shared" si="11"/>
        <v>31672.899999999998</v>
      </c>
      <c r="N88">
        <f t="shared" si="12"/>
        <v>30.020116226589998</v>
      </c>
      <c r="O88">
        <f t="shared" si="13"/>
        <v>1.0500462492506866</v>
      </c>
    </row>
    <row r="89" spans="6:15" x14ac:dyDescent="0.45">
      <c r="F89">
        <v>87</v>
      </c>
      <c r="G89">
        <v>30.1</v>
      </c>
      <c r="H89">
        <f t="shared" si="8"/>
        <v>30.1</v>
      </c>
      <c r="I89">
        <f t="shared" si="7"/>
        <v>8.3611111111111108E-3</v>
      </c>
      <c r="J89">
        <v>6.25</v>
      </c>
      <c r="K89">
        <f t="shared" si="9"/>
        <v>6.25</v>
      </c>
      <c r="L89">
        <f t="shared" si="10"/>
        <v>27.0229</v>
      </c>
      <c r="M89">
        <f t="shared" si="11"/>
        <v>27022.9</v>
      </c>
      <c r="N89">
        <f t="shared" si="12"/>
        <v>25.612766711590002</v>
      </c>
      <c r="O89">
        <f t="shared" si="13"/>
        <v>0.89588559269521839</v>
      </c>
    </row>
    <row r="90" spans="6:15" x14ac:dyDescent="0.45">
      <c r="F90">
        <v>88</v>
      </c>
      <c r="G90">
        <v>30.4</v>
      </c>
      <c r="H90">
        <f t="shared" si="8"/>
        <v>30.4</v>
      </c>
      <c r="I90">
        <f t="shared" si="7"/>
        <v>8.4444444444444437E-3</v>
      </c>
      <c r="J90">
        <v>6.42</v>
      </c>
      <c r="K90">
        <f t="shared" si="9"/>
        <v>6.42</v>
      </c>
      <c r="L90">
        <f t="shared" si="10"/>
        <v>27.447900000000001</v>
      </c>
      <c r="M90">
        <f t="shared" si="11"/>
        <v>27447.9</v>
      </c>
      <c r="N90">
        <f t="shared" si="12"/>
        <v>26.015588979090001</v>
      </c>
      <c r="O90">
        <f t="shared" si="13"/>
        <v>0.90997554517609458</v>
      </c>
    </row>
    <row r="91" spans="6:15" x14ac:dyDescent="0.45">
      <c r="F91">
        <v>89</v>
      </c>
      <c r="G91">
        <v>30.7</v>
      </c>
      <c r="H91">
        <f t="shared" si="8"/>
        <v>30.7</v>
      </c>
      <c r="I91">
        <f t="shared" si="7"/>
        <v>8.5277777777777782E-3</v>
      </c>
      <c r="J91">
        <v>7.2</v>
      </c>
      <c r="K91">
        <f t="shared" si="9"/>
        <v>7.2</v>
      </c>
      <c r="L91">
        <f t="shared" si="10"/>
        <v>29.3979</v>
      </c>
      <c r="M91">
        <f t="shared" si="11"/>
        <v>29397.9</v>
      </c>
      <c r="N91">
        <f t="shared" si="12"/>
        <v>27.863832324090001</v>
      </c>
      <c r="O91">
        <f t="shared" si="13"/>
        <v>0.974623562441291</v>
      </c>
    </row>
    <row r="92" spans="6:15" x14ac:dyDescent="0.45">
      <c r="F92">
        <v>90</v>
      </c>
      <c r="G92">
        <v>30.6</v>
      </c>
      <c r="H92">
        <f t="shared" si="8"/>
        <v>30.6</v>
      </c>
      <c r="I92">
        <f t="shared" si="7"/>
        <v>8.5000000000000006E-3</v>
      </c>
      <c r="J92">
        <v>2.77</v>
      </c>
      <c r="K92">
        <f t="shared" si="9"/>
        <v>2.77</v>
      </c>
      <c r="L92">
        <f t="shared" si="10"/>
        <v>18.322900000000001</v>
      </c>
      <c r="M92">
        <f t="shared" si="11"/>
        <v>18322.900000000001</v>
      </c>
      <c r="N92">
        <f t="shared" si="12"/>
        <v>17.366757941590002</v>
      </c>
      <c r="O92">
        <f t="shared" si="13"/>
        <v>0.60745597720434219</v>
      </c>
    </row>
    <row r="93" spans="6:15" x14ac:dyDescent="0.45">
      <c r="F93">
        <v>91</v>
      </c>
      <c r="G93">
        <v>30.4</v>
      </c>
      <c r="H93">
        <f t="shared" si="8"/>
        <v>30.4</v>
      </c>
      <c r="I93">
        <f t="shared" si="7"/>
        <v>8.4444444444444437E-3</v>
      </c>
      <c r="J93">
        <v>1.62</v>
      </c>
      <c r="K93">
        <f t="shared" si="9"/>
        <v>1.62</v>
      </c>
      <c r="L93">
        <f t="shared" si="10"/>
        <v>15.447900000000001</v>
      </c>
      <c r="M93">
        <f t="shared" si="11"/>
        <v>15447.900000000001</v>
      </c>
      <c r="N93">
        <f t="shared" si="12"/>
        <v>14.641783779090002</v>
      </c>
      <c r="O93">
        <f t="shared" si="13"/>
        <v>0.51214159277488591</v>
      </c>
    </row>
    <row r="94" spans="6:15" x14ac:dyDescent="0.45">
      <c r="F94">
        <v>92</v>
      </c>
      <c r="G94">
        <v>30.3</v>
      </c>
      <c r="H94">
        <f t="shared" si="8"/>
        <v>30.3</v>
      </c>
      <c r="I94">
        <f t="shared" si="7"/>
        <v>8.416666666666666E-3</v>
      </c>
      <c r="J94">
        <v>3.45</v>
      </c>
      <c r="K94">
        <f t="shared" si="9"/>
        <v>3.45</v>
      </c>
      <c r="L94">
        <f t="shared" si="10"/>
        <v>20.0229</v>
      </c>
      <c r="M94">
        <f t="shared" si="11"/>
        <v>20022.900000000001</v>
      </c>
      <c r="N94">
        <f t="shared" si="12"/>
        <v>18.978047011590004</v>
      </c>
      <c r="O94">
        <f t="shared" si="13"/>
        <v>0.66381578712784672</v>
      </c>
    </row>
    <row r="95" spans="6:15" x14ac:dyDescent="0.45">
      <c r="F95">
        <v>93</v>
      </c>
      <c r="G95">
        <v>30.3</v>
      </c>
      <c r="H95">
        <f t="shared" si="8"/>
        <v>30.3</v>
      </c>
      <c r="I95">
        <f t="shared" si="7"/>
        <v>8.416666666666666E-3</v>
      </c>
      <c r="J95">
        <v>5.16</v>
      </c>
      <c r="K95">
        <f t="shared" si="9"/>
        <v>5.16</v>
      </c>
      <c r="L95">
        <f t="shared" si="10"/>
        <v>24.297899999999998</v>
      </c>
      <c r="M95">
        <f t="shared" si="11"/>
        <v>24297.899999999998</v>
      </c>
      <c r="N95">
        <f t="shared" si="12"/>
        <v>23.02996511409</v>
      </c>
      <c r="O95">
        <f t="shared" si="13"/>
        <v>0.80554413267077718</v>
      </c>
    </row>
    <row r="96" spans="6:15" x14ac:dyDescent="0.45">
      <c r="F96">
        <v>94</v>
      </c>
      <c r="G96">
        <v>30.9</v>
      </c>
      <c r="H96">
        <f t="shared" si="8"/>
        <v>30.9</v>
      </c>
      <c r="I96">
        <f t="shared" si="7"/>
        <v>8.5833333333333334E-3</v>
      </c>
      <c r="J96">
        <v>11.19</v>
      </c>
      <c r="K96">
        <f t="shared" si="9"/>
        <v>11.19</v>
      </c>
      <c r="L96">
        <f t="shared" si="10"/>
        <v>39.372900000000001</v>
      </c>
      <c r="M96">
        <f t="shared" si="11"/>
        <v>39372.9</v>
      </c>
      <c r="N96">
        <f t="shared" si="12"/>
        <v>37.318307896589999</v>
      </c>
      <c r="O96">
        <f t="shared" si="13"/>
        <v>1.3053230353747955</v>
      </c>
    </row>
    <row r="97" spans="6:15" x14ac:dyDescent="0.45">
      <c r="F97">
        <v>95</v>
      </c>
      <c r="G97">
        <v>30.7</v>
      </c>
      <c r="H97">
        <f t="shared" si="8"/>
        <v>30.7</v>
      </c>
      <c r="I97">
        <f t="shared" si="7"/>
        <v>8.5277777777777782E-3</v>
      </c>
      <c r="J97">
        <v>1.23</v>
      </c>
      <c r="K97">
        <f t="shared" si="9"/>
        <v>1.23</v>
      </c>
      <c r="L97">
        <f t="shared" si="10"/>
        <v>14.472899999999999</v>
      </c>
      <c r="M97">
        <f t="shared" si="11"/>
        <v>14472.9</v>
      </c>
      <c r="N97">
        <f t="shared" si="12"/>
        <v>13.71766210659</v>
      </c>
      <c r="O97">
        <f t="shared" si="13"/>
        <v>0.4798175841422877</v>
      </c>
    </row>
    <row r="98" spans="6:15" x14ac:dyDescent="0.45">
      <c r="F98">
        <v>96</v>
      </c>
      <c r="G98">
        <v>30.3</v>
      </c>
      <c r="H98">
        <f t="shared" si="8"/>
        <v>30.3</v>
      </c>
      <c r="I98">
        <f t="shared" si="7"/>
        <v>8.416666666666666E-3</v>
      </c>
      <c r="J98">
        <v>-0.61</v>
      </c>
      <c r="K98">
        <f t="shared" si="9"/>
        <v>0</v>
      </c>
      <c r="L98">
        <f t="shared" si="10"/>
        <v>11.3979</v>
      </c>
      <c r="M98">
        <f t="shared" si="11"/>
        <v>11397.9</v>
      </c>
      <c r="N98">
        <f t="shared" si="12"/>
        <v>10.80312452409</v>
      </c>
      <c r="O98">
        <f t="shared" si="13"/>
        <v>0.377872633839478</v>
      </c>
    </row>
    <row r="99" spans="6:15" x14ac:dyDescent="0.45">
      <c r="F99">
        <v>97</v>
      </c>
      <c r="G99">
        <v>29.9</v>
      </c>
      <c r="H99">
        <f t="shared" si="8"/>
        <v>29.9</v>
      </c>
      <c r="I99">
        <f t="shared" si="7"/>
        <v>8.3055555555555556E-3</v>
      </c>
      <c r="J99">
        <v>-0.52</v>
      </c>
      <c r="K99">
        <f t="shared" si="9"/>
        <v>0</v>
      </c>
      <c r="L99">
        <f t="shared" si="10"/>
        <v>11.3979</v>
      </c>
      <c r="M99">
        <f t="shared" si="11"/>
        <v>11397.9</v>
      </c>
      <c r="N99">
        <f t="shared" si="12"/>
        <v>10.80312452409</v>
      </c>
      <c r="O99">
        <f t="shared" si="13"/>
        <v>0.377872633839478</v>
      </c>
    </row>
    <row r="100" spans="6:15" x14ac:dyDescent="0.45">
      <c r="F100">
        <v>98</v>
      </c>
      <c r="G100">
        <v>30</v>
      </c>
      <c r="H100">
        <f t="shared" si="8"/>
        <v>30</v>
      </c>
      <c r="I100">
        <f t="shared" si="7"/>
        <v>8.3333333333333332E-3</v>
      </c>
      <c r="J100">
        <v>8.7799999999999994</v>
      </c>
      <c r="K100">
        <f t="shared" si="9"/>
        <v>8.7799999999999994</v>
      </c>
      <c r="L100">
        <f t="shared" si="10"/>
        <v>33.347899999999996</v>
      </c>
      <c r="M100">
        <f t="shared" si="11"/>
        <v>33347.899999999994</v>
      </c>
      <c r="N100">
        <f t="shared" si="12"/>
        <v>31.607709869089994</v>
      </c>
      <c r="O100">
        <f t="shared" si="13"/>
        <v>1.105577238440022</v>
      </c>
    </row>
    <row r="101" spans="6:15" x14ac:dyDescent="0.45">
      <c r="F101">
        <v>99</v>
      </c>
      <c r="G101">
        <v>30.4</v>
      </c>
      <c r="H101">
        <f t="shared" si="8"/>
        <v>30.4</v>
      </c>
      <c r="I101">
        <f t="shared" si="7"/>
        <v>8.4444444444444437E-3</v>
      </c>
      <c r="J101">
        <v>7.52</v>
      </c>
      <c r="K101">
        <f t="shared" si="9"/>
        <v>7.52</v>
      </c>
      <c r="L101">
        <f t="shared" si="10"/>
        <v>30.197899999999997</v>
      </c>
      <c r="M101">
        <f t="shared" si="11"/>
        <v>30197.899999999998</v>
      </c>
      <c r="N101">
        <f t="shared" si="12"/>
        <v>28.622086004089997</v>
      </c>
      <c r="O101">
        <f t="shared" si="13"/>
        <v>1.0011458259347048</v>
      </c>
    </row>
    <row r="102" spans="6:15" x14ac:dyDescent="0.45">
      <c r="F102">
        <v>100</v>
      </c>
      <c r="G102">
        <v>30.7</v>
      </c>
      <c r="H102">
        <f t="shared" si="8"/>
        <v>30.7</v>
      </c>
      <c r="I102">
        <f t="shared" si="7"/>
        <v>8.5277777777777782E-3</v>
      </c>
      <c r="J102">
        <v>7.37</v>
      </c>
      <c r="K102">
        <f t="shared" si="9"/>
        <v>7.37</v>
      </c>
      <c r="L102">
        <f t="shared" si="10"/>
        <v>29.822900000000001</v>
      </c>
      <c r="M102">
        <f t="shared" si="11"/>
        <v>29822.9</v>
      </c>
      <c r="N102">
        <f t="shared" si="12"/>
        <v>28.266654591590001</v>
      </c>
      <c r="O102">
        <f t="shared" si="13"/>
        <v>0.98871351492216708</v>
      </c>
    </row>
    <row r="103" spans="6:15" x14ac:dyDescent="0.45">
      <c r="F103">
        <v>101</v>
      </c>
      <c r="G103">
        <v>30.8</v>
      </c>
      <c r="H103">
        <f t="shared" si="8"/>
        <v>30.8</v>
      </c>
      <c r="I103">
        <f t="shared" si="7"/>
        <v>8.5555555555555558E-3</v>
      </c>
      <c r="J103">
        <v>4.8600000000000003</v>
      </c>
      <c r="K103">
        <f t="shared" si="9"/>
        <v>4.8600000000000003</v>
      </c>
      <c r="L103">
        <f t="shared" si="10"/>
        <v>23.547899999999998</v>
      </c>
      <c r="M103">
        <f t="shared" si="11"/>
        <v>23547.899999999998</v>
      </c>
      <c r="N103">
        <f t="shared" si="12"/>
        <v>22.319102289089997</v>
      </c>
      <c r="O103">
        <f t="shared" si="13"/>
        <v>0.78067951064570162</v>
      </c>
    </row>
    <row r="104" spans="6:15" x14ac:dyDescent="0.45">
      <c r="F104">
        <v>102</v>
      </c>
      <c r="G104">
        <v>30.9</v>
      </c>
      <c r="H104">
        <f t="shared" si="8"/>
        <v>30.9</v>
      </c>
      <c r="I104">
        <f t="shared" si="7"/>
        <v>8.5833333333333334E-3</v>
      </c>
      <c r="J104">
        <v>5.04</v>
      </c>
      <c r="K104">
        <f t="shared" si="9"/>
        <v>5.04</v>
      </c>
      <c r="L104">
        <f t="shared" si="10"/>
        <v>23.997900000000001</v>
      </c>
      <c r="M104">
        <f t="shared" si="11"/>
        <v>23997.9</v>
      </c>
      <c r="N104">
        <f t="shared" si="12"/>
        <v>22.745619984090002</v>
      </c>
      <c r="O104">
        <f t="shared" si="13"/>
        <v>0.79559828386074705</v>
      </c>
    </row>
    <row r="105" spans="6:15" x14ac:dyDescent="0.45">
      <c r="F105">
        <v>103</v>
      </c>
      <c r="G105">
        <v>30.9</v>
      </c>
      <c r="H105">
        <f t="shared" si="8"/>
        <v>30.9</v>
      </c>
      <c r="I105">
        <f t="shared" si="7"/>
        <v>8.5833333333333334E-3</v>
      </c>
      <c r="J105">
        <v>3.54</v>
      </c>
      <c r="K105">
        <f t="shared" si="9"/>
        <v>3.54</v>
      </c>
      <c r="L105">
        <f t="shared" si="10"/>
        <v>20.247900000000001</v>
      </c>
      <c r="M105">
        <f t="shared" si="11"/>
        <v>20247.900000000001</v>
      </c>
      <c r="N105">
        <f t="shared" si="12"/>
        <v>19.191305859090001</v>
      </c>
      <c r="O105">
        <f t="shared" si="13"/>
        <v>0.67127517373536949</v>
      </c>
    </row>
    <row r="106" spans="6:15" x14ac:dyDescent="0.45">
      <c r="F106">
        <v>104</v>
      </c>
      <c r="G106">
        <v>30.5</v>
      </c>
      <c r="H106">
        <f t="shared" si="8"/>
        <v>30.5</v>
      </c>
      <c r="I106">
        <f t="shared" si="7"/>
        <v>8.472222222222223E-3</v>
      </c>
      <c r="J106">
        <v>-0.97</v>
      </c>
      <c r="K106">
        <f t="shared" si="9"/>
        <v>0</v>
      </c>
      <c r="L106">
        <f t="shared" si="10"/>
        <v>11.3979</v>
      </c>
      <c r="M106">
        <f t="shared" si="11"/>
        <v>11397.9</v>
      </c>
      <c r="N106">
        <f t="shared" si="12"/>
        <v>10.80312452409</v>
      </c>
      <c r="O106">
        <f t="shared" si="13"/>
        <v>0.377872633839478</v>
      </c>
    </row>
    <row r="107" spans="6:15" x14ac:dyDescent="0.45">
      <c r="F107">
        <v>105</v>
      </c>
      <c r="G107">
        <v>30.1</v>
      </c>
      <c r="H107">
        <f t="shared" si="8"/>
        <v>30.1</v>
      </c>
      <c r="I107">
        <f t="shared" si="7"/>
        <v>8.3611111111111108E-3</v>
      </c>
      <c r="J107">
        <v>-1.24</v>
      </c>
      <c r="K107">
        <f t="shared" si="9"/>
        <v>0</v>
      </c>
      <c r="L107">
        <f t="shared" si="10"/>
        <v>11.3979</v>
      </c>
      <c r="M107">
        <f t="shared" si="11"/>
        <v>11397.9</v>
      </c>
      <c r="N107">
        <f t="shared" si="12"/>
        <v>10.80312452409</v>
      </c>
      <c r="O107">
        <f t="shared" si="13"/>
        <v>0.377872633839478</v>
      </c>
    </row>
    <row r="108" spans="6:15" x14ac:dyDescent="0.45">
      <c r="F108">
        <v>106</v>
      </c>
      <c r="G108">
        <v>30</v>
      </c>
      <c r="H108">
        <f t="shared" si="8"/>
        <v>30</v>
      </c>
      <c r="I108">
        <f t="shared" si="7"/>
        <v>8.3333333333333332E-3</v>
      </c>
      <c r="J108">
        <v>8.9700000000000006</v>
      </c>
      <c r="K108">
        <f t="shared" si="9"/>
        <v>8.9700000000000006</v>
      </c>
      <c r="L108">
        <f t="shared" si="10"/>
        <v>33.822900000000004</v>
      </c>
      <c r="M108">
        <f t="shared" si="11"/>
        <v>33822.9</v>
      </c>
      <c r="N108">
        <f t="shared" si="12"/>
        <v>32.057922991590004</v>
      </c>
      <c r="O108">
        <f t="shared" si="13"/>
        <v>1.1213248323892366</v>
      </c>
    </row>
    <row r="109" spans="6:15" x14ac:dyDescent="0.45">
      <c r="F109">
        <v>107</v>
      </c>
      <c r="G109">
        <v>30.3</v>
      </c>
      <c r="H109">
        <f t="shared" si="8"/>
        <v>30.3</v>
      </c>
      <c r="I109">
        <f t="shared" si="7"/>
        <v>8.416666666666666E-3</v>
      </c>
      <c r="J109">
        <v>5.92</v>
      </c>
      <c r="K109">
        <f t="shared" si="9"/>
        <v>5.92</v>
      </c>
      <c r="L109">
        <f t="shared" si="10"/>
        <v>26.197900000000001</v>
      </c>
      <c r="M109">
        <f t="shared" si="11"/>
        <v>26197.9</v>
      </c>
      <c r="N109">
        <f t="shared" si="12"/>
        <v>24.830817604090001</v>
      </c>
      <c r="O109">
        <f t="shared" si="13"/>
        <v>0.86853450846763525</v>
      </c>
    </row>
    <row r="110" spans="6:15" x14ac:dyDescent="0.45">
      <c r="F110">
        <v>108</v>
      </c>
      <c r="G110">
        <v>30.8</v>
      </c>
      <c r="H110">
        <f t="shared" si="8"/>
        <v>30.8</v>
      </c>
      <c r="I110">
        <f t="shared" si="7"/>
        <v>8.5555555555555558E-3</v>
      </c>
      <c r="J110">
        <v>10.6</v>
      </c>
      <c r="K110">
        <f t="shared" si="9"/>
        <v>10.6</v>
      </c>
      <c r="L110">
        <f t="shared" si="10"/>
        <v>37.8979</v>
      </c>
      <c r="M110">
        <f t="shared" si="11"/>
        <v>37897.9</v>
      </c>
      <c r="N110">
        <f t="shared" si="12"/>
        <v>35.920277674090002</v>
      </c>
      <c r="O110">
        <f t="shared" si="13"/>
        <v>1.2564226120588138</v>
      </c>
    </row>
    <row r="111" spans="6:15" x14ac:dyDescent="0.45">
      <c r="F111">
        <v>109</v>
      </c>
      <c r="G111">
        <v>31.4</v>
      </c>
      <c r="H111">
        <f t="shared" si="8"/>
        <v>31.4</v>
      </c>
      <c r="I111">
        <f t="shared" si="7"/>
        <v>8.7222222222222215E-3</v>
      </c>
      <c r="J111">
        <v>9.2899999999999991</v>
      </c>
      <c r="K111">
        <f t="shared" si="9"/>
        <v>9.2899999999999991</v>
      </c>
      <c r="L111">
        <f t="shared" si="10"/>
        <v>34.622900000000001</v>
      </c>
      <c r="M111">
        <f t="shared" si="11"/>
        <v>34622.9</v>
      </c>
      <c r="N111">
        <f t="shared" si="12"/>
        <v>32.81617667159</v>
      </c>
      <c r="O111">
        <f t="shared" si="13"/>
        <v>1.1478470958826505</v>
      </c>
    </row>
    <row r="112" spans="6:15" x14ac:dyDescent="0.45">
      <c r="F112">
        <v>110</v>
      </c>
      <c r="G112">
        <v>31.9</v>
      </c>
      <c r="H112">
        <f t="shared" si="8"/>
        <v>31.9</v>
      </c>
      <c r="I112">
        <f t="shared" si="7"/>
        <v>8.8611111111111113E-3</v>
      </c>
      <c r="J112">
        <v>9.4600000000000009</v>
      </c>
      <c r="K112">
        <f t="shared" si="9"/>
        <v>9.4600000000000009</v>
      </c>
      <c r="L112">
        <f t="shared" si="10"/>
        <v>35.047899999999998</v>
      </c>
      <c r="M112">
        <f t="shared" si="11"/>
        <v>35047.9</v>
      </c>
      <c r="N112">
        <f t="shared" si="12"/>
        <v>33.21899893909</v>
      </c>
      <c r="O112">
        <f t="shared" si="13"/>
        <v>1.1619370483635267</v>
      </c>
    </row>
    <row r="113" spans="6:15" x14ac:dyDescent="0.45">
      <c r="F113">
        <v>111</v>
      </c>
      <c r="G113">
        <v>32.200000000000003</v>
      </c>
      <c r="H113">
        <f t="shared" si="8"/>
        <v>32.200000000000003</v>
      </c>
      <c r="I113">
        <f t="shared" si="7"/>
        <v>8.9444444444444458E-3</v>
      </c>
      <c r="J113">
        <v>6.38</v>
      </c>
      <c r="K113">
        <f t="shared" si="9"/>
        <v>6.38</v>
      </c>
      <c r="L113">
        <f t="shared" si="10"/>
        <v>27.347899999999999</v>
      </c>
      <c r="M113">
        <f t="shared" si="11"/>
        <v>27347.899999999998</v>
      </c>
      <c r="N113">
        <f t="shared" si="12"/>
        <v>25.920807269089998</v>
      </c>
      <c r="O113">
        <f t="shared" si="13"/>
        <v>0.90666026223941765</v>
      </c>
    </row>
    <row r="114" spans="6:15" x14ac:dyDescent="0.45">
      <c r="F114">
        <v>112</v>
      </c>
      <c r="G114">
        <v>32.200000000000003</v>
      </c>
      <c r="H114">
        <f t="shared" si="8"/>
        <v>32.200000000000003</v>
      </c>
      <c r="I114">
        <f t="shared" si="7"/>
        <v>8.9444444444444458E-3</v>
      </c>
      <c r="J114">
        <v>5.98</v>
      </c>
      <c r="K114">
        <f t="shared" si="9"/>
        <v>5.98</v>
      </c>
      <c r="L114">
        <f t="shared" si="10"/>
        <v>26.347900000000003</v>
      </c>
      <c r="M114">
        <f t="shared" si="11"/>
        <v>26347.9</v>
      </c>
      <c r="N114">
        <f t="shared" si="12"/>
        <v>24.972990169090004</v>
      </c>
      <c r="O114">
        <f t="shared" si="13"/>
        <v>0.87350743287265042</v>
      </c>
    </row>
    <row r="115" spans="6:15" x14ac:dyDescent="0.45">
      <c r="F115">
        <v>113</v>
      </c>
      <c r="G115">
        <v>32.1</v>
      </c>
      <c r="H115">
        <f t="shared" si="8"/>
        <v>32.1</v>
      </c>
      <c r="I115">
        <f t="shared" si="7"/>
        <v>8.9166666666666665E-3</v>
      </c>
      <c r="J115">
        <v>4.6399999999999997</v>
      </c>
      <c r="K115">
        <f t="shared" si="9"/>
        <v>4.6399999999999997</v>
      </c>
      <c r="L115">
        <f t="shared" si="10"/>
        <v>22.997900000000001</v>
      </c>
      <c r="M115">
        <f t="shared" si="11"/>
        <v>22997.9</v>
      </c>
      <c r="N115">
        <f t="shared" si="12"/>
        <v>21.797802884090004</v>
      </c>
      <c r="O115">
        <f t="shared" si="13"/>
        <v>0.76244545449397971</v>
      </c>
    </row>
    <row r="116" spans="6:15" x14ac:dyDescent="0.45">
      <c r="F116">
        <v>114</v>
      </c>
      <c r="G116">
        <v>31.2</v>
      </c>
      <c r="H116">
        <f t="shared" si="8"/>
        <v>31.2</v>
      </c>
      <c r="I116">
        <f t="shared" si="7"/>
        <v>8.6666666666666663E-3</v>
      </c>
      <c r="J116">
        <v>-0.01</v>
      </c>
      <c r="K116">
        <f t="shared" si="9"/>
        <v>0</v>
      </c>
      <c r="L116">
        <f t="shared" si="10"/>
        <v>11.3979</v>
      </c>
      <c r="M116">
        <f t="shared" si="11"/>
        <v>11397.9</v>
      </c>
      <c r="N116">
        <f t="shared" si="12"/>
        <v>10.80312452409</v>
      </c>
      <c r="O116">
        <f t="shared" si="13"/>
        <v>0.377872633839478</v>
      </c>
    </row>
    <row r="117" spans="6:15" x14ac:dyDescent="0.45">
      <c r="F117">
        <v>115</v>
      </c>
      <c r="G117">
        <v>28.1</v>
      </c>
      <c r="H117">
        <f t="shared" si="8"/>
        <v>28.1</v>
      </c>
      <c r="I117">
        <f t="shared" si="7"/>
        <v>7.805555555555556E-3</v>
      </c>
      <c r="J117">
        <v>-0.82</v>
      </c>
      <c r="K117">
        <f t="shared" si="9"/>
        <v>0</v>
      </c>
      <c r="L117">
        <f t="shared" si="10"/>
        <v>11.3979</v>
      </c>
      <c r="M117">
        <f t="shared" si="11"/>
        <v>11397.9</v>
      </c>
      <c r="N117">
        <f t="shared" si="12"/>
        <v>10.80312452409</v>
      </c>
      <c r="O117">
        <f t="shared" si="13"/>
        <v>0.377872633839478</v>
      </c>
    </row>
    <row r="118" spans="6:15" x14ac:dyDescent="0.45">
      <c r="F118">
        <v>116</v>
      </c>
      <c r="G118">
        <v>24.9</v>
      </c>
      <c r="H118">
        <f t="shared" si="8"/>
        <v>24.9</v>
      </c>
      <c r="I118">
        <f t="shared" si="7"/>
        <v>6.9166666666666664E-3</v>
      </c>
      <c r="J118">
        <v>-0.78</v>
      </c>
      <c r="K118">
        <f t="shared" si="9"/>
        <v>0</v>
      </c>
      <c r="L118">
        <f t="shared" si="10"/>
        <v>11.3979</v>
      </c>
      <c r="M118">
        <f t="shared" si="11"/>
        <v>11397.9</v>
      </c>
      <c r="N118">
        <f t="shared" si="12"/>
        <v>10.80312452409</v>
      </c>
      <c r="O118">
        <f t="shared" si="13"/>
        <v>0.377872633839478</v>
      </c>
    </row>
    <row r="119" spans="6:15" x14ac:dyDescent="0.45">
      <c r="F119">
        <v>117</v>
      </c>
      <c r="G119">
        <v>21.3</v>
      </c>
      <c r="H119">
        <f t="shared" si="8"/>
        <v>21.3</v>
      </c>
      <c r="I119">
        <f t="shared" si="7"/>
        <v>5.9166666666666664E-3</v>
      </c>
      <c r="J119">
        <v>-1.05</v>
      </c>
      <c r="K119">
        <f t="shared" si="9"/>
        <v>0</v>
      </c>
      <c r="L119">
        <f t="shared" si="10"/>
        <v>11.3979</v>
      </c>
      <c r="M119">
        <f t="shared" si="11"/>
        <v>11397.9</v>
      </c>
      <c r="N119">
        <f t="shared" si="12"/>
        <v>10.80312452409</v>
      </c>
      <c r="O119">
        <f t="shared" si="13"/>
        <v>0.377872633839478</v>
      </c>
    </row>
    <row r="120" spans="6:15" x14ac:dyDescent="0.45">
      <c r="F120">
        <v>118</v>
      </c>
      <c r="G120">
        <v>18</v>
      </c>
      <c r="H120">
        <f t="shared" si="8"/>
        <v>18</v>
      </c>
      <c r="I120">
        <f t="shared" si="7"/>
        <v>5.0000000000000001E-3</v>
      </c>
      <c r="J120">
        <v>-0.87</v>
      </c>
      <c r="K120">
        <f t="shared" si="9"/>
        <v>0</v>
      </c>
      <c r="L120">
        <f t="shared" si="10"/>
        <v>11.3979</v>
      </c>
      <c r="M120">
        <f t="shared" si="11"/>
        <v>11397.9</v>
      </c>
      <c r="N120">
        <f t="shared" si="12"/>
        <v>10.80312452409</v>
      </c>
      <c r="O120">
        <f t="shared" si="13"/>
        <v>0.377872633839478</v>
      </c>
    </row>
    <row r="121" spans="6:15" x14ac:dyDescent="0.45">
      <c r="F121">
        <v>119</v>
      </c>
      <c r="G121">
        <v>14.9</v>
      </c>
      <c r="H121">
        <f t="shared" si="8"/>
        <v>14.9</v>
      </c>
      <c r="I121">
        <f t="shared" si="7"/>
        <v>4.138888888888889E-3</v>
      </c>
      <c r="J121">
        <v>-0.11</v>
      </c>
      <c r="K121">
        <f t="shared" si="9"/>
        <v>0</v>
      </c>
      <c r="L121">
        <f t="shared" si="10"/>
        <v>11.3979</v>
      </c>
      <c r="M121">
        <f t="shared" si="11"/>
        <v>11397.9</v>
      </c>
      <c r="N121">
        <f t="shared" si="12"/>
        <v>10.80312452409</v>
      </c>
      <c r="O121">
        <f t="shared" si="13"/>
        <v>0.377872633839478</v>
      </c>
    </row>
    <row r="122" spans="6:15" x14ac:dyDescent="0.45">
      <c r="F122">
        <v>120</v>
      </c>
      <c r="G122">
        <v>11.4</v>
      </c>
      <c r="H122">
        <f t="shared" si="8"/>
        <v>11.4</v>
      </c>
      <c r="I122">
        <f t="shared" si="7"/>
        <v>3.1666666666666666E-3</v>
      </c>
      <c r="J122">
        <v>-0.89</v>
      </c>
      <c r="K122">
        <f t="shared" si="9"/>
        <v>0</v>
      </c>
      <c r="L122">
        <f t="shared" si="10"/>
        <v>11.3979</v>
      </c>
      <c r="M122">
        <f t="shared" si="11"/>
        <v>11397.9</v>
      </c>
      <c r="N122">
        <f t="shared" si="12"/>
        <v>10.80312452409</v>
      </c>
      <c r="O122">
        <f t="shared" si="13"/>
        <v>0.377872633839478</v>
      </c>
    </row>
    <row r="123" spans="6:15" x14ac:dyDescent="0.45">
      <c r="F123">
        <v>121</v>
      </c>
      <c r="G123">
        <v>8.1999999999999993</v>
      </c>
      <c r="H123">
        <f t="shared" si="8"/>
        <v>8.1999999999999993</v>
      </c>
      <c r="I123">
        <f t="shared" si="7"/>
        <v>2.2777777777777774E-3</v>
      </c>
      <c r="J123">
        <v>-0.45</v>
      </c>
      <c r="K123">
        <f t="shared" si="9"/>
        <v>0</v>
      </c>
      <c r="L123">
        <f t="shared" si="10"/>
        <v>11.3979</v>
      </c>
      <c r="M123">
        <f t="shared" si="11"/>
        <v>11397.9</v>
      </c>
      <c r="N123">
        <f t="shared" si="12"/>
        <v>10.80312452409</v>
      </c>
      <c r="O123">
        <f t="shared" si="13"/>
        <v>0.377872633839478</v>
      </c>
    </row>
    <row r="124" spans="6:15" x14ac:dyDescent="0.45">
      <c r="F124">
        <v>122</v>
      </c>
      <c r="G124">
        <v>4.8</v>
      </c>
      <c r="H124">
        <f t="shared" si="8"/>
        <v>4.8</v>
      </c>
      <c r="I124">
        <f t="shared" si="7"/>
        <v>1.3333333333333333E-3</v>
      </c>
      <c r="J124">
        <v>0.76</v>
      </c>
      <c r="K124">
        <f t="shared" si="9"/>
        <v>0.76</v>
      </c>
      <c r="L124">
        <f t="shared" si="10"/>
        <v>13.2979</v>
      </c>
      <c r="M124">
        <f t="shared" si="11"/>
        <v>13297.9</v>
      </c>
      <c r="N124">
        <f t="shared" si="12"/>
        <v>12.603977014090001</v>
      </c>
      <c r="O124">
        <f t="shared" si="13"/>
        <v>0.44086300963633601</v>
      </c>
    </row>
    <row r="125" spans="6:15" x14ac:dyDescent="0.45">
      <c r="F125">
        <v>123</v>
      </c>
      <c r="G125">
        <v>1.9</v>
      </c>
      <c r="H125">
        <f t="shared" si="8"/>
        <v>1.9</v>
      </c>
      <c r="I125">
        <f t="shared" si="7"/>
        <v>5.2777777777777773E-4</v>
      </c>
      <c r="J125">
        <v>0.94</v>
      </c>
      <c r="K125">
        <f t="shared" si="9"/>
        <v>0.94</v>
      </c>
      <c r="L125">
        <f t="shared" si="10"/>
        <v>13.7479</v>
      </c>
      <c r="M125">
        <f t="shared" si="11"/>
        <v>13747.9</v>
      </c>
      <c r="N125">
        <f t="shared" si="12"/>
        <v>13.03049470909</v>
      </c>
      <c r="O125">
        <f t="shared" si="13"/>
        <v>0.45578178285138127</v>
      </c>
    </row>
    <row r="126" spans="6:15" x14ac:dyDescent="0.45">
      <c r="F126">
        <v>124</v>
      </c>
      <c r="G126">
        <v>-0.1</v>
      </c>
      <c r="H126">
        <f t="shared" si="8"/>
        <v>0</v>
      </c>
      <c r="I126">
        <f t="shared" si="7"/>
        <v>0</v>
      </c>
      <c r="J126">
        <v>1.36</v>
      </c>
      <c r="K126">
        <f t="shared" si="9"/>
        <v>1.36</v>
      </c>
      <c r="L126">
        <f t="shared" si="10"/>
        <v>14.7979</v>
      </c>
      <c r="M126">
        <f t="shared" si="11"/>
        <v>14797.9</v>
      </c>
      <c r="N126">
        <f t="shared" si="12"/>
        <v>14.02570266409</v>
      </c>
      <c r="O126">
        <f t="shared" si="13"/>
        <v>0.49059225368648712</v>
      </c>
    </row>
    <row r="127" spans="6:15" x14ac:dyDescent="0.45">
      <c r="F127">
        <v>125</v>
      </c>
      <c r="G127">
        <v>0</v>
      </c>
      <c r="H127">
        <f t="shared" si="8"/>
        <v>0</v>
      </c>
      <c r="I127">
        <f t="shared" si="7"/>
        <v>0</v>
      </c>
      <c r="J127">
        <v>0.85</v>
      </c>
      <c r="K127">
        <f t="shared" si="9"/>
        <v>0.85</v>
      </c>
      <c r="L127">
        <f t="shared" si="10"/>
        <v>13.5229</v>
      </c>
      <c r="M127">
        <f t="shared" si="11"/>
        <v>13522.9</v>
      </c>
      <c r="N127">
        <f t="shared" si="12"/>
        <v>12.81723586159</v>
      </c>
      <c r="O127">
        <f t="shared" si="13"/>
        <v>0.44832239624385867</v>
      </c>
    </row>
    <row r="128" spans="6:15" x14ac:dyDescent="0.45">
      <c r="F128">
        <v>126</v>
      </c>
      <c r="G128">
        <v>0</v>
      </c>
      <c r="H128">
        <f t="shared" si="8"/>
        <v>0</v>
      </c>
      <c r="I128">
        <f t="shared" si="7"/>
        <v>0</v>
      </c>
      <c r="J128">
        <v>0.41</v>
      </c>
      <c r="K128">
        <f t="shared" si="9"/>
        <v>0.41</v>
      </c>
      <c r="L128">
        <f t="shared" si="10"/>
        <v>12.4229</v>
      </c>
      <c r="M128">
        <f t="shared" si="11"/>
        <v>12422.9</v>
      </c>
      <c r="N128">
        <f t="shared" si="12"/>
        <v>11.77463705159</v>
      </c>
      <c r="O128">
        <f t="shared" si="13"/>
        <v>0.41185428394041457</v>
      </c>
    </row>
    <row r="129" spans="6:15" x14ac:dyDescent="0.45">
      <c r="F129">
        <v>127</v>
      </c>
      <c r="G129">
        <v>0</v>
      </c>
      <c r="H129">
        <f t="shared" si="8"/>
        <v>0</v>
      </c>
      <c r="I129">
        <f t="shared" si="7"/>
        <v>0</v>
      </c>
      <c r="J129">
        <v>1.05</v>
      </c>
      <c r="K129">
        <f t="shared" si="9"/>
        <v>1.05</v>
      </c>
      <c r="L129">
        <f t="shared" si="10"/>
        <v>14.0229</v>
      </c>
      <c r="M129">
        <f t="shared" si="11"/>
        <v>14022.9</v>
      </c>
      <c r="N129">
        <f t="shared" si="12"/>
        <v>13.29114441159</v>
      </c>
      <c r="O129">
        <f t="shared" si="13"/>
        <v>0.46489881092724233</v>
      </c>
    </row>
    <row r="130" spans="6:15" x14ac:dyDescent="0.45">
      <c r="F130">
        <v>128</v>
      </c>
      <c r="G130">
        <v>0</v>
      </c>
      <c r="H130">
        <f t="shared" si="8"/>
        <v>0</v>
      </c>
      <c r="I130">
        <f t="shared" ref="I130:I193" si="14">H130*(1/3600)</f>
        <v>0</v>
      </c>
      <c r="J130">
        <v>0.59</v>
      </c>
      <c r="K130">
        <f t="shared" si="9"/>
        <v>0.59</v>
      </c>
      <c r="L130">
        <f t="shared" si="10"/>
        <v>12.8729</v>
      </c>
      <c r="M130">
        <f t="shared" si="11"/>
        <v>12872.9</v>
      </c>
      <c r="N130">
        <f t="shared" si="12"/>
        <v>12.201154746589999</v>
      </c>
      <c r="O130">
        <f t="shared" si="13"/>
        <v>0.42677305715545988</v>
      </c>
    </row>
    <row r="131" spans="6:15" x14ac:dyDescent="0.45">
      <c r="F131">
        <v>129</v>
      </c>
      <c r="G131">
        <v>0</v>
      </c>
      <c r="H131">
        <f t="shared" ref="H131:H194" si="15">IF(G131&lt;0,0,G131)</f>
        <v>0</v>
      </c>
      <c r="I131">
        <f t="shared" si="14"/>
        <v>0</v>
      </c>
      <c r="J131">
        <v>0.56000000000000005</v>
      </c>
      <c r="K131">
        <f t="shared" ref="K131:K194" si="16">IF(J131&lt;0,0,J131)</f>
        <v>0.56000000000000005</v>
      </c>
      <c r="L131">
        <f t="shared" ref="L131:L194" si="17">(1/$B$5)*K131+((3.4798*$B$6)+0.9585)</f>
        <v>12.7979</v>
      </c>
      <c r="M131">
        <f t="shared" ref="M131:M194" si="18">L131*1000</f>
        <v>12797.9</v>
      </c>
      <c r="N131">
        <f t="shared" ref="N131:N194" si="19">M131*0.0009478171</f>
        <v>12.13006846409</v>
      </c>
      <c r="O131">
        <f t="shared" ref="O131:O194" si="20">(M131*453.59237)/(18489*0.74*1000)</f>
        <v>0.42428659495295235</v>
      </c>
    </row>
    <row r="132" spans="6:15" x14ac:dyDescent="0.45">
      <c r="F132">
        <v>130</v>
      </c>
      <c r="G132">
        <v>0</v>
      </c>
      <c r="H132">
        <f t="shared" si="15"/>
        <v>0</v>
      </c>
      <c r="I132">
        <f t="shared" si="14"/>
        <v>0</v>
      </c>
      <c r="J132">
        <v>0.73</v>
      </c>
      <c r="K132">
        <f t="shared" si="16"/>
        <v>0.73</v>
      </c>
      <c r="L132">
        <f t="shared" si="17"/>
        <v>13.222899999999999</v>
      </c>
      <c r="M132">
        <f t="shared" si="18"/>
        <v>13222.9</v>
      </c>
      <c r="N132">
        <f t="shared" si="19"/>
        <v>12.532890731589999</v>
      </c>
      <c r="O132">
        <f t="shared" si="20"/>
        <v>0.43837654743382842</v>
      </c>
    </row>
    <row r="133" spans="6:15" x14ac:dyDescent="0.45">
      <c r="F133">
        <v>131</v>
      </c>
      <c r="G133">
        <v>0</v>
      </c>
      <c r="H133">
        <f t="shared" si="15"/>
        <v>0</v>
      </c>
      <c r="I133">
        <f t="shared" si="14"/>
        <v>0</v>
      </c>
      <c r="J133">
        <v>0.82</v>
      </c>
      <c r="K133">
        <f t="shared" si="16"/>
        <v>0.82</v>
      </c>
      <c r="L133">
        <f t="shared" si="17"/>
        <v>13.447900000000001</v>
      </c>
      <c r="M133">
        <f t="shared" si="18"/>
        <v>13447.900000000001</v>
      </c>
      <c r="N133">
        <f t="shared" si="19"/>
        <v>12.746149579090002</v>
      </c>
      <c r="O133">
        <f t="shared" si="20"/>
        <v>0.44583593404135113</v>
      </c>
    </row>
    <row r="134" spans="6:15" x14ac:dyDescent="0.45">
      <c r="F134">
        <v>132</v>
      </c>
      <c r="G134">
        <v>0</v>
      </c>
      <c r="H134">
        <f t="shared" si="15"/>
        <v>0</v>
      </c>
      <c r="I134">
        <f t="shared" si="14"/>
        <v>0</v>
      </c>
      <c r="J134">
        <v>0.46</v>
      </c>
      <c r="K134">
        <f t="shared" si="16"/>
        <v>0.46</v>
      </c>
      <c r="L134">
        <f t="shared" si="17"/>
        <v>12.5479</v>
      </c>
      <c r="M134">
        <f t="shared" si="18"/>
        <v>12547.9</v>
      </c>
      <c r="N134">
        <f t="shared" si="19"/>
        <v>11.893114189089999</v>
      </c>
      <c r="O134">
        <f t="shared" si="20"/>
        <v>0.41599838761126046</v>
      </c>
    </row>
    <row r="135" spans="6:15" x14ac:dyDescent="0.45">
      <c r="F135">
        <v>133</v>
      </c>
      <c r="G135">
        <v>0</v>
      </c>
      <c r="H135">
        <f t="shared" si="15"/>
        <v>0</v>
      </c>
      <c r="I135">
        <f t="shared" si="14"/>
        <v>0</v>
      </c>
      <c r="J135">
        <v>0.98</v>
      </c>
      <c r="K135">
        <f t="shared" si="16"/>
        <v>0.98</v>
      </c>
      <c r="L135">
        <f t="shared" si="17"/>
        <v>13.847899999999999</v>
      </c>
      <c r="M135">
        <f t="shared" si="18"/>
        <v>13847.9</v>
      </c>
      <c r="N135">
        <f t="shared" si="19"/>
        <v>13.12527641909</v>
      </c>
      <c r="O135">
        <f t="shared" si="20"/>
        <v>0.45909706578805809</v>
      </c>
    </row>
    <row r="136" spans="6:15" x14ac:dyDescent="0.45">
      <c r="F136">
        <v>134</v>
      </c>
      <c r="G136">
        <v>0</v>
      </c>
      <c r="H136">
        <f t="shared" si="15"/>
        <v>0</v>
      </c>
      <c r="I136">
        <f t="shared" si="14"/>
        <v>0</v>
      </c>
      <c r="J136">
        <v>0.44</v>
      </c>
      <c r="K136">
        <f t="shared" si="16"/>
        <v>0.44</v>
      </c>
      <c r="L136">
        <f t="shared" si="17"/>
        <v>12.4979</v>
      </c>
      <c r="M136">
        <f t="shared" si="18"/>
        <v>12497.9</v>
      </c>
      <c r="N136">
        <f t="shared" si="19"/>
        <v>11.84572333409</v>
      </c>
      <c r="O136">
        <f t="shared" si="20"/>
        <v>0.4143407461429221</v>
      </c>
    </row>
    <row r="137" spans="6:15" x14ac:dyDescent="0.45">
      <c r="F137">
        <v>135</v>
      </c>
      <c r="G137">
        <v>0</v>
      </c>
      <c r="H137">
        <f t="shared" si="15"/>
        <v>0</v>
      </c>
      <c r="I137">
        <f t="shared" si="14"/>
        <v>0</v>
      </c>
      <c r="J137">
        <v>0.88</v>
      </c>
      <c r="K137">
        <f t="shared" si="16"/>
        <v>0.88</v>
      </c>
      <c r="L137">
        <f t="shared" si="17"/>
        <v>13.597899999999999</v>
      </c>
      <c r="M137">
        <f t="shared" si="18"/>
        <v>13597.9</v>
      </c>
      <c r="N137">
        <f t="shared" si="19"/>
        <v>12.888322144090001</v>
      </c>
      <c r="O137">
        <f t="shared" si="20"/>
        <v>0.4508088584463662</v>
      </c>
    </row>
    <row r="138" spans="6:15" x14ac:dyDescent="0.45">
      <c r="F138">
        <v>136</v>
      </c>
      <c r="G138">
        <v>0</v>
      </c>
      <c r="H138">
        <f t="shared" si="15"/>
        <v>0</v>
      </c>
      <c r="I138">
        <f t="shared" si="14"/>
        <v>0</v>
      </c>
      <c r="J138">
        <v>0.42</v>
      </c>
      <c r="K138">
        <f t="shared" si="16"/>
        <v>0.42</v>
      </c>
      <c r="L138">
        <f t="shared" si="17"/>
        <v>12.447900000000001</v>
      </c>
      <c r="M138">
        <f t="shared" si="18"/>
        <v>12447.900000000001</v>
      </c>
      <c r="N138">
        <f t="shared" si="19"/>
        <v>11.798332479090002</v>
      </c>
      <c r="O138">
        <f t="shared" si="20"/>
        <v>0.4126831046745838</v>
      </c>
    </row>
    <row r="139" spans="6:15" x14ac:dyDescent="0.45">
      <c r="F139">
        <v>137</v>
      </c>
      <c r="G139">
        <v>0</v>
      </c>
      <c r="H139">
        <f t="shared" si="15"/>
        <v>0</v>
      </c>
      <c r="I139">
        <f t="shared" si="14"/>
        <v>0</v>
      </c>
      <c r="J139">
        <v>0.91</v>
      </c>
      <c r="K139">
        <f t="shared" si="16"/>
        <v>0.91</v>
      </c>
      <c r="L139">
        <f t="shared" si="17"/>
        <v>13.6729</v>
      </c>
      <c r="M139">
        <f t="shared" si="18"/>
        <v>13672.9</v>
      </c>
      <c r="N139">
        <f t="shared" si="19"/>
        <v>12.95940842659</v>
      </c>
      <c r="O139">
        <f t="shared" si="20"/>
        <v>0.45329532064887373</v>
      </c>
    </row>
    <row r="140" spans="6:15" x14ac:dyDescent="0.45">
      <c r="F140">
        <v>138</v>
      </c>
      <c r="G140">
        <v>0</v>
      </c>
      <c r="H140">
        <f t="shared" si="15"/>
        <v>0</v>
      </c>
      <c r="I140">
        <f t="shared" si="14"/>
        <v>0</v>
      </c>
      <c r="J140">
        <v>0.7</v>
      </c>
      <c r="K140">
        <f t="shared" si="16"/>
        <v>0.7</v>
      </c>
      <c r="L140">
        <f t="shared" si="17"/>
        <v>13.1479</v>
      </c>
      <c r="M140">
        <f t="shared" si="18"/>
        <v>13147.9</v>
      </c>
      <c r="N140">
        <f t="shared" si="19"/>
        <v>12.46180444909</v>
      </c>
      <c r="O140">
        <f t="shared" si="20"/>
        <v>0.43589008523132089</v>
      </c>
    </row>
    <row r="141" spans="6:15" x14ac:dyDescent="0.45">
      <c r="F141">
        <v>139</v>
      </c>
      <c r="G141">
        <v>0</v>
      </c>
      <c r="H141">
        <f t="shared" si="15"/>
        <v>0</v>
      </c>
      <c r="I141">
        <f t="shared" si="14"/>
        <v>0</v>
      </c>
      <c r="J141">
        <v>0.42</v>
      </c>
      <c r="K141">
        <f t="shared" si="16"/>
        <v>0.42</v>
      </c>
      <c r="L141">
        <f t="shared" si="17"/>
        <v>12.447900000000001</v>
      </c>
      <c r="M141">
        <f t="shared" si="18"/>
        <v>12447.900000000001</v>
      </c>
      <c r="N141">
        <f t="shared" si="19"/>
        <v>11.798332479090002</v>
      </c>
      <c r="O141">
        <f t="shared" si="20"/>
        <v>0.4126831046745838</v>
      </c>
    </row>
    <row r="142" spans="6:15" x14ac:dyDescent="0.45">
      <c r="F142">
        <v>140</v>
      </c>
      <c r="G142">
        <v>0</v>
      </c>
      <c r="H142">
        <f t="shared" si="15"/>
        <v>0</v>
      </c>
      <c r="I142">
        <f t="shared" si="14"/>
        <v>0</v>
      </c>
      <c r="J142">
        <v>0.35</v>
      </c>
      <c r="K142">
        <f t="shared" si="16"/>
        <v>0.35</v>
      </c>
      <c r="L142">
        <f t="shared" si="17"/>
        <v>12.2729</v>
      </c>
      <c r="M142">
        <f t="shared" si="18"/>
        <v>12272.9</v>
      </c>
      <c r="N142">
        <f t="shared" si="19"/>
        <v>11.632464486590001</v>
      </c>
      <c r="O142">
        <f t="shared" si="20"/>
        <v>0.40688135953539939</v>
      </c>
    </row>
    <row r="143" spans="6:15" x14ac:dyDescent="0.45">
      <c r="F143">
        <v>141</v>
      </c>
      <c r="G143">
        <v>0</v>
      </c>
      <c r="H143">
        <f t="shared" si="15"/>
        <v>0</v>
      </c>
      <c r="I143">
        <f t="shared" si="14"/>
        <v>0</v>
      </c>
      <c r="J143">
        <v>0.21</v>
      </c>
      <c r="K143">
        <f t="shared" si="16"/>
        <v>0.21</v>
      </c>
      <c r="L143">
        <f t="shared" si="17"/>
        <v>11.9229</v>
      </c>
      <c r="M143">
        <f t="shared" si="18"/>
        <v>11922.9</v>
      </c>
      <c r="N143">
        <f t="shared" si="19"/>
        <v>11.300728501589999</v>
      </c>
      <c r="O143">
        <f t="shared" si="20"/>
        <v>0.39527786925703084</v>
      </c>
    </row>
    <row r="144" spans="6:15" x14ac:dyDescent="0.45">
      <c r="F144">
        <v>142</v>
      </c>
      <c r="G144">
        <v>0</v>
      </c>
      <c r="H144">
        <f t="shared" si="15"/>
        <v>0</v>
      </c>
      <c r="I144">
        <f t="shared" si="14"/>
        <v>0</v>
      </c>
      <c r="J144">
        <v>0.32</v>
      </c>
      <c r="K144">
        <f t="shared" si="16"/>
        <v>0.32</v>
      </c>
      <c r="L144">
        <f t="shared" si="17"/>
        <v>12.197900000000001</v>
      </c>
      <c r="M144">
        <f t="shared" si="18"/>
        <v>12197.900000000001</v>
      </c>
      <c r="N144">
        <f t="shared" si="19"/>
        <v>11.561378204090001</v>
      </c>
      <c r="O144">
        <f t="shared" si="20"/>
        <v>0.40439489733289197</v>
      </c>
    </row>
    <row r="145" spans="6:15" x14ac:dyDescent="0.45">
      <c r="F145">
        <v>143</v>
      </c>
      <c r="G145">
        <v>0</v>
      </c>
      <c r="H145">
        <f t="shared" si="15"/>
        <v>0</v>
      </c>
      <c r="I145">
        <f t="shared" si="14"/>
        <v>0</v>
      </c>
      <c r="J145">
        <v>0.28000000000000003</v>
      </c>
      <c r="K145">
        <f t="shared" si="16"/>
        <v>0.28000000000000003</v>
      </c>
      <c r="L145">
        <f t="shared" si="17"/>
        <v>12.097899999999999</v>
      </c>
      <c r="M145">
        <f t="shared" si="18"/>
        <v>12097.9</v>
      </c>
      <c r="N145">
        <f t="shared" si="19"/>
        <v>11.46659649409</v>
      </c>
      <c r="O145">
        <f t="shared" si="20"/>
        <v>0.40107961439621514</v>
      </c>
    </row>
    <row r="146" spans="6:15" x14ac:dyDescent="0.45">
      <c r="F146">
        <v>144</v>
      </c>
      <c r="G146">
        <v>0</v>
      </c>
      <c r="H146">
        <f t="shared" si="15"/>
        <v>0</v>
      </c>
      <c r="I146">
        <f t="shared" si="14"/>
        <v>0</v>
      </c>
      <c r="J146">
        <v>0.56999999999999995</v>
      </c>
      <c r="K146">
        <f t="shared" si="16"/>
        <v>0.56999999999999995</v>
      </c>
      <c r="L146">
        <f t="shared" si="17"/>
        <v>12.822900000000001</v>
      </c>
      <c r="M146">
        <f t="shared" si="18"/>
        <v>12822.900000000001</v>
      </c>
      <c r="N146">
        <f t="shared" si="19"/>
        <v>12.153763891590001</v>
      </c>
      <c r="O146">
        <f t="shared" si="20"/>
        <v>0.42511541568712158</v>
      </c>
    </row>
    <row r="147" spans="6:15" x14ac:dyDescent="0.45">
      <c r="F147">
        <v>145</v>
      </c>
      <c r="G147">
        <v>0</v>
      </c>
      <c r="H147">
        <f t="shared" si="15"/>
        <v>0</v>
      </c>
      <c r="I147">
        <f t="shared" si="14"/>
        <v>0</v>
      </c>
      <c r="J147">
        <v>0.83</v>
      </c>
      <c r="K147">
        <f t="shared" si="16"/>
        <v>0.83</v>
      </c>
      <c r="L147">
        <f t="shared" si="17"/>
        <v>13.472899999999999</v>
      </c>
      <c r="M147">
        <f t="shared" si="18"/>
        <v>13472.9</v>
      </c>
      <c r="N147">
        <f t="shared" si="19"/>
        <v>12.76984500659</v>
      </c>
      <c r="O147">
        <f t="shared" si="20"/>
        <v>0.44666475477552031</v>
      </c>
    </row>
    <row r="148" spans="6:15" x14ac:dyDescent="0.45">
      <c r="F148">
        <v>146</v>
      </c>
      <c r="G148">
        <v>0</v>
      </c>
      <c r="H148">
        <f t="shared" si="15"/>
        <v>0</v>
      </c>
      <c r="I148">
        <f t="shared" si="14"/>
        <v>0</v>
      </c>
      <c r="J148">
        <v>0.71</v>
      </c>
      <c r="K148">
        <f t="shared" si="16"/>
        <v>0.71</v>
      </c>
      <c r="L148">
        <f t="shared" si="17"/>
        <v>13.1729</v>
      </c>
      <c r="M148">
        <f t="shared" si="18"/>
        <v>13172.9</v>
      </c>
      <c r="N148">
        <f t="shared" si="19"/>
        <v>12.48549987659</v>
      </c>
      <c r="O148">
        <f t="shared" si="20"/>
        <v>0.43671890596549007</v>
      </c>
    </row>
    <row r="149" spans="6:15" x14ac:dyDescent="0.45">
      <c r="F149">
        <v>147</v>
      </c>
      <c r="G149">
        <v>0</v>
      </c>
      <c r="H149">
        <f t="shared" si="15"/>
        <v>0</v>
      </c>
      <c r="I149">
        <f t="shared" si="14"/>
        <v>0</v>
      </c>
      <c r="J149">
        <v>0.77</v>
      </c>
      <c r="K149">
        <f t="shared" si="16"/>
        <v>0.77</v>
      </c>
      <c r="L149">
        <f t="shared" si="17"/>
        <v>13.322900000000001</v>
      </c>
      <c r="M149">
        <f t="shared" si="18"/>
        <v>13322.900000000001</v>
      </c>
      <c r="N149">
        <f t="shared" si="19"/>
        <v>12.627672441590002</v>
      </c>
      <c r="O149">
        <f t="shared" si="20"/>
        <v>0.44169183037050525</v>
      </c>
    </row>
    <row r="150" spans="6:15" x14ac:dyDescent="0.45">
      <c r="F150">
        <v>148</v>
      </c>
      <c r="G150">
        <v>0</v>
      </c>
      <c r="H150">
        <f t="shared" si="15"/>
        <v>0</v>
      </c>
      <c r="I150">
        <f t="shared" si="14"/>
        <v>0</v>
      </c>
      <c r="J150">
        <v>0.5</v>
      </c>
      <c r="K150">
        <f t="shared" si="16"/>
        <v>0.5</v>
      </c>
      <c r="L150">
        <f t="shared" si="17"/>
        <v>12.6479</v>
      </c>
      <c r="M150">
        <f t="shared" si="18"/>
        <v>12647.9</v>
      </c>
      <c r="N150">
        <f t="shared" si="19"/>
        <v>11.987895899090001</v>
      </c>
      <c r="O150">
        <f t="shared" si="20"/>
        <v>0.41931367054793717</v>
      </c>
    </row>
    <row r="151" spans="6:15" x14ac:dyDescent="0.45">
      <c r="F151">
        <v>149</v>
      </c>
      <c r="G151">
        <v>0</v>
      </c>
      <c r="H151">
        <f t="shared" si="15"/>
        <v>0</v>
      </c>
      <c r="I151">
        <f t="shared" si="14"/>
        <v>0</v>
      </c>
      <c r="J151">
        <v>0.28999999999999998</v>
      </c>
      <c r="K151">
        <f t="shared" si="16"/>
        <v>0.28999999999999998</v>
      </c>
      <c r="L151">
        <f t="shared" si="17"/>
        <v>12.1229</v>
      </c>
      <c r="M151">
        <f t="shared" si="18"/>
        <v>12122.9</v>
      </c>
      <c r="N151">
        <f t="shared" si="19"/>
        <v>11.49029192159</v>
      </c>
      <c r="O151">
        <f t="shared" si="20"/>
        <v>0.40190843513038432</v>
      </c>
    </row>
    <row r="152" spans="6:15" x14ac:dyDescent="0.45">
      <c r="F152">
        <v>150</v>
      </c>
      <c r="G152">
        <v>0</v>
      </c>
      <c r="H152">
        <f t="shared" si="15"/>
        <v>0</v>
      </c>
      <c r="I152">
        <f t="shared" si="14"/>
        <v>0</v>
      </c>
      <c r="J152">
        <v>0.39</v>
      </c>
      <c r="K152">
        <f t="shared" si="16"/>
        <v>0.39</v>
      </c>
      <c r="L152">
        <f t="shared" si="17"/>
        <v>12.3729</v>
      </c>
      <c r="M152">
        <f t="shared" si="18"/>
        <v>12372.9</v>
      </c>
      <c r="N152">
        <f t="shared" si="19"/>
        <v>11.72724619659</v>
      </c>
      <c r="O152">
        <f t="shared" si="20"/>
        <v>0.41019664247207616</v>
      </c>
    </row>
    <row r="153" spans="6:15" x14ac:dyDescent="0.45">
      <c r="F153">
        <v>151</v>
      </c>
      <c r="G153">
        <v>0</v>
      </c>
      <c r="H153">
        <f t="shared" si="15"/>
        <v>0</v>
      </c>
      <c r="I153">
        <f t="shared" si="14"/>
        <v>0</v>
      </c>
      <c r="J153">
        <v>0.28999999999999998</v>
      </c>
      <c r="K153">
        <f t="shared" si="16"/>
        <v>0.28999999999999998</v>
      </c>
      <c r="L153">
        <f t="shared" si="17"/>
        <v>12.1229</v>
      </c>
      <c r="M153">
        <f t="shared" si="18"/>
        <v>12122.9</v>
      </c>
      <c r="N153">
        <f t="shared" si="19"/>
        <v>11.49029192159</v>
      </c>
      <c r="O153">
        <f t="shared" si="20"/>
        <v>0.40190843513038432</v>
      </c>
    </row>
    <row r="154" spans="6:15" x14ac:dyDescent="0.45">
      <c r="F154">
        <v>152</v>
      </c>
      <c r="G154">
        <v>0</v>
      </c>
      <c r="H154">
        <f t="shared" si="15"/>
        <v>0</v>
      </c>
      <c r="I154">
        <f t="shared" si="14"/>
        <v>0</v>
      </c>
      <c r="J154">
        <v>0.33</v>
      </c>
      <c r="K154">
        <f t="shared" si="16"/>
        <v>0.33</v>
      </c>
      <c r="L154">
        <f t="shared" si="17"/>
        <v>12.222899999999999</v>
      </c>
      <c r="M154">
        <f t="shared" si="18"/>
        <v>12222.9</v>
      </c>
      <c r="N154">
        <f t="shared" si="19"/>
        <v>11.585073631589999</v>
      </c>
      <c r="O154">
        <f t="shared" si="20"/>
        <v>0.40522371806706103</v>
      </c>
    </row>
    <row r="155" spans="6:15" x14ac:dyDescent="0.45">
      <c r="F155">
        <v>153</v>
      </c>
      <c r="G155">
        <v>0</v>
      </c>
      <c r="H155">
        <f t="shared" si="15"/>
        <v>0</v>
      </c>
      <c r="I155">
        <f t="shared" si="14"/>
        <v>0</v>
      </c>
      <c r="J155">
        <v>0.49</v>
      </c>
      <c r="K155">
        <f t="shared" si="16"/>
        <v>0.49</v>
      </c>
      <c r="L155">
        <f t="shared" si="17"/>
        <v>12.6229</v>
      </c>
      <c r="M155">
        <f t="shared" si="18"/>
        <v>12622.9</v>
      </c>
      <c r="N155">
        <f t="shared" si="19"/>
        <v>11.964200471590001</v>
      </c>
      <c r="O155">
        <f t="shared" si="20"/>
        <v>0.41848484981376799</v>
      </c>
    </row>
    <row r="156" spans="6:15" x14ac:dyDescent="0.45">
      <c r="F156">
        <v>154</v>
      </c>
      <c r="G156">
        <v>0</v>
      </c>
      <c r="H156">
        <f t="shared" si="15"/>
        <v>0</v>
      </c>
      <c r="I156">
        <f t="shared" si="14"/>
        <v>0</v>
      </c>
      <c r="J156">
        <v>0.84</v>
      </c>
      <c r="K156">
        <f t="shared" si="16"/>
        <v>0.84</v>
      </c>
      <c r="L156">
        <f t="shared" si="17"/>
        <v>13.4979</v>
      </c>
      <c r="M156">
        <f t="shared" si="18"/>
        <v>13497.9</v>
      </c>
      <c r="N156">
        <f t="shared" si="19"/>
        <v>12.79354043409</v>
      </c>
      <c r="O156">
        <f t="shared" si="20"/>
        <v>0.44749357550968949</v>
      </c>
    </row>
    <row r="157" spans="6:15" x14ac:dyDescent="0.45">
      <c r="F157">
        <v>155</v>
      </c>
      <c r="G157">
        <v>0</v>
      </c>
      <c r="H157">
        <f t="shared" si="15"/>
        <v>0</v>
      </c>
      <c r="I157">
        <f t="shared" si="14"/>
        <v>0</v>
      </c>
      <c r="J157">
        <v>0.65</v>
      </c>
      <c r="K157">
        <f t="shared" si="16"/>
        <v>0.65</v>
      </c>
      <c r="L157">
        <f t="shared" si="17"/>
        <v>13.0229</v>
      </c>
      <c r="M157">
        <f t="shared" si="18"/>
        <v>13022.9</v>
      </c>
      <c r="N157">
        <f t="shared" si="19"/>
        <v>12.34332731159</v>
      </c>
      <c r="O157">
        <f t="shared" si="20"/>
        <v>0.43174598156047495</v>
      </c>
    </row>
    <row r="158" spans="6:15" x14ac:dyDescent="0.45">
      <c r="F158">
        <v>156</v>
      </c>
      <c r="G158">
        <v>0</v>
      </c>
      <c r="H158">
        <f t="shared" si="15"/>
        <v>0</v>
      </c>
      <c r="I158">
        <f t="shared" si="14"/>
        <v>0</v>
      </c>
      <c r="J158">
        <v>0.72</v>
      </c>
      <c r="K158">
        <f t="shared" si="16"/>
        <v>0.72</v>
      </c>
      <c r="L158">
        <f t="shared" si="17"/>
        <v>13.197900000000001</v>
      </c>
      <c r="M158">
        <f t="shared" si="18"/>
        <v>13197.900000000001</v>
      </c>
      <c r="N158">
        <f t="shared" si="19"/>
        <v>12.509195304090001</v>
      </c>
      <c r="O158">
        <f t="shared" si="20"/>
        <v>0.43754772669965936</v>
      </c>
    </row>
    <row r="159" spans="6:15" x14ac:dyDescent="0.45">
      <c r="F159">
        <v>157</v>
      </c>
      <c r="G159">
        <v>0</v>
      </c>
      <c r="H159">
        <f t="shared" si="15"/>
        <v>0</v>
      </c>
      <c r="I159">
        <f t="shared" si="14"/>
        <v>0</v>
      </c>
      <c r="J159">
        <v>0.28999999999999998</v>
      </c>
      <c r="K159">
        <f t="shared" si="16"/>
        <v>0.28999999999999998</v>
      </c>
      <c r="L159">
        <f t="shared" si="17"/>
        <v>12.1229</v>
      </c>
      <c r="M159">
        <f t="shared" si="18"/>
        <v>12122.9</v>
      </c>
      <c r="N159">
        <f t="shared" si="19"/>
        <v>11.49029192159</v>
      </c>
      <c r="O159">
        <f t="shared" si="20"/>
        <v>0.40190843513038432</v>
      </c>
    </row>
    <row r="160" spans="6:15" x14ac:dyDescent="0.45">
      <c r="F160">
        <v>158</v>
      </c>
      <c r="G160">
        <v>0</v>
      </c>
      <c r="H160">
        <f t="shared" si="15"/>
        <v>0</v>
      </c>
      <c r="I160">
        <f t="shared" si="14"/>
        <v>0</v>
      </c>
      <c r="J160">
        <v>0.18</v>
      </c>
      <c r="K160">
        <f t="shared" si="16"/>
        <v>0.18</v>
      </c>
      <c r="L160">
        <f t="shared" si="17"/>
        <v>11.847899999999999</v>
      </c>
      <c r="M160">
        <f t="shared" si="18"/>
        <v>11847.9</v>
      </c>
      <c r="N160">
        <f t="shared" si="19"/>
        <v>11.22964221909</v>
      </c>
      <c r="O160">
        <f t="shared" si="20"/>
        <v>0.39279140705452331</v>
      </c>
    </row>
    <row r="161" spans="6:15" x14ac:dyDescent="0.45">
      <c r="F161">
        <v>159</v>
      </c>
      <c r="G161">
        <v>0</v>
      </c>
      <c r="H161">
        <f t="shared" si="15"/>
        <v>0</v>
      </c>
      <c r="I161">
        <f t="shared" si="14"/>
        <v>0</v>
      </c>
      <c r="J161">
        <v>0.55000000000000004</v>
      </c>
      <c r="K161">
        <f t="shared" si="16"/>
        <v>0.55000000000000004</v>
      </c>
      <c r="L161">
        <f t="shared" si="17"/>
        <v>12.7729</v>
      </c>
      <c r="M161">
        <f t="shared" si="18"/>
        <v>12772.9</v>
      </c>
      <c r="N161">
        <f t="shared" si="19"/>
        <v>12.10637303659</v>
      </c>
      <c r="O161">
        <f t="shared" si="20"/>
        <v>0.42345777421878317</v>
      </c>
    </row>
    <row r="162" spans="6:15" x14ac:dyDescent="0.45">
      <c r="F162">
        <v>160</v>
      </c>
      <c r="G162">
        <v>0</v>
      </c>
      <c r="H162">
        <f t="shared" si="15"/>
        <v>0</v>
      </c>
      <c r="I162">
        <f t="shared" si="14"/>
        <v>0</v>
      </c>
      <c r="J162">
        <v>0.74</v>
      </c>
      <c r="K162">
        <f t="shared" si="16"/>
        <v>0.74</v>
      </c>
      <c r="L162">
        <f t="shared" si="17"/>
        <v>13.2479</v>
      </c>
      <c r="M162">
        <f t="shared" si="18"/>
        <v>13247.9</v>
      </c>
      <c r="N162">
        <f t="shared" si="19"/>
        <v>12.556586159089999</v>
      </c>
      <c r="O162">
        <f t="shared" si="20"/>
        <v>0.4392053681679976</v>
      </c>
    </row>
    <row r="163" spans="6:15" x14ac:dyDescent="0.45">
      <c r="F163">
        <v>161</v>
      </c>
      <c r="G163">
        <v>0</v>
      </c>
      <c r="H163">
        <f t="shared" si="15"/>
        <v>0</v>
      </c>
      <c r="I163">
        <f t="shared" si="14"/>
        <v>0</v>
      </c>
      <c r="J163">
        <v>0.74</v>
      </c>
      <c r="K163">
        <f t="shared" si="16"/>
        <v>0.74</v>
      </c>
      <c r="L163">
        <f t="shared" si="17"/>
        <v>13.2479</v>
      </c>
      <c r="M163">
        <f t="shared" si="18"/>
        <v>13247.9</v>
      </c>
      <c r="N163">
        <f t="shared" si="19"/>
        <v>12.556586159089999</v>
      </c>
      <c r="O163">
        <f t="shared" si="20"/>
        <v>0.4392053681679976</v>
      </c>
    </row>
    <row r="164" spans="6:15" x14ac:dyDescent="0.45">
      <c r="F164">
        <v>162</v>
      </c>
      <c r="G164">
        <v>0.7</v>
      </c>
      <c r="H164">
        <f t="shared" si="15"/>
        <v>0.7</v>
      </c>
      <c r="I164">
        <f t="shared" si="14"/>
        <v>1.9444444444444443E-4</v>
      </c>
      <c r="J164">
        <v>0.46</v>
      </c>
      <c r="K164">
        <f t="shared" si="16"/>
        <v>0.46</v>
      </c>
      <c r="L164">
        <f t="shared" si="17"/>
        <v>12.5479</v>
      </c>
      <c r="M164">
        <f t="shared" si="18"/>
        <v>12547.9</v>
      </c>
      <c r="N164">
        <f t="shared" si="19"/>
        <v>11.893114189089999</v>
      </c>
      <c r="O164">
        <f t="shared" si="20"/>
        <v>0.41599838761126046</v>
      </c>
    </row>
    <row r="165" spans="6:15" x14ac:dyDescent="0.45">
      <c r="F165">
        <v>163</v>
      </c>
      <c r="G165">
        <v>4.2</v>
      </c>
      <c r="H165">
        <f t="shared" si="15"/>
        <v>4.2</v>
      </c>
      <c r="I165">
        <f t="shared" si="14"/>
        <v>1.1666666666666668E-3</v>
      </c>
      <c r="J165">
        <v>9.44</v>
      </c>
      <c r="K165">
        <f t="shared" si="16"/>
        <v>9.44</v>
      </c>
      <c r="L165">
        <f t="shared" si="17"/>
        <v>34.997900000000001</v>
      </c>
      <c r="M165">
        <f t="shared" si="18"/>
        <v>34997.9</v>
      </c>
      <c r="N165">
        <f t="shared" si="19"/>
        <v>33.171608084090003</v>
      </c>
      <c r="O165">
        <f t="shared" si="20"/>
        <v>1.1602794068951883</v>
      </c>
    </row>
    <row r="166" spans="6:15" x14ac:dyDescent="0.45">
      <c r="F166">
        <v>164</v>
      </c>
      <c r="G166">
        <v>7.4</v>
      </c>
      <c r="H166">
        <f t="shared" si="15"/>
        <v>7.4</v>
      </c>
      <c r="I166">
        <f t="shared" si="14"/>
        <v>2.0555555555555557E-3</v>
      </c>
      <c r="J166">
        <v>12.56</v>
      </c>
      <c r="K166">
        <f t="shared" si="16"/>
        <v>12.56</v>
      </c>
      <c r="L166">
        <f t="shared" si="17"/>
        <v>42.797899999999998</v>
      </c>
      <c r="M166">
        <f t="shared" si="18"/>
        <v>42797.9</v>
      </c>
      <c r="N166">
        <f t="shared" si="19"/>
        <v>40.564581464090004</v>
      </c>
      <c r="O166">
        <f t="shared" si="20"/>
        <v>1.418871475955974</v>
      </c>
    </row>
    <row r="167" spans="6:15" x14ac:dyDescent="0.45">
      <c r="F167">
        <v>165</v>
      </c>
      <c r="G167">
        <v>10.4</v>
      </c>
      <c r="H167">
        <f t="shared" si="15"/>
        <v>10.4</v>
      </c>
      <c r="I167">
        <f t="shared" si="14"/>
        <v>2.8888888888888892E-3</v>
      </c>
      <c r="J167">
        <v>12.98</v>
      </c>
      <c r="K167">
        <f t="shared" si="16"/>
        <v>12.98</v>
      </c>
      <c r="L167">
        <f t="shared" si="17"/>
        <v>43.847900000000003</v>
      </c>
      <c r="M167">
        <f t="shared" si="18"/>
        <v>43847.9</v>
      </c>
      <c r="N167">
        <f t="shared" si="19"/>
        <v>41.559789419090002</v>
      </c>
      <c r="O167">
        <f t="shared" si="20"/>
        <v>1.4536819467910795</v>
      </c>
    </row>
    <row r="168" spans="6:15" x14ac:dyDescent="0.45">
      <c r="F168">
        <v>166</v>
      </c>
      <c r="G168">
        <v>13.8</v>
      </c>
      <c r="H168">
        <f t="shared" si="15"/>
        <v>13.8</v>
      </c>
      <c r="I168">
        <f t="shared" si="14"/>
        <v>3.8333333333333336E-3</v>
      </c>
      <c r="J168">
        <v>18.13</v>
      </c>
      <c r="K168">
        <f t="shared" si="16"/>
        <v>18.13</v>
      </c>
      <c r="L168">
        <f t="shared" si="17"/>
        <v>56.722899999999996</v>
      </c>
      <c r="M168">
        <f t="shared" si="18"/>
        <v>56722.899999999994</v>
      </c>
      <c r="N168">
        <f t="shared" si="19"/>
        <v>53.762934581589995</v>
      </c>
      <c r="O168">
        <f t="shared" si="20"/>
        <v>1.8805246248882095</v>
      </c>
    </row>
    <row r="169" spans="6:15" x14ac:dyDescent="0.45">
      <c r="F169">
        <v>167</v>
      </c>
      <c r="G169">
        <v>17.3</v>
      </c>
      <c r="H169">
        <f t="shared" si="15"/>
        <v>17.3</v>
      </c>
      <c r="I169">
        <f t="shared" si="14"/>
        <v>4.805555555555556E-3</v>
      </c>
      <c r="J169">
        <v>29.06</v>
      </c>
      <c r="K169">
        <f t="shared" si="16"/>
        <v>29.06</v>
      </c>
      <c r="L169">
        <f t="shared" si="17"/>
        <v>84.047899999999998</v>
      </c>
      <c r="M169">
        <f t="shared" si="18"/>
        <v>84047.9</v>
      </c>
      <c r="N169">
        <f t="shared" si="19"/>
        <v>79.662036839089993</v>
      </c>
      <c r="O169">
        <f t="shared" si="20"/>
        <v>2.7864256873351283</v>
      </c>
    </row>
    <row r="170" spans="6:15" x14ac:dyDescent="0.45">
      <c r="F170">
        <v>168</v>
      </c>
      <c r="G170">
        <v>19.899999999999999</v>
      </c>
      <c r="H170">
        <f t="shared" si="15"/>
        <v>19.899999999999999</v>
      </c>
      <c r="I170">
        <f t="shared" si="14"/>
        <v>5.5277777777777773E-3</v>
      </c>
      <c r="J170">
        <v>28.03</v>
      </c>
      <c r="K170">
        <f t="shared" si="16"/>
        <v>28.03</v>
      </c>
      <c r="L170">
        <f t="shared" si="17"/>
        <v>81.47290000000001</v>
      </c>
      <c r="M170">
        <f t="shared" si="18"/>
        <v>81472.900000000009</v>
      </c>
      <c r="N170">
        <f t="shared" si="19"/>
        <v>77.221407806590008</v>
      </c>
      <c r="O170">
        <f t="shared" si="20"/>
        <v>2.7010571517157027</v>
      </c>
    </row>
    <row r="171" spans="6:15" x14ac:dyDescent="0.45">
      <c r="F171">
        <v>169</v>
      </c>
      <c r="G171">
        <v>21.8</v>
      </c>
      <c r="H171">
        <f t="shared" si="15"/>
        <v>21.8</v>
      </c>
      <c r="I171">
        <f t="shared" si="14"/>
        <v>6.0555555555555553E-3</v>
      </c>
      <c r="J171">
        <v>17.34</v>
      </c>
      <c r="K171">
        <f t="shared" si="16"/>
        <v>17.34</v>
      </c>
      <c r="L171">
        <f t="shared" si="17"/>
        <v>54.747900000000001</v>
      </c>
      <c r="M171">
        <f t="shared" si="18"/>
        <v>54747.9</v>
      </c>
      <c r="N171">
        <f t="shared" si="19"/>
        <v>51.890995809090001</v>
      </c>
      <c r="O171">
        <f t="shared" si="20"/>
        <v>1.8150477868888442</v>
      </c>
    </row>
    <row r="172" spans="6:15" x14ac:dyDescent="0.45">
      <c r="F172">
        <v>170</v>
      </c>
      <c r="G172">
        <v>23.9</v>
      </c>
      <c r="H172">
        <f t="shared" si="15"/>
        <v>23.9</v>
      </c>
      <c r="I172">
        <f t="shared" si="14"/>
        <v>6.6388888888888886E-3</v>
      </c>
      <c r="J172">
        <v>24.79</v>
      </c>
      <c r="K172">
        <f t="shared" si="16"/>
        <v>24.79</v>
      </c>
      <c r="L172">
        <f t="shared" si="17"/>
        <v>73.372899999999987</v>
      </c>
      <c r="M172">
        <f t="shared" si="18"/>
        <v>73372.899999999994</v>
      </c>
      <c r="N172">
        <f t="shared" si="19"/>
        <v>69.544089296590002</v>
      </c>
      <c r="O172">
        <f t="shared" si="20"/>
        <v>2.4325192338448867</v>
      </c>
    </row>
    <row r="173" spans="6:15" x14ac:dyDescent="0.45">
      <c r="F173">
        <v>171</v>
      </c>
      <c r="G173">
        <v>25.9</v>
      </c>
      <c r="H173">
        <f t="shared" si="15"/>
        <v>25.9</v>
      </c>
      <c r="I173">
        <f t="shared" si="14"/>
        <v>7.1944444444444443E-3</v>
      </c>
      <c r="J173">
        <v>22.06</v>
      </c>
      <c r="K173">
        <f t="shared" si="16"/>
        <v>22.06</v>
      </c>
      <c r="L173">
        <f t="shared" si="17"/>
        <v>66.547899999999998</v>
      </c>
      <c r="M173">
        <f t="shared" si="18"/>
        <v>66547.899999999994</v>
      </c>
      <c r="N173">
        <f t="shared" si="19"/>
        <v>63.075237589089994</v>
      </c>
      <c r="O173">
        <f t="shared" si="20"/>
        <v>2.2062511734166992</v>
      </c>
    </row>
    <row r="174" spans="6:15" x14ac:dyDescent="0.45">
      <c r="F174">
        <v>172</v>
      </c>
      <c r="G174">
        <v>26.5</v>
      </c>
      <c r="H174">
        <f t="shared" si="15"/>
        <v>26.5</v>
      </c>
      <c r="I174">
        <f t="shared" si="14"/>
        <v>7.3611111111111108E-3</v>
      </c>
      <c r="J174">
        <v>4.78</v>
      </c>
      <c r="K174">
        <f t="shared" si="16"/>
        <v>4.78</v>
      </c>
      <c r="L174">
        <f t="shared" si="17"/>
        <v>23.347900000000003</v>
      </c>
      <c r="M174">
        <f t="shared" si="18"/>
        <v>23347.9</v>
      </c>
      <c r="N174">
        <f t="shared" si="19"/>
        <v>22.129538869090002</v>
      </c>
      <c r="O174">
        <f t="shared" si="20"/>
        <v>0.77404894477234831</v>
      </c>
    </row>
    <row r="175" spans="6:15" x14ac:dyDescent="0.45">
      <c r="F175">
        <v>173</v>
      </c>
      <c r="G175">
        <v>25.8</v>
      </c>
      <c r="H175">
        <f t="shared" si="15"/>
        <v>25.8</v>
      </c>
      <c r="I175">
        <f t="shared" si="14"/>
        <v>7.1666666666666667E-3</v>
      </c>
      <c r="J175">
        <v>-2.54</v>
      </c>
      <c r="K175">
        <f t="shared" si="16"/>
        <v>0</v>
      </c>
      <c r="L175">
        <f t="shared" si="17"/>
        <v>11.3979</v>
      </c>
      <c r="M175">
        <f t="shared" si="18"/>
        <v>11397.9</v>
      </c>
      <c r="N175">
        <f t="shared" si="19"/>
        <v>10.80312452409</v>
      </c>
      <c r="O175">
        <f t="shared" si="20"/>
        <v>0.377872633839478</v>
      </c>
    </row>
    <row r="176" spans="6:15" x14ac:dyDescent="0.45">
      <c r="F176">
        <v>174</v>
      </c>
      <c r="G176">
        <v>25.1</v>
      </c>
      <c r="H176">
        <f t="shared" si="15"/>
        <v>25.1</v>
      </c>
      <c r="I176">
        <f t="shared" si="14"/>
        <v>6.9722222222222225E-3</v>
      </c>
      <c r="J176">
        <v>-1.35</v>
      </c>
      <c r="K176">
        <f t="shared" si="16"/>
        <v>0</v>
      </c>
      <c r="L176">
        <f t="shared" si="17"/>
        <v>11.3979</v>
      </c>
      <c r="M176">
        <f t="shared" si="18"/>
        <v>11397.9</v>
      </c>
      <c r="N176">
        <f t="shared" si="19"/>
        <v>10.80312452409</v>
      </c>
      <c r="O176">
        <f t="shared" si="20"/>
        <v>0.377872633839478</v>
      </c>
    </row>
    <row r="177" spans="6:15" x14ac:dyDescent="0.45">
      <c r="F177">
        <v>175</v>
      </c>
      <c r="G177">
        <v>24.8</v>
      </c>
      <c r="H177">
        <f t="shared" si="15"/>
        <v>24.8</v>
      </c>
      <c r="I177">
        <f t="shared" si="14"/>
        <v>6.8888888888888888E-3</v>
      </c>
      <c r="J177">
        <v>2.36</v>
      </c>
      <c r="K177">
        <f t="shared" si="16"/>
        <v>2.36</v>
      </c>
      <c r="L177">
        <f t="shared" si="17"/>
        <v>17.297899999999998</v>
      </c>
      <c r="M177">
        <f t="shared" si="18"/>
        <v>17297.899999999998</v>
      </c>
      <c r="N177">
        <f t="shared" si="19"/>
        <v>16.395245414089999</v>
      </c>
      <c r="O177">
        <f t="shared" si="20"/>
        <v>0.57347432710340551</v>
      </c>
    </row>
    <row r="178" spans="6:15" x14ac:dyDescent="0.45">
      <c r="F178">
        <v>176</v>
      </c>
      <c r="G178">
        <v>24.9</v>
      </c>
      <c r="H178">
        <f t="shared" si="15"/>
        <v>24.9</v>
      </c>
      <c r="I178">
        <f t="shared" si="14"/>
        <v>6.9166666666666664E-3</v>
      </c>
      <c r="J178">
        <v>3.61</v>
      </c>
      <c r="K178">
        <f t="shared" si="16"/>
        <v>3.61</v>
      </c>
      <c r="L178">
        <f t="shared" si="17"/>
        <v>20.422899999999998</v>
      </c>
      <c r="M178">
        <f t="shared" si="18"/>
        <v>20422.899999999998</v>
      </c>
      <c r="N178">
        <f t="shared" si="19"/>
        <v>19.357173851589998</v>
      </c>
      <c r="O178">
        <f t="shared" si="20"/>
        <v>0.67707691887455346</v>
      </c>
    </row>
    <row r="179" spans="6:15" x14ac:dyDescent="0.45">
      <c r="F179">
        <v>177</v>
      </c>
      <c r="G179">
        <v>25</v>
      </c>
      <c r="H179">
        <f t="shared" si="15"/>
        <v>25</v>
      </c>
      <c r="I179">
        <f t="shared" si="14"/>
        <v>6.9444444444444441E-3</v>
      </c>
      <c r="J179">
        <v>4.71</v>
      </c>
      <c r="K179">
        <f t="shared" si="16"/>
        <v>4.71</v>
      </c>
      <c r="L179">
        <f t="shared" si="17"/>
        <v>23.172899999999998</v>
      </c>
      <c r="M179">
        <f t="shared" si="18"/>
        <v>23172.899999999998</v>
      </c>
      <c r="N179">
        <f t="shared" si="19"/>
        <v>21.963670876589998</v>
      </c>
      <c r="O179">
        <f t="shared" si="20"/>
        <v>0.76824719963316379</v>
      </c>
    </row>
    <row r="180" spans="6:15" x14ac:dyDescent="0.45">
      <c r="F180">
        <v>178</v>
      </c>
      <c r="G180">
        <v>25.2</v>
      </c>
      <c r="H180">
        <f t="shared" si="15"/>
        <v>25.2</v>
      </c>
      <c r="I180">
        <f t="shared" si="14"/>
        <v>7.0000000000000001E-3</v>
      </c>
      <c r="J180">
        <v>5.25</v>
      </c>
      <c r="K180">
        <f t="shared" si="16"/>
        <v>5.25</v>
      </c>
      <c r="L180">
        <f t="shared" si="17"/>
        <v>24.5229</v>
      </c>
      <c r="M180">
        <f t="shared" si="18"/>
        <v>24522.9</v>
      </c>
      <c r="N180">
        <f t="shared" si="19"/>
        <v>23.243223961590001</v>
      </c>
      <c r="O180">
        <f t="shared" si="20"/>
        <v>0.81300351927829995</v>
      </c>
    </row>
    <row r="181" spans="6:15" x14ac:dyDescent="0.45">
      <c r="F181">
        <v>179</v>
      </c>
      <c r="G181">
        <v>25.9</v>
      </c>
      <c r="H181">
        <f t="shared" si="15"/>
        <v>25.9</v>
      </c>
      <c r="I181">
        <f t="shared" si="14"/>
        <v>7.1944444444444443E-3</v>
      </c>
      <c r="J181">
        <v>15.18</v>
      </c>
      <c r="K181">
        <f t="shared" si="16"/>
        <v>15.18</v>
      </c>
      <c r="L181">
        <f t="shared" si="17"/>
        <v>49.347900000000003</v>
      </c>
      <c r="M181">
        <f t="shared" si="18"/>
        <v>49347.9</v>
      </c>
      <c r="N181">
        <f t="shared" si="19"/>
        <v>46.772783469090001</v>
      </c>
      <c r="O181">
        <f t="shared" si="20"/>
        <v>1.6360225083083002</v>
      </c>
    </row>
    <row r="182" spans="6:15" x14ac:dyDescent="0.45">
      <c r="F182">
        <v>180</v>
      </c>
      <c r="G182">
        <v>27.2</v>
      </c>
      <c r="H182">
        <f t="shared" si="15"/>
        <v>27.2</v>
      </c>
      <c r="I182">
        <f t="shared" si="14"/>
        <v>7.5555555555555549E-3</v>
      </c>
      <c r="J182">
        <v>9.8800000000000008</v>
      </c>
      <c r="K182">
        <f t="shared" si="16"/>
        <v>9.8800000000000008</v>
      </c>
      <c r="L182">
        <f t="shared" si="17"/>
        <v>36.097900000000003</v>
      </c>
      <c r="M182">
        <f t="shared" si="18"/>
        <v>36097.9</v>
      </c>
      <c r="N182">
        <f t="shared" si="19"/>
        <v>34.214206894090005</v>
      </c>
      <c r="O182">
        <f t="shared" si="20"/>
        <v>1.1967475191986325</v>
      </c>
    </row>
    <row r="183" spans="6:15" x14ac:dyDescent="0.45">
      <c r="F183">
        <v>181</v>
      </c>
      <c r="G183">
        <v>26.1</v>
      </c>
      <c r="H183">
        <f t="shared" si="15"/>
        <v>26.1</v>
      </c>
      <c r="I183">
        <f t="shared" si="14"/>
        <v>7.2500000000000004E-3</v>
      </c>
      <c r="J183">
        <v>-0.16</v>
      </c>
      <c r="K183">
        <f t="shared" si="16"/>
        <v>0</v>
      </c>
      <c r="L183">
        <f t="shared" si="17"/>
        <v>11.3979</v>
      </c>
      <c r="M183">
        <f t="shared" si="18"/>
        <v>11397.9</v>
      </c>
      <c r="N183">
        <f t="shared" si="19"/>
        <v>10.80312452409</v>
      </c>
      <c r="O183">
        <f t="shared" si="20"/>
        <v>0.377872633839478</v>
      </c>
    </row>
    <row r="184" spans="6:15" x14ac:dyDescent="0.45">
      <c r="F184">
        <v>182</v>
      </c>
      <c r="G184">
        <v>23.8</v>
      </c>
      <c r="H184">
        <f t="shared" si="15"/>
        <v>23.8</v>
      </c>
      <c r="I184">
        <f t="shared" si="14"/>
        <v>6.611111111111111E-3</v>
      </c>
      <c r="J184">
        <v>-0.77</v>
      </c>
      <c r="K184">
        <f t="shared" si="16"/>
        <v>0</v>
      </c>
      <c r="L184">
        <f t="shared" si="17"/>
        <v>11.3979</v>
      </c>
      <c r="M184">
        <f t="shared" si="18"/>
        <v>11397.9</v>
      </c>
      <c r="N184">
        <f t="shared" si="19"/>
        <v>10.80312452409</v>
      </c>
      <c r="O184">
        <f t="shared" si="20"/>
        <v>0.377872633839478</v>
      </c>
    </row>
    <row r="185" spans="6:15" x14ac:dyDescent="0.45">
      <c r="F185">
        <v>183</v>
      </c>
      <c r="G185">
        <v>22</v>
      </c>
      <c r="H185">
        <f t="shared" si="15"/>
        <v>22</v>
      </c>
      <c r="I185">
        <f t="shared" si="14"/>
        <v>6.1111111111111114E-3</v>
      </c>
      <c r="J185">
        <v>-1.81</v>
      </c>
      <c r="K185">
        <f t="shared" si="16"/>
        <v>0</v>
      </c>
      <c r="L185">
        <f t="shared" si="17"/>
        <v>11.3979</v>
      </c>
      <c r="M185">
        <f t="shared" si="18"/>
        <v>11397.9</v>
      </c>
      <c r="N185">
        <f t="shared" si="19"/>
        <v>10.80312452409</v>
      </c>
      <c r="O185">
        <f t="shared" si="20"/>
        <v>0.377872633839478</v>
      </c>
    </row>
    <row r="186" spans="6:15" x14ac:dyDescent="0.45">
      <c r="F186">
        <v>184</v>
      </c>
      <c r="G186">
        <v>18.899999999999999</v>
      </c>
      <c r="H186">
        <f t="shared" si="15"/>
        <v>18.899999999999999</v>
      </c>
      <c r="I186">
        <f t="shared" si="14"/>
        <v>5.2499999999999995E-3</v>
      </c>
      <c r="J186">
        <v>-0.81</v>
      </c>
      <c r="K186">
        <f t="shared" si="16"/>
        <v>0</v>
      </c>
      <c r="L186">
        <f t="shared" si="17"/>
        <v>11.3979</v>
      </c>
      <c r="M186">
        <f t="shared" si="18"/>
        <v>11397.9</v>
      </c>
      <c r="N186">
        <f t="shared" si="19"/>
        <v>10.80312452409</v>
      </c>
      <c r="O186">
        <f t="shared" si="20"/>
        <v>0.377872633839478</v>
      </c>
    </row>
    <row r="187" spans="6:15" x14ac:dyDescent="0.45">
      <c r="F187">
        <v>185</v>
      </c>
      <c r="G187">
        <v>17.3</v>
      </c>
      <c r="H187">
        <f t="shared" si="15"/>
        <v>17.3</v>
      </c>
      <c r="I187">
        <f t="shared" si="14"/>
        <v>4.805555555555556E-3</v>
      </c>
      <c r="J187">
        <v>-0.6</v>
      </c>
      <c r="K187">
        <f t="shared" si="16"/>
        <v>0</v>
      </c>
      <c r="L187">
        <f t="shared" si="17"/>
        <v>11.3979</v>
      </c>
      <c r="M187">
        <f t="shared" si="18"/>
        <v>11397.9</v>
      </c>
      <c r="N187">
        <f t="shared" si="19"/>
        <v>10.80312452409</v>
      </c>
      <c r="O187">
        <f t="shared" si="20"/>
        <v>0.377872633839478</v>
      </c>
    </row>
    <row r="188" spans="6:15" x14ac:dyDescent="0.45">
      <c r="F188">
        <v>186</v>
      </c>
      <c r="G188">
        <v>17</v>
      </c>
      <c r="H188">
        <f t="shared" si="15"/>
        <v>17</v>
      </c>
      <c r="I188">
        <f t="shared" si="14"/>
        <v>4.7222222222222223E-3</v>
      </c>
      <c r="J188">
        <v>2.4500000000000002</v>
      </c>
      <c r="K188">
        <f t="shared" si="16"/>
        <v>2.4500000000000002</v>
      </c>
      <c r="L188">
        <f t="shared" si="17"/>
        <v>17.5229</v>
      </c>
      <c r="M188">
        <f t="shared" si="18"/>
        <v>17522.900000000001</v>
      </c>
      <c r="N188">
        <f t="shared" si="19"/>
        <v>16.608504261590003</v>
      </c>
      <c r="O188">
        <f t="shared" si="20"/>
        <v>0.58093371371092828</v>
      </c>
    </row>
    <row r="189" spans="6:15" x14ac:dyDescent="0.45">
      <c r="F189">
        <v>187</v>
      </c>
      <c r="G189">
        <v>17.8</v>
      </c>
      <c r="H189">
        <f t="shared" si="15"/>
        <v>17.8</v>
      </c>
      <c r="I189">
        <f t="shared" si="14"/>
        <v>4.9444444444444449E-3</v>
      </c>
      <c r="J189">
        <v>7.93</v>
      </c>
      <c r="K189">
        <f t="shared" si="16"/>
        <v>7.93</v>
      </c>
      <c r="L189">
        <f t="shared" si="17"/>
        <v>31.222899999999999</v>
      </c>
      <c r="M189">
        <f t="shared" si="18"/>
        <v>31222.899999999998</v>
      </c>
      <c r="N189">
        <f t="shared" si="19"/>
        <v>29.593598531590001</v>
      </c>
      <c r="O189">
        <f t="shared" si="20"/>
        <v>1.0351274760356413</v>
      </c>
    </row>
    <row r="190" spans="6:15" x14ac:dyDescent="0.45">
      <c r="F190">
        <v>188</v>
      </c>
      <c r="G190">
        <v>19.100000000000001</v>
      </c>
      <c r="H190">
        <f t="shared" si="15"/>
        <v>19.100000000000001</v>
      </c>
      <c r="I190">
        <f t="shared" si="14"/>
        <v>5.3055555555555555E-3</v>
      </c>
      <c r="J190">
        <v>15.6</v>
      </c>
      <c r="K190">
        <f t="shared" si="16"/>
        <v>15.6</v>
      </c>
      <c r="L190">
        <f t="shared" si="17"/>
        <v>50.3979</v>
      </c>
      <c r="M190">
        <f t="shared" si="18"/>
        <v>50397.9</v>
      </c>
      <c r="N190">
        <f t="shared" si="19"/>
        <v>47.767991424090006</v>
      </c>
      <c r="O190">
        <f t="shared" si="20"/>
        <v>1.6708329791434062</v>
      </c>
    </row>
    <row r="191" spans="6:15" x14ac:dyDescent="0.45">
      <c r="F191">
        <v>189</v>
      </c>
      <c r="G191">
        <v>20.5</v>
      </c>
      <c r="H191">
        <f t="shared" si="15"/>
        <v>20.5</v>
      </c>
      <c r="I191">
        <f t="shared" si="14"/>
        <v>5.6944444444444447E-3</v>
      </c>
      <c r="J191">
        <v>13.48</v>
      </c>
      <c r="K191">
        <f t="shared" si="16"/>
        <v>13.48</v>
      </c>
      <c r="L191">
        <f t="shared" si="17"/>
        <v>45.097900000000003</v>
      </c>
      <c r="M191">
        <f t="shared" si="18"/>
        <v>45097.9</v>
      </c>
      <c r="N191">
        <f t="shared" si="19"/>
        <v>42.744560794090006</v>
      </c>
      <c r="O191">
        <f t="shared" si="20"/>
        <v>1.495122983499539</v>
      </c>
    </row>
    <row r="192" spans="6:15" x14ac:dyDescent="0.45">
      <c r="F192">
        <v>190</v>
      </c>
      <c r="G192">
        <v>22.6</v>
      </c>
      <c r="H192">
        <f t="shared" si="15"/>
        <v>22.6</v>
      </c>
      <c r="I192">
        <f t="shared" si="14"/>
        <v>6.277777777777778E-3</v>
      </c>
      <c r="J192">
        <v>21.94</v>
      </c>
      <c r="K192">
        <f t="shared" si="16"/>
        <v>21.94</v>
      </c>
      <c r="L192">
        <f t="shared" si="17"/>
        <v>66.247900000000001</v>
      </c>
      <c r="M192">
        <f t="shared" si="18"/>
        <v>66247.899999999994</v>
      </c>
      <c r="N192">
        <f t="shared" si="19"/>
        <v>62.790892459089996</v>
      </c>
      <c r="O192">
        <f t="shared" si="20"/>
        <v>2.1963053246066688</v>
      </c>
    </row>
    <row r="193" spans="6:15" x14ac:dyDescent="0.45">
      <c r="F193">
        <v>191</v>
      </c>
      <c r="G193">
        <v>24.8</v>
      </c>
      <c r="H193">
        <f t="shared" si="15"/>
        <v>24.8</v>
      </c>
      <c r="I193">
        <f t="shared" si="14"/>
        <v>6.8888888888888888E-3</v>
      </c>
      <c r="J193">
        <v>23.75</v>
      </c>
      <c r="K193">
        <f t="shared" si="16"/>
        <v>23.75</v>
      </c>
      <c r="L193">
        <f t="shared" si="17"/>
        <v>70.772899999999993</v>
      </c>
      <c r="M193">
        <f t="shared" si="18"/>
        <v>70772.899999999994</v>
      </c>
      <c r="N193">
        <f t="shared" si="19"/>
        <v>67.079764836590002</v>
      </c>
      <c r="O193">
        <f t="shared" si="20"/>
        <v>2.3463218774912913</v>
      </c>
    </row>
    <row r="194" spans="6:15" x14ac:dyDescent="0.45">
      <c r="F194">
        <v>192</v>
      </c>
      <c r="G194">
        <v>27.4</v>
      </c>
      <c r="H194">
        <f t="shared" si="15"/>
        <v>27.4</v>
      </c>
      <c r="I194">
        <f t="shared" ref="I194:I257" si="21">H194*(1/3600)</f>
        <v>7.611111111111111E-3</v>
      </c>
      <c r="J194">
        <v>32.07</v>
      </c>
      <c r="K194">
        <f t="shared" si="16"/>
        <v>32.07</v>
      </c>
      <c r="L194">
        <f t="shared" si="17"/>
        <v>91.572900000000004</v>
      </c>
      <c r="M194">
        <f t="shared" si="18"/>
        <v>91572.900000000009</v>
      </c>
      <c r="N194">
        <f t="shared" si="19"/>
        <v>86.794360516590018</v>
      </c>
      <c r="O194">
        <f t="shared" si="20"/>
        <v>3.0359007283200534</v>
      </c>
    </row>
    <row r="195" spans="6:15" x14ac:dyDescent="0.45">
      <c r="F195">
        <v>193</v>
      </c>
      <c r="G195">
        <v>30.4</v>
      </c>
      <c r="H195">
        <f t="shared" ref="H195:H258" si="22">IF(G195&lt;0,0,G195)</f>
        <v>30.4</v>
      </c>
      <c r="I195">
        <f t="shared" si="21"/>
        <v>8.4444444444444437E-3</v>
      </c>
      <c r="J195">
        <v>42.37</v>
      </c>
      <c r="K195">
        <f t="shared" ref="K195:K258" si="23">IF(J195&lt;0,0,J195)</f>
        <v>42.37</v>
      </c>
      <c r="L195">
        <f t="shared" ref="L195:L258" si="24">(1/$B$5)*K195+((3.4798*$B$6)+0.9585)</f>
        <v>117.3229</v>
      </c>
      <c r="M195">
        <f t="shared" ref="M195:M258" si="25">L195*1000</f>
        <v>117322.90000000001</v>
      </c>
      <c r="N195">
        <f t="shared" ref="N195:N258" si="26">M195*0.0009478171</f>
        <v>111.20065084159002</v>
      </c>
      <c r="O195">
        <f t="shared" ref="O195:O258" si="27">(M195*453.59237)/(18489*0.74*1000)</f>
        <v>3.8895860845143138</v>
      </c>
    </row>
    <row r="196" spans="6:15" x14ac:dyDescent="0.45">
      <c r="F196">
        <v>194</v>
      </c>
      <c r="G196">
        <v>33.5</v>
      </c>
      <c r="H196">
        <f t="shared" si="22"/>
        <v>33.5</v>
      </c>
      <c r="I196">
        <f t="shared" si="21"/>
        <v>9.3055555555555548E-3</v>
      </c>
      <c r="J196">
        <v>44.94</v>
      </c>
      <c r="K196">
        <f t="shared" si="23"/>
        <v>44.94</v>
      </c>
      <c r="L196">
        <f t="shared" si="24"/>
        <v>123.74789999999999</v>
      </c>
      <c r="M196">
        <f t="shared" si="25"/>
        <v>123747.9</v>
      </c>
      <c r="N196">
        <f t="shared" si="26"/>
        <v>117.29037570909</v>
      </c>
      <c r="O196">
        <f t="shared" si="27"/>
        <v>4.1025930131957935</v>
      </c>
    </row>
    <row r="197" spans="6:15" x14ac:dyDescent="0.45">
      <c r="F197">
        <v>195</v>
      </c>
      <c r="G197">
        <v>36.4</v>
      </c>
      <c r="H197">
        <f t="shared" si="22"/>
        <v>36.4</v>
      </c>
      <c r="I197">
        <f t="shared" si="21"/>
        <v>1.0111111111111111E-2</v>
      </c>
      <c r="J197">
        <v>44.56</v>
      </c>
      <c r="K197">
        <f t="shared" si="23"/>
        <v>44.56</v>
      </c>
      <c r="L197">
        <f t="shared" si="24"/>
        <v>122.7979</v>
      </c>
      <c r="M197">
        <f t="shared" si="25"/>
        <v>122797.9</v>
      </c>
      <c r="N197">
        <f t="shared" si="26"/>
        <v>116.38994946408999</v>
      </c>
      <c r="O197">
        <f t="shared" si="27"/>
        <v>4.0710978252973646</v>
      </c>
    </row>
    <row r="198" spans="6:15" x14ac:dyDescent="0.45">
      <c r="F198">
        <v>196</v>
      </c>
      <c r="G198">
        <v>37.9</v>
      </c>
      <c r="H198">
        <f t="shared" si="22"/>
        <v>37.9</v>
      </c>
      <c r="I198">
        <f t="shared" si="21"/>
        <v>1.0527777777777777E-2</v>
      </c>
      <c r="J198">
        <v>32.78</v>
      </c>
      <c r="K198">
        <f t="shared" si="23"/>
        <v>32.78</v>
      </c>
      <c r="L198">
        <f t="shared" si="24"/>
        <v>93.34790000000001</v>
      </c>
      <c r="M198">
        <f t="shared" si="25"/>
        <v>93347.900000000009</v>
      </c>
      <c r="N198">
        <f t="shared" si="26"/>
        <v>88.476735869090007</v>
      </c>
      <c r="O198">
        <f t="shared" si="27"/>
        <v>3.0947470004460658</v>
      </c>
    </row>
    <row r="199" spans="6:15" x14ac:dyDescent="0.45">
      <c r="F199">
        <v>197</v>
      </c>
      <c r="G199">
        <v>39.700000000000003</v>
      </c>
      <c r="H199">
        <f t="shared" si="22"/>
        <v>39.700000000000003</v>
      </c>
      <c r="I199">
        <f t="shared" si="21"/>
        <v>1.1027777777777779E-2</v>
      </c>
      <c r="J199">
        <v>35.69</v>
      </c>
      <c r="K199">
        <f t="shared" si="23"/>
        <v>35.69</v>
      </c>
      <c r="L199">
        <f t="shared" si="24"/>
        <v>100.62289999999999</v>
      </c>
      <c r="M199">
        <f t="shared" si="25"/>
        <v>100622.9</v>
      </c>
      <c r="N199">
        <f t="shared" si="26"/>
        <v>95.372105271590002</v>
      </c>
      <c r="O199">
        <f t="shared" si="27"/>
        <v>3.3359338340892974</v>
      </c>
    </row>
    <row r="200" spans="6:15" x14ac:dyDescent="0.45">
      <c r="F200">
        <v>198</v>
      </c>
      <c r="G200">
        <v>41.3</v>
      </c>
      <c r="H200">
        <f t="shared" si="22"/>
        <v>41.3</v>
      </c>
      <c r="I200">
        <f t="shared" si="21"/>
        <v>1.1472222222222222E-2</v>
      </c>
      <c r="J200">
        <v>34.33</v>
      </c>
      <c r="K200">
        <f t="shared" si="23"/>
        <v>34.33</v>
      </c>
      <c r="L200">
        <f t="shared" si="24"/>
        <v>97.222899999999981</v>
      </c>
      <c r="M200">
        <f t="shared" si="25"/>
        <v>97222.89999999998</v>
      </c>
      <c r="N200">
        <f t="shared" si="26"/>
        <v>92.149527131589977</v>
      </c>
      <c r="O200">
        <f t="shared" si="27"/>
        <v>3.2232142142422879</v>
      </c>
    </row>
    <row r="201" spans="6:15" x14ac:dyDescent="0.45">
      <c r="F201">
        <v>199</v>
      </c>
      <c r="G201">
        <v>42.9</v>
      </c>
      <c r="H201">
        <f t="shared" si="22"/>
        <v>42.9</v>
      </c>
      <c r="I201">
        <f t="shared" si="21"/>
        <v>1.1916666666666666E-2</v>
      </c>
      <c r="J201">
        <v>38.56</v>
      </c>
      <c r="K201">
        <f t="shared" si="23"/>
        <v>38.56</v>
      </c>
      <c r="L201">
        <f t="shared" si="24"/>
        <v>107.7979</v>
      </c>
      <c r="M201">
        <f t="shared" si="25"/>
        <v>107797.9</v>
      </c>
      <c r="N201">
        <f t="shared" si="26"/>
        <v>102.17269296409</v>
      </c>
      <c r="O201">
        <f t="shared" si="27"/>
        <v>3.573805384795854</v>
      </c>
    </row>
    <row r="202" spans="6:15" x14ac:dyDescent="0.45">
      <c r="F202">
        <v>200</v>
      </c>
      <c r="G202">
        <v>44.1</v>
      </c>
      <c r="H202">
        <f t="shared" si="22"/>
        <v>44.1</v>
      </c>
      <c r="I202">
        <f t="shared" si="21"/>
        <v>1.225E-2</v>
      </c>
      <c r="J202">
        <v>23.15</v>
      </c>
      <c r="K202">
        <f t="shared" si="23"/>
        <v>23.15</v>
      </c>
      <c r="L202">
        <f t="shared" si="24"/>
        <v>69.272899999999993</v>
      </c>
      <c r="M202">
        <f t="shared" si="25"/>
        <v>69272.899999999994</v>
      </c>
      <c r="N202">
        <f t="shared" si="26"/>
        <v>65.658039186590003</v>
      </c>
      <c r="O202">
        <f t="shared" si="27"/>
        <v>2.2965926334411404</v>
      </c>
    </row>
    <row r="203" spans="6:15" x14ac:dyDescent="0.45">
      <c r="F203">
        <v>201</v>
      </c>
      <c r="G203">
        <v>45.2</v>
      </c>
      <c r="H203">
        <f t="shared" si="22"/>
        <v>45.2</v>
      </c>
      <c r="I203">
        <f t="shared" si="21"/>
        <v>1.2555555555555556E-2</v>
      </c>
      <c r="J203">
        <v>26.3</v>
      </c>
      <c r="K203">
        <f t="shared" si="23"/>
        <v>26.3</v>
      </c>
      <c r="L203">
        <f t="shared" si="24"/>
        <v>77.147899999999993</v>
      </c>
      <c r="M203">
        <f t="shared" si="25"/>
        <v>77147.899999999994</v>
      </c>
      <c r="N203">
        <f t="shared" si="26"/>
        <v>73.122098849089994</v>
      </c>
      <c r="O203">
        <f t="shared" si="27"/>
        <v>2.5576711647044337</v>
      </c>
    </row>
    <row r="204" spans="6:15" x14ac:dyDescent="0.45">
      <c r="F204">
        <v>202</v>
      </c>
      <c r="G204">
        <v>46.3</v>
      </c>
      <c r="H204">
        <f t="shared" si="22"/>
        <v>46.3</v>
      </c>
      <c r="I204">
        <f t="shared" si="21"/>
        <v>1.286111111111111E-2</v>
      </c>
      <c r="J204">
        <v>25.41</v>
      </c>
      <c r="K204">
        <f t="shared" si="23"/>
        <v>25.41</v>
      </c>
      <c r="L204">
        <f t="shared" si="24"/>
        <v>74.922899999999998</v>
      </c>
      <c r="M204">
        <f t="shared" si="25"/>
        <v>74922.899999999994</v>
      </c>
      <c r="N204">
        <f t="shared" si="26"/>
        <v>71.01320580158999</v>
      </c>
      <c r="O204">
        <f t="shared" si="27"/>
        <v>2.4839061193633762</v>
      </c>
    </row>
    <row r="205" spans="6:15" x14ac:dyDescent="0.45">
      <c r="F205">
        <v>203</v>
      </c>
      <c r="G205">
        <v>47.2</v>
      </c>
      <c r="H205">
        <f t="shared" si="22"/>
        <v>47.2</v>
      </c>
      <c r="I205">
        <f t="shared" si="21"/>
        <v>1.3111111111111112E-2</v>
      </c>
      <c r="J205">
        <v>22.58</v>
      </c>
      <c r="K205">
        <f t="shared" si="23"/>
        <v>22.58</v>
      </c>
      <c r="L205">
        <f t="shared" si="24"/>
        <v>67.847899999999996</v>
      </c>
      <c r="M205">
        <f t="shared" si="25"/>
        <v>67847.899999999994</v>
      </c>
      <c r="N205">
        <f t="shared" si="26"/>
        <v>64.307399819089994</v>
      </c>
      <c r="O205">
        <f t="shared" si="27"/>
        <v>2.2493498515934967</v>
      </c>
    </row>
    <row r="206" spans="6:15" x14ac:dyDescent="0.45">
      <c r="F206">
        <v>204</v>
      </c>
      <c r="G206">
        <v>47.8</v>
      </c>
      <c r="H206">
        <f t="shared" si="22"/>
        <v>47.8</v>
      </c>
      <c r="I206">
        <f t="shared" si="21"/>
        <v>1.3277777777777777E-2</v>
      </c>
      <c r="J206">
        <v>18.940000000000001</v>
      </c>
      <c r="K206">
        <f t="shared" si="23"/>
        <v>18.940000000000001</v>
      </c>
      <c r="L206">
        <f t="shared" si="24"/>
        <v>58.747900000000001</v>
      </c>
      <c r="M206">
        <f t="shared" si="25"/>
        <v>58747.9</v>
      </c>
      <c r="N206">
        <f t="shared" si="26"/>
        <v>55.68226420909</v>
      </c>
      <c r="O206">
        <f t="shared" si="27"/>
        <v>1.9476591043559137</v>
      </c>
    </row>
    <row r="207" spans="6:15" x14ac:dyDescent="0.45">
      <c r="F207">
        <v>205</v>
      </c>
      <c r="G207">
        <v>47.8</v>
      </c>
      <c r="H207">
        <f t="shared" si="22"/>
        <v>47.8</v>
      </c>
      <c r="I207">
        <f t="shared" si="21"/>
        <v>1.3277777777777777E-2</v>
      </c>
      <c r="J207">
        <v>9.6</v>
      </c>
      <c r="K207">
        <f t="shared" si="23"/>
        <v>9.6</v>
      </c>
      <c r="L207">
        <f t="shared" si="24"/>
        <v>35.3979</v>
      </c>
      <c r="M207">
        <f t="shared" si="25"/>
        <v>35397.9</v>
      </c>
      <c r="N207">
        <f t="shared" si="26"/>
        <v>33.550734924090001</v>
      </c>
      <c r="O207">
        <f t="shared" si="27"/>
        <v>1.1735405386418953</v>
      </c>
    </row>
    <row r="208" spans="6:15" x14ac:dyDescent="0.45">
      <c r="F208">
        <v>206</v>
      </c>
      <c r="G208">
        <v>47.6</v>
      </c>
      <c r="H208">
        <f t="shared" si="22"/>
        <v>47.6</v>
      </c>
      <c r="I208">
        <f t="shared" si="21"/>
        <v>1.3222222222222222E-2</v>
      </c>
      <c r="J208">
        <v>4.3899999999999997</v>
      </c>
      <c r="K208">
        <f t="shared" si="23"/>
        <v>4.3899999999999997</v>
      </c>
      <c r="L208">
        <f t="shared" si="24"/>
        <v>22.372900000000001</v>
      </c>
      <c r="M208">
        <f t="shared" si="25"/>
        <v>22372.9</v>
      </c>
      <c r="N208">
        <f t="shared" si="26"/>
        <v>21.205417196590002</v>
      </c>
      <c r="O208">
        <f t="shared" si="27"/>
        <v>0.7417249361397501</v>
      </c>
    </row>
    <row r="209" spans="6:15" x14ac:dyDescent="0.45">
      <c r="F209">
        <v>207</v>
      </c>
      <c r="G209">
        <v>47.2</v>
      </c>
      <c r="H209">
        <f t="shared" si="22"/>
        <v>47.2</v>
      </c>
      <c r="I209">
        <f t="shared" si="21"/>
        <v>1.3111111111111112E-2</v>
      </c>
      <c r="J209">
        <v>7.26</v>
      </c>
      <c r="K209">
        <f t="shared" si="23"/>
        <v>7.26</v>
      </c>
      <c r="L209">
        <f t="shared" si="24"/>
        <v>29.547899999999998</v>
      </c>
      <c r="M209">
        <f t="shared" si="25"/>
        <v>29547.899999999998</v>
      </c>
      <c r="N209">
        <f t="shared" si="26"/>
        <v>28.006004889089997</v>
      </c>
      <c r="O209">
        <f t="shared" si="27"/>
        <v>0.97959648684630596</v>
      </c>
    </row>
    <row r="210" spans="6:15" x14ac:dyDescent="0.45">
      <c r="F210">
        <v>208</v>
      </c>
      <c r="G210">
        <v>46.9</v>
      </c>
      <c r="H210">
        <f t="shared" si="22"/>
        <v>46.9</v>
      </c>
      <c r="I210">
        <f t="shared" si="21"/>
        <v>1.3027777777777777E-2</v>
      </c>
      <c r="J210">
        <v>8.7100000000000009</v>
      </c>
      <c r="K210">
        <f t="shared" si="23"/>
        <v>8.7100000000000009</v>
      </c>
      <c r="L210">
        <f t="shared" si="24"/>
        <v>33.172899999999998</v>
      </c>
      <c r="M210">
        <f t="shared" si="25"/>
        <v>33172.9</v>
      </c>
      <c r="N210">
        <f t="shared" si="26"/>
        <v>31.441841876590001</v>
      </c>
      <c r="O210">
        <f t="shared" si="27"/>
        <v>1.0997754933008379</v>
      </c>
    </row>
    <row r="211" spans="6:15" x14ac:dyDescent="0.45">
      <c r="F211">
        <v>209</v>
      </c>
      <c r="G211">
        <v>46.9</v>
      </c>
      <c r="H211">
        <f t="shared" si="22"/>
        <v>46.9</v>
      </c>
      <c r="I211">
        <f t="shared" si="21"/>
        <v>1.3027777777777777E-2</v>
      </c>
      <c r="J211">
        <v>13.76</v>
      </c>
      <c r="K211">
        <f t="shared" si="23"/>
        <v>13.76</v>
      </c>
      <c r="L211">
        <f t="shared" si="24"/>
        <v>45.797899999999998</v>
      </c>
      <c r="M211">
        <f t="shared" si="25"/>
        <v>45797.9</v>
      </c>
      <c r="N211">
        <f t="shared" si="26"/>
        <v>43.408032764090002</v>
      </c>
      <c r="O211">
        <f t="shared" si="27"/>
        <v>1.518329964056276</v>
      </c>
    </row>
    <row r="212" spans="6:15" x14ac:dyDescent="0.45">
      <c r="F212">
        <v>210</v>
      </c>
      <c r="G212">
        <v>47</v>
      </c>
      <c r="H212">
        <f t="shared" si="22"/>
        <v>47</v>
      </c>
      <c r="I212">
        <f t="shared" si="21"/>
        <v>1.3055555555555556E-2</v>
      </c>
      <c r="J212">
        <v>6.1</v>
      </c>
      <c r="K212">
        <f t="shared" si="23"/>
        <v>6.1</v>
      </c>
      <c r="L212">
        <f t="shared" si="24"/>
        <v>26.6479</v>
      </c>
      <c r="M212">
        <f t="shared" si="25"/>
        <v>26647.9</v>
      </c>
      <c r="N212">
        <f t="shared" si="26"/>
        <v>25.257335299090002</v>
      </c>
      <c r="O212">
        <f t="shared" si="27"/>
        <v>0.88345328168268067</v>
      </c>
    </row>
    <row r="213" spans="6:15" x14ac:dyDescent="0.45">
      <c r="F213">
        <v>211</v>
      </c>
      <c r="G213">
        <v>47</v>
      </c>
      <c r="H213">
        <f t="shared" si="22"/>
        <v>47</v>
      </c>
      <c r="I213">
        <f t="shared" si="21"/>
        <v>1.3055555555555556E-2</v>
      </c>
      <c r="J213">
        <v>5.32</v>
      </c>
      <c r="K213">
        <f t="shared" si="23"/>
        <v>5.32</v>
      </c>
      <c r="L213">
        <f t="shared" si="24"/>
        <v>24.697900000000001</v>
      </c>
      <c r="M213">
        <f t="shared" si="25"/>
        <v>24697.9</v>
      </c>
      <c r="N213">
        <f t="shared" si="26"/>
        <v>23.409091954090002</v>
      </c>
      <c r="O213">
        <f t="shared" si="27"/>
        <v>0.81880526441748425</v>
      </c>
    </row>
    <row r="214" spans="6:15" x14ac:dyDescent="0.45">
      <c r="F214">
        <v>212</v>
      </c>
      <c r="G214">
        <v>47</v>
      </c>
      <c r="H214">
        <f t="shared" si="22"/>
        <v>47</v>
      </c>
      <c r="I214">
        <f t="shared" si="21"/>
        <v>1.3055555555555556E-2</v>
      </c>
      <c r="J214">
        <v>7.13</v>
      </c>
      <c r="K214">
        <f t="shared" si="23"/>
        <v>7.13</v>
      </c>
      <c r="L214">
        <f t="shared" si="24"/>
        <v>29.222899999999999</v>
      </c>
      <c r="M214">
        <f t="shared" si="25"/>
        <v>29222.899999999998</v>
      </c>
      <c r="N214">
        <f t="shared" si="26"/>
        <v>27.697964331589997</v>
      </c>
      <c r="O214">
        <f t="shared" si="27"/>
        <v>0.96882181730210648</v>
      </c>
    </row>
    <row r="215" spans="6:15" x14ac:dyDescent="0.45">
      <c r="F215">
        <v>213</v>
      </c>
      <c r="G215">
        <v>47.2</v>
      </c>
      <c r="H215">
        <f t="shared" si="22"/>
        <v>47.2</v>
      </c>
      <c r="I215">
        <f t="shared" si="21"/>
        <v>1.3111111111111112E-2</v>
      </c>
      <c r="J215">
        <v>11.68</v>
      </c>
      <c r="K215">
        <f t="shared" si="23"/>
        <v>11.68</v>
      </c>
      <c r="L215">
        <f t="shared" si="24"/>
        <v>40.597899999999996</v>
      </c>
      <c r="M215">
        <f t="shared" si="25"/>
        <v>40597.899999999994</v>
      </c>
      <c r="N215">
        <f t="shared" si="26"/>
        <v>38.479383844089995</v>
      </c>
      <c r="O215">
        <f t="shared" si="27"/>
        <v>1.3459352513490854</v>
      </c>
    </row>
    <row r="216" spans="6:15" x14ac:dyDescent="0.45">
      <c r="F216">
        <v>214</v>
      </c>
      <c r="G216">
        <v>47.6</v>
      </c>
      <c r="H216">
        <f t="shared" si="22"/>
        <v>47.6</v>
      </c>
      <c r="I216">
        <f t="shared" si="21"/>
        <v>1.3222222222222222E-2</v>
      </c>
      <c r="J216">
        <v>14.5</v>
      </c>
      <c r="K216">
        <f t="shared" si="23"/>
        <v>14.5</v>
      </c>
      <c r="L216">
        <f t="shared" si="24"/>
        <v>47.6479</v>
      </c>
      <c r="M216">
        <f t="shared" si="25"/>
        <v>47647.9</v>
      </c>
      <c r="N216">
        <f t="shared" si="26"/>
        <v>45.161494399090003</v>
      </c>
      <c r="O216">
        <f t="shared" si="27"/>
        <v>1.5796626983847957</v>
      </c>
    </row>
    <row r="217" spans="6:15" x14ac:dyDescent="0.45">
      <c r="F217">
        <v>215</v>
      </c>
      <c r="G217">
        <v>48</v>
      </c>
      <c r="H217">
        <f t="shared" si="22"/>
        <v>48</v>
      </c>
      <c r="I217">
        <f t="shared" si="21"/>
        <v>1.3333333333333332E-2</v>
      </c>
      <c r="J217">
        <v>14.87</v>
      </c>
      <c r="K217">
        <f t="shared" si="23"/>
        <v>14.87</v>
      </c>
      <c r="L217">
        <f t="shared" si="24"/>
        <v>48.572899999999997</v>
      </c>
      <c r="M217">
        <f t="shared" si="25"/>
        <v>48572.899999999994</v>
      </c>
      <c r="N217">
        <f t="shared" si="26"/>
        <v>46.038225216589993</v>
      </c>
      <c r="O217">
        <f t="shared" si="27"/>
        <v>1.6103290655490554</v>
      </c>
    </row>
    <row r="218" spans="6:15" x14ac:dyDescent="0.45">
      <c r="F218">
        <v>216</v>
      </c>
      <c r="G218">
        <v>48.5</v>
      </c>
      <c r="H218">
        <f t="shared" si="22"/>
        <v>48.5</v>
      </c>
      <c r="I218">
        <f t="shared" si="21"/>
        <v>1.3472222222222222E-2</v>
      </c>
      <c r="J218">
        <v>16.77</v>
      </c>
      <c r="K218">
        <f t="shared" si="23"/>
        <v>16.77</v>
      </c>
      <c r="L218">
        <f t="shared" si="24"/>
        <v>53.322899999999997</v>
      </c>
      <c r="M218">
        <f t="shared" si="25"/>
        <v>53322.899999999994</v>
      </c>
      <c r="N218">
        <f t="shared" si="26"/>
        <v>50.540356441589999</v>
      </c>
      <c r="O218">
        <f t="shared" si="27"/>
        <v>1.7678050050412004</v>
      </c>
    </row>
    <row r="219" spans="6:15" x14ac:dyDescent="0.45">
      <c r="F219">
        <v>217</v>
      </c>
      <c r="G219">
        <v>49</v>
      </c>
      <c r="H219">
        <f t="shared" si="22"/>
        <v>49</v>
      </c>
      <c r="I219">
        <f t="shared" si="21"/>
        <v>1.361111111111111E-2</v>
      </c>
      <c r="J219">
        <v>17.54</v>
      </c>
      <c r="K219">
        <f t="shared" si="23"/>
        <v>17.54</v>
      </c>
      <c r="L219">
        <f t="shared" si="24"/>
        <v>55.247899999999994</v>
      </c>
      <c r="M219">
        <f t="shared" si="25"/>
        <v>55247.899999999994</v>
      </c>
      <c r="N219">
        <f t="shared" si="26"/>
        <v>52.364904359089998</v>
      </c>
      <c r="O219">
        <f t="shared" si="27"/>
        <v>1.8316242015722277</v>
      </c>
    </row>
    <row r="220" spans="6:15" x14ac:dyDescent="0.45">
      <c r="F220">
        <v>218</v>
      </c>
      <c r="G220">
        <v>49.7</v>
      </c>
      <c r="H220">
        <f t="shared" si="22"/>
        <v>49.7</v>
      </c>
      <c r="I220">
        <f t="shared" si="21"/>
        <v>1.3805555555555557E-2</v>
      </c>
      <c r="J220">
        <v>18.5</v>
      </c>
      <c r="K220">
        <f t="shared" si="23"/>
        <v>18.5</v>
      </c>
      <c r="L220">
        <f t="shared" si="24"/>
        <v>57.6479</v>
      </c>
      <c r="M220">
        <f t="shared" si="25"/>
        <v>57647.9</v>
      </c>
      <c r="N220">
        <f t="shared" si="26"/>
        <v>54.639665399090006</v>
      </c>
      <c r="O220">
        <f t="shared" si="27"/>
        <v>1.9111909920524695</v>
      </c>
    </row>
    <row r="221" spans="6:15" x14ac:dyDescent="0.45">
      <c r="F221">
        <v>219</v>
      </c>
      <c r="G221">
        <v>50</v>
      </c>
      <c r="H221">
        <f t="shared" si="22"/>
        <v>50</v>
      </c>
      <c r="I221">
        <f t="shared" si="21"/>
        <v>1.3888888888888888E-2</v>
      </c>
      <c r="J221">
        <v>12.61</v>
      </c>
      <c r="K221">
        <f t="shared" si="23"/>
        <v>12.61</v>
      </c>
      <c r="L221">
        <f t="shared" si="24"/>
        <v>42.922899999999998</v>
      </c>
      <c r="M221">
        <f t="shared" si="25"/>
        <v>42922.9</v>
      </c>
      <c r="N221">
        <f t="shared" si="26"/>
        <v>40.683058601590005</v>
      </c>
      <c r="O221">
        <f t="shared" si="27"/>
        <v>1.4230155796268198</v>
      </c>
    </row>
    <row r="222" spans="6:15" x14ac:dyDescent="0.45">
      <c r="F222">
        <v>220</v>
      </c>
      <c r="G222">
        <v>50.3</v>
      </c>
      <c r="H222">
        <f t="shared" si="22"/>
        <v>50.3</v>
      </c>
      <c r="I222">
        <f t="shared" si="21"/>
        <v>1.3972222222222221E-2</v>
      </c>
      <c r="J222">
        <v>18.38</v>
      </c>
      <c r="K222">
        <f t="shared" si="23"/>
        <v>18.38</v>
      </c>
      <c r="L222">
        <f t="shared" si="24"/>
        <v>57.347899999999996</v>
      </c>
      <c r="M222">
        <f t="shared" si="25"/>
        <v>57347.899999999994</v>
      </c>
      <c r="N222">
        <f t="shared" si="26"/>
        <v>54.355320269089994</v>
      </c>
      <c r="O222">
        <f t="shared" si="27"/>
        <v>1.9012451432424391</v>
      </c>
    </row>
    <row r="223" spans="6:15" x14ac:dyDescent="0.45">
      <c r="F223">
        <v>221</v>
      </c>
      <c r="G223">
        <v>50.9</v>
      </c>
      <c r="H223">
        <f t="shared" si="22"/>
        <v>50.9</v>
      </c>
      <c r="I223">
        <f t="shared" si="21"/>
        <v>1.4138888888888888E-2</v>
      </c>
      <c r="J223">
        <v>18.010000000000002</v>
      </c>
      <c r="K223">
        <f t="shared" si="23"/>
        <v>18.010000000000002</v>
      </c>
      <c r="L223">
        <f t="shared" si="24"/>
        <v>56.422900000000006</v>
      </c>
      <c r="M223">
        <f t="shared" si="25"/>
        <v>56422.900000000009</v>
      </c>
      <c r="N223">
        <f t="shared" si="26"/>
        <v>53.478589451590011</v>
      </c>
      <c r="O223">
        <f t="shared" si="27"/>
        <v>1.8705787760781798</v>
      </c>
    </row>
    <row r="224" spans="6:15" x14ac:dyDescent="0.45">
      <c r="F224">
        <v>222</v>
      </c>
      <c r="G224">
        <v>51.5</v>
      </c>
      <c r="H224">
        <f t="shared" si="22"/>
        <v>51.5</v>
      </c>
      <c r="I224">
        <f t="shared" si="21"/>
        <v>1.4305555555555556E-2</v>
      </c>
      <c r="J224">
        <v>17.86</v>
      </c>
      <c r="K224">
        <f t="shared" si="23"/>
        <v>17.86</v>
      </c>
      <c r="L224">
        <f t="shared" si="24"/>
        <v>56.047899999999998</v>
      </c>
      <c r="M224">
        <f t="shared" si="25"/>
        <v>56047.9</v>
      </c>
      <c r="N224">
        <f t="shared" si="26"/>
        <v>53.123158039090001</v>
      </c>
      <c r="O224">
        <f t="shared" si="27"/>
        <v>1.8581464650656416</v>
      </c>
    </row>
    <row r="225" spans="6:15" x14ac:dyDescent="0.45">
      <c r="F225">
        <v>223</v>
      </c>
      <c r="G225">
        <v>52.1</v>
      </c>
      <c r="H225">
        <f t="shared" si="22"/>
        <v>52.1</v>
      </c>
      <c r="I225">
        <f t="shared" si="21"/>
        <v>1.4472222222222223E-2</v>
      </c>
      <c r="J225">
        <v>18.22</v>
      </c>
      <c r="K225">
        <f t="shared" si="23"/>
        <v>18.22</v>
      </c>
      <c r="L225">
        <f t="shared" si="24"/>
        <v>56.947899999999997</v>
      </c>
      <c r="M225">
        <f t="shared" si="25"/>
        <v>56947.899999999994</v>
      </c>
      <c r="N225">
        <f t="shared" si="26"/>
        <v>53.976193429089996</v>
      </c>
      <c r="O225">
        <f t="shared" si="27"/>
        <v>1.8879840114957323</v>
      </c>
    </row>
    <row r="226" spans="6:15" x14ac:dyDescent="0.45">
      <c r="F226">
        <v>224</v>
      </c>
      <c r="G226">
        <v>53</v>
      </c>
      <c r="H226">
        <f t="shared" si="22"/>
        <v>53</v>
      </c>
      <c r="I226">
        <f t="shared" si="21"/>
        <v>1.4722222222222222E-2</v>
      </c>
      <c r="J226">
        <v>26.88</v>
      </c>
      <c r="K226">
        <f t="shared" si="23"/>
        <v>26.88</v>
      </c>
      <c r="L226">
        <f t="shared" si="24"/>
        <v>78.59790000000001</v>
      </c>
      <c r="M226">
        <f t="shared" si="25"/>
        <v>78597.900000000009</v>
      </c>
      <c r="N226">
        <f t="shared" si="26"/>
        <v>74.496433644090004</v>
      </c>
      <c r="O226">
        <f t="shared" si="27"/>
        <v>2.6057427672862468</v>
      </c>
    </row>
    <row r="227" spans="6:15" x14ac:dyDescent="0.45">
      <c r="F227">
        <v>225</v>
      </c>
      <c r="G227">
        <v>53.9</v>
      </c>
      <c r="H227">
        <f t="shared" si="22"/>
        <v>53.9</v>
      </c>
      <c r="I227">
        <f t="shared" si="21"/>
        <v>1.4972222222222222E-2</v>
      </c>
      <c r="J227">
        <v>28.99</v>
      </c>
      <c r="K227">
        <f t="shared" si="23"/>
        <v>28.99</v>
      </c>
      <c r="L227">
        <f t="shared" si="24"/>
        <v>83.872899999999987</v>
      </c>
      <c r="M227">
        <f t="shared" si="25"/>
        <v>83872.899999999994</v>
      </c>
      <c r="N227">
        <f t="shared" si="26"/>
        <v>79.496168846589995</v>
      </c>
      <c r="O227">
        <f t="shared" si="27"/>
        <v>2.7806239421959438</v>
      </c>
    </row>
    <row r="228" spans="6:15" x14ac:dyDescent="0.45">
      <c r="F228">
        <v>226</v>
      </c>
      <c r="G228">
        <v>54.7</v>
      </c>
      <c r="H228">
        <f t="shared" si="22"/>
        <v>54.7</v>
      </c>
      <c r="I228">
        <f t="shared" si="21"/>
        <v>1.5194444444444444E-2</v>
      </c>
      <c r="J228">
        <v>25.58</v>
      </c>
      <c r="K228">
        <f t="shared" si="23"/>
        <v>25.58</v>
      </c>
      <c r="L228">
        <f t="shared" si="24"/>
        <v>75.347899999999996</v>
      </c>
      <c r="M228">
        <f t="shared" si="25"/>
        <v>75347.899999999994</v>
      </c>
      <c r="N228">
        <f t="shared" si="26"/>
        <v>71.416028069090004</v>
      </c>
      <c r="O228">
        <f t="shared" si="27"/>
        <v>2.497996071844252</v>
      </c>
    </row>
    <row r="229" spans="6:15" x14ac:dyDescent="0.45">
      <c r="F229">
        <v>227</v>
      </c>
      <c r="G229">
        <v>55.2</v>
      </c>
      <c r="H229">
        <f t="shared" si="22"/>
        <v>55.2</v>
      </c>
      <c r="I229">
        <f t="shared" si="21"/>
        <v>1.5333333333333334E-2</v>
      </c>
      <c r="J229">
        <v>20.85</v>
      </c>
      <c r="K229">
        <f t="shared" si="23"/>
        <v>20.85</v>
      </c>
      <c r="L229">
        <f t="shared" si="24"/>
        <v>63.5229</v>
      </c>
      <c r="M229">
        <f t="shared" si="25"/>
        <v>63522.9</v>
      </c>
      <c r="N229">
        <f t="shared" si="26"/>
        <v>60.208090861590001</v>
      </c>
      <c r="O229">
        <f t="shared" si="27"/>
        <v>2.1059638645822281</v>
      </c>
    </row>
    <row r="230" spans="6:15" x14ac:dyDescent="0.45">
      <c r="F230">
        <v>228</v>
      </c>
      <c r="G230">
        <v>55.4</v>
      </c>
      <c r="H230">
        <f t="shared" si="22"/>
        <v>55.4</v>
      </c>
      <c r="I230">
        <f t="shared" si="21"/>
        <v>1.5388888888888888E-2</v>
      </c>
      <c r="J230">
        <v>15.74</v>
      </c>
      <c r="K230">
        <f t="shared" si="23"/>
        <v>15.74</v>
      </c>
      <c r="L230">
        <f t="shared" si="24"/>
        <v>50.747900000000001</v>
      </c>
      <c r="M230">
        <f t="shared" si="25"/>
        <v>50747.9</v>
      </c>
      <c r="N230">
        <f t="shared" si="26"/>
        <v>48.099727409090001</v>
      </c>
      <c r="O230">
        <f t="shared" si="27"/>
        <v>1.6824364694217746</v>
      </c>
    </row>
    <row r="231" spans="6:15" x14ac:dyDescent="0.45">
      <c r="F231">
        <v>229</v>
      </c>
      <c r="G231">
        <v>55</v>
      </c>
      <c r="H231">
        <f t="shared" si="22"/>
        <v>55</v>
      </c>
      <c r="I231">
        <f t="shared" si="21"/>
        <v>1.5277777777777777E-2</v>
      </c>
      <c r="J231">
        <v>1.92</v>
      </c>
      <c r="K231">
        <f t="shared" si="23"/>
        <v>1.92</v>
      </c>
      <c r="L231">
        <f t="shared" si="24"/>
        <v>16.197900000000001</v>
      </c>
      <c r="M231">
        <f t="shared" si="25"/>
        <v>16197.900000000001</v>
      </c>
      <c r="N231">
        <f t="shared" si="26"/>
        <v>15.352646604090001</v>
      </c>
      <c r="O231">
        <f t="shared" si="27"/>
        <v>0.53700621479996147</v>
      </c>
    </row>
    <row r="232" spans="6:15" x14ac:dyDescent="0.45">
      <c r="F232">
        <v>230</v>
      </c>
      <c r="G232">
        <v>54.8</v>
      </c>
      <c r="H232">
        <f t="shared" si="22"/>
        <v>54.8</v>
      </c>
      <c r="I232">
        <f t="shared" si="21"/>
        <v>1.5222222222222222E-2</v>
      </c>
      <c r="J232">
        <v>11.46</v>
      </c>
      <c r="K232">
        <f t="shared" si="23"/>
        <v>11.46</v>
      </c>
      <c r="L232">
        <f t="shared" si="24"/>
        <v>40.047899999999998</v>
      </c>
      <c r="M232">
        <f t="shared" si="25"/>
        <v>40047.9</v>
      </c>
      <c r="N232">
        <f t="shared" si="26"/>
        <v>37.958084439090001</v>
      </c>
      <c r="O232">
        <f t="shared" si="27"/>
        <v>1.3277011951973636</v>
      </c>
    </row>
    <row r="233" spans="6:15" x14ac:dyDescent="0.45">
      <c r="F233">
        <v>231</v>
      </c>
      <c r="G233">
        <v>54.6</v>
      </c>
      <c r="H233">
        <f t="shared" si="22"/>
        <v>54.6</v>
      </c>
      <c r="I233">
        <f t="shared" si="21"/>
        <v>1.5166666666666667E-2</v>
      </c>
      <c r="J233">
        <v>7.7</v>
      </c>
      <c r="K233">
        <f t="shared" si="23"/>
        <v>7.7</v>
      </c>
      <c r="L233">
        <f t="shared" si="24"/>
        <v>30.6479</v>
      </c>
      <c r="M233">
        <f t="shared" si="25"/>
        <v>30647.9</v>
      </c>
      <c r="N233">
        <f t="shared" si="26"/>
        <v>29.048603699090002</v>
      </c>
      <c r="O233">
        <f t="shared" si="27"/>
        <v>1.0160645991497503</v>
      </c>
    </row>
    <row r="234" spans="6:15" x14ac:dyDescent="0.45">
      <c r="F234">
        <v>232</v>
      </c>
      <c r="G234">
        <v>54.8</v>
      </c>
      <c r="H234">
        <f t="shared" si="22"/>
        <v>54.8</v>
      </c>
      <c r="I234">
        <f t="shared" si="21"/>
        <v>1.5222222222222222E-2</v>
      </c>
      <c r="J234">
        <v>17.79</v>
      </c>
      <c r="K234">
        <f t="shared" si="23"/>
        <v>17.79</v>
      </c>
      <c r="L234">
        <f t="shared" si="24"/>
        <v>55.872899999999994</v>
      </c>
      <c r="M234">
        <f t="shared" si="25"/>
        <v>55872.899999999994</v>
      </c>
      <c r="N234">
        <f t="shared" si="26"/>
        <v>52.957290046589996</v>
      </c>
      <c r="O234">
        <f t="shared" si="27"/>
        <v>1.8523447199264573</v>
      </c>
    </row>
    <row r="235" spans="6:15" x14ac:dyDescent="0.45">
      <c r="F235">
        <v>233</v>
      </c>
      <c r="G235">
        <v>55.2</v>
      </c>
      <c r="H235">
        <f t="shared" si="22"/>
        <v>55.2</v>
      </c>
      <c r="I235">
        <f t="shared" si="21"/>
        <v>1.5333333333333334E-2</v>
      </c>
      <c r="J235">
        <v>17.62</v>
      </c>
      <c r="K235">
        <f t="shared" si="23"/>
        <v>17.62</v>
      </c>
      <c r="L235">
        <f t="shared" si="24"/>
        <v>55.447900000000004</v>
      </c>
      <c r="M235">
        <f t="shared" si="25"/>
        <v>55447.9</v>
      </c>
      <c r="N235">
        <f t="shared" si="26"/>
        <v>52.554467779090004</v>
      </c>
      <c r="O235">
        <f t="shared" si="27"/>
        <v>1.8382547674455814</v>
      </c>
    </row>
    <row r="236" spans="6:15" x14ac:dyDescent="0.45">
      <c r="F236">
        <v>234</v>
      </c>
      <c r="G236">
        <v>55.6</v>
      </c>
      <c r="H236">
        <f t="shared" si="22"/>
        <v>55.6</v>
      </c>
      <c r="I236">
        <f t="shared" si="21"/>
        <v>1.5444444444444445E-2</v>
      </c>
      <c r="J236">
        <v>15.19</v>
      </c>
      <c r="K236">
        <f t="shared" si="23"/>
        <v>15.19</v>
      </c>
      <c r="L236">
        <f t="shared" si="24"/>
        <v>49.372900000000001</v>
      </c>
      <c r="M236">
        <f t="shared" si="25"/>
        <v>49372.9</v>
      </c>
      <c r="N236">
        <f t="shared" si="26"/>
        <v>46.796478896590003</v>
      </c>
      <c r="O236">
        <f t="shared" si="27"/>
        <v>1.6368513290424695</v>
      </c>
    </row>
    <row r="237" spans="6:15" x14ac:dyDescent="0.45">
      <c r="F237">
        <v>235</v>
      </c>
      <c r="G237">
        <v>55.8</v>
      </c>
      <c r="H237">
        <f t="shared" si="22"/>
        <v>55.8</v>
      </c>
      <c r="I237">
        <f t="shared" si="21"/>
        <v>1.55E-2</v>
      </c>
      <c r="J237">
        <v>15.89</v>
      </c>
      <c r="K237">
        <f t="shared" si="23"/>
        <v>15.89</v>
      </c>
      <c r="L237">
        <f t="shared" si="24"/>
        <v>51.122900000000001</v>
      </c>
      <c r="M237">
        <f t="shared" si="25"/>
        <v>51122.9</v>
      </c>
      <c r="N237">
        <f t="shared" si="26"/>
        <v>48.455158821590004</v>
      </c>
      <c r="O237">
        <f t="shared" si="27"/>
        <v>1.6948687804343123</v>
      </c>
    </row>
    <row r="238" spans="6:15" x14ac:dyDescent="0.45">
      <c r="F238">
        <v>236</v>
      </c>
      <c r="G238">
        <v>56.1</v>
      </c>
      <c r="H238">
        <f t="shared" si="22"/>
        <v>56.1</v>
      </c>
      <c r="I238">
        <f t="shared" si="21"/>
        <v>1.5583333333333334E-2</v>
      </c>
      <c r="J238">
        <v>17.7</v>
      </c>
      <c r="K238">
        <f t="shared" si="23"/>
        <v>17.7</v>
      </c>
      <c r="L238">
        <f t="shared" si="24"/>
        <v>55.6479</v>
      </c>
      <c r="M238">
        <f t="shared" si="25"/>
        <v>55647.9</v>
      </c>
      <c r="N238">
        <f t="shared" si="26"/>
        <v>52.744031199090003</v>
      </c>
      <c r="O238">
        <f t="shared" si="27"/>
        <v>1.8448853333189348</v>
      </c>
    </row>
    <row r="239" spans="6:15" x14ac:dyDescent="0.45">
      <c r="F239">
        <v>237</v>
      </c>
      <c r="G239">
        <v>56.5</v>
      </c>
      <c r="H239">
        <f t="shared" si="22"/>
        <v>56.5</v>
      </c>
      <c r="I239">
        <f t="shared" si="21"/>
        <v>1.5694444444444445E-2</v>
      </c>
      <c r="J239">
        <v>15.53</v>
      </c>
      <c r="K239">
        <f t="shared" si="23"/>
        <v>15.53</v>
      </c>
      <c r="L239">
        <f t="shared" si="24"/>
        <v>50.222899999999996</v>
      </c>
      <c r="M239">
        <f t="shared" si="25"/>
        <v>50222.899999999994</v>
      </c>
      <c r="N239">
        <f t="shared" si="26"/>
        <v>47.602123431589995</v>
      </c>
      <c r="O239">
        <f t="shared" si="27"/>
        <v>1.6650312340042215</v>
      </c>
    </row>
    <row r="240" spans="6:15" x14ac:dyDescent="0.45">
      <c r="F240">
        <v>238</v>
      </c>
      <c r="G240">
        <v>56.6</v>
      </c>
      <c r="H240">
        <f t="shared" si="22"/>
        <v>56.6</v>
      </c>
      <c r="I240">
        <f t="shared" si="21"/>
        <v>1.5722222222222224E-2</v>
      </c>
      <c r="J240">
        <v>13.37</v>
      </c>
      <c r="K240">
        <f t="shared" si="23"/>
        <v>13.37</v>
      </c>
      <c r="L240">
        <f t="shared" si="24"/>
        <v>44.822899999999997</v>
      </c>
      <c r="M240">
        <f t="shared" si="25"/>
        <v>44822.899999999994</v>
      </c>
      <c r="N240">
        <f t="shared" si="26"/>
        <v>42.483911091589995</v>
      </c>
      <c r="O240">
        <f t="shared" si="27"/>
        <v>1.4860059554236775</v>
      </c>
    </row>
    <row r="241" spans="6:15" x14ac:dyDescent="0.45">
      <c r="F241">
        <v>239</v>
      </c>
      <c r="G241">
        <v>56.8</v>
      </c>
      <c r="H241">
        <f t="shared" si="22"/>
        <v>56.8</v>
      </c>
      <c r="I241">
        <f t="shared" si="21"/>
        <v>1.5777777777777776E-2</v>
      </c>
      <c r="J241">
        <v>13.73</v>
      </c>
      <c r="K241">
        <f t="shared" si="23"/>
        <v>13.73</v>
      </c>
      <c r="L241">
        <f t="shared" si="24"/>
        <v>45.722900000000003</v>
      </c>
      <c r="M241">
        <f t="shared" si="25"/>
        <v>45722.9</v>
      </c>
      <c r="N241">
        <f t="shared" si="26"/>
        <v>43.336946481590005</v>
      </c>
      <c r="O241">
        <f t="shared" si="27"/>
        <v>1.5158435018537686</v>
      </c>
    </row>
    <row r="242" spans="6:15" x14ac:dyDescent="0.45">
      <c r="F242">
        <v>240</v>
      </c>
      <c r="G242">
        <v>56.7</v>
      </c>
      <c r="H242">
        <f t="shared" si="22"/>
        <v>56.7</v>
      </c>
      <c r="I242">
        <f t="shared" si="21"/>
        <v>1.575E-2</v>
      </c>
      <c r="J242">
        <v>11.04</v>
      </c>
      <c r="K242">
        <f t="shared" si="23"/>
        <v>11.04</v>
      </c>
      <c r="L242">
        <f t="shared" si="24"/>
        <v>38.997900000000001</v>
      </c>
      <c r="M242">
        <f t="shared" si="25"/>
        <v>38997.9</v>
      </c>
      <c r="N242">
        <f t="shared" si="26"/>
        <v>36.962876484090003</v>
      </c>
      <c r="O242">
        <f t="shared" si="27"/>
        <v>1.2928907243622578</v>
      </c>
    </row>
    <row r="243" spans="6:15" x14ac:dyDescent="0.45">
      <c r="F243">
        <v>241</v>
      </c>
      <c r="G243">
        <v>56.6</v>
      </c>
      <c r="H243">
        <f t="shared" si="22"/>
        <v>56.6</v>
      </c>
      <c r="I243">
        <f t="shared" si="21"/>
        <v>1.5722222222222224E-2</v>
      </c>
      <c r="J243">
        <v>10.48</v>
      </c>
      <c r="K243">
        <f t="shared" si="23"/>
        <v>10.48</v>
      </c>
      <c r="L243">
        <f t="shared" si="24"/>
        <v>37.597900000000003</v>
      </c>
      <c r="M243">
        <f t="shared" si="25"/>
        <v>37597.9</v>
      </c>
      <c r="N243">
        <f t="shared" si="26"/>
        <v>35.635932544090004</v>
      </c>
      <c r="O243">
        <f t="shared" si="27"/>
        <v>1.2464767632487834</v>
      </c>
    </row>
    <row r="244" spans="6:15" x14ac:dyDescent="0.45">
      <c r="F244">
        <v>242</v>
      </c>
      <c r="G244">
        <v>56.7</v>
      </c>
      <c r="H244">
        <f t="shared" si="22"/>
        <v>56.7</v>
      </c>
      <c r="I244">
        <f t="shared" si="21"/>
        <v>1.575E-2</v>
      </c>
      <c r="J244">
        <v>14.62</v>
      </c>
      <c r="K244">
        <f t="shared" si="23"/>
        <v>14.62</v>
      </c>
      <c r="L244">
        <f t="shared" si="24"/>
        <v>47.947899999999997</v>
      </c>
      <c r="M244">
        <f t="shared" si="25"/>
        <v>47947.899999999994</v>
      </c>
      <c r="N244">
        <f t="shared" si="26"/>
        <v>45.445839529089994</v>
      </c>
      <c r="O244">
        <f t="shared" si="27"/>
        <v>1.5896085471948256</v>
      </c>
    </row>
    <row r="245" spans="6:15" x14ac:dyDescent="0.45">
      <c r="F245">
        <v>243</v>
      </c>
      <c r="G245">
        <v>56.6</v>
      </c>
      <c r="H245">
        <f t="shared" si="22"/>
        <v>56.6</v>
      </c>
      <c r="I245">
        <f t="shared" si="21"/>
        <v>1.5722222222222224E-2</v>
      </c>
      <c r="J245">
        <v>10.89</v>
      </c>
      <c r="K245">
        <f t="shared" si="23"/>
        <v>10.89</v>
      </c>
      <c r="L245">
        <f t="shared" si="24"/>
        <v>38.622900000000001</v>
      </c>
      <c r="M245">
        <f t="shared" si="25"/>
        <v>38622.9</v>
      </c>
      <c r="N245">
        <f t="shared" si="26"/>
        <v>36.60744507159</v>
      </c>
      <c r="O245">
        <f t="shared" si="27"/>
        <v>1.2804584133497201</v>
      </c>
    </row>
    <row r="246" spans="6:15" x14ac:dyDescent="0.45">
      <c r="F246">
        <v>244</v>
      </c>
      <c r="G246">
        <v>56.5</v>
      </c>
      <c r="H246">
        <f t="shared" si="22"/>
        <v>56.5</v>
      </c>
      <c r="I246">
        <f t="shared" si="21"/>
        <v>1.5694444444444445E-2</v>
      </c>
      <c r="J246">
        <v>10.5</v>
      </c>
      <c r="K246">
        <f t="shared" si="23"/>
        <v>10.5</v>
      </c>
      <c r="L246">
        <f t="shared" si="24"/>
        <v>37.6479</v>
      </c>
      <c r="M246">
        <f t="shared" si="25"/>
        <v>37647.9</v>
      </c>
      <c r="N246">
        <f t="shared" si="26"/>
        <v>35.68332339909</v>
      </c>
      <c r="O246">
        <f t="shared" si="27"/>
        <v>1.2481344047171219</v>
      </c>
    </row>
    <row r="247" spans="6:15" x14ac:dyDescent="0.45">
      <c r="F247">
        <v>245</v>
      </c>
      <c r="G247">
        <v>56.5</v>
      </c>
      <c r="H247">
        <f t="shared" si="22"/>
        <v>56.5</v>
      </c>
      <c r="I247">
        <f t="shared" si="21"/>
        <v>1.5694444444444445E-2</v>
      </c>
      <c r="J247">
        <v>10.64</v>
      </c>
      <c r="K247">
        <f t="shared" si="23"/>
        <v>10.64</v>
      </c>
      <c r="L247">
        <f t="shared" si="24"/>
        <v>37.997900000000001</v>
      </c>
      <c r="M247">
        <f t="shared" si="25"/>
        <v>37997.9</v>
      </c>
      <c r="N247">
        <f t="shared" si="26"/>
        <v>36.015059384090002</v>
      </c>
      <c r="O247">
        <f t="shared" si="27"/>
        <v>1.2597378949954905</v>
      </c>
    </row>
    <row r="248" spans="6:15" x14ac:dyDescent="0.45">
      <c r="F248">
        <v>246</v>
      </c>
      <c r="G248">
        <v>56.4</v>
      </c>
      <c r="H248">
        <f t="shared" si="22"/>
        <v>56.4</v>
      </c>
      <c r="I248">
        <f t="shared" si="21"/>
        <v>1.5666666666666666E-2</v>
      </c>
      <c r="J248">
        <v>11.66</v>
      </c>
      <c r="K248">
        <f t="shared" si="23"/>
        <v>11.66</v>
      </c>
      <c r="L248">
        <f t="shared" si="24"/>
        <v>40.547899999999998</v>
      </c>
      <c r="M248">
        <f t="shared" si="25"/>
        <v>40547.9</v>
      </c>
      <c r="N248">
        <f t="shared" si="26"/>
        <v>38.431992989090006</v>
      </c>
      <c r="O248">
        <f t="shared" si="27"/>
        <v>1.3442776098807474</v>
      </c>
    </row>
    <row r="249" spans="6:15" x14ac:dyDescent="0.45">
      <c r="F249">
        <v>247</v>
      </c>
      <c r="G249">
        <v>56.3</v>
      </c>
      <c r="H249">
        <f t="shared" si="22"/>
        <v>56.3</v>
      </c>
      <c r="I249">
        <f t="shared" si="21"/>
        <v>1.563888888888889E-2</v>
      </c>
      <c r="J249">
        <v>10.48</v>
      </c>
      <c r="K249">
        <f t="shared" si="23"/>
        <v>10.48</v>
      </c>
      <c r="L249">
        <f t="shared" si="24"/>
        <v>37.597900000000003</v>
      </c>
      <c r="M249">
        <f t="shared" si="25"/>
        <v>37597.9</v>
      </c>
      <c r="N249">
        <f t="shared" si="26"/>
        <v>35.635932544090004</v>
      </c>
      <c r="O249">
        <f t="shared" si="27"/>
        <v>1.2464767632487834</v>
      </c>
    </row>
    <row r="250" spans="6:15" x14ac:dyDescent="0.45">
      <c r="F250">
        <v>248</v>
      </c>
      <c r="G250">
        <v>55.9</v>
      </c>
      <c r="H250">
        <f t="shared" si="22"/>
        <v>55.9</v>
      </c>
      <c r="I250">
        <f t="shared" si="21"/>
        <v>1.5527777777777777E-2</v>
      </c>
      <c r="J250">
        <v>4.3899999999999997</v>
      </c>
      <c r="K250">
        <f t="shared" si="23"/>
        <v>4.3899999999999997</v>
      </c>
      <c r="L250">
        <f t="shared" si="24"/>
        <v>22.372900000000001</v>
      </c>
      <c r="M250">
        <f t="shared" si="25"/>
        <v>22372.9</v>
      </c>
      <c r="N250">
        <f t="shared" si="26"/>
        <v>21.205417196590002</v>
      </c>
      <c r="O250">
        <f t="shared" si="27"/>
        <v>0.7417249361397501</v>
      </c>
    </row>
    <row r="251" spans="6:15" x14ac:dyDescent="0.45">
      <c r="F251">
        <v>249</v>
      </c>
      <c r="G251">
        <v>55.5</v>
      </c>
      <c r="H251">
        <f t="shared" si="22"/>
        <v>55.5</v>
      </c>
      <c r="I251">
        <f t="shared" si="21"/>
        <v>1.5416666666666667E-2</v>
      </c>
      <c r="J251">
        <v>4.3099999999999996</v>
      </c>
      <c r="K251">
        <f t="shared" si="23"/>
        <v>4.3099999999999996</v>
      </c>
      <c r="L251">
        <f t="shared" si="24"/>
        <v>22.172899999999998</v>
      </c>
      <c r="M251">
        <f t="shared" si="25"/>
        <v>22172.899999999998</v>
      </c>
      <c r="N251">
        <f t="shared" si="26"/>
        <v>21.015853776589999</v>
      </c>
      <c r="O251">
        <f t="shared" si="27"/>
        <v>0.73509437026639646</v>
      </c>
    </row>
    <row r="252" spans="6:15" x14ac:dyDescent="0.45">
      <c r="F252">
        <v>250</v>
      </c>
      <c r="G252">
        <v>54.9</v>
      </c>
      <c r="H252">
        <f t="shared" si="22"/>
        <v>54.9</v>
      </c>
      <c r="I252">
        <f t="shared" si="21"/>
        <v>1.525E-2</v>
      </c>
      <c r="J252">
        <v>1.63</v>
      </c>
      <c r="K252">
        <f t="shared" si="23"/>
        <v>1.63</v>
      </c>
      <c r="L252">
        <f t="shared" si="24"/>
        <v>15.472899999999999</v>
      </c>
      <c r="M252">
        <f t="shared" si="25"/>
        <v>15472.9</v>
      </c>
      <c r="N252">
        <f t="shared" si="26"/>
        <v>14.66547920659</v>
      </c>
      <c r="O252">
        <f t="shared" si="27"/>
        <v>0.51297041350905503</v>
      </c>
    </row>
    <row r="253" spans="6:15" x14ac:dyDescent="0.45">
      <c r="F253">
        <v>251</v>
      </c>
      <c r="G253">
        <v>54.4</v>
      </c>
      <c r="H253">
        <f t="shared" si="22"/>
        <v>54.4</v>
      </c>
      <c r="I253">
        <f t="shared" si="21"/>
        <v>1.511111111111111E-2</v>
      </c>
      <c r="J253">
        <v>5.88</v>
      </c>
      <c r="K253">
        <f t="shared" si="23"/>
        <v>5.88</v>
      </c>
      <c r="L253">
        <f t="shared" si="24"/>
        <v>26.097899999999999</v>
      </c>
      <c r="M253">
        <f t="shared" si="25"/>
        <v>26097.899999999998</v>
      </c>
      <c r="N253">
        <f t="shared" si="26"/>
        <v>24.736035894089998</v>
      </c>
      <c r="O253">
        <f t="shared" si="27"/>
        <v>0.86521922553095842</v>
      </c>
    </row>
    <row r="254" spans="6:15" x14ac:dyDescent="0.45">
      <c r="F254">
        <v>252</v>
      </c>
      <c r="G254">
        <v>54.1</v>
      </c>
      <c r="H254">
        <f t="shared" si="22"/>
        <v>54.1</v>
      </c>
      <c r="I254">
        <f t="shared" si="21"/>
        <v>1.5027777777777779E-2</v>
      </c>
      <c r="J254">
        <v>7.51</v>
      </c>
      <c r="K254">
        <f t="shared" si="23"/>
        <v>7.51</v>
      </c>
      <c r="L254">
        <f t="shared" si="24"/>
        <v>30.172899999999998</v>
      </c>
      <c r="M254">
        <f t="shared" si="25"/>
        <v>30172.899999999998</v>
      </c>
      <c r="N254">
        <f t="shared" si="26"/>
        <v>28.598390576589999</v>
      </c>
      <c r="O254">
        <f t="shared" si="27"/>
        <v>1.0003170052005357</v>
      </c>
    </row>
    <row r="255" spans="6:15" x14ac:dyDescent="0.45">
      <c r="F255">
        <v>253</v>
      </c>
      <c r="G255">
        <v>53.8</v>
      </c>
      <c r="H255">
        <f t="shared" si="22"/>
        <v>53.8</v>
      </c>
      <c r="I255">
        <f t="shared" si="21"/>
        <v>1.4944444444444444E-2</v>
      </c>
      <c r="J255">
        <v>7.23</v>
      </c>
      <c r="K255">
        <f t="shared" si="23"/>
        <v>7.23</v>
      </c>
      <c r="L255">
        <f t="shared" si="24"/>
        <v>29.472900000000003</v>
      </c>
      <c r="M255">
        <f t="shared" si="25"/>
        <v>29472.9</v>
      </c>
      <c r="N255">
        <f t="shared" si="26"/>
        <v>27.934918606590003</v>
      </c>
      <c r="O255">
        <f t="shared" si="27"/>
        <v>0.97711002464379848</v>
      </c>
    </row>
    <row r="256" spans="6:15" x14ac:dyDescent="0.45">
      <c r="F256">
        <v>254</v>
      </c>
      <c r="G256">
        <v>53.7</v>
      </c>
      <c r="H256">
        <f t="shared" si="22"/>
        <v>53.7</v>
      </c>
      <c r="I256">
        <f t="shared" si="21"/>
        <v>1.4916666666666667E-2</v>
      </c>
      <c r="J256">
        <v>12.31</v>
      </c>
      <c r="K256">
        <f t="shared" si="23"/>
        <v>12.31</v>
      </c>
      <c r="L256">
        <f t="shared" si="24"/>
        <v>42.172899999999998</v>
      </c>
      <c r="M256">
        <f t="shared" si="25"/>
        <v>42172.9</v>
      </c>
      <c r="N256">
        <f t="shared" si="26"/>
        <v>39.972195776590006</v>
      </c>
      <c r="O256">
        <f t="shared" si="27"/>
        <v>1.3981509576017443</v>
      </c>
    </row>
    <row r="257" spans="6:15" x14ac:dyDescent="0.45">
      <c r="F257">
        <v>255</v>
      </c>
      <c r="G257">
        <v>53.8</v>
      </c>
      <c r="H257">
        <f t="shared" si="22"/>
        <v>53.8</v>
      </c>
      <c r="I257">
        <f t="shared" si="21"/>
        <v>1.4944444444444444E-2</v>
      </c>
      <c r="J257">
        <v>13.12</v>
      </c>
      <c r="K257">
        <f t="shared" si="23"/>
        <v>13.12</v>
      </c>
      <c r="L257">
        <f t="shared" si="24"/>
        <v>44.197899999999997</v>
      </c>
      <c r="M257">
        <f t="shared" si="25"/>
        <v>44197.899999999994</v>
      </c>
      <c r="N257">
        <f t="shared" si="26"/>
        <v>41.891525404089997</v>
      </c>
      <c r="O257">
        <f t="shared" si="27"/>
        <v>1.4652854370694479</v>
      </c>
    </row>
    <row r="258" spans="6:15" x14ac:dyDescent="0.45">
      <c r="F258">
        <v>256</v>
      </c>
      <c r="G258">
        <v>54</v>
      </c>
      <c r="H258">
        <f t="shared" si="22"/>
        <v>54</v>
      </c>
      <c r="I258">
        <f t="shared" ref="I258:I321" si="28">H258*(1/3600)</f>
        <v>1.4999999999999999E-2</v>
      </c>
      <c r="J258">
        <v>13.79</v>
      </c>
      <c r="K258">
        <f t="shared" si="23"/>
        <v>13.79</v>
      </c>
      <c r="L258">
        <f t="shared" si="24"/>
        <v>45.872899999999994</v>
      </c>
      <c r="M258">
        <f t="shared" si="25"/>
        <v>45872.899999999994</v>
      </c>
      <c r="N258">
        <f t="shared" si="26"/>
        <v>43.479119046589993</v>
      </c>
      <c r="O258">
        <f t="shared" si="27"/>
        <v>1.5208164262587835</v>
      </c>
    </row>
    <row r="259" spans="6:15" x14ac:dyDescent="0.45">
      <c r="F259">
        <v>257</v>
      </c>
      <c r="G259">
        <v>54.1</v>
      </c>
      <c r="H259">
        <f t="shared" ref="H259:H322" si="29">IF(G259&lt;0,0,G259)</f>
        <v>54.1</v>
      </c>
      <c r="I259">
        <f t="shared" si="28"/>
        <v>1.5027777777777779E-2</v>
      </c>
      <c r="J259">
        <v>12.17</v>
      </c>
      <c r="K259">
        <f t="shared" ref="K259:K322" si="30">IF(J259&lt;0,0,J259)</f>
        <v>12.17</v>
      </c>
      <c r="L259">
        <f t="shared" ref="L259:L322" si="31">(1/$B$5)*K259+((3.4798*$B$6)+0.9585)</f>
        <v>41.822900000000004</v>
      </c>
      <c r="M259">
        <f t="shared" ref="M259:M322" si="32">L259*1000</f>
        <v>41822.9</v>
      </c>
      <c r="N259">
        <f t="shared" ref="N259:N322" si="33">M259*0.0009478171</f>
        <v>39.640459791590004</v>
      </c>
      <c r="O259">
        <f t="shared" ref="O259:O322" si="34">(M259*453.59237)/(18489*0.74*1000)</f>
        <v>1.3865474673233757</v>
      </c>
    </row>
    <row r="260" spans="6:15" x14ac:dyDescent="0.45">
      <c r="F260">
        <v>258</v>
      </c>
      <c r="G260">
        <v>54</v>
      </c>
      <c r="H260">
        <f t="shared" si="29"/>
        <v>54</v>
      </c>
      <c r="I260">
        <f t="shared" si="28"/>
        <v>1.4999999999999999E-2</v>
      </c>
      <c r="J260">
        <v>7.74</v>
      </c>
      <c r="K260">
        <f t="shared" si="30"/>
        <v>7.74</v>
      </c>
      <c r="L260">
        <f t="shared" si="31"/>
        <v>30.747900000000001</v>
      </c>
      <c r="M260">
        <f t="shared" si="32"/>
        <v>30747.9</v>
      </c>
      <c r="N260">
        <f t="shared" si="33"/>
        <v>29.143385409090001</v>
      </c>
      <c r="O260">
        <f t="shared" si="34"/>
        <v>1.019379882086427</v>
      </c>
    </row>
    <row r="261" spans="6:15" x14ac:dyDescent="0.45">
      <c r="F261">
        <v>259</v>
      </c>
      <c r="G261">
        <v>53.9</v>
      </c>
      <c r="H261">
        <f t="shared" si="29"/>
        <v>53.9</v>
      </c>
      <c r="I261">
        <f t="shared" si="28"/>
        <v>1.4972222222222222E-2</v>
      </c>
      <c r="J261">
        <v>10.63</v>
      </c>
      <c r="K261">
        <f t="shared" si="30"/>
        <v>10.63</v>
      </c>
      <c r="L261">
        <f t="shared" si="31"/>
        <v>37.972900000000003</v>
      </c>
      <c r="M261">
        <f t="shared" si="32"/>
        <v>37972.9</v>
      </c>
      <c r="N261">
        <f t="shared" si="33"/>
        <v>35.99136395659</v>
      </c>
      <c r="O261">
        <f t="shared" si="34"/>
        <v>1.2589090742613214</v>
      </c>
    </row>
    <row r="262" spans="6:15" x14ac:dyDescent="0.45">
      <c r="F262">
        <v>260</v>
      </c>
      <c r="G262">
        <v>53.6</v>
      </c>
      <c r="H262">
        <f t="shared" si="29"/>
        <v>53.6</v>
      </c>
      <c r="I262">
        <f t="shared" si="28"/>
        <v>1.4888888888888889E-2</v>
      </c>
      <c r="J262">
        <v>6.84</v>
      </c>
      <c r="K262">
        <f t="shared" si="30"/>
        <v>6.84</v>
      </c>
      <c r="L262">
        <f t="shared" si="31"/>
        <v>28.497900000000001</v>
      </c>
      <c r="M262">
        <f t="shared" si="32"/>
        <v>28497.9</v>
      </c>
      <c r="N262">
        <f t="shared" si="33"/>
        <v>27.010796934090003</v>
      </c>
      <c r="O262">
        <f t="shared" si="34"/>
        <v>0.94478601601120038</v>
      </c>
    </row>
    <row r="263" spans="6:15" x14ac:dyDescent="0.45">
      <c r="F263">
        <v>261</v>
      </c>
      <c r="G263">
        <v>53.3</v>
      </c>
      <c r="H263">
        <f t="shared" si="29"/>
        <v>53.3</v>
      </c>
      <c r="I263">
        <f t="shared" si="28"/>
        <v>1.4805555555555554E-2</v>
      </c>
      <c r="J263">
        <v>4.66</v>
      </c>
      <c r="K263">
        <f t="shared" si="30"/>
        <v>4.66</v>
      </c>
      <c r="L263">
        <f t="shared" si="31"/>
        <v>23.047899999999998</v>
      </c>
      <c r="M263">
        <f t="shared" si="32"/>
        <v>23047.899999999998</v>
      </c>
      <c r="N263">
        <f t="shared" si="33"/>
        <v>21.84519373909</v>
      </c>
      <c r="O263">
        <f t="shared" si="34"/>
        <v>0.76410309596231796</v>
      </c>
    </row>
    <row r="264" spans="6:15" x14ac:dyDescent="0.45">
      <c r="F264">
        <v>262</v>
      </c>
      <c r="G264">
        <v>52.9</v>
      </c>
      <c r="H264">
        <f t="shared" si="29"/>
        <v>52.9</v>
      </c>
      <c r="I264">
        <f t="shared" si="28"/>
        <v>1.4694444444444444E-2</v>
      </c>
      <c r="J264">
        <v>5.26</v>
      </c>
      <c r="K264">
        <f t="shared" si="30"/>
        <v>5.26</v>
      </c>
      <c r="L264">
        <f t="shared" si="31"/>
        <v>24.547899999999998</v>
      </c>
      <c r="M264">
        <f t="shared" si="32"/>
        <v>24547.899999999998</v>
      </c>
      <c r="N264">
        <f t="shared" si="33"/>
        <v>23.266919389089999</v>
      </c>
      <c r="O264">
        <f t="shared" si="34"/>
        <v>0.81383234001246907</v>
      </c>
    </row>
    <row r="265" spans="6:15" x14ac:dyDescent="0.45">
      <c r="F265">
        <v>263</v>
      </c>
      <c r="G265">
        <v>52.5</v>
      </c>
      <c r="H265">
        <f t="shared" si="29"/>
        <v>52.5</v>
      </c>
      <c r="I265">
        <f t="shared" si="28"/>
        <v>1.4583333333333334E-2</v>
      </c>
      <c r="J265">
        <v>4.09</v>
      </c>
      <c r="K265">
        <f t="shared" si="30"/>
        <v>4.09</v>
      </c>
      <c r="L265">
        <f t="shared" si="31"/>
        <v>21.622900000000001</v>
      </c>
      <c r="M265">
        <f t="shared" si="32"/>
        <v>21622.9</v>
      </c>
      <c r="N265">
        <f t="shared" si="33"/>
        <v>20.494554371590002</v>
      </c>
      <c r="O265">
        <f t="shared" si="34"/>
        <v>0.71686031411467455</v>
      </c>
    </row>
    <row r="266" spans="6:15" x14ac:dyDescent="0.45">
      <c r="F266">
        <v>264</v>
      </c>
      <c r="G266">
        <v>52.2</v>
      </c>
      <c r="H266">
        <f t="shared" si="29"/>
        <v>52.2</v>
      </c>
      <c r="I266">
        <f t="shared" si="28"/>
        <v>1.4500000000000001E-2</v>
      </c>
      <c r="J266">
        <v>4.0999999999999996</v>
      </c>
      <c r="K266">
        <f t="shared" si="30"/>
        <v>4.0999999999999996</v>
      </c>
      <c r="L266">
        <f t="shared" si="31"/>
        <v>21.6479</v>
      </c>
      <c r="M266">
        <f t="shared" si="32"/>
        <v>21647.9</v>
      </c>
      <c r="N266">
        <f t="shared" si="33"/>
        <v>20.51824979909</v>
      </c>
      <c r="O266">
        <f t="shared" si="34"/>
        <v>0.71768913484884378</v>
      </c>
    </row>
    <row r="267" spans="6:15" x14ac:dyDescent="0.45">
      <c r="F267">
        <v>265</v>
      </c>
      <c r="G267">
        <v>52.5</v>
      </c>
      <c r="H267">
        <f t="shared" si="29"/>
        <v>52.5</v>
      </c>
      <c r="I267">
        <f t="shared" si="28"/>
        <v>1.4583333333333334E-2</v>
      </c>
      <c r="J267">
        <v>12.52</v>
      </c>
      <c r="K267">
        <f t="shared" si="30"/>
        <v>12.52</v>
      </c>
      <c r="L267">
        <f t="shared" si="31"/>
        <v>42.697899999999997</v>
      </c>
      <c r="M267">
        <f t="shared" si="32"/>
        <v>42697.899999999994</v>
      </c>
      <c r="N267">
        <f t="shared" si="33"/>
        <v>40.469799754089998</v>
      </c>
      <c r="O267">
        <f t="shared" si="34"/>
        <v>1.4155561930192968</v>
      </c>
    </row>
    <row r="268" spans="6:15" x14ac:dyDescent="0.45">
      <c r="F268">
        <v>266</v>
      </c>
      <c r="G268">
        <v>52.1</v>
      </c>
      <c r="H268">
        <f t="shared" si="29"/>
        <v>52.1</v>
      </c>
      <c r="I268">
        <f t="shared" si="28"/>
        <v>1.4472222222222223E-2</v>
      </c>
      <c r="J268">
        <v>3.6</v>
      </c>
      <c r="K268">
        <f t="shared" si="30"/>
        <v>3.6</v>
      </c>
      <c r="L268">
        <f t="shared" si="31"/>
        <v>20.3979</v>
      </c>
      <c r="M268">
        <f t="shared" si="32"/>
        <v>20397.900000000001</v>
      </c>
      <c r="N268">
        <f t="shared" si="33"/>
        <v>19.333478424090004</v>
      </c>
      <c r="O268">
        <f t="shared" si="34"/>
        <v>0.67624809814038456</v>
      </c>
    </row>
    <row r="269" spans="6:15" x14ac:dyDescent="0.45">
      <c r="F269">
        <v>267</v>
      </c>
      <c r="G269">
        <v>51.9</v>
      </c>
      <c r="H269">
        <f t="shared" si="29"/>
        <v>51.9</v>
      </c>
      <c r="I269">
        <f t="shared" si="28"/>
        <v>1.4416666666666666E-2</v>
      </c>
      <c r="J269">
        <v>7.24</v>
      </c>
      <c r="K269">
        <f t="shared" si="30"/>
        <v>7.24</v>
      </c>
      <c r="L269">
        <f t="shared" si="31"/>
        <v>29.497900000000001</v>
      </c>
      <c r="M269">
        <f t="shared" si="32"/>
        <v>29497.9</v>
      </c>
      <c r="N269">
        <f t="shared" si="33"/>
        <v>27.958614034090001</v>
      </c>
      <c r="O269">
        <f t="shared" si="34"/>
        <v>0.97793884537796771</v>
      </c>
    </row>
    <row r="270" spans="6:15" x14ac:dyDescent="0.45">
      <c r="F270">
        <v>268</v>
      </c>
      <c r="G270">
        <v>51.7</v>
      </c>
      <c r="H270">
        <f t="shared" si="29"/>
        <v>51.7</v>
      </c>
      <c r="I270">
        <f t="shared" si="28"/>
        <v>1.4361111111111113E-2</v>
      </c>
      <c r="J270">
        <v>7.88</v>
      </c>
      <c r="K270">
        <f t="shared" si="30"/>
        <v>7.88</v>
      </c>
      <c r="L270">
        <f t="shared" si="31"/>
        <v>31.097899999999999</v>
      </c>
      <c r="M270">
        <f t="shared" si="32"/>
        <v>31097.899999999998</v>
      </c>
      <c r="N270">
        <f t="shared" si="33"/>
        <v>29.475121394089999</v>
      </c>
      <c r="O270">
        <f t="shared" si="34"/>
        <v>1.0309833723647954</v>
      </c>
    </row>
    <row r="271" spans="6:15" x14ac:dyDescent="0.45">
      <c r="F271">
        <v>269</v>
      </c>
      <c r="G271">
        <v>51.6</v>
      </c>
      <c r="H271">
        <f t="shared" si="29"/>
        <v>51.6</v>
      </c>
      <c r="I271">
        <f t="shared" si="28"/>
        <v>1.4333333333333333E-2</v>
      </c>
      <c r="J271">
        <v>9.8000000000000007</v>
      </c>
      <c r="K271">
        <f t="shared" si="30"/>
        <v>9.8000000000000007</v>
      </c>
      <c r="L271">
        <f t="shared" si="31"/>
        <v>35.8979</v>
      </c>
      <c r="M271">
        <f t="shared" si="32"/>
        <v>35897.9</v>
      </c>
      <c r="N271">
        <f t="shared" si="33"/>
        <v>34.024643474090006</v>
      </c>
      <c r="O271">
        <f t="shared" si="34"/>
        <v>1.1901169533252789</v>
      </c>
    </row>
    <row r="272" spans="6:15" x14ac:dyDescent="0.45">
      <c r="F272">
        <v>270</v>
      </c>
      <c r="G272">
        <v>51.6</v>
      </c>
      <c r="H272">
        <f t="shared" si="29"/>
        <v>51.6</v>
      </c>
      <c r="I272">
        <f t="shared" si="28"/>
        <v>1.4333333333333333E-2</v>
      </c>
      <c r="J272">
        <v>12.5</v>
      </c>
      <c r="K272">
        <f t="shared" si="30"/>
        <v>12.5</v>
      </c>
      <c r="L272">
        <f t="shared" si="31"/>
        <v>42.6479</v>
      </c>
      <c r="M272">
        <f t="shared" si="32"/>
        <v>42647.9</v>
      </c>
      <c r="N272">
        <f t="shared" si="33"/>
        <v>40.422408899090001</v>
      </c>
      <c r="O272">
        <f t="shared" si="34"/>
        <v>1.413898551550959</v>
      </c>
    </row>
    <row r="273" spans="6:15" x14ac:dyDescent="0.45">
      <c r="F273">
        <v>271</v>
      </c>
      <c r="G273">
        <v>51.8</v>
      </c>
      <c r="H273">
        <f t="shared" si="29"/>
        <v>51.8</v>
      </c>
      <c r="I273">
        <f t="shared" si="28"/>
        <v>1.4388888888888889E-2</v>
      </c>
      <c r="J273">
        <v>13.08</v>
      </c>
      <c r="K273">
        <f t="shared" si="30"/>
        <v>13.08</v>
      </c>
      <c r="L273">
        <f t="shared" si="31"/>
        <v>44.097900000000003</v>
      </c>
      <c r="M273">
        <f t="shared" si="32"/>
        <v>44097.9</v>
      </c>
      <c r="N273">
        <f t="shared" si="33"/>
        <v>41.796743694090004</v>
      </c>
      <c r="O273">
        <f t="shared" si="34"/>
        <v>1.4619701541327714</v>
      </c>
    </row>
    <row r="274" spans="6:15" x14ac:dyDescent="0.45">
      <c r="F274">
        <v>272</v>
      </c>
      <c r="G274">
        <v>52</v>
      </c>
      <c r="H274">
        <f t="shared" si="29"/>
        <v>52</v>
      </c>
      <c r="I274">
        <f t="shared" si="28"/>
        <v>1.4444444444444444E-2</v>
      </c>
      <c r="J274">
        <v>13.56</v>
      </c>
      <c r="K274">
        <f t="shared" si="30"/>
        <v>13.56</v>
      </c>
      <c r="L274">
        <f t="shared" si="31"/>
        <v>45.297899999999998</v>
      </c>
      <c r="M274">
        <f t="shared" si="32"/>
        <v>45297.9</v>
      </c>
      <c r="N274">
        <f t="shared" si="33"/>
        <v>42.934124214090005</v>
      </c>
      <c r="O274">
        <f t="shared" si="34"/>
        <v>1.5017535493728924</v>
      </c>
    </row>
    <row r="275" spans="6:15" x14ac:dyDescent="0.45">
      <c r="F275">
        <v>273</v>
      </c>
      <c r="G275">
        <v>52.3</v>
      </c>
      <c r="H275">
        <f t="shared" si="29"/>
        <v>52.3</v>
      </c>
      <c r="I275">
        <f t="shared" si="28"/>
        <v>1.4527777777777777E-2</v>
      </c>
      <c r="J275">
        <v>16.22</v>
      </c>
      <c r="K275">
        <f t="shared" si="30"/>
        <v>16.22</v>
      </c>
      <c r="L275">
        <f t="shared" si="31"/>
        <v>51.947899999999997</v>
      </c>
      <c r="M275">
        <f t="shared" si="32"/>
        <v>51947.899999999994</v>
      </c>
      <c r="N275">
        <f t="shared" si="33"/>
        <v>49.237107929089994</v>
      </c>
      <c r="O275">
        <f t="shared" si="34"/>
        <v>1.7222198646618951</v>
      </c>
    </row>
    <row r="276" spans="6:15" x14ac:dyDescent="0.45">
      <c r="F276">
        <v>274</v>
      </c>
      <c r="G276">
        <v>52.9</v>
      </c>
      <c r="H276">
        <f t="shared" si="29"/>
        <v>52.9</v>
      </c>
      <c r="I276">
        <f t="shared" si="28"/>
        <v>1.4694444444444444E-2</v>
      </c>
      <c r="J276">
        <v>19.38</v>
      </c>
      <c r="K276">
        <f t="shared" si="30"/>
        <v>19.38</v>
      </c>
      <c r="L276">
        <f t="shared" si="31"/>
        <v>59.847899999999996</v>
      </c>
      <c r="M276">
        <f t="shared" si="32"/>
        <v>59847.899999999994</v>
      </c>
      <c r="N276">
        <f t="shared" si="33"/>
        <v>56.724863019089995</v>
      </c>
      <c r="O276">
        <f t="shared" si="34"/>
        <v>1.9841272166593575</v>
      </c>
    </row>
    <row r="277" spans="6:15" x14ac:dyDescent="0.45">
      <c r="F277">
        <v>275</v>
      </c>
      <c r="G277">
        <v>53.5</v>
      </c>
      <c r="H277">
        <f t="shared" si="29"/>
        <v>53.5</v>
      </c>
      <c r="I277">
        <f t="shared" si="28"/>
        <v>1.4861111111111111E-2</v>
      </c>
      <c r="J277">
        <v>21.54</v>
      </c>
      <c r="K277">
        <f t="shared" si="30"/>
        <v>21.54</v>
      </c>
      <c r="L277">
        <f t="shared" si="31"/>
        <v>65.247899999999987</v>
      </c>
      <c r="M277">
        <f t="shared" si="32"/>
        <v>65247.899999999987</v>
      </c>
      <c r="N277">
        <f t="shared" si="33"/>
        <v>61.843075359089987</v>
      </c>
      <c r="O277">
        <f t="shared" si="34"/>
        <v>2.1631524952399013</v>
      </c>
    </row>
    <row r="278" spans="6:15" x14ac:dyDescent="0.45">
      <c r="F278">
        <v>276</v>
      </c>
      <c r="G278">
        <v>54.1</v>
      </c>
      <c r="H278">
        <f t="shared" si="29"/>
        <v>54.1</v>
      </c>
      <c r="I278">
        <f t="shared" si="28"/>
        <v>1.5027777777777779E-2</v>
      </c>
      <c r="J278">
        <v>19.55</v>
      </c>
      <c r="K278">
        <f t="shared" si="30"/>
        <v>19.55</v>
      </c>
      <c r="L278">
        <f t="shared" si="31"/>
        <v>60.2729</v>
      </c>
      <c r="M278">
        <f t="shared" si="32"/>
        <v>60272.9</v>
      </c>
      <c r="N278">
        <f t="shared" si="33"/>
        <v>57.127685286590001</v>
      </c>
      <c r="O278">
        <f t="shared" si="34"/>
        <v>1.998217169140234</v>
      </c>
    </row>
    <row r="279" spans="6:15" x14ac:dyDescent="0.45">
      <c r="F279">
        <v>277</v>
      </c>
      <c r="G279">
        <v>54.7</v>
      </c>
      <c r="H279">
        <f t="shared" si="29"/>
        <v>54.7</v>
      </c>
      <c r="I279">
        <f t="shared" si="28"/>
        <v>1.5194444444444444E-2</v>
      </c>
      <c r="J279">
        <v>20.92</v>
      </c>
      <c r="K279">
        <f t="shared" si="30"/>
        <v>20.92</v>
      </c>
      <c r="L279">
        <f t="shared" si="31"/>
        <v>63.697900000000004</v>
      </c>
      <c r="M279">
        <f t="shared" si="32"/>
        <v>63697.9</v>
      </c>
      <c r="N279">
        <f t="shared" si="33"/>
        <v>60.373958854090006</v>
      </c>
      <c r="O279">
        <f t="shared" si="34"/>
        <v>2.1117656097214121</v>
      </c>
    </row>
    <row r="280" spans="6:15" x14ac:dyDescent="0.45">
      <c r="F280">
        <v>278</v>
      </c>
      <c r="G280">
        <v>55.4</v>
      </c>
      <c r="H280">
        <f t="shared" si="29"/>
        <v>55.4</v>
      </c>
      <c r="I280">
        <f t="shared" si="28"/>
        <v>1.5388888888888888E-2</v>
      </c>
      <c r="J280">
        <v>19.03</v>
      </c>
      <c r="K280">
        <f t="shared" si="30"/>
        <v>19.03</v>
      </c>
      <c r="L280">
        <f t="shared" si="31"/>
        <v>58.972900000000003</v>
      </c>
      <c r="M280">
        <f t="shared" si="32"/>
        <v>58972.9</v>
      </c>
      <c r="N280">
        <f t="shared" si="33"/>
        <v>55.895523056590001</v>
      </c>
      <c r="O280">
        <f t="shared" si="34"/>
        <v>1.9551184909634363</v>
      </c>
    </row>
    <row r="281" spans="6:15" x14ac:dyDescent="0.45">
      <c r="F281">
        <v>279</v>
      </c>
      <c r="G281">
        <v>55.8</v>
      </c>
      <c r="H281">
        <f t="shared" si="29"/>
        <v>55.8</v>
      </c>
      <c r="I281">
        <f t="shared" si="28"/>
        <v>1.55E-2</v>
      </c>
      <c r="J281">
        <v>17.29</v>
      </c>
      <c r="K281">
        <f t="shared" si="30"/>
        <v>17.29</v>
      </c>
      <c r="L281">
        <f t="shared" si="31"/>
        <v>54.622899999999994</v>
      </c>
      <c r="M281">
        <f t="shared" si="32"/>
        <v>54622.899999999994</v>
      </c>
      <c r="N281">
        <f t="shared" si="33"/>
        <v>51.772518671589999</v>
      </c>
      <c r="O281">
        <f t="shared" si="34"/>
        <v>1.8109036832179981</v>
      </c>
    </row>
    <row r="282" spans="6:15" x14ac:dyDescent="0.45">
      <c r="F282">
        <v>280</v>
      </c>
      <c r="G282">
        <v>56.1</v>
      </c>
      <c r="H282">
        <f t="shared" si="29"/>
        <v>56.1</v>
      </c>
      <c r="I282">
        <f t="shared" si="28"/>
        <v>1.5583333333333334E-2</v>
      </c>
      <c r="J282">
        <v>14.93</v>
      </c>
      <c r="K282">
        <f t="shared" si="30"/>
        <v>14.93</v>
      </c>
      <c r="L282">
        <f t="shared" si="31"/>
        <v>48.722900000000003</v>
      </c>
      <c r="M282">
        <f t="shared" si="32"/>
        <v>48722.9</v>
      </c>
      <c r="N282">
        <f t="shared" si="33"/>
        <v>46.180397781590003</v>
      </c>
      <c r="O282">
        <f t="shared" si="34"/>
        <v>1.6153019899540706</v>
      </c>
    </row>
    <row r="283" spans="6:15" x14ac:dyDescent="0.45">
      <c r="F283">
        <v>281</v>
      </c>
      <c r="G283">
        <v>56.2</v>
      </c>
      <c r="H283">
        <f t="shared" si="29"/>
        <v>56.2</v>
      </c>
      <c r="I283">
        <f t="shared" si="28"/>
        <v>1.5611111111111112E-2</v>
      </c>
      <c r="J283">
        <v>12.74</v>
      </c>
      <c r="K283">
        <f t="shared" si="30"/>
        <v>12.74</v>
      </c>
      <c r="L283">
        <f t="shared" si="31"/>
        <v>43.247900000000001</v>
      </c>
      <c r="M283">
        <f t="shared" si="32"/>
        <v>43247.9</v>
      </c>
      <c r="N283">
        <f t="shared" si="33"/>
        <v>40.991099159090005</v>
      </c>
      <c r="O283">
        <f t="shared" si="34"/>
        <v>1.4337902491710193</v>
      </c>
    </row>
    <row r="284" spans="6:15" x14ac:dyDescent="0.45">
      <c r="F284">
        <v>282</v>
      </c>
      <c r="G284">
        <v>55.9</v>
      </c>
      <c r="H284">
        <f t="shared" si="29"/>
        <v>55.9</v>
      </c>
      <c r="I284">
        <f t="shared" si="28"/>
        <v>1.5527777777777777E-2</v>
      </c>
      <c r="J284">
        <v>4.21</v>
      </c>
      <c r="K284">
        <f t="shared" si="30"/>
        <v>4.21</v>
      </c>
      <c r="L284">
        <f t="shared" si="31"/>
        <v>21.922899999999998</v>
      </c>
      <c r="M284">
        <f t="shared" si="32"/>
        <v>21922.899999999998</v>
      </c>
      <c r="N284">
        <f t="shared" si="33"/>
        <v>20.778899501589997</v>
      </c>
      <c r="O284">
        <f t="shared" si="34"/>
        <v>0.72680616292470468</v>
      </c>
    </row>
    <row r="285" spans="6:15" x14ac:dyDescent="0.45">
      <c r="F285">
        <v>283</v>
      </c>
      <c r="G285">
        <v>55.2</v>
      </c>
      <c r="H285">
        <f t="shared" si="29"/>
        <v>55.2</v>
      </c>
      <c r="I285">
        <f t="shared" si="28"/>
        <v>1.5333333333333334E-2</v>
      </c>
      <c r="J285">
        <v>-2.97</v>
      </c>
      <c r="K285">
        <f t="shared" si="30"/>
        <v>0</v>
      </c>
      <c r="L285">
        <f t="shared" si="31"/>
        <v>11.3979</v>
      </c>
      <c r="M285">
        <f t="shared" si="32"/>
        <v>11397.9</v>
      </c>
      <c r="N285">
        <f t="shared" si="33"/>
        <v>10.80312452409</v>
      </c>
      <c r="O285">
        <f t="shared" si="34"/>
        <v>0.377872633839478</v>
      </c>
    </row>
    <row r="286" spans="6:15" x14ac:dyDescent="0.45">
      <c r="F286">
        <v>284</v>
      </c>
      <c r="G286">
        <v>51.6</v>
      </c>
      <c r="H286">
        <f t="shared" si="29"/>
        <v>51.6</v>
      </c>
      <c r="I286">
        <f t="shared" si="28"/>
        <v>1.4333333333333333E-2</v>
      </c>
      <c r="J286">
        <v>0.98</v>
      </c>
      <c r="K286">
        <f t="shared" si="30"/>
        <v>0.98</v>
      </c>
      <c r="L286">
        <f t="shared" si="31"/>
        <v>13.847899999999999</v>
      </c>
      <c r="M286">
        <f t="shared" si="32"/>
        <v>13847.9</v>
      </c>
      <c r="N286">
        <f t="shared" si="33"/>
        <v>13.12527641909</v>
      </c>
      <c r="O286">
        <f t="shared" si="34"/>
        <v>0.45909706578805809</v>
      </c>
    </row>
    <row r="287" spans="6:15" x14ac:dyDescent="0.45">
      <c r="F287">
        <v>285</v>
      </c>
      <c r="G287">
        <v>51.7</v>
      </c>
      <c r="H287">
        <f t="shared" si="29"/>
        <v>51.7</v>
      </c>
      <c r="I287">
        <f t="shared" si="28"/>
        <v>1.4361111111111113E-2</v>
      </c>
      <c r="J287">
        <v>9.64</v>
      </c>
      <c r="K287">
        <f t="shared" si="30"/>
        <v>9.64</v>
      </c>
      <c r="L287">
        <f t="shared" si="31"/>
        <v>35.497900000000001</v>
      </c>
      <c r="M287">
        <f t="shared" si="32"/>
        <v>35497.9</v>
      </c>
      <c r="N287">
        <f t="shared" si="33"/>
        <v>33.645516634090001</v>
      </c>
      <c r="O287">
        <f t="shared" si="34"/>
        <v>1.176855821578572</v>
      </c>
    </row>
    <row r="288" spans="6:15" x14ac:dyDescent="0.45">
      <c r="F288">
        <v>286</v>
      </c>
      <c r="G288">
        <v>51.5</v>
      </c>
      <c r="H288">
        <f t="shared" si="29"/>
        <v>51.5</v>
      </c>
      <c r="I288">
        <f t="shared" si="28"/>
        <v>1.4305555555555556E-2</v>
      </c>
      <c r="J288">
        <v>3.51</v>
      </c>
      <c r="K288">
        <f t="shared" si="30"/>
        <v>3.51</v>
      </c>
      <c r="L288">
        <f t="shared" si="31"/>
        <v>20.172899999999998</v>
      </c>
      <c r="M288">
        <f t="shared" si="32"/>
        <v>20172.899999999998</v>
      </c>
      <c r="N288">
        <f t="shared" si="33"/>
        <v>19.120219576589999</v>
      </c>
      <c r="O288">
        <f t="shared" si="34"/>
        <v>0.66878871153286168</v>
      </c>
    </row>
    <row r="289" spans="6:15" x14ac:dyDescent="0.45">
      <c r="F289">
        <v>287</v>
      </c>
      <c r="G289">
        <v>50.9</v>
      </c>
      <c r="H289">
        <f t="shared" si="29"/>
        <v>50.9</v>
      </c>
      <c r="I289">
        <f t="shared" si="28"/>
        <v>1.4138888888888888E-2</v>
      </c>
      <c r="J289">
        <v>1.48</v>
      </c>
      <c r="K289">
        <f t="shared" si="30"/>
        <v>1.48</v>
      </c>
      <c r="L289">
        <f t="shared" si="31"/>
        <v>15.097899999999999</v>
      </c>
      <c r="M289">
        <f t="shared" si="32"/>
        <v>15097.9</v>
      </c>
      <c r="N289">
        <f t="shared" si="33"/>
        <v>14.31004779409</v>
      </c>
      <c r="O289">
        <f t="shared" si="34"/>
        <v>0.50053810249651731</v>
      </c>
    </row>
    <row r="290" spans="6:15" x14ac:dyDescent="0.45">
      <c r="F290">
        <v>288</v>
      </c>
      <c r="G290">
        <v>50.4</v>
      </c>
      <c r="H290">
        <f t="shared" si="29"/>
        <v>50.4</v>
      </c>
      <c r="I290">
        <f t="shared" si="28"/>
        <v>1.4E-2</v>
      </c>
      <c r="J290">
        <v>2.0099999999999998</v>
      </c>
      <c r="K290">
        <f t="shared" si="30"/>
        <v>2.0099999999999998</v>
      </c>
      <c r="L290">
        <f t="shared" si="31"/>
        <v>16.422899999999998</v>
      </c>
      <c r="M290">
        <f t="shared" si="32"/>
        <v>16422.899999999998</v>
      </c>
      <c r="N290">
        <f t="shared" si="33"/>
        <v>15.565905451589998</v>
      </c>
      <c r="O290">
        <f t="shared" si="34"/>
        <v>0.54446560140748401</v>
      </c>
    </row>
    <row r="291" spans="6:15" x14ac:dyDescent="0.45">
      <c r="F291">
        <v>289</v>
      </c>
      <c r="G291">
        <v>50</v>
      </c>
      <c r="H291">
        <f t="shared" si="29"/>
        <v>50</v>
      </c>
      <c r="I291">
        <f t="shared" si="28"/>
        <v>1.3888888888888888E-2</v>
      </c>
      <c r="J291">
        <v>8.02</v>
      </c>
      <c r="K291">
        <f t="shared" si="30"/>
        <v>8.02</v>
      </c>
      <c r="L291">
        <f t="shared" si="31"/>
        <v>31.447899999999997</v>
      </c>
      <c r="M291">
        <f t="shared" si="32"/>
        <v>31447.899999999998</v>
      </c>
      <c r="N291">
        <f t="shared" si="33"/>
        <v>29.806857379089998</v>
      </c>
      <c r="O291">
        <f t="shared" si="34"/>
        <v>1.042586862643164</v>
      </c>
    </row>
    <row r="292" spans="6:15" x14ac:dyDescent="0.45">
      <c r="F292">
        <v>290</v>
      </c>
      <c r="G292">
        <v>50.2</v>
      </c>
      <c r="H292">
        <f t="shared" si="29"/>
        <v>50.2</v>
      </c>
      <c r="I292">
        <f t="shared" si="28"/>
        <v>1.3944444444444445E-2</v>
      </c>
      <c r="J292">
        <v>14.48</v>
      </c>
      <c r="K292">
        <f t="shared" si="30"/>
        <v>14.48</v>
      </c>
      <c r="L292">
        <f t="shared" si="31"/>
        <v>47.597900000000003</v>
      </c>
      <c r="M292">
        <f t="shared" si="32"/>
        <v>47597.9</v>
      </c>
      <c r="N292">
        <f t="shared" si="33"/>
        <v>45.11410354409</v>
      </c>
      <c r="O292">
        <f t="shared" si="34"/>
        <v>1.5780050569164574</v>
      </c>
    </row>
    <row r="293" spans="6:15" x14ac:dyDescent="0.45">
      <c r="F293">
        <v>291</v>
      </c>
      <c r="G293">
        <v>50.1</v>
      </c>
      <c r="H293">
        <f t="shared" si="29"/>
        <v>50.1</v>
      </c>
      <c r="I293">
        <f t="shared" si="28"/>
        <v>1.3916666666666667E-2</v>
      </c>
      <c r="J293">
        <v>5.61</v>
      </c>
      <c r="K293">
        <f t="shared" si="30"/>
        <v>5.61</v>
      </c>
      <c r="L293">
        <f t="shared" si="31"/>
        <v>25.422899999999998</v>
      </c>
      <c r="M293">
        <f t="shared" si="32"/>
        <v>25422.899999999998</v>
      </c>
      <c r="N293">
        <f t="shared" si="33"/>
        <v>24.09625935159</v>
      </c>
      <c r="O293">
        <f t="shared" si="34"/>
        <v>0.84284106570839057</v>
      </c>
    </row>
    <row r="294" spans="6:15" x14ac:dyDescent="0.45">
      <c r="F294">
        <v>292</v>
      </c>
      <c r="G294">
        <v>49.6</v>
      </c>
      <c r="H294">
        <f t="shared" si="29"/>
        <v>49.6</v>
      </c>
      <c r="I294">
        <f t="shared" si="28"/>
        <v>1.3777777777777778E-2</v>
      </c>
      <c r="J294">
        <v>0.22</v>
      </c>
      <c r="K294">
        <f t="shared" si="30"/>
        <v>0.22</v>
      </c>
      <c r="L294">
        <f t="shared" si="31"/>
        <v>11.947900000000001</v>
      </c>
      <c r="M294">
        <f t="shared" si="32"/>
        <v>11947.900000000001</v>
      </c>
      <c r="N294">
        <f t="shared" si="33"/>
        <v>11.324423929090003</v>
      </c>
      <c r="O294">
        <f t="shared" si="34"/>
        <v>0.39610668999120008</v>
      </c>
    </row>
    <row r="295" spans="6:15" x14ac:dyDescent="0.45">
      <c r="F295">
        <v>293</v>
      </c>
      <c r="G295">
        <v>49.4</v>
      </c>
      <c r="H295">
        <f t="shared" si="29"/>
        <v>49.4</v>
      </c>
      <c r="I295">
        <f t="shared" si="28"/>
        <v>1.3722222222222222E-2</v>
      </c>
      <c r="J295">
        <v>3.99</v>
      </c>
      <c r="K295">
        <f t="shared" si="30"/>
        <v>3.99</v>
      </c>
      <c r="L295">
        <f t="shared" si="31"/>
        <v>21.372900000000001</v>
      </c>
      <c r="M295">
        <f t="shared" si="32"/>
        <v>21372.9</v>
      </c>
      <c r="N295">
        <f t="shared" si="33"/>
        <v>20.257600096590004</v>
      </c>
      <c r="O295">
        <f t="shared" si="34"/>
        <v>0.70857210677298277</v>
      </c>
    </row>
    <row r="296" spans="6:15" x14ac:dyDescent="0.45">
      <c r="F296">
        <v>294</v>
      </c>
      <c r="G296">
        <v>49.3</v>
      </c>
      <c r="H296">
        <f t="shared" si="29"/>
        <v>49.3</v>
      </c>
      <c r="I296">
        <f t="shared" si="28"/>
        <v>1.3694444444444443E-2</v>
      </c>
      <c r="J296">
        <v>9.43</v>
      </c>
      <c r="K296">
        <f t="shared" si="30"/>
        <v>9.43</v>
      </c>
      <c r="L296">
        <f t="shared" si="31"/>
        <v>34.972899999999996</v>
      </c>
      <c r="M296">
        <f t="shared" si="32"/>
        <v>34972.899999999994</v>
      </c>
      <c r="N296">
        <f t="shared" si="33"/>
        <v>33.147912656589995</v>
      </c>
      <c r="O296">
        <f t="shared" si="34"/>
        <v>1.1594505861610189</v>
      </c>
    </row>
    <row r="297" spans="6:15" x14ac:dyDescent="0.45">
      <c r="F297">
        <v>295</v>
      </c>
      <c r="G297">
        <v>49.4</v>
      </c>
      <c r="H297">
        <f t="shared" si="29"/>
        <v>49.4</v>
      </c>
      <c r="I297">
        <f t="shared" si="28"/>
        <v>1.3722222222222222E-2</v>
      </c>
      <c r="J297">
        <v>11.06</v>
      </c>
      <c r="K297">
        <f t="shared" si="30"/>
        <v>11.06</v>
      </c>
      <c r="L297">
        <f t="shared" si="31"/>
        <v>39.047899999999998</v>
      </c>
      <c r="M297">
        <f t="shared" si="32"/>
        <v>39047.9</v>
      </c>
      <c r="N297">
        <f t="shared" si="33"/>
        <v>37.010267339089999</v>
      </c>
      <c r="O297">
        <f t="shared" si="34"/>
        <v>1.2945483658305963</v>
      </c>
    </row>
    <row r="298" spans="6:15" x14ac:dyDescent="0.45">
      <c r="F298">
        <v>296</v>
      </c>
      <c r="G298">
        <v>49.1</v>
      </c>
      <c r="H298">
        <f t="shared" si="29"/>
        <v>49.1</v>
      </c>
      <c r="I298">
        <f t="shared" si="28"/>
        <v>1.363888888888889E-2</v>
      </c>
      <c r="J298">
        <v>3.48</v>
      </c>
      <c r="K298">
        <f t="shared" si="30"/>
        <v>3.48</v>
      </c>
      <c r="L298">
        <f t="shared" si="31"/>
        <v>20.097899999999999</v>
      </c>
      <c r="M298">
        <f t="shared" si="32"/>
        <v>20097.899999999998</v>
      </c>
      <c r="N298">
        <f t="shared" si="33"/>
        <v>19.049133294089998</v>
      </c>
      <c r="O298">
        <f t="shared" si="34"/>
        <v>0.66630224933035409</v>
      </c>
    </row>
    <row r="299" spans="6:15" x14ac:dyDescent="0.45">
      <c r="F299">
        <v>297</v>
      </c>
      <c r="G299">
        <v>48.6</v>
      </c>
      <c r="H299">
        <f t="shared" si="29"/>
        <v>48.6</v>
      </c>
      <c r="I299">
        <f t="shared" si="28"/>
        <v>1.35E-2</v>
      </c>
      <c r="J299">
        <v>2.74</v>
      </c>
      <c r="K299">
        <f t="shared" si="30"/>
        <v>2.74</v>
      </c>
      <c r="L299">
        <f t="shared" si="31"/>
        <v>18.247900000000001</v>
      </c>
      <c r="M299">
        <f t="shared" si="32"/>
        <v>18247.900000000001</v>
      </c>
      <c r="N299">
        <f t="shared" si="33"/>
        <v>17.295671659090001</v>
      </c>
      <c r="O299">
        <f t="shared" si="34"/>
        <v>0.6049695150018346</v>
      </c>
    </row>
    <row r="300" spans="6:15" x14ac:dyDescent="0.45">
      <c r="F300">
        <v>298</v>
      </c>
      <c r="G300">
        <v>48.1</v>
      </c>
      <c r="H300">
        <f t="shared" si="29"/>
        <v>48.1</v>
      </c>
      <c r="I300">
        <f t="shared" si="28"/>
        <v>1.3361111111111112E-2</v>
      </c>
      <c r="J300">
        <v>-1.59</v>
      </c>
      <c r="K300">
        <f t="shared" si="30"/>
        <v>0</v>
      </c>
      <c r="L300">
        <f t="shared" si="31"/>
        <v>11.3979</v>
      </c>
      <c r="M300">
        <f t="shared" si="32"/>
        <v>11397.9</v>
      </c>
      <c r="N300">
        <f t="shared" si="33"/>
        <v>10.80312452409</v>
      </c>
      <c r="O300">
        <f t="shared" si="34"/>
        <v>0.377872633839478</v>
      </c>
    </row>
    <row r="301" spans="6:15" x14ac:dyDescent="0.45">
      <c r="F301">
        <v>299</v>
      </c>
      <c r="G301">
        <v>30.1</v>
      </c>
      <c r="H301">
        <f t="shared" si="29"/>
        <v>30.1</v>
      </c>
      <c r="I301">
        <f t="shared" si="28"/>
        <v>8.3611111111111108E-3</v>
      </c>
      <c r="J301">
        <v>2.23</v>
      </c>
      <c r="K301">
        <f t="shared" si="30"/>
        <v>2.23</v>
      </c>
      <c r="L301">
        <f t="shared" si="31"/>
        <v>16.972899999999999</v>
      </c>
      <c r="M301">
        <f t="shared" si="32"/>
        <v>16972.899999999998</v>
      </c>
      <c r="N301">
        <f t="shared" si="33"/>
        <v>16.087204856589999</v>
      </c>
      <c r="O301">
        <f t="shared" si="34"/>
        <v>0.56269965755920603</v>
      </c>
    </row>
    <row r="302" spans="6:15" x14ac:dyDescent="0.45">
      <c r="F302">
        <v>300</v>
      </c>
      <c r="G302">
        <v>29.9</v>
      </c>
      <c r="H302">
        <f t="shared" si="29"/>
        <v>29.9</v>
      </c>
      <c r="I302">
        <f t="shared" si="28"/>
        <v>8.3055555555555556E-3</v>
      </c>
      <c r="J302">
        <v>0.88</v>
      </c>
      <c r="K302">
        <f t="shared" si="30"/>
        <v>0.88</v>
      </c>
      <c r="L302">
        <f t="shared" si="31"/>
        <v>13.597899999999999</v>
      </c>
      <c r="M302">
        <f t="shared" si="32"/>
        <v>13597.9</v>
      </c>
      <c r="N302">
        <f t="shared" si="33"/>
        <v>12.888322144090001</v>
      </c>
      <c r="O302">
        <f t="shared" si="34"/>
        <v>0.4508088584463662</v>
      </c>
    </row>
    <row r="303" spans="6:15" x14ac:dyDescent="0.45">
      <c r="F303">
        <v>301</v>
      </c>
      <c r="G303">
        <v>28.9</v>
      </c>
      <c r="H303">
        <f t="shared" si="29"/>
        <v>28.9</v>
      </c>
      <c r="I303">
        <f t="shared" si="28"/>
        <v>8.0277777777777778E-3</v>
      </c>
      <c r="J303">
        <v>-0.66</v>
      </c>
      <c r="K303">
        <f t="shared" si="30"/>
        <v>0</v>
      </c>
      <c r="L303">
        <f t="shared" si="31"/>
        <v>11.3979</v>
      </c>
      <c r="M303">
        <f t="shared" si="32"/>
        <v>11397.9</v>
      </c>
      <c r="N303">
        <f t="shared" si="33"/>
        <v>10.80312452409</v>
      </c>
      <c r="O303">
        <f t="shared" si="34"/>
        <v>0.377872633839478</v>
      </c>
    </row>
    <row r="304" spans="6:15" x14ac:dyDescent="0.45">
      <c r="F304">
        <v>302</v>
      </c>
      <c r="G304">
        <v>27.1</v>
      </c>
      <c r="H304">
        <f t="shared" si="29"/>
        <v>27.1</v>
      </c>
      <c r="I304">
        <f t="shared" si="28"/>
        <v>7.5277777777777782E-3</v>
      </c>
      <c r="J304">
        <v>-0.53</v>
      </c>
      <c r="K304">
        <f t="shared" si="30"/>
        <v>0</v>
      </c>
      <c r="L304">
        <f t="shared" si="31"/>
        <v>11.3979</v>
      </c>
      <c r="M304">
        <f t="shared" si="32"/>
        <v>11397.9</v>
      </c>
      <c r="N304">
        <f t="shared" si="33"/>
        <v>10.80312452409</v>
      </c>
      <c r="O304">
        <f t="shared" si="34"/>
        <v>0.377872633839478</v>
      </c>
    </row>
    <row r="305" spans="6:15" x14ac:dyDescent="0.45">
      <c r="F305">
        <v>303</v>
      </c>
      <c r="G305">
        <v>24.5</v>
      </c>
      <c r="H305">
        <f t="shared" si="29"/>
        <v>24.5</v>
      </c>
      <c r="I305">
        <f t="shared" si="28"/>
        <v>6.8055555555555551E-3</v>
      </c>
      <c r="J305">
        <v>-0.48</v>
      </c>
      <c r="K305">
        <f t="shared" si="30"/>
        <v>0</v>
      </c>
      <c r="L305">
        <f t="shared" si="31"/>
        <v>11.3979</v>
      </c>
      <c r="M305">
        <f t="shared" si="32"/>
        <v>11397.9</v>
      </c>
      <c r="N305">
        <f t="shared" si="33"/>
        <v>10.80312452409</v>
      </c>
      <c r="O305">
        <f t="shared" si="34"/>
        <v>0.377872633839478</v>
      </c>
    </row>
    <row r="306" spans="6:15" x14ac:dyDescent="0.45">
      <c r="F306">
        <v>304</v>
      </c>
      <c r="G306">
        <v>21.5</v>
      </c>
      <c r="H306">
        <f t="shared" si="29"/>
        <v>21.5</v>
      </c>
      <c r="I306">
        <f t="shared" si="28"/>
        <v>5.9722222222222225E-3</v>
      </c>
      <c r="J306">
        <v>-1.37</v>
      </c>
      <c r="K306">
        <f t="shared" si="30"/>
        <v>0</v>
      </c>
      <c r="L306">
        <f t="shared" si="31"/>
        <v>11.3979</v>
      </c>
      <c r="M306">
        <f t="shared" si="32"/>
        <v>11397.9</v>
      </c>
      <c r="N306">
        <f t="shared" si="33"/>
        <v>10.80312452409</v>
      </c>
      <c r="O306">
        <f t="shared" si="34"/>
        <v>0.377872633839478</v>
      </c>
    </row>
    <row r="307" spans="6:15" x14ac:dyDescent="0.45">
      <c r="F307">
        <v>305</v>
      </c>
      <c r="G307">
        <v>20.3</v>
      </c>
      <c r="H307">
        <f t="shared" si="29"/>
        <v>20.3</v>
      </c>
      <c r="I307">
        <f t="shared" si="28"/>
        <v>5.6388888888888895E-3</v>
      </c>
      <c r="J307">
        <v>-1.04</v>
      </c>
      <c r="K307">
        <f t="shared" si="30"/>
        <v>0</v>
      </c>
      <c r="L307">
        <f t="shared" si="31"/>
        <v>11.3979</v>
      </c>
      <c r="M307">
        <f t="shared" si="32"/>
        <v>11397.9</v>
      </c>
      <c r="N307">
        <f t="shared" si="33"/>
        <v>10.80312452409</v>
      </c>
      <c r="O307">
        <f t="shared" si="34"/>
        <v>0.377872633839478</v>
      </c>
    </row>
    <row r="308" spans="6:15" x14ac:dyDescent="0.45">
      <c r="F308">
        <v>306</v>
      </c>
      <c r="G308">
        <v>19.2</v>
      </c>
      <c r="H308">
        <f t="shared" si="29"/>
        <v>19.2</v>
      </c>
      <c r="I308">
        <f t="shared" si="28"/>
        <v>5.3333333333333332E-3</v>
      </c>
      <c r="J308">
        <v>-1.03</v>
      </c>
      <c r="K308">
        <f t="shared" si="30"/>
        <v>0</v>
      </c>
      <c r="L308">
        <f t="shared" si="31"/>
        <v>11.3979</v>
      </c>
      <c r="M308">
        <f t="shared" si="32"/>
        <v>11397.9</v>
      </c>
      <c r="N308">
        <f t="shared" si="33"/>
        <v>10.80312452409</v>
      </c>
      <c r="O308">
        <f t="shared" si="34"/>
        <v>0.377872633839478</v>
      </c>
    </row>
    <row r="309" spans="6:15" x14ac:dyDescent="0.45">
      <c r="F309">
        <v>307</v>
      </c>
      <c r="G309">
        <v>18</v>
      </c>
      <c r="H309">
        <f t="shared" si="29"/>
        <v>18</v>
      </c>
      <c r="I309">
        <f t="shared" si="28"/>
        <v>5.0000000000000001E-3</v>
      </c>
      <c r="J309">
        <v>-0.65</v>
      </c>
      <c r="K309">
        <f t="shared" si="30"/>
        <v>0</v>
      </c>
      <c r="L309">
        <f t="shared" si="31"/>
        <v>11.3979</v>
      </c>
      <c r="M309">
        <f t="shared" si="32"/>
        <v>11397.9</v>
      </c>
      <c r="N309">
        <f t="shared" si="33"/>
        <v>10.80312452409</v>
      </c>
      <c r="O309">
        <f t="shared" si="34"/>
        <v>0.377872633839478</v>
      </c>
    </row>
    <row r="310" spans="6:15" x14ac:dyDescent="0.45">
      <c r="F310">
        <v>308</v>
      </c>
      <c r="G310">
        <v>16.399999999999999</v>
      </c>
      <c r="H310">
        <f t="shared" si="29"/>
        <v>16.399999999999999</v>
      </c>
      <c r="I310">
        <f t="shared" si="28"/>
        <v>4.5555555555555549E-3</v>
      </c>
      <c r="J310">
        <v>-0.95</v>
      </c>
      <c r="K310">
        <f t="shared" si="30"/>
        <v>0</v>
      </c>
      <c r="L310">
        <f t="shared" si="31"/>
        <v>11.3979</v>
      </c>
      <c r="M310">
        <f t="shared" si="32"/>
        <v>11397.9</v>
      </c>
      <c r="N310">
        <f t="shared" si="33"/>
        <v>10.80312452409</v>
      </c>
      <c r="O310">
        <f t="shared" si="34"/>
        <v>0.377872633839478</v>
      </c>
    </row>
    <row r="311" spans="6:15" x14ac:dyDescent="0.45">
      <c r="F311">
        <v>309</v>
      </c>
      <c r="G311">
        <v>14.5</v>
      </c>
      <c r="H311">
        <f t="shared" si="29"/>
        <v>14.5</v>
      </c>
      <c r="I311">
        <f t="shared" si="28"/>
        <v>4.0277777777777777E-3</v>
      </c>
      <c r="J311">
        <v>-0.8</v>
      </c>
      <c r="K311">
        <f t="shared" si="30"/>
        <v>0</v>
      </c>
      <c r="L311">
        <f t="shared" si="31"/>
        <v>11.3979</v>
      </c>
      <c r="M311">
        <f t="shared" si="32"/>
        <v>11397.9</v>
      </c>
      <c r="N311">
        <f t="shared" si="33"/>
        <v>10.80312452409</v>
      </c>
      <c r="O311">
        <f t="shared" si="34"/>
        <v>0.377872633839478</v>
      </c>
    </row>
    <row r="312" spans="6:15" x14ac:dyDescent="0.45">
      <c r="F312">
        <v>310</v>
      </c>
      <c r="G312">
        <v>12.3</v>
      </c>
      <c r="H312">
        <f t="shared" si="29"/>
        <v>12.3</v>
      </c>
      <c r="I312">
        <f t="shared" si="28"/>
        <v>3.4166666666666668E-3</v>
      </c>
      <c r="J312">
        <v>-0.75</v>
      </c>
      <c r="K312">
        <f t="shared" si="30"/>
        <v>0</v>
      </c>
      <c r="L312">
        <f t="shared" si="31"/>
        <v>11.3979</v>
      </c>
      <c r="M312">
        <f t="shared" si="32"/>
        <v>11397.9</v>
      </c>
      <c r="N312">
        <f t="shared" si="33"/>
        <v>10.80312452409</v>
      </c>
      <c r="O312">
        <f t="shared" si="34"/>
        <v>0.377872633839478</v>
      </c>
    </row>
    <row r="313" spans="6:15" x14ac:dyDescent="0.45">
      <c r="F313">
        <v>311</v>
      </c>
      <c r="G313">
        <v>10.3</v>
      </c>
      <c r="H313">
        <f t="shared" si="29"/>
        <v>10.3</v>
      </c>
      <c r="I313">
        <f t="shared" si="28"/>
        <v>2.8611111111111111E-3</v>
      </c>
      <c r="J313">
        <v>-0.03</v>
      </c>
      <c r="K313">
        <f t="shared" si="30"/>
        <v>0</v>
      </c>
      <c r="L313">
        <f t="shared" si="31"/>
        <v>11.3979</v>
      </c>
      <c r="M313">
        <f t="shared" si="32"/>
        <v>11397.9</v>
      </c>
      <c r="N313">
        <f t="shared" si="33"/>
        <v>10.80312452409</v>
      </c>
      <c r="O313">
        <f t="shared" si="34"/>
        <v>0.377872633839478</v>
      </c>
    </row>
    <row r="314" spans="6:15" x14ac:dyDescent="0.45">
      <c r="F314">
        <v>312</v>
      </c>
      <c r="G314">
        <v>8</v>
      </c>
      <c r="H314">
        <f t="shared" si="29"/>
        <v>8</v>
      </c>
      <c r="I314">
        <f t="shared" si="28"/>
        <v>2.2222222222222222E-3</v>
      </c>
      <c r="J314">
        <v>-0.08</v>
      </c>
      <c r="K314">
        <f t="shared" si="30"/>
        <v>0</v>
      </c>
      <c r="L314">
        <f t="shared" si="31"/>
        <v>11.3979</v>
      </c>
      <c r="M314">
        <f t="shared" si="32"/>
        <v>11397.9</v>
      </c>
      <c r="N314">
        <f t="shared" si="33"/>
        <v>10.80312452409</v>
      </c>
      <c r="O314">
        <f t="shared" si="34"/>
        <v>0.377872633839478</v>
      </c>
    </row>
    <row r="315" spans="6:15" x14ac:dyDescent="0.45">
      <c r="F315">
        <v>313</v>
      </c>
      <c r="G315">
        <v>4.7</v>
      </c>
      <c r="H315">
        <f t="shared" si="29"/>
        <v>4.7</v>
      </c>
      <c r="I315">
        <f t="shared" si="28"/>
        <v>1.3055555555555557E-3</v>
      </c>
      <c r="J315">
        <v>0.46</v>
      </c>
      <c r="K315">
        <f t="shared" si="30"/>
        <v>0.46</v>
      </c>
      <c r="L315">
        <f t="shared" si="31"/>
        <v>12.5479</v>
      </c>
      <c r="M315">
        <f t="shared" si="32"/>
        <v>12547.9</v>
      </c>
      <c r="N315">
        <f t="shared" si="33"/>
        <v>11.893114189089999</v>
      </c>
      <c r="O315">
        <f t="shared" si="34"/>
        <v>0.41599838761126046</v>
      </c>
    </row>
    <row r="316" spans="6:15" x14ac:dyDescent="0.45">
      <c r="F316">
        <v>314</v>
      </c>
      <c r="G316">
        <v>1.7</v>
      </c>
      <c r="H316">
        <f t="shared" si="29"/>
        <v>1.7</v>
      </c>
      <c r="I316">
        <f t="shared" si="28"/>
        <v>4.7222222222222218E-4</v>
      </c>
      <c r="J316">
        <v>0.56999999999999995</v>
      </c>
      <c r="K316">
        <f t="shared" si="30"/>
        <v>0.56999999999999995</v>
      </c>
      <c r="L316">
        <f t="shared" si="31"/>
        <v>12.822900000000001</v>
      </c>
      <c r="M316">
        <f t="shared" si="32"/>
        <v>12822.900000000001</v>
      </c>
      <c r="N316">
        <f t="shared" si="33"/>
        <v>12.153763891590001</v>
      </c>
      <c r="O316">
        <f t="shared" si="34"/>
        <v>0.42511541568712158</v>
      </c>
    </row>
    <row r="317" spans="6:15" x14ac:dyDescent="0.45">
      <c r="F317">
        <v>315</v>
      </c>
      <c r="G317">
        <v>-0.2</v>
      </c>
      <c r="H317">
        <f t="shared" si="29"/>
        <v>0</v>
      </c>
      <c r="I317">
        <f t="shared" si="28"/>
        <v>0</v>
      </c>
      <c r="J317">
        <v>0.85</v>
      </c>
      <c r="K317">
        <f t="shared" si="30"/>
        <v>0.85</v>
      </c>
      <c r="L317">
        <f t="shared" si="31"/>
        <v>13.5229</v>
      </c>
      <c r="M317">
        <f t="shared" si="32"/>
        <v>13522.9</v>
      </c>
      <c r="N317">
        <f t="shared" si="33"/>
        <v>12.81723586159</v>
      </c>
      <c r="O317">
        <f t="shared" si="34"/>
        <v>0.44832239624385867</v>
      </c>
    </row>
    <row r="318" spans="6:15" x14ac:dyDescent="0.45">
      <c r="F318">
        <v>316</v>
      </c>
      <c r="G318">
        <v>0</v>
      </c>
      <c r="H318">
        <f t="shared" si="29"/>
        <v>0</v>
      </c>
      <c r="I318">
        <f t="shared" si="28"/>
        <v>0</v>
      </c>
      <c r="J318">
        <v>0.48</v>
      </c>
      <c r="K318">
        <f t="shared" si="30"/>
        <v>0.48</v>
      </c>
      <c r="L318">
        <f t="shared" si="31"/>
        <v>12.597899999999999</v>
      </c>
      <c r="M318">
        <f t="shared" si="32"/>
        <v>12597.9</v>
      </c>
      <c r="N318">
        <f t="shared" si="33"/>
        <v>11.940505044090001</v>
      </c>
      <c r="O318">
        <f t="shared" si="34"/>
        <v>0.41765602907959881</v>
      </c>
    </row>
    <row r="319" spans="6:15" x14ac:dyDescent="0.45">
      <c r="F319">
        <v>317</v>
      </c>
      <c r="G319">
        <v>0</v>
      </c>
      <c r="H319">
        <f t="shared" si="29"/>
        <v>0</v>
      </c>
      <c r="I319">
        <f t="shared" si="28"/>
        <v>0</v>
      </c>
      <c r="J319">
        <v>0.76</v>
      </c>
      <c r="K319">
        <f t="shared" si="30"/>
        <v>0.76</v>
      </c>
      <c r="L319">
        <f t="shared" si="31"/>
        <v>13.2979</v>
      </c>
      <c r="M319">
        <f t="shared" si="32"/>
        <v>13297.9</v>
      </c>
      <c r="N319">
        <f t="shared" si="33"/>
        <v>12.603977014090001</v>
      </c>
      <c r="O319">
        <f t="shared" si="34"/>
        <v>0.44086300963633601</v>
      </c>
    </row>
    <row r="320" spans="6:15" x14ac:dyDescent="0.45">
      <c r="F320">
        <v>318</v>
      </c>
      <c r="G320">
        <v>0</v>
      </c>
      <c r="H320">
        <f t="shared" si="29"/>
        <v>0</v>
      </c>
      <c r="I320">
        <f t="shared" si="28"/>
        <v>0</v>
      </c>
      <c r="J320">
        <v>0.21</v>
      </c>
      <c r="K320">
        <f t="shared" si="30"/>
        <v>0.21</v>
      </c>
      <c r="L320">
        <f t="shared" si="31"/>
        <v>11.9229</v>
      </c>
      <c r="M320">
        <f t="shared" si="32"/>
        <v>11922.9</v>
      </c>
      <c r="N320">
        <f t="shared" si="33"/>
        <v>11.300728501589999</v>
      </c>
      <c r="O320">
        <f t="shared" si="34"/>
        <v>0.39527786925703084</v>
      </c>
    </row>
    <row r="321" spans="6:15" x14ac:dyDescent="0.45">
      <c r="F321">
        <v>319</v>
      </c>
      <c r="G321">
        <v>0</v>
      </c>
      <c r="H321">
        <f t="shared" si="29"/>
        <v>0</v>
      </c>
      <c r="I321">
        <f t="shared" si="28"/>
        <v>0</v>
      </c>
      <c r="J321">
        <v>0.77</v>
      </c>
      <c r="K321">
        <f t="shared" si="30"/>
        <v>0.77</v>
      </c>
      <c r="L321">
        <f t="shared" si="31"/>
        <v>13.322900000000001</v>
      </c>
      <c r="M321">
        <f t="shared" si="32"/>
        <v>13322.900000000001</v>
      </c>
      <c r="N321">
        <f t="shared" si="33"/>
        <v>12.627672441590002</v>
      </c>
      <c r="O321">
        <f t="shared" si="34"/>
        <v>0.44169183037050525</v>
      </c>
    </row>
    <row r="322" spans="6:15" x14ac:dyDescent="0.45">
      <c r="F322">
        <v>320</v>
      </c>
      <c r="G322">
        <v>0</v>
      </c>
      <c r="H322">
        <f t="shared" si="29"/>
        <v>0</v>
      </c>
      <c r="I322">
        <f t="shared" ref="I322:I385" si="35">H322*(1/3600)</f>
        <v>0</v>
      </c>
      <c r="J322">
        <v>0.65</v>
      </c>
      <c r="K322">
        <f t="shared" si="30"/>
        <v>0.65</v>
      </c>
      <c r="L322">
        <f t="shared" si="31"/>
        <v>13.0229</v>
      </c>
      <c r="M322">
        <f t="shared" si="32"/>
        <v>13022.9</v>
      </c>
      <c r="N322">
        <f t="shared" si="33"/>
        <v>12.34332731159</v>
      </c>
      <c r="O322">
        <f t="shared" si="34"/>
        <v>0.43174598156047495</v>
      </c>
    </row>
    <row r="323" spans="6:15" x14ac:dyDescent="0.45">
      <c r="F323">
        <v>321</v>
      </c>
      <c r="G323">
        <v>0</v>
      </c>
      <c r="H323">
        <f t="shared" ref="H323:H386" si="36">IF(G323&lt;0,0,G323)</f>
        <v>0</v>
      </c>
      <c r="I323">
        <f t="shared" si="35"/>
        <v>0</v>
      </c>
      <c r="J323">
        <v>0.43</v>
      </c>
      <c r="K323">
        <f t="shared" ref="K323:K386" si="37">IF(J323&lt;0,0,J323)</f>
        <v>0.43</v>
      </c>
      <c r="L323">
        <f t="shared" ref="L323:L386" si="38">(1/$B$5)*K323+((3.4798*$B$6)+0.9585)</f>
        <v>12.472899999999999</v>
      </c>
      <c r="M323">
        <f t="shared" ref="M323:M386" si="39">L323*1000</f>
        <v>12472.9</v>
      </c>
      <c r="N323">
        <f t="shared" ref="N323:N386" si="40">M323*0.0009478171</f>
        <v>11.82202790659</v>
      </c>
      <c r="O323">
        <f t="shared" ref="O323:O386" si="41">(M323*453.59237)/(18489*0.74*1000)</f>
        <v>0.41351192540875292</v>
      </c>
    </row>
    <row r="324" spans="6:15" x14ac:dyDescent="0.45">
      <c r="F324">
        <v>322</v>
      </c>
      <c r="G324">
        <v>0</v>
      </c>
      <c r="H324">
        <f t="shared" si="36"/>
        <v>0</v>
      </c>
      <c r="I324">
        <f t="shared" si="35"/>
        <v>0</v>
      </c>
      <c r="J324">
        <v>0.39</v>
      </c>
      <c r="K324">
        <f t="shared" si="37"/>
        <v>0.39</v>
      </c>
      <c r="L324">
        <f t="shared" si="38"/>
        <v>12.3729</v>
      </c>
      <c r="M324">
        <f t="shared" si="39"/>
        <v>12372.9</v>
      </c>
      <c r="N324">
        <f t="shared" si="40"/>
        <v>11.72724619659</v>
      </c>
      <c r="O324">
        <f t="shared" si="41"/>
        <v>0.41019664247207616</v>
      </c>
    </row>
    <row r="325" spans="6:15" x14ac:dyDescent="0.45">
      <c r="F325">
        <v>323</v>
      </c>
      <c r="G325">
        <v>0</v>
      </c>
      <c r="H325">
        <f t="shared" si="36"/>
        <v>0</v>
      </c>
      <c r="I325">
        <f t="shared" si="35"/>
        <v>0</v>
      </c>
      <c r="J325">
        <v>0.39</v>
      </c>
      <c r="K325">
        <f t="shared" si="37"/>
        <v>0.39</v>
      </c>
      <c r="L325">
        <f t="shared" si="38"/>
        <v>12.3729</v>
      </c>
      <c r="M325">
        <f t="shared" si="39"/>
        <v>12372.9</v>
      </c>
      <c r="N325">
        <f t="shared" si="40"/>
        <v>11.72724619659</v>
      </c>
      <c r="O325">
        <f t="shared" si="41"/>
        <v>0.41019664247207616</v>
      </c>
    </row>
    <row r="326" spans="6:15" x14ac:dyDescent="0.45">
      <c r="F326">
        <v>324</v>
      </c>
      <c r="G326">
        <v>0</v>
      </c>
      <c r="H326">
        <f t="shared" si="36"/>
        <v>0</v>
      </c>
      <c r="I326">
        <f t="shared" si="35"/>
        <v>0</v>
      </c>
      <c r="J326">
        <v>0.43</v>
      </c>
      <c r="K326">
        <f t="shared" si="37"/>
        <v>0.43</v>
      </c>
      <c r="L326">
        <f t="shared" si="38"/>
        <v>12.472899999999999</v>
      </c>
      <c r="M326">
        <f t="shared" si="39"/>
        <v>12472.9</v>
      </c>
      <c r="N326">
        <f t="shared" si="40"/>
        <v>11.82202790659</v>
      </c>
      <c r="O326">
        <f t="shared" si="41"/>
        <v>0.41351192540875292</v>
      </c>
    </row>
    <row r="327" spans="6:15" x14ac:dyDescent="0.45">
      <c r="F327">
        <v>325</v>
      </c>
      <c r="G327">
        <v>0</v>
      </c>
      <c r="H327">
        <f t="shared" si="36"/>
        <v>0</v>
      </c>
      <c r="I327">
        <f t="shared" si="35"/>
        <v>0</v>
      </c>
      <c r="J327">
        <v>0.6</v>
      </c>
      <c r="K327">
        <f t="shared" si="37"/>
        <v>0.6</v>
      </c>
      <c r="L327">
        <f t="shared" si="38"/>
        <v>12.8979</v>
      </c>
      <c r="M327">
        <f t="shared" si="39"/>
        <v>12897.9</v>
      </c>
      <c r="N327">
        <f t="shared" si="40"/>
        <v>12.224850174089999</v>
      </c>
      <c r="O327">
        <f t="shared" si="41"/>
        <v>0.42760187788962906</v>
      </c>
    </row>
    <row r="328" spans="6:15" x14ac:dyDescent="0.45">
      <c r="F328">
        <v>326</v>
      </c>
      <c r="G328">
        <v>0</v>
      </c>
      <c r="H328">
        <f t="shared" si="36"/>
        <v>0</v>
      </c>
      <c r="I328">
        <f t="shared" si="35"/>
        <v>0</v>
      </c>
      <c r="J328">
        <v>0.59</v>
      </c>
      <c r="K328">
        <f t="shared" si="37"/>
        <v>0.59</v>
      </c>
      <c r="L328">
        <f t="shared" si="38"/>
        <v>12.8729</v>
      </c>
      <c r="M328">
        <f t="shared" si="39"/>
        <v>12872.9</v>
      </c>
      <c r="N328">
        <f t="shared" si="40"/>
        <v>12.201154746589999</v>
      </c>
      <c r="O328">
        <f t="shared" si="41"/>
        <v>0.42677305715545988</v>
      </c>
    </row>
    <row r="329" spans="6:15" x14ac:dyDescent="0.45">
      <c r="F329">
        <v>327</v>
      </c>
      <c r="G329">
        <v>0</v>
      </c>
      <c r="H329">
        <f t="shared" si="36"/>
        <v>0</v>
      </c>
      <c r="I329">
        <f t="shared" si="35"/>
        <v>0</v>
      </c>
      <c r="J329">
        <v>0.72</v>
      </c>
      <c r="K329">
        <f t="shared" si="37"/>
        <v>0.72</v>
      </c>
      <c r="L329">
        <f t="shared" si="38"/>
        <v>13.197900000000001</v>
      </c>
      <c r="M329">
        <f t="shared" si="39"/>
        <v>13197.900000000001</v>
      </c>
      <c r="N329">
        <f t="shared" si="40"/>
        <v>12.509195304090001</v>
      </c>
      <c r="O329">
        <f t="shared" si="41"/>
        <v>0.43754772669965936</v>
      </c>
    </row>
    <row r="330" spans="6:15" x14ac:dyDescent="0.45">
      <c r="F330">
        <v>328</v>
      </c>
      <c r="G330">
        <v>0.4</v>
      </c>
      <c r="H330">
        <f t="shared" si="36"/>
        <v>0.4</v>
      </c>
      <c r="I330">
        <f t="shared" si="35"/>
        <v>1.1111111111111112E-4</v>
      </c>
      <c r="J330">
        <v>0.69</v>
      </c>
      <c r="K330">
        <f t="shared" si="37"/>
        <v>0.69</v>
      </c>
      <c r="L330">
        <f t="shared" si="38"/>
        <v>13.1229</v>
      </c>
      <c r="M330">
        <f t="shared" si="39"/>
        <v>13122.9</v>
      </c>
      <c r="N330">
        <f t="shared" si="40"/>
        <v>12.43810902159</v>
      </c>
      <c r="O330">
        <f t="shared" si="41"/>
        <v>0.43506126449715171</v>
      </c>
    </row>
    <row r="331" spans="6:15" x14ac:dyDescent="0.45">
      <c r="F331">
        <v>329</v>
      </c>
      <c r="G331">
        <v>1.5</v>
      </c>
      <c r="H331">
        <f t="shared" si="36"/>
        <v>1.5</v>
      </c>
      <c r="I331">
        <f t="shared" si="35"/>
        <v>4.1666666666666664E-4</v>
      </c>
      <c r="J331">
        <v>1.51</v>
      </c>
      <c r="K331">
        <f t="shared" si="37"/>
        <v>1.51</v>
      </c>
      <c r="L331">
        <f t="shared" si="38"/>
        <v>15.1729</v>
      </c>
      <c r="M331">
        <f t="shared" si="39"/>
        <v>15172.9</v>
      </c>
      <c r="N331">
        <f t="shared" si="40"/>
        <v>14.38113407659</v>
      </c>
      <c r="O331">
        <f t="shared" si="41"/>
        <v>0.5030245646990249</v>
      </c>
    </row>
    <row r="332" spans="6:15" x14ac:dyDescent="0.45">
      <c r="F332">
        <v>330</v>
      </c>
      <c r="G332">
        <v>4.8</v>
      </c>
      <c r="H332">
        <f t="shared" si="36"/>
        <v>4.8</v>
      </c>
      <c r="I332">
        <f t="shared" si="35"/>
        <v>1.3333333333333333E-3</v>
      </c>
      <c r="J332">
        <v>6.36</v>
      </c>
      <c r="K332">
        <f t="shared" si="37"/>
        <v>6.36</v>
      </c>
      <c r="L332">
        <f t="shared" si="38"/>
        <v>27.297899999999998</v>
      </c>
      <c r="M332">
        <f t="shared" si="39"/>
        <v>27297.899999999998</v>
      </c>
      <c r="N332">
        <f t="shared" si="40"/>
        <v>25.873416414089998</v>
      </c>
      <c r="O332">
        <f t="shared" si="41"/>
        <v>0.90500262077107929</v>
      </c>
    </row>
    <row r="333" spans="6:15" x14ac:dyDescent="0.45">
      <c r="F333">
        <v>331</v>
      </c>
      <c r="G333">
        <v>7.9</v>
      </c>
      <c r="H333">
        <f t="shared" si="36"/>
        <v>7.9</v>
      </c>
      <c r="I333">
        <f t="shared" si="35"/>
        <v>2.1944444444444446E-3</v>
      </c>
      <c r="J333">
        <v>11.67</v>
      </c>
      <c r="K333">
        <f t="shared" si="37"/>
        <v>11.67</v>
      </c>
      <c r="L333">
        <f t="shared" si="38"/>
        <v>40.572900000000004</v>
      </c>
      <c r="M333">
        <f t="shared" si="39"/>
        <v>40572.9</v>
      </c>
      <c r="N333">
        <f t="shared" si="40"/>
        <v>38.45568841659</v>
      </c>
      <c r="O333">
        <f t="shared" si="41"/>
        <v>1.3451064306149165</v>
      </c>
    </row>
    <row r="334" spans="6:15" x14ac:dyDescent="0.45">
      <c r="F334">
        <v>332</v>
      </c>
      <c r="G334">
        <v>11.5</v>
      </c>
      <c r="H334">
        <f t="shared" si="36"/>
        <v>11.5</v>
      </c>
      <c r="I334">
        <f t="shared" si="35"/>
        <v>3.1944444444444446E-3</v>
      </c>
      <c r="J334">
        <v>24.01</v>
      </c>
      <c r="K334">
        <f t="shared" si="37"/>
        <v>24.01</v>
      </c>
      <c r="L334">
        <f t="shared" si="38"/>
        <v>71.422899999999998</v>
      </c>
      <c r="M334">
        <f t="shared" si="39"/>
        <v>71422.899999999994</v>
      </c>
      <c r="N334">
        <f t="shared" si="40"/>
        <v>67.695845951590002</v>
      </c>
      <c r="O334">
        <f t="shared" si="41"/>
        <v>2.3678712165796902</v>
      </c>
    </row>
    <row r="335" spans="6:15" x14ac:dyDescent="0.45">
      <c r="F335">
        <v>333</v>
      </c>
      <c r="G335">
        <v>15.1</v>
      </c>
      <c r="H335">
        <f t="shared" si="36"/>
        <v>15.1</v>
      </c>
      <c r="I335">
        <f t="shared" si="35"/>
        <v>4.1944444444444442E-3</v>
      </c>
      <c r="J335">
        <v>21.37</v>
      </c>
      <c r="K335">
        <f t="shared" si="37"/>
        <v>21.37</v>
      </c>
      <c r="L335">
        <f t="shared" si="38"/>
        <v>64.822900000000004</v>
      </c>
      <c r="M335">
        <f t="shared" si="39"/>
        <v>64822.9</v>
      </c>
      <c r="N335">
        <f t="shared" si="40"/>
        <v>61.440253091590002</v>
      </c>
      <c r="O335">
        <f t="shared" si="41"/>
        <v>2.1490625427590255</v>
      </c>
    </row>
    <row r="336" spans="6:15" x14ac:dyDescent="0.45">
      <c r="F336">
        <v>334</v>
      </c>
      <c r="G336">
        <v>17.5</v>
      </c>
      <c r="H336">
        <f t="shared" si="36"/>
        <v>17.5</v>
      </c>
      <c r="I336">
        <f t="shared" si="35"/>
        <v>4.8611111111111112E-3</v>
      </c>
      <c r="J336">
        <v>23.65</v>
      </c>
      <c r="K336">
        <f t="shared" si="37"/>
        <v>23.65</v>
      </c>
      <c r="L336">
        <f t="shared" si="38"/>
        <v>70.522899999999993</v>
      </c>
      <c r="M336">
        <f t="shared" si="39"/>
        <v>70522.899999999994</v>
      </c>
      <c r="N336">
        <f t="shared" si="40"/>
        <v>66.842810561589999</v>
      </c>
      <c r="O336">
        <f t="shared" si="41"/>
        <v>2.3380336701495996</v>
      </c>
    </row>
    <row r="337" spans="6:15" x14ac:dyDescent="0.45">
      <c r="F337">
        <v>335</v>
      </c>
      <c r="G337">
        <v>19.5</v>
      </c>
      <c r="H337">
        <f t="shared" si="36"/>
        <v>19.5</v>
      </c>
      <c r="I337">
        <f t="shared" si="35"/>
        <v>5.4166666666666669E-3</v>
      </c>
      <c r="J337">
        <v>18.559999999999999</v>
      </c>
      <c r="K337">
        <f t="shared" si="37"/>
        <v>18.559999999999999</v>
      </c>
      <c r="L337">
        <f t="shared" si="38"/>
        <v>57.797899999999998</v>
      </c>
      <c r="M337">
        <f t="shared" si="39"/>
        <v>57797.9</v>
      </c>
      <c r="N337">
        <f t="shared" si="40"/>
        <v>54.781837964090002</v>
      </c>
      <c r="O337">
        <f t="shared" si="41"/>
        <v>1.9161639164574846</v>
      </c>
    </row>
    <row r="338" spans="6:15" x14ac:dyDescent="0.45">
      <c r="F338">
        <v>336</v>
      </c>
      <c r="G338">
        <v>21.9</v>
      </c>
      <c r="H338">
        <f t="shared" si="36"/>
        <v>21.9</v>
      </c>
      <c r="I338">
        <f t="shared" si="35"/>
        <v>6.083333333333333E-3</v>
      </c>
      <c r="J338">
        <v>19.93</v>
      </c>
      <c r="K338">
        <f t="shared" si="37"/>
        <v>19.93</v>
      </c>
      <c r="L338">
        <f t="shared" si="38"/>
        <v>61.222900000000003</v>
      </c>
      <c r="M338">
        <f t="shared" si="39"/>
        <v>61222.9</v>
      </c>
      <c r="N338">
        <f t="shared" si="40"/>
        <v>58.028111531590007</v>
      </c>
      <c r="O338">
        <f t="shared" si="41"/>
        <v>2.029712357038663</v>
      </c>
    </row>
    <row r="339" spans="6:15" x14ac:dyDescent="0.45">
      <c r="F339">
        <v>337</v>
      </c>
      <c r="G339">
        <v>24</v>
      </c>
      <c r="H339">
        <f t="shared" si="36"/>
        <v>24</v>
      </c>
      <c r="I339">
        <f t="shared" si="35"/>
        <v>6.6666666666666662E-3</v>
      </c>
      <c r="J339">
        <v>20.02</v>
      </c>
      <c r="K339">
        <f t="shared" si="37"/>
        <v>20.02</v>
      </c>
      <c r="L339">
        <f t="shared" si="38"/>
        <v>61.447899999999997</v>
      </c>
      <c r="M339">
        <f t="shared" si="39"/>
        <v>61447.899999999994</v>
      </c>
      <c r="N339">
        <f t="shared" si="40"/>
        <v>58.241370379089993</v>
      </c>
      <c r="O339">
        <f t="shared" si="41"/>
        <v>2.0371717436461854</v>
      </c>
    </row>
    <row r="340" spans="6:15" x14ac:dyDescent="0.45">
      <c r="F340">
        <v>338</v>
      </c>
      <c r="G340">
        <v>25.6</v>
      </c>
      <c r="H340">
        <f t="shared" si="36"/>
        <v>25.6</v>
      </c>
      <c r="I340">
        <f t="shared" si="35"/>
        <v>7.1111111111111115E-3</v>
      </c>
      <c r="J340">
        <v>16.55</v>
      </c>
      <c r="K340">
        <f t="shared" si="37"/>
        <v>16.55</v>
      </c>
      <c r="L340">
        <f t="shared" si="38"/>
        <v>52.7729</v>
      </c>
      <c r="M340">
        <f t="shared" si="39"/>
        <v>52772.9</v>
      </c>
      <c r="N340">
        <f t="shared" si="40"/>
        <v>50.019057036590006</v>
      </c>
      <c r="O340">
        <f t="shared" si="41"/>
        <v>1.7495709488894786</v>
      </c>
    </row>
    <row r="341" spans="6:15" x14ac:dyDescent="0.45">
      <c r="F341">
        <v>339</v>
      </c>
      <c r="G341">
        <v>26.4</v>
      </c>
      <c r="H341">
        <f t="shared" si="36"/>
        <v>26.4</v>
      </c>
      <c r="I341">
        <f t="shared" si="35"/>
        <v>7.3333333333333332E-3</v>
      </c>
      <c r="J341">
        <v>14.64</v>
      </c>
      <c r="K341">
        <f t="shared" si="37"/>
        <v>14.64</v>
      </c>
      <c r="L341">
        <f t="shared" si="38"/>
        <v>47.997900000000001</v>
      </c>
      <c r="M341">
        <f t="shared" si="39"/>
        <v>47997.9</v>
      </c>
      <c r="N341">
        <f t="shared" si="40"/>
        <v>45.493230384090005</v>
      </c>
      <c r="O341">
        <f t="shared" si="41"/>
        <v>1.5912661886631643</v>
      </c>
    </row>
    <row r="342" spans="6:15" x14ac:dyDescent="0.45">
      <c r="F342">
        <v>340</v>
      </c>
      <c r="G342">
        <v>28</v>
      </c>
      <c r="H342">
        <f t="shared" si="36"/>
        <v>28</v>
      </c>
      <c r="I342">
        <f t="shared" si="35"/>
        <v>7.7777777777777776E-3</v>
      </c>
      <c r="J342">
        <v>21.15</v>
      </c>
      <c r="K342">
        <f t="shared" si="37"/>
        <v>21.15</v>
      </c>
      <c r="L342">
        <f t="shared" si="38"/>
        <v>64.272899999999993</v>
      </c>
      <c r="M342">
        <f t="shared" si="39"/>
        <v>64272.899999999994</v>
      </c>
      <c r="N342">
        <f t="shared" si="40"/>
        <v>60.918953686589994</v>
      </c>
      <c r="O342">
        <f t="shared" si="41"/>
        <v>2.1308284866073031</v>
      </c>
    </row>
    <row r="343" spans="6:15" x14ac:dyDescent="0.45">
      <c r="F343">
        <v>341</v>
      </c>
      <c r="G343">
        <v>29.8</v>
      </c>
      <c r="H343">
        <f t="shared" si="36"/>
        <v>29.8</v>
      </c>
      <c r="I343">
        <f t="shared" si="35"/>
        <v>8.277777777777778E-3</v>
      </c>
      <c r="J343">
        <v>20.48</v>
      </c>
      <c r="K343">
        <f t="shared" si="37"/>
        <v>20.48</v>
      </c>
      <c r="L343">
        <f t="shared" si="38"/>
        <v>62.597900000000003</v>
      </c>
      <c r="M343">
        <f t="shared" si="39"/>
        <v>62597.9</v>
      </c>
      <c r="N343">
        <f t="shared" si="40"/>
        <v>59.331360044090005</v>
      </c>
      <c r="O343">
        <f t="shared" si="41"/>
        <v>2.0752974974179681</v>
      </c>
    </row>
    <row r="344" spans="6:15" x14ac:dyDescent="0.45">
      <c r="F344">
        <v>342</v>
      </c>
      <c r="G344">
        <v>30.9</v>
      </c>
      <c r="H344">
        <f t="shared" si="36"/>
        <v>30.9</v>
      </c>
      <c r="I344">
        <f t="shared" si="35"/>
        <v>8.5833333333333334E-3</v>
      </c>
      <c r="J344">
        <v>16.45</v>
      </c>
      <c r="K344">
        <f t="shared" si="37"/>
        <v>16.45</v>
      </c>
      <c r="L344">
        <f t="shared" si="38"/>
        <v>52.5229</v>
      </c>
      <c r="M344">
        <f t="shared" si="39"/>
        <v>52522.9</v>
      </c>
      <c r="N344">
        <f t="shared" si="40"/>
        <v>49.782102761590004</v>
      </c>
      <c r="O344">
        <f t="shared" si="41"/>
        <v>1.7412827415477867</v>
      </c>
    </row>
    <row r="345" spans="6:15" x14ac:dyDescent="0.45">
      <c r="F345">
        <v>343</v>
      </c>
      <c r="G345">
        <v>31.6</v>
      </c>
      <c r="H345">
        <f t="shared" si="36"/>
        <v>31.6</v>
      </c>
      <c r="I345">
        <f t="shared" si="35"/>
        <v>8.7777777777777784E-3</v>
      </c>
      <c r="J345">
        <v>13.16</v>
      </c>
      <c r="K345">
        <f t="shared" si="37"/>
        <v>13.16</v>
      </c>
      <c r="L345">
        <f t="shared" si="38"/>
        <v>44.297899999999998</v>
      </c>
      <c r="M345">
        <f t="shared" si="39"/>
        <v>44297.9</v>
      </c>
      <c r="N345">
        <f t="shared" si="40"/>
        <v>41.986307114090003</v>
      </c>
      <c r="O345">
        <f t="shared" si="41"/>
        <v>1.4686007200061248</v>
      </c>
    </row>
    <row r="346" spans="6:15" x14ac:dyDescent="0.45">
      <c r="F346">
        <v>344</v>
      </c>
      <c r="G346">
        <v>32.200000000000003</v>
      </c>
      <c r="H346">
        <f t="shared" si="36"/>
        <v>32.200000000000003</v>
      </c>
      <c r="I346">
        <f t="shared" si="35"/>
        <v>8.9444444444444458E-3</v>
      </c>
      <c r="J346">
        <v>14.9</v>
      </c>
      <c r="K346">
        <f t="shared" si="37"/>
        <v>14.9</v>
      </c>
      <c r="L346">
        <f t="shared" si="38"/>
        <v>48.6479</v>
      </c>
      <c r="M346">
        <f t="shared" si="39"/>
        <v>48647.9</v>
      </c>
      <c r="N346">
        <f t="shared" si="40"/>
        <v>46.109311499090005</v>
      </c>
      <c r="O346">
        <f t="shared" si="41"/>
        <v>1.6128155277515632</v>
      </c>
    </row>
    <row r="347" spans="6:15" x14ac:dyDescent="0.45">
      <c r="F347">
        <v>345</v>
      </c>
      <c r="G347">
        <v>32.799999999999997</v>
      </c>
      <c r="H347">
        <f t="shared" si="36"/>
        <v>32.799999999999997</v>
      </c>
      <c r="I347">
        <f t="shared" si="35"/>
        <v>9.1111111111111098E-3</v>
      </c>
      <c r="J347">
        <v>10.81</v>
      </c>
      <c r="K347">
        <f t="shared" si="37"/>
        <v>10.81</v>
      </c>
      <c r="L347">
        <f t="shared" si="38"/>
        <v>38.422899999999998</v>
      </c>
      <c r="M347">
        <f t="shared" si="39"/>
        <v>38422.9</v>
      </c>
      <c r="N347">
        <f t="shared" si="40"/>
        <v>36.417881651590001</v>
      </c>
      <c r="O347">
        <f t="shared" si="41"/>
        <v>1.2738278474763667</v>
      </c>
    </row>
    <row r="348" spans="6:15" x14ac:dyDescent="0.45">
      <c r="F348">
        <v>346</v>
      </c>
      <c r="G348">
        <v>33.6</v>
      </c>
      <c r="H348">
        <f t="shared" si="36"/>
        <v>33.6</v>
      </c>
      <c r="I348">
        <f t="shared" si="35"/>
        <v>9.3333333333333341E-3</v>
      </c>
      <c r="J348">
        <v>11.46</v>
      </c>
      <c r="K348">
        <f t="shared" si="37"/>
        <v>11.46</v>
      </c>
      <c r="L348">
        <f t="shared" si="38"/>
        <v>40.047899999999998</v>
      </c>
      <c r="M348">
        <f t="shared" si="39"/>
        <v>40047.9</v>
      </c>
      <c r="N348">
        <f t="shared" si="40"/>
        <v>37.958084439090001</v>
      </c>
      <c r="O348">
        <f t="shared" si="41"/>
        <v>1.3277011951973636</v>
      </c>
    </row>
    <row r="349" spans="6:15" x14ac:dyDescent="0.45">
      <c r="F349">
        <v>347</v>
      </c>
      <c r="G349">
        <v>34.4</v>
      </c>
      <c r="H349">
        <f t="shared" si="36"/>
        <v>34.4</v>
      </c>
      <c r="I349">
        <f t="shared" si="35"/>
        <v>9.555555555555555E-3</v>
      </c>
      <c r="J349">
        <v>8.94</v>
      </c>
      <c r="K349">
        <f t="shared" si="37"/>
        <v>8.94</v>
      </c>
      <c r="L349">
        <f t="shared" si="38"/>
        <v>33.747900000000001</v>
      </c>
      <c r="M349">
        <f t="shared" si="39"/>
        <v>33747.9</v>
      </c>
      <c r="N349">
        <f t="shared" si="40"/>
        <v>31.986836709090003</v>
      </c>
      <c r="O349">
        <f t="shared" si="41"/>
        <v>1.118838370186729</v>
      </c>
    </row>
    <row r="350" spans="6:15" x14ac:dyDescent="0.45">
      <c r="F350">
        <v>348</v>
      </c>
      <c r="G350">
        <v>34.700000000000003</v>
      </c>
      <c r="H350">
        <f t="shared" si="36"/>
        <v>34.700000000000003</v>
      </c>
      <c r="I350">
        <f t="shared" si="35"/>
        <v>9.6388888888888895E-3</v>
      </c>
      <c r="J350">
        <v>5.34</v>
      </c>
      <c r="K350">
        <f t="shared" si="37"/>
        <v>5.34</v>
      </c>
      <c r="L350">
        <f t="shared" si="38"/>
        <v>24.747900000000001</v>
      </c>
      <c r="M350">
        <f t="shared" si="39"/>
        <v>24747.9</v>
      </c>
      <c r="N350">
        <f t="shared" si="40"/>
        <v>23.456482809090001</v>
      </c>
      <c r="O350">
        <f t="shared" si="41"/>
        <v>0.8204629058858226</v>
      </c>
    </row>
    <row r="351" spans="6:15" x14ac:dyDescent="0.45">
      <c r="F351">
        <v>349</v>
      </c>
      <c r="G351">
        <v>34.799999999999997</v>
      </c>
      <c r="H351">
        <f t="shared" si="36"/>
        <v>34.799999999999997</v>
      </c>
      <c r="I351">
        <f t="shared" si="35"/>
        <v>9.6666666666666654E-3</v>
      </c>
      <c r="J351">
        <v>6.15</v>
      </c>
      <c r="K351">
        <f t="shared" si="37"/>
        <v>6.15</v>
      </c>
      <c r="L351">
        <f t="shared" si="38"/>
        <v>26.7729</v>
      </c>
      <c r="M351">
        <f t="shared" si="39"/>
        <v>26772.9</v>
      </c>
      <c r="N351">
        <f t="shared" si="40"/>
        <v>25.375812436590003</v>
      </c>
      <c r="O351">
        <f t="shared" si="41"/>
        <v>0.88759738535352661</v>
      </c>
    </row>
    <row r="352" spans="6:15" x14ac:dyDescent="0.45">
      <c r="F352">
        <v>350</v>
      </c>
      <c r="G352">
        <v>34.799999999999997</v>
      </c>
      <c r="H352">
        <f t="shared" si="36"/>
        <v>34.799999999999997</v>
      </c>
      <c r="I352">
        <f t="shared" si="35"/>
        <v>9.6666666666666654E-3</v>
      </c>
      <c r="J352">
        <v>0.67</v>
      </c>
      <c r="K352">
        <f t="shared" si="37"/>
        <v>0.67</v>
      </c>
      <c r="L352">
        <f t="shared" si="38"/>
        <v>13.072900000000001</v>
      </c>
      <c r="M352">
        <f t="shared" si="39"/>
        <v>13072.900000000001</v>
      </c>
      <c r="N352">
        <f t="shared" si="40"/>
        <v>12.390718166590002</v>
      </c>
      <c r="O352">
        <f t="shared" si="41"/>
        <v>0.43340362302881336</v>
      </c>
    </row>
    <row r="353" spans="6:15" x14ac:dyDescent="0.45">
      <c r="F353">
        <v>351</v>
      </c>
      <c r="G353">
        <v>34.6</v>
      </c>
      <c r="H353">
        <f t="shared" si="36"/>
        <v>34.6</v>
      </c>
      <c r="I353">
        <f t="shared" si="35"/>
        <v>9.6111111111111119E-3</v>
      </c>
      <c r="J353">
        <v>1.51</v>
      </c>
      <c r="K353">
        <f t="shared" si="37"/>
        <v>1.51</v>
      </c>
      <c r="L353">
        <f t="shared" si="38"/>
        <v>15.1729</v>
      </c>
      <c r="M353">
        <f t="shared" si="39"/>
        <v>15172.9</v>
      </c>
      <c r="N353">
        <f t="shared" si="40"/>
        <v>14.38113407659</v>
      </c>
      <c r="O353">
        <f t="shared" si="41"/>
        <v>0.5030245646990249</v>
      </c>
    </row>
    <row r="354" spans="6:15" x14ac:dyDescent="0.45">
      <c r="F354">
        <v>352</v>
      </c>
      <c r="G354">
        <v>34.700000000000003</v>
      </c>
      <c r="H354">
        <f t="shared" si="36"/>
        <v>34.700000000000003</v>
      </c>
      <c r="I354">
        <f t="shared" si="35"/>
        <v>9.6388888888888895E-3</v>
      </c>
      <c r="J354">
        <v>4.3099999999999996</v>
      </c>
      <c r="K354">
        <f t="shared" si="37"/>
        <v>4.3099999999999996</v>
      </c>
      <c r="L354">
        <f t="shared" si="38"/>
        <v>22.172899999999998</v>
      </c>
      <c r="M354">
        <f t="shared" si="39"/>
        <v>22172.899999999998</v>
      </c>
      <c r="N354">
        <f t="shared" si="40"/>
        <v>21.015853776589999</v>
      </c>
      <c r="O354">
        <f t="shared" si="41"/>
        <v>0.73509437026639646</v>
      </c>
    </row>
    <row r="355" spans="6:15" x14ac:dyDescent="0.45">
      <c r="F355">
        <v>353</v>
      </c>
      <c r="G355">
        <v>35.4</v>
      </c>
      <c r="H355">
        <f t="shared" si="36"/>
        <v>35.4</v>
      </c>
      <c r="I355">
        <f t="shared" si="35"/>
        <v>9.8333333333333328E-3</v>
      </c>
      <c r="J355">
        <v>15.46</v>
      </c>
      <c r="K355">
        <f t="shared" si="37"/>
        <v>15.46</v>
      </c>
      <c r="L355">
        <f t="shared" si="38"/>
        <v>50.047900000000006</v>
      </c>
      <c r="M355">
        <f t="shared" si="39"/>
        <v>50047.900000000009</v>
      </c>
      <c r="N355">
        <f t="shared" si="40"/>
        <v>47.436255439090012</v>
      </c>
      <c r="O355">
        <f t="shared" si="41"/>
        <v>1.6592294888650378</v>
      </c>
    </row>
    <row r="356" spans="6:15" x14ac:dyDescent="0.45">
      <c r="F356">
        <v>354</v>
      </c>
      <c r="G356">
        <v>35.799999999999997</v>
      </c>
      <c r="H356">
        <f t="shared" si="36"/>
        <v>35.799999999999997</v>
      </c>
      <c r="I356">
        <f t="shared" si="35"/>
        <v>9.9444444444444433E-3</v>
      </c>
      <c r="J356">
        <v>11.56</v>
      </c>
      <c r="K356">
        <f t="shared" si="37"/>
        <v>11.56</v>
      </c>
      <c r="L356">
        <f t="shared" si="38"/>
        <v>40.297899999999998</v>
      </c>
      <c r="M356">
        <f t="shared" si="39"/>
        <v>40297.9</v>
      </c>
      <c r="N356">
        <f t="shared" si="40"/>
        <v>38.195038714090003</v>
      </c>
      <c r="O356">
        <f t="shared" si="41"/>
        <v>1.3359894025390553</v>
      </c>
    </row>
    <row r="357" spans="6:15" x14ac:dyDescent="0.45">
      <c r="F357">
        <v>355</v>
      </c>
      <c r="G357">
        <v>35.799999999999997</v>
      </c>
      <c r="H357">
        <f t="shared" si="36"/>
        <v>35.799999999999997</v>
      </c>
      <c r="I357">
        <f t="shared" si="35"/>
        <v>9.9444444444444433E-3</v>
      </c>
      <c r="J357">
        <v>5.93</v>
      </c>
      <c r="K357">
        <f t="shared" si="37"/>
        <v>5.93</v>
      </c>
      <c r="L357">
        <f t="shared" si="38"/>
        <v>26.222899999999999</v>
      </c>
      <c r="M357">
        <f t="shared" si="39"/>
        <v>26222.899999999998</v>
      </c>
      <c r="N357">
        <f t="shared" si="40"/>
        <v>24.854513031589999</v>
      </c>
      <c r="O357">
        <f t="shared" si="41"/>
        <v>0.86936332920180437</v>
      </c>
    </row>
    <row r="358" spans="6:15" x14ac:dyDescent="0.45">
      <c r="F358">
        <v>356</v>
      </c>
      <c r="G358">
        <v>36.1</v>
      </c>
      <c r="H358">
        <f t="shared" si="36"/>
        <v>36.1</v>
      </c>
      <c r="I358">
        <f t="shared" si="35"/>
        <v>1.0027777777777778E-2</v>
      </c>
      <c r="J358">
        <v>9.5500000000000007</v>
      </c>
      <c r="K358">
        <f t="shared" si="37"/>
        <v>9.5500000000000007</v>
      </c>
      <c r="L358">
        <f t="shared" si="38"/>
        <v>35.2729</v>
      </c>
      <c r="M358">
        <f t="shared" si="39"/>
        <v>35272.9</v>
      </c>
      <c r="N358">
        <f t="shared" si="40"/>
        <v>33.43225778659</v>
      </c>
      <c r="O358">
        <f t="shared" si="41"/>
        <v>1.1693964349710493</v>
      </c>
    </row>
    <row r="359" spans="6:15" x14ac:dyDescent="0.45">
      <c r="F359">
        <v>357</v>
      </c>
      <c r="G359">
        <v>36.1</v>
      </c>
      <c r="H359">
        <f t="shared" si="36"/>
        <v>36.1</v>
      </c>
      <c r="I359">
        <f t="shared" si="35"/>
        <v>1.0027777777777778E-2</v>
      </c>
      <c r="J359">
        <v>4.1399999999999997</v>
      </c>
      <c r="K359">
        <f t="shared" si="37"/>
        <v>4.1399999999999997</v>
      </c>
      <c r="L359">
        <f t="shared" si="38"/>
        <v>21.747900000000001</v>
      </c>
      <c r="M359">
        <f t="shared" si="39"/>
        <v>21747.9</v>
      </c>
      <c r="N359">
        <f t="shared" si="40"/>
        <v>20.613031509090003</v>
      </c>
      <c r="O359">
        <f t="shared" si="41"/>
        <v>0.72100441778552049</v>
      </c>
    </row>
    <row r="360" spans="6:15" x14ac:dyDescent="0.45">
      <c r="F360">
        <v>358</v>
      </c>
      <c r="G360">
        <v>35.9</v>
      </c>
      <c r="H360">
        <f t="shared" si="36"/>
        <v>35.9</v>
      </c>
      <c r="I360">
        <f t="shared" si="35"/>
        <v>9.9722222222222226E-3</v>
      </c>
      <c r="J360">
        <v>4.83</v>
      </c>
      <c r="K360">
        <f t="shared" si="37"/>
        <v>4.83</v>
      </c>
      <c r="L360">
        <f t="shared" si="38"/>
        <v>23.472899999999999</v>
      </c>
      <c r="M360">
        <f t="shared" si="39"/>
        <v>23472.899999999998</v>
      </c>
      <c r="N360">
        <f t="shared" si="40"/>
        <v>22.248016006589999</v>
      </c>
      <c r="O360">
        <f t="shared" si="41"/>
        <v>0.77819304844319415</v>
      </c>
    </row>
    <row r="361" spans="6:15" x14ac:dyDescent="0.45">
      <c r="F361">
        <v>359</v>
      </c>
      <c r="G361">
        <v>35.9</v>
      </c>
      <c r="H361">
        <f t="shared" si="36"/>
        <v>35.9</v>
      </c>
      <c r="I361">
        <f t="shared" si="35"/>
        <v>9.9722222222222226E-3</v>
      </c>
      <c r="J361">
        <v>7.7</v>
      </c>
      <c r="K361">
        <f t="shared" si="37"/>
        <v>7.7</v>
      </c>
      <c r="L361">
        <f t="shared" si="38"/>
        <v>30.6479</v>
      </c>
      <c r="M361">
        <f t="shared" si="39"/>
        <v>30647.9</v>
      </c>
      <c r="N361">
        <f t="shared" si="40"/>
        <v>29.048603699090002</v>
      </c>
      <c r="O361">
        <f t="shared" si="41"/>
        <v>1.0160645991497503</v>
      </c>
    </row>
    <row r="362" spans="6:15" x14ac:dyDescent="0.45">
      <c r="F362">
        <v>360</v>
      </c>
      <c r="G362">
        <v>36</v>
      </c>
      <c r="H362">
        <f t="shared" si="36"/>
        <v>36</v>
      </c>
      <c r="I362">
        <f t="shared" si="35"/>
        <v>0.01</v>
      </c>
      <c r="J362">
        <v>7.1</v>
      </c>
      <c r="K362">
        <f t="shared" si="37"/>
        <v>7.1</v>
      </c>
      <c r="L362">
        <f t="shared" si="38"/>
        <v>29.1479</v>
      </c>
      <c r="M362">
        <f t="shared" si="39"/>
        <v>29147.9</v>
      </c>
      <c r="N362">
        <f t="shared" si="40"/>
        <v>27.626878049090003</v>
      </c>
      <c r="O362">
        <f t="shared" si="41"/>
        <v>0.966335355099599</v>
      </c>
    </row>
    <row r="363" spans="6:15" x14ac:dyDescent="0.45">
      <c r="F363">
        <v>361</v>
      </c>
      <c r="G363">
        <v>36.299999999999997</v>
      </c>
      <c r="H363">
        <f t="shared" si="36"/>
        <v>36.299999999999997</v>
      </c>
      <c r="I363">
        <f t="shared" si="35"/>
        <v>1.0083333333333333E-2</v>
      </c>
      <c r="J363">
        <v>8.8699999999999992</v>
      </c>
      <c r="K363">
        <f t="shared" si="37"/>
        <v>8.8699999999999992</v>
      </c>
      <c r="L363">
        <f t="shared" si="38"/>
        <v>33.572899999999997</v>
      </c>
      <c r="M363">
        <f t="shared" si="39"/>
        <v>33572.899999999994</v>
      </c>
      <c r="N363">
        <f t="shared" si="40"/>
        <v>31.820968716589995</v>
      </c>
      <c r="O363">
        <f t="shared" si="41"/>
        <v>1.1130366250475445</v>
      </c>
    </row>
    <row r="364" spans="6:15" x14ac:dyDescent="0.45">
      <c r="F364">
        <v>362</v>
      </c>
      <c r="G364">
        <v>36.4</v>
      </c>
      <c r="H364">
        <f t="shared" si="36"/>
        <v>36.4</v>
      </c>
      <c r="I364">
        <f t="shared" si="35"/>
        <v>1.0111111111111111E-2</v>
      </c>
      <c r="J364">
        <v>5.22</v>
      </c>
      <c r="K364">
        <f t="shared" si="37"/>
        <v>5.22</v>
      </c>
      <c r="L364">
        <f t="shared" si="38"/>
        <v>24.447899999999997</v>
      </c>
      <c r="M364">
        <f t="shared" si="39"/>
        <v>24447.899999999998</v>
      </c>
      <c r="N364">
        <f t="shared" si="40"/>
        <v>23.17213767909</v>
      </c>
      <c r="O364">
        <f t="shared" si="41"/>
        <v>0.81051705707579236</v>
      </c>
    </row>
    <row r="365" spans="6:15" x14ac:dyDescent="0.45">
      <c r="F365">
        <v>363</v>
      </c>
      <c r="G365">
        <v>36.299999999999997</v>
      </c>
      <c r="H365">
        <f t="shared" si="36"/>
        <v>36.299999999999997</v>
      </c>
      <c r="I365">
        <f t="shared" si="35"/>
        <v>1.0083333333333333E-2</v>
      </c>
      <c r="J365">
        <v>5.84</v>
      </c>
      <c r="K365">
        <f t="shared" si="37"/>
        <v>5.84</v>
      </c>
      <c r="L365">
        <f t="shared" si="38"/>
        <v>25.997900000000001</v>
      </c>
      <c r="M365">
        <f t="shared" si="39"/>
        <v>25997.9</v>
      </c>
      <c r="N365">
        <f t="shared" si="40"/>
        <v>24.641254184090002</v>
      </c>
      <c r="O365">
        <f t="shared" si="41"/>
        <v>0.86190394259428182</v>
      </c>
    </row>
    <row r="366" spans="6:15" x14ac:dyDescent="0.45">
      <c r="F366">
        <v>364</v>
      </c>
      <c r="G366">
        <v>36</v>
      </c>
      <c r="H366">
        <f t="shared" si="36"/>
        <v>36</v>
      </c>
      <c r="I366">
        <f t="shared" si="35"/>
        <v>0.01</v>
      </c>
      <c r="J366">
        <v>0.28999999999999998</v>
      </c>
      <c r="K366">
        <f t="shared" si="37"/>
        <v>0.28999999999999998</v>
      </c>
      <c r="L366">
        <f t="shared" si="38"/>
        <v>12.1229</v>
      </c>
      <c r="M366">
        <f t="shared" si="39"/>
        <v>12122.9</v>
      </c>
      <c r="N366">
        <f t="shared" si="40"/>
        <v>11.49029192159</v>
      </c>
      <c r="O366">
        <f t="shared" si="41"/>
        <v>0.40190843513038432</v>
      </c>
    </row>
    <row r="367" spans="6:15" x14ac:dyDescent="0.45">
      <c r="F367">
        <v>365</v>
      </c>
      <c r="G367">
        <v>25.8</v>
      </c>
      <c r="H367">
        <f t="shared" si="36"/>
        <v>25.8</v>
      </c>
      <c r="I367">
        <f t="shared" si="35"/>
        <v>7.1666666666666667E-3</v>
      </c>
      <c r="J367">
        <v>-0.51</v>
      </c>
      <c r="K367">
        <f t="shared" si="37"/>
        <v>0</v>
      </c>
      <c r="L367">
        <f t="shared" si="38"/>
        <v>11.3979</v>
      </c>
      <c r="M367">
        <f t="shared" si="39"/>
        <v>11397.9</v>
      </c>
      <c r="N367">
        <f t="shared" si="40"/>
        <v>10.80312452409</v>
      </c>
      <c r="O367">
        <f t="shared" si="41"/>
        <v>0.377872633839478</v>
      </c>
    </row>
    <row r="368" spans="6:15" x14ac:dyDescent="0.45">
      <c r="F368">
        <v>366</v>
      </c>
      <c r="G368">
        <v>22.2</v>
      </c>
      <c r="H368">
        <f t="shared" si="36"/>
        <v>22.2</v>
      </c>
      <c r="I368">
        <f t="shared" si="35"/>
        <v>6.1666666666666667E-3</v>
      </c>
      <c r="J368">
        <v>-1.02</v>
      </c>
      <c r="K368">
        <f t="shared" si="37"/>
        <v>0</v>
      </c>
      <c r="L368">
        <f t="shared" si="38"/>
        <v>11.3979</v>
      </c>
      <c r="M368">
        <f t="shared" si="39"/>
        <v>11397.9</v>
      </c>
      <c r="N368">
        <f t="shared" si="40"/>
        <v>10.80312452409</v>
      </c>
      <c r="O368">
        <f t="shared" si="41"/>
        <v>0.377872633839478</v>
      </c>
    </row>
    <row r="369" spans="6:15" x14ac:dyDescent="0.45">
      <c r="F369">
        <v>367</v>
      </c>
      <c r="G369">
        <v>19.600000000000001</v>
      </c>
      <c r="H369">
        <f t="shared" si="36"/>
        <v>19.600000000000001</v>
      </c>
      <c r="I369">
        <f t="shared" si="35"/>
        <v>5.4444444444444445E-3</v>
      </c>
      <c r="J369">
        <v>-1.24</v>
      </c>
      <c r="K369">
        <f t="shared" si="37"/>
        <v>0</v>
      </c>
      <c r="L369">
        <f t="shared" si="38"/>
        <v>11.3979</v>
      </c>
      <c r="M369">
        <f t="shared" si="39"/>
        <v>11397.9</v>
      </c>
      <c r="N369">
        <f t="shared" si="40"/>
        <v>10.80312452409</v>
      </c>
      <c r="O369">
        <f t="shared" si="41"/>
        <v>0.377872633839478</v>
      </c>
    </row>
    <row r="370" spans="6:15" x14ac:dyDescent="0.45">
      <c r="F370">
        <v>368</v>
      </c>
      <c r="G370">
        <v>17.100000000000001</v>
      </c>
      <c r="H370">
        <f t="shared" si="36"/>
        <v>17.100000000000001</v>
      </c>
      <c r="I370">
        <f t="shared" si="35"/>
        <v>4.7500000000000007E-3</v>
      </c>
      <c r="J370">
        <v>-0.56000000000000005</v>
      </c>
      <c r="K370">
        <f t="shared" si="37"/>
        <v>0</v>
      </c>
      <c r="L370">
        <f t="shared" si="38"/>
        <v>11.3979</v>
      </c>
      <c r="M370">
        <f t="shared" si="39"/>
        <v>11397.9</v>
      </c>
      <c r="N370">
        <f t="shared" si="40"/>
        <v>10.80312452409</v>
      </c>
      <c r="O370">
        <f t="shared" si="41"/>
        <v>0.377872633839478</v>
      </c>
    </row>
    <row r="371" spans="6:15" x14ac:dyDescent="0.45">
      <c r="F371">
        <v>369</v>
      </c>
      <c r="G371">
        <v>13.9</v>
      </c>
      <c r="H371">
        <f t="shared" si="36"/>
        <v>13.9</v>
      </c>
      <c r="I371">
        <f t="shared" si="35"/>
        <v>3.8611111111111112E-3</v>
      </c>
      <c r="J371">
        <v>-0.69</v>
      </c>
      <c r="K371">
        <f t="shared" si="37"/>
        <v>0</v>
      </c>
      <c r="L371">
        <f t="shared" si="38"/>
        <v>11.3979</v>
      </c>
      <c r="M371">
        <f t="shared" si="39"/>
        <v>11397.9</v>
      </c>
      <c r="N371">
        <f t="shared" si="40"/>
        <v>10.80312452409</v>
      </c>
      <c r="O371">
        <f t="shared" si="41"/>
        <v>0.377872633839478</v>
      </c>
    </row>
    <row r="372" spans="6:15" x14ac:dyDescent="0.45">
      <c r="F372">
        <v>370</v>
      </c>
      <c r="G372">
        <v>11.3</v>
      </c>
      <c r="H372">
        <f t="shared" si="36"/>
        <v>11.3</v>
      </c>
      <c r="I372">
        <f t="shared" si="35"/>
        <v>3.138888888888889E-3</v>
      </c>
      <c r="J372">
        <v>-0.75</v>
      </c>
      <c r="K372">
        <f t="shared" si="37"/>
        <v>0</v>
      </c>
      <c r="L372">
        <f t="shared" si="38"/>
        <v>11.3979</v>
      </c>
      <c r="M372">
        <f t="shared" si="39"/>
        <v>11397.9</v>
      </c>
      <c r="N372">
        <f t="shared" si="40"/>
        <v>10.80312452409</v>
      </c>
      <c r="O372">
        <f t="shared" si="41"/>
        <v>0.377872633839478</v>
      </c>
    </row>
    <row r="373" spans="6:15" x14ac:dyDescent="0.45">
      <c r="F373">
        <v>371</v>
      </c>
      <c r="G373">
        <v>8.1</v>
      </c>
      <c r="H373">
        <f t="shared" si="36"/>
        <v>8.1</v>
      </c>
      <c r="I373">
        <f t="shared" si="35"/>
        <v>2.2499999999999998E-3</v>
      </c>
      <c r="J373">
        <v>0.09</v>
      </c>
      <c r="K373">
        <f t="shared" si="37"/>
        <v>0.09</v>
      </c>
      <c r="L373">
        <f t="shared" si="38"/>
        <v>11.6229</v>
      </c>
      <c r="M373">
        <f t="shared" si="39"/>
        <v>11622.9</v>
      </c>
      <c r="N373">
        <f t="shared" si="40"/>
        <v>11.016383371590001</v>
      </c>
      <c r="O373">
        <f t="shared" si="41"/>
        <v>0.3853320204470006</v>
      </c>
    </row>
    <row r="374" spans="6:15" x14ac:dyDescent="0.45">
      <c r="F374">
        <v>372</v>
      </c>
      <c r="G374">
        <v>4.5999999999999996</v>
      </c>
      <c r="H374">
        <f t="shared" si="36"/>
        <v>4.5999999999999996</v>
      </c>
      <c r="I374">
        <f t="shared" si="35"/>
        <v>1.2777777777777776E-3</v>
      </c>
      <c r="J374">
        <v>0.46</v>
      </c>
      <c r="K374">
        <f t="shared" si="37"/>
        <v>0.46</v>
      </c>
      <c r="L374">
        <f t="shared" si="38"/>
        <v>12.5479</v>
      </c>
      <c r="M374">
        <f t="shared" si="39"/>
        <v>12547.9</v>
      </c>
      <c r="N374">
        <f t="shared" si="40"/>
        <v>11.893114189089999</v>
      </c>
      <c r="O374">
        <f t="shared" si="41"/>
        <v>0.41599838761126046</v>
      </c>
    </row>
    <row r="375" spans="6:15" x14ac:dyDescent="0.45">
      <c r="F375">
        <v>373</v>
      </c>
      <c r="G375">
        <v>1.8</v>
      </c>
      <c r="H375">
        <f t="shared" si="36"/>
        <v>1.8</v>
      </c>
      <c r="I375">
        <f t="shared" si="35"/>
        <v>5.0000000000000001E-4</v>
      </c>
      <c r="J375">
        <v>1.1100000000000001</v>
      </c>
      <c r="K375">
        <f t="shared" si="37"/>
        <v>1.1100000000000001</v>
      </c>
      <c r="L375">
        <f t="shared" si="38"/>
        <v>14.1729</v>
      </c>
      <c r="M375">
        <f t="shared" si="39"/>
        <v>14172.9</v>
      </c>
      <c r="N375">
        <f t="shared" si="40"/>
        <v>13.43331697659</v>
      </c>
      <c r="O375">
        <f t="shared" si="41"/>
        <v>0.46987173533225746</v>
      </c>
    </row>
    <row r="376" spans="6:15" x14ac:dyDescent="0.45">
      <c r="F376">
        <v>374</v>
      </c>
      <c r="G376">
        <v>-0.1</v>
      </c>
      <c r="H376">
        <f t="shared" si="36"/>
        <v>0</v>
      </c>
      <c r="I376">
        <f t="shared" si="35"/>
        <v>0</v>
      </c>
      <c r="J376">
        <v>0.56999999999999995</v>
      </c>
      <c r="K376">
        <f t="shared" si="37"/>
        <v>0.56999999999999995</v>
      </c>
      <c r="L376">
        <f t="shared" si="38"/>
        <v>12.822900000000001</v>
      </c>
      <c r="M376">
        <f t="shared" si="39"/>
        <v>12822.900000000001</v>
      </c>
      <c r="N376">
        <f t="shared" si="40"/>
        <v>12.153763891590001</v>
      </c>
      <c r="O376">
        <f t="shared" si="41"/>
        <v>0.42511541568712158</v>
      </c>
    </row>
    <row r="377" spans="6:15" x14ac:dyDescent="0.45">
      <c r="F377">
        <v>375</v>
      </c>
      <c r="G377">
        <v>0</v>
      </c>
      <c r="H377">
        <f t="shared" si="36"/>
        <v>0</v>
      </c>
      <c r="I377">
        <f t="shared" si="35"/>
        <v>0</v>
      </c>
      <c r="J377">
        <v>0.8</v>
      </c>
      <c r="K377">
        <f t="shared" si="37"/>
        <v>0.8</v>
      </c>
      <c r="L377">
        <f t="shared" si="38"/>
        <v>13.3979</v>
      </c>
      <c r="M377">
        <f t="shared" si="39"/>
        <v>13397.9</v>
      </c>
      <c r="N377">
        <f t="shared" si="40"/>
        <v>12.69875872409</v>
      </c>
      <c r="O377">
        <f t="shared" si="41"/>
        <v>0.44417829257301272</v>
      </c>
    </row>
    <row r="378" spans="6:15" x14ac:dyDescent="0.45">
      <c r="F378">
        <v>376</v>
      </c>
      <c r="G378">
        <v>0</v>
      </c>
      <c r="H378">
        <f t="shared" si="36"/>
        <v>0</v>
      </c>
      <c r="I378">
        <f t="shared" si="35"/>
        <v>0</v>
      </c>
      <c r="J378">
        <v>0.91</v>
      </c>
      <c r="K378">
        <f t="shared" si="37"/>
        <v>0.91</v>
      </c>
      <c r="L378">
        <f t="shared" si="38"/>
        <v>13.6729</v>
      </c>
      <c r="M378">
        <f t="shared" si="39"/>
        <v>13672.9</v>
      </c>
      <c r="N378">
        <f t="shared" si="40"/>
        <v>12.95940842659</v>
      </c>
      <c r="O378">
        <f t="shared" si="41"/>
        <v>0.45329532064887373</v>
      </c>
    </row>
    <row r="379" spans="6:15" x14ac:dyDescent="0.45">
      <c r="F379">
        <v>377</v>
      </c>
      <c r="G379">
        <v>0</v>
      </c>
      <c r="H379">
        <f t="shared" si="36"/>
        <v>0</v>
      </c>
      <c r="I379">
        <f t="shared" si="35"/>
        <v>0</v>
      </c>
      <c r="J379">
        <v>0.93</v>
      </c>
      <c r="K379">
        <f t="shared" si="37"/>
        <v>0.93</v>
      </c>
      <c r="L379">
        <f t="shared" si="38"/>
        <v>13.722899999999999</v>
      </c>
      <c r="M379">
        <f t="shared" si="39"/>
        <v>13722.9</v>
      </c>
      <c r="N379">
        <f t="shared" si="40"/>
        <v>13.00679928159</v>
      </c>
      <c r="O379">
        <f t="shared" si="41"/>
        <v>0.45495296211721209</v>
      </c>
    </row>
    <row r="380" spans="6:15" x14ac:dyDescent="0.45">
      <c r="F380">
        <v>378</v>
      </c>
      <c r="G380">
        <v>0</v>
      </c>
      <c r="H380">
        <f t="shared" si="36"/>
        <v>0</v>
      </c>
      <c r="I380">
        <f t="shared" si="35"/>
        <v>0</v>
      </c>
      <c r="J380">
        <v>0.46</v>
      </c>
      <c r="K380">
        <f t="shared" si="37"/>
        <v>0.46</v>
      </c>
      <c r="L380">
        <f t="shared" si="38"/>
        <v>12.5479</v>
      </c>
      <c r="M380">
        <f t="shared" si="39"/>
        <v>12547.9</v>
      </c>
      <c r="N380">
        <f t="shared" si="40"/>
        <v>11.893114189089999</v>
      </c>
      <c r="O380">
        <f t="shared" si="41"/>
        <v>0.41599838761126046</v>
      </c>
    </row>
    <row r="381" spans="6:15" x14ac:dyDescent="0.45">
      <c r="F381">
        <v>379</v>
      </c>
      <c r="G381">
        <v>0.7</v>
      </c>
      <c r="H381">
        <f t="shared" si="36"/>
        <v>0.7</v>
      </c>
      <c r="I381">
        <f t="shared" si="35"/>
        <v>1.9444444444444443E-4</v>
      </c>
      <c r="J381">
        <v>0.84</v>
      </c>
      <c r="K381">
        <f t="shared" si="37"/>
        <v>0.84</v>
      </c>
      <c r="L381">
        <f t="shared" si="38"/>
        <v>13.4979</v>
      </c>
      <c r="M381">
        <f t="shared" si="39"/>
        <v>13497.9</v>
      </c>
      <c r="N381">
        <f t="shared" si="40"/>
        <v>12.79354043409</v>
      </c>
      <c r="O381">
        <f t="shared" si="41"/>
        <v>0.44749357550968949</v>
      </c>
    </row>
    <row r="382" spans="6:15" x14ac:dyDescent="0.45">
      <c r="F382">
        <v>380</v>
      </c>
      <c r="G382">
        <v>2.8</v>
      </c>
      <c r="H382">
        <f t="shared" si="36"/>
        <v>2.8</v>
      </c>
      <c r="I382">
        <f t="shared" si="35"/>
        <v>7.7777777777777773E-4</v>
      </c>
      <c r="J382">
        <v>4.8899999999999997</v>
      </c>
      <c r="K382">
        <f t="shared" si="37"/>
        <v>4.8899999999999997</v>
      </c>
      <c r="L382">
        <f t="shared" si="38"/>
        <v>23.622900000000001</v>
      </c>
      <c r="M382">
        <f t="shared" si="39"/>
        <v>23622.9</v>
      </c>
      <c r="N382">
        <f t="shared" si="40"/>
        <v>22.390188571590002</v>
      </c>
      <c r="O382">
        <f t="shared" si="41"/>
        <v>0.78316597284820932</v>
      </c>
    </row>
    <row r="383" spans="6:15" x14ac:dyDescent="0.45">
      <c r="F383">
        <v>381</v>
      </c>
      <c r="G383">
        <v>5.8</v>
      </c>
      <c r="H383">
        <f t="shared" si="36"/>
        <v>5.8</v>
      </c>
      <c r="I383">
        <f t="shared" si="35"/>
        <v>1.6111111111111111E-3</v>
      </c>
      <c r="J383">
        <v>7.55</v>
      </c>
      <c r="K383">
        <f t="shared" si="37"/>
        <v>7.55</v>
      </c>
      <c r="L383">
        <f t="shared" si="38"/>
        <v>30.2729</v>
      </c>
      <c r="M383">
        <f t="shared" si="39"/>
        <v>30272.9</v>
      </c>
      <c r="N383">
        <f t="shared" si="40"/>
        <v>28.693172286590002</v>
      </c>
      <c r="O383">
        <f t="shared" si="41"/>
        <v>1.0036322881372124</v>
      </c>
    </row>
    <row r="384" spans="6:15" x14ac:dyDescent="0.45">
      <c r="F384">
        <v>382</v>
      </c>
      <c r="G384">
        <v>9.5</v>
      </c>
      <c r="H384">
        <f t="shared" si="36"/>
        <v>9.5</v>
      </c>
      <c r="I384">
        <f t="shared" si="35"/>
        <v>2.638888888888889E-3</v>
      </c>
      <c r="J384">
        <v>14.58</v>
      </c>
      <c r="K384">
        <f t="shared" si="37"/>
        <v>14.58</v>
      </c>
      <c r="L384">
        <f t="shared" si="38"/>
        <v>47.847900000000003</v>
      </c>
      <c r="M384">
        <f t="shared" si="39"/>
        <v>47847.9</v>
      </c>
      <c r="N384">
        <f t="shared" si="40"/>
        <v>45.351057819090002</v>
      </c>
      <c r="O384">
        <f t="shared" si="41"/>
        <v>1.5862932642581491</v>
      </c>
    </row>
    <row r="385" spans="6:15" x14ac:dyDescent="0.45">
      <c r="F385">
        <v>383</v>
      </c>
      <c r="G385">
        <v>13.4</v>
      </c>
      <c r="H385">
        <f t="shared" si="36"/>
        <v>13.4</v>
      </c>
      <c r="I385">
        <f t="shared" si="35"/>
        <v>3.7222222222222223E-3</v>
      </c>
      <c r="J385">
        <v>22.3</v>
      </c>
      <c r="K385">
        <f t="shared" si="37"/>
        <v>22.3</v>
      </c>
      <c r="L385">
        <f t="shared" si="38"/>
        <v>67.147899999999993</v>
      </c>
      <c r="M385">
        <f t="shared" si="39"/>
        <v>67147.899999999994</v>
      </c>
      <c r="N385">
        <f t="shared" si="40"/>
        <v>63.643927849089998</v>
      </c>
      <c r="O385">
        <f t="shared" si="41"/>
        <v>2.2261428710367595</v>
      </c>
    </row>
    <row r="386" spans="6:15" x14ac:dyDescent="0.45">
      <c r="F386">
        <v>384</v>
      </c>
      <c r="G386">
        <v>16.7</v>
      </c>
      <c r="H386">
        <f t="shared" si="36"/>
        <v>16.7</v>
      </c>
      <c r="I386">
        <f t="shared" ref="I386:I449" si="42">H386*(1/3600)</f>
        <v>4.6388888888888886E-3</v>
      </c>
      <c r="J386">
        <v>23.57</v>
      </c>
      <c r="K386">
        <f t="shared" si="37"/>
        <v>23.57</v>
      </c>
      <c r="L386">
        <f t="shared" si="38"/>
        <v>70.322900000000004</v>
      </c>
      <c r="M386">
        <f t="shared" si="39"/>
        <v>70322.900000000009</v>
      </c>
      <c r="N386">
        <f t="shared" si="40"/>
        <v>66.653247141590015</v>
      </c>
      <c r="O386">
        <f t="shared" si="41"/>
        <v>2.3314031042762466</v>
      </c>
    </row>
    <row r="387" spans="6:15" x14ac:dyDescent="0.45">
      <c r="F387">
        <v>385</v>
      </c>
      <c r="G387">
        <v>18.7</v>
      </c>
      <c r="H387">
        <f t="shared" ref="H387:H450" si="43">IF(G387&lt;0,0,G387)</f>
        <v>18.7</v>
      </c>
      <c r="I387">
        <f t="shared" si="42"/>
        <v>5.1944444444444442E-3</v>
      </c>
      <c r="J387">
        <v>18.45</v>
      </c>
      <c r="K387">
        <f t="shared" ref="K387:K450" si="44">IF(J387&lt;0,0,J387)</f>
        <v>18.45</v>
      </c>
      <c r="L387">
        <f t="shared" ref="L387:L450" si="45">(1/$B$5)*K387+((3.4798*$B$6)+0.9585)</f>
        <v>57.5229</v>
      </c>
      <c r="M387">
        <f t="shared" ref="M387:M450" si="46">L387*1000</f>
        <v>57522.9</v>
      </c>
      <c r="N387">
        <f t="shared" ref="N387:N450" si="47">M387*0.0009478171</f>
        <v>54.521188261590005</v>
      </c>
      <c r="O387">
        <f t="shared" ref="O387:O450" si="48">(M387*453.59237)/(18489*0.74*1000)</f>
        <v>1.9070468883816238</v>
      </c>
    </row>
    <row r="388" spans="6:15" x14ac:dyDescent="0.45">
      <c r="F388">
        <v>386</v>
      </c>
      <c r="G388">
        <v>21.1</v>
      </c>
      <c r="H388">
        <f t="shared" si="43"/>
        <v>21.1</v>
      </c>
      <c r="I388">
        <f t="shared" si="42"/>
        <v>5.8611111111111112E-3</v>
      </c>
      <c r="J388">
        <v>28.1</v>
      </c>
      <c r="K388">
        <f t="shared" si="44"/>
        <v>28.1</v>
      </c>
      <c r="L388">
        <f t="shared" si="45"/>
        <v>81.647899999999993</v>
      </c>
      <c r="M388">
        <f t="shared" si="46"/>
        <v>81647.899999999994</v>
      </c>
      <c r="N388">
        <f t="shared" si="47"/>
        <v>77.387275799089991</v>
      </c>
      <c r="O388">
        <f t="shared" si="48"/>
        <v>2.7068588968548868</v>
      </c>
    </row>
    <row r="389" spans="6:15" x14ac:dyDescent="0.45">
      <c r="F389">
        <v>387</v>
      </c>
      <c r="G389">
        <v>23.7</v>
      </c>
      <c r="H389">
        <f t="shared" si="43"/>
        <v>23.7</v>
      </c>
      <c r="I389">
        <f t="shared" si="42"/>
        <v>6.5833333333333334E-3</v>
      </c>
      <c r="J389">
        <v>25.5</v>
      </c>
      <c r="K389">
        <f t="shared" si="44"/>
        <v>25.5</v>
      </c>
      <c r="L389">
        <f t="shared" si="45"/>
        <v>75.147899999999993</v>
      </c>
      <c r="M389">
        <f t="shared" si="46"/>
        <v>75147.899999999994</v>
      </c>
      <c r="N389">
        <f t="shared" si="47"/>
        <v>71.226464649089991</v>
      </c>
      <c r="O389">
        <f t="shared" si="48"/>
        <v>2.4913655059708986</v>
      </c>
    </row>
    <row r="390" spans="6:15" x14ac:dyDescent="0.45">
      <c r="F390">
        <v>388</v>
      </c>
      <c r="G390">
        <v>25.8</v>
      </c>
      <c r="H390">
        <f t="shared" si="43"/>
        <v>25.8</v>
      </c>
      <c r="I390">
        <f t="shared" si="42"/>
        <v>7.1666666666666667E-3</v>
      </c>
      <c r="J390">
        <v>25.41</v>
      </c>
      <c r="K390">
        <f t="shared" si="44"/>
        <v>25.41</v>
      </c>
      <c r="L390">
        <f t="shared" si="45"/>
        <v>74.922899999999998</v>
      </c>
      <c r="M390">
        <f t="shared" si="46"/>
        <v>74922.899999999994</v>
      </c>
      <c r="N390">
        <f t="shared" si="47"/>
        <v>71.01320580158999</v>
      </c>
      <c r="O390">
        <f t="shared" si="48"/>
        <v>2.4839061193633762</v>
      </c>
    </row>
    <row r="391" spans="6:15" x14ac:dyDescent="0.45">
      <c r="F391">
        <v>389</v>
      </c>
      <c r="G391">
        <v>28</v>
      </c>
      <c r="H391">
        <f t="shared" si="43"/>
        <v>28</v>
      </c>
      <c r="I391">
        <f t="shared" si="42"/>
        <v>7.7777777777777776E-3</v>
      </c>
      <c r="J391">
        <v>23.96</v>
      </c>
      <c r="K391">
        <f t="shared" si="44"/>
        <v>23.96</v>
      </c>
      <c r="L391">
        <f t="shared" si="45"/>
        <v>71.297899999999998</v>
      </c>
      <c r="M391">
        <f t="shared" si="46"/>
        <v>71297.899999999994</v>
      </c>
      <c r="N391">
        <f t="shared" si="47"/>
        <v>67.577368814089994</v>
      </c>
      <c r="O391">
        <f t="shared" si="48"/>
        <v>2.3637271129088444</v>
      </c>
    </row>
    <row r="392" spans="6:15" x14ac:dyDescent="0.45">
      <c r="F392">
        <v>390</v>
      </c>
      <c r="G392">
        <v>29.2</v>
      </c>
      <c r="H392">
        <f t="shared" si="43"/>
        <v>29.2</v>
      </c>
      <c r="I392">
        <f t="shared" si="42"/>
        <v>8.1111111111111106E-3</v>
      </c>
      <c r="J392">
        <v>13.13</v>
      </c>
      <c r="K392">
        <f t="shared" si="44"/>
        <v>13.13</v>
      </c>
      <c r="L392">
        <f t="shared" si="45"/>
        <v>44.222900000000003</v>
      </c>
      <c r="M392">
        <f t="shared" si="46"/>
        <v>44222.9</v>
      </c>
      <c r="N392">
        <f t="shared" si="47"/>
        <v>41.915220831590005</v>
      </c>
      <c r="O392">
        <f t="shared" si="48"/>
        <v>1.4661142578036175</v>
      </c>
    </row>
    <row r="393" spans="6:15" x14ac:dyDescent="0.45">
      <c r="F393">
        <v>391</v>
      </c>
      <c r="G393">
        <v>29.9</v>
      </c>
      <c r="H393">
        <f t="shared" si="43"/>
        <v>29.9</v>
      </c>
      <c r="I393">
        <f t="shared" si="42"/>
        <v>8.3055555555555556E-3</v>
      </c>
      <c r="J393">
        <v>10.210000000000001</v>
      </c>
      <c r="K393">
        <f t="shared" si="44"/>
        <v>10.210000000000001</v>
      </c>
      <c r="L393">
        <f t="shared" si="45"/>
        <v>36.922899999999998</v>
      </c>
      <c r="M393">
        <f t="shared" si="46"/>
        <v>36922.9</v>
      </c>
      <c r="N393">
        <f t="shared" si="47"/>
        <v>34.996156001590002</v>
      </c>
      <c r="O393">
        <f t="shared" si="48"/>
        <v>1.2240986034262156</v>
      </c>
    </row>
    <row r="394" spans="6:15" x14ac:dyDescent="0.45">
      <c r="F394">
        <v>392</v>
      </c>
      <c r="G394">
        <v>30</v>
      </c>
      <c r="H394">
        <f t="shared" si="43"/>
        <v>30</v>
      </c>
      <c r="I394">
        <f t="shared" si="42"/>
        <v>8.3333333333333332E-3</v>
      </c>
      <c r="J394">
        <v>4.55</v>
      </c>
      <c r="K394">
        <f t="shared" si="44"/>
        <v>4.55</v>
      </c>
      <c r="L394">
        <f t="shared" si="45"/>
        <v>22.7729</v>
      </c>
      <c r="M394">
        <f t="shared" si="46"/>
        <v>22772.9</v>
      </c>
      <c r="N394">
        <f t="shared" si="47"/>
        <v>21.584544036590003</v>
      </c>
      <c r="O394">
        <f t="shared" si="48"/>
        <v>0.75498606788645706</v>
      </c>
    </row>
    <row r="395" spans="6:15" x14ac:dyDescent="0.45">
      <c r="F395">
        <v>393</v>
      </c>
      <c r="G395">
        <v>30</v>
      </c>
      <c r="H395">
        <f t="shared" si="43"/>
        <v>30</v>
      </c>
      <c r="I395">
        <f t="shared" si="42"/>
        <v>8.3333333333333332E-3</v>
      </c>
      <c r="J395">
        <v>3.15</v>
      </c>
      <c r="K395">
        <f t="shared" si="44"/>
        <v>3.15</v>
      </c>
      <c r="L395">
        <f t="shared" si="45"/>
        <v>19.2729</v>
      </c>
      <c r="M395">
        <f t="shared" si="46"/>
        <v>19272.900000000001</v>
      </c>
      <c r="N395">
        <f t="shared" si="47"/>
        <v>18.267184186590001</v>
      </c>
      <c r="O395">
        <f t="shared" si="48"/>
        <v>0.63895116510277128</v>
      </c>
    </row>
    <row r="396" spans="6:15" x14ac:dyDescent="0.45">
      <c r="F396">
        <v>394</v>
      </c>
      <c r="G396">
        <v>29.8</v>
      </c>
      <c r="H396">
        <f t="shared" si="43"/>
        <v>29.8</v>
      </c>
      <c r="I396">
        <f t="shared" si="42"/>
        <v>8.277777777777778E-3</v>
      </c>
      <c r="J396">
        <v>2.41</v>
      </c>
      <c r="K396">
        <f t="shared" si="44"/>
        <v>2.41</v>
      </c>
      <c r="L396">
        <f t="shared" si="45"/>
        <v>17.422899999999998</v>
      </c>
      <c r="M396">
        <f t="shared" si="46"/>
        <v>17422.899999999998</v>
      </c>
      <c r="N396">
        <f t="shared" si="47"/>
        <v>16.51372255159</v>
      </c>
      <c r="O396">
        <f t="shared" si="48"/>
        <v>0.57761843077425135</v>
      </c>
    </row>
    <row r="397" spans="6:15" x14ac:dyDescent="0.45">
      <c r="F397">
        <v>395</v>
      </c>
      <c r="G397">
        <v>29.6</v>
      </c>
      <c r="H397">
        <f t="shared" si="43"/>
        <v>29.6</v>
      </c>
      <c r="I397">
        <f t="shared" si="42"/>
        <v>8.2222222222222228E-3</v>
      </c>
      <c r="J397">
        <v>1.84</v>
      </c>
      <c r="K397">
        <f t="shared" si="44"/>
        <v>1.84</v>
      </c>
      <c r="L397">
        <f t="shared" si="45"/>
        <v>15.997900000000001</v>
      </c>
      <c r="M397">
        <f t="shared" si="46"/>
        <v>15997.900000000001</v>
      </c>
      <c r="N397">
        <f t="shared" si="47"/>
        <v>15.163083184090002</v>
      </c>
      <c r="O397">
        <f t="shared" si="48"/>
        <v>0.53037564892660805</v>
      </c>
    </row>
    <row r="398" spans="6:15" x14ac:dyDescent="0.45">
      <c r="F398">
        <v>396</v>
      </c>
      <c r="G398">
        <v>29.2</v>
      </c>
      <c r="H398">
        <f t="shared" si="43"/>
        <v>29.2</v>
      </c>
      <c r="I398">
        <f t="shared" si="42"/>
        <v>8.1111111111111106E-3</v>
      </c>
      <c r="J398">
        <v>-0.52</v>
      </c>
      <c r="K398">
        <f t="shared" si="44"/>
        <v>0</v>
      </c>
      <c r="L398">
        <f t="shared" si="45"/>
        <v>11.3979</v>
      </c>
      <c r="M398">
        <f t="shared" si="46"/>
        <v>11397.9</v>
      </c>
      <c r="N398">
        <f t="shared" si="47"/>
        <v>10.80312452409</v>
      </c>
      <c r="O398">
        <f t="shared" si="48"/>
        <v>0.377872633839478</v>
      </c>
    </row>
    <row r="399" spans="6:15" x14ac:dyDescent="0.45">
      <c r="F399">
        <v>397</v>
      </c>
      <c r="G399">
        <v>27.3</v>
      </c>
      <c r="H399">
        <f t="shared" si="43"/>
        <v>27.3</v>
      </c>
      <c r="I399">
        <f t="shared" si="42"/>
        <v>7.5833333333333334E-3</v>
      </c>
      <c r="J399">
        <v>-0.6</v>
      </c>
      <c r="K399">
        <f t="shared" si="44"/>
        <v>0</v>
      </c>
      <c r="L399">
        <f t="shared" si="45"/>
        <v>11.3979</v>
      </c>
      <c r="M399">
        <f t="shared" si="46"/>
        <v>11397.9</v>
      </c>
      <c r="N399">
        <f t="shared" si="47"/>
        <v>10.80312452409</v>
      </c>
      <c r="O399">
        <f t="shared" si="48"/>
        <v>0.377872633839478</v>
      </c>
    </row>
    <row r="400" spans="6:15" x14ac:dyDescent="0.45">
      <c r="F400">
        <v>398</v>
      </c>
      <c r="G400">
        <v>24.4</v>
      </c>
      <c r="H400">
        <f t="shared" si="43"/>
        <v>24.4</v>
      </c>
      <c r="I400">
        <f t="shared" si="42"/>
        <v>6.7777777777777775E-3</v>
      </c>
      <c r="J400">
        <v>-0.87</v>
      </c>
      <c r="K400">
        <f t="shared" si="44"/>
        <v>0</v>
      </c>
      <c r="L400">
        <f t="shared" si="45"/>
        <v>11.3979</v>
      </c>
      <c r="M400">
        <f t="shared" si="46"/>
        <v>11397.9</v>
      </c>
      <c r="N400">
        <f t="shared" si="47"/>
        <v>10.80312452409</v>
      </c>
      <c r="O400">
        <f t="shared" si="48"/>
        <v>0.377872633839478</v>
      </c>
    </row>
    <row r="401" spans="6:15" x14ac:dyDescent="0.45">
      <c r="F401">
        <v>399</v>
      </c>
      <c r="G401">
        <v>21</v>
      </c>
      <c r="H401">
        <f t="shared" si="43"/>
        <v>21</v>
      </c>
      <c r="I401">
        <f t="shared" si="42"/>
        <v>5.8333333333333336E-3</v>
      </c>
      <c r="J401">
        <v>-1.33</v>
      </c>
      <c r="K401">
        <f t="shared" si="44"/>
        <v>0</v>
      </c>
      <c r="L401">
        <f t="shared" si="45"/>
        <v>11.3979</v>
      </c>
      <c r="M401">
        <f t="shared" si="46"/>
        <v>11397.9</v>
      </c>
      <c r="N401">
        <f t="shared" si="47"/>
        <v>10.80312452409</v>
      </c>
      <c r="O401">
        <f t="shared" si="48"/>
        <v>0.377872633839478</v>
      </c>
    </row>
    <row r="402" spans="6:15" x14ac:dyDescent="0.45">
      <c r="F402">
        <v>400</v>
      </c>
      <c r="G402">
        <v>17.7</v>
      </c>
      <c r="H402">
        <f t="shared" si="43"/>
        <v>17.7</v>
      </c>
      <c r="I402">
        <f t="shared" si="42"/>
        <v>4.9166666666666664E-3</v>
      </c>
      <c r="J402">
        <v>-1.03</v>
      </c>
      <c r="K402">
        <f t="shared" si="44"/>
        <v>0</v>
      </c>
      <c r="L402">
        <f t="shared" si="45"/>
        <v>11.3979</v>
      </c>
      <c r="M402">
        <f t="shared" si="46"/>
        <v>11397.9</v>
      </c>
      <c r="N402">
        <f t="shared" si="47"/>
        <v>10.80312452409</v>
      </c>
      <c r="O402">
        <f t="shared" si="48"/>
        <v>0.377872633839478</v>
      </c>
    </row>
    <row r="403" spans="6:15" x14ac:dyDescent="0.45">
      <c r="F403">
        <v>401</v>
      </c>
      <c r="G403">
        <v>14.4</v>
      </c>
      <c r="H403">
        <f t="shared" si="43"/>
        <v>14.4</v>
      </c>
      <c r="I403">
        <f t="shared" si="42"/>
        <v>4.0000000000000001E-3</v>
      </c>
      <c r="J403">
        <v>-0.44</v>
      </c>
      <c r="K403">
        <f t="shared" si="44"/>
        <v>0</v>
      </c>
      <c r="L403">
        <f t="shared" si="45"/>
        <v>11.3979</v>
      </c>
      <c r="M403">
        <f t="shared" si="46"/>
        <v>11397.9</v>
      </c>
      <c r="N403">
        <f t="shared" si="47"/>
        <v>10.80312452409</v>
      </c>
      <c r="O403">
        <f t="shared" si="48"/>
        <v>0.377872633839478</v>
      </c>
    </row>
    <row r="404" spans="6:15" x14ac:dyDescent="0.45">
      <c r="F404">
        <v>402</v>
      </c>
      <c r="G404">
        <v>10.9</v>
      </c>
      <c r="H404">
        <f t="shared" si="43"/>
        <v>10.9</v>
      </c>
      <c r="I404">
        <f t="shared" si="42"/>
        <v>3.0277777777777777E-3</v>
      </c>
      <c r="J404">
        <v>-0.42</v>
      </c>
      <c r="K404">
        <f t="shared" si="44"/>
        <v>0</v>
      </c>
      <c r="L404">
        <f t="shared" si="45"/>
        <v>11.3979</v>
      </c>
      <c r="M404">
        <f t="shared" si="46"/>
        <v>11397.9</v>
      </c>
      <c r="N404">
        <f t="shared" si="47"/>
        <v>10.80312452409</v>
      </c>
      <c r="O404">
        <f t="shared" si="48"/>
        <v>0.377872633839478</v>
      </c>
    </row>
    <row r="405" spans="6:15" x14ac:dyDescent="0.45">
      <c r="F405">
        <v>403</v>
      </c>
      <c r="G405">
        <v>7.5</v>
      </c>
      <c r="H405">
        <f t="shared" si="43"/>
        <v>7.5</v>
      </c>
      <c r="I405">
        <f t="shared" si="42"/>
        <v>2.0833333333333333E-3</v>
      </c>
      <c r="J405">
        <v>-0.02</v>
      </c>
      <c r="K405">
        <f t="shared" si="44"/>
        <v>0</v>
      </c>
      <c r="L405">
        <f t="shared" si="45"/>
        <v>11.3979</v>
      </c>
      <c r="M405">
        <f t="shared" si="46"/>
        <v>11397.9</v>
      </c>
      <c r="N405">
        <f t="shared" si="47"/>
        <v>10.80312452409</v>
      </c>
      <c r="O405">
        <f t="shared" si="48"/>
        <v>0.377872633839478</v>
      </c>
    </row>
    <row r="406" spans="6:15" x14ac:dyDescent="0.45">
      <c r="F406">
        <v>404</v>
      </c>
      <c r="G406">
        <v>4.0999999999999996</v>
      </c>
      <c r="H406">
        <f t="shared" si="43"/>
        <v>4.0999999999999996</v>
      </c>
      <c r="I406">
        <f t="shared" si="42"/>
        <v>1.1388888888888887E-3</v>
      </c>
      <c r="J406">
        <v>0.85</v>
      </c>
      <c r="K406">
        <f t="shared" si="44"/>
        <v>0.85</v>
      </c>
      <c r="L406">
        <f t="shared" si="45"/>
        <v>13.5229</v>
      </c>
      <c r="M406">
        <f t="shared" si="46"/>
        <v>13522.9</v>
      </c>
      <c r="N406">
        <f t="shared" si="47"/>
        <v>12.81723586159</v>
      </c>
      <c r="O406">
        <f t="shared" si="48"/>
        <v>0.44832239624385867</v>
      </c>
    </row>
    <row r="407" spans="6:15" x14ac:dyDescent="0.45">
      <c r="F407">
        <v>405</v>
      </c>
      <c r="G407">
        <v>1.8</v>
      </c>
      <c r="H407">
        <f t="shared" si="43"/>
        <v>1.8</v>
      </c>
      <c r="I407">
        <f t="shared" si="42"/>
        <v>5.0000000000000001E-4</v>
      </c>
      <c r="J407">
        <v>1.03</v>
      </c>
      <c r="K407">
        <f t="shared" si="44"/>
        <v>1.03</v>
      </c>
      <c r="L407">
        <f t="shared" si="45"/>
        <v>13.972899999999999</v>
      </c>
      <c r="M407">
        <f t="shared" si="46"/>
        <v>13972.9</v>
      </c>
      <c r="N407">
        <f t="shared" si="47"/>
        <v>13.243753556590001</v>
      </c>
      <c r="O407">
        <f t="shared" si="48"/>
        <v>0.46324116945890398</v>
      </c>
    </row>
    <row r="408" spans="6:15" x14ac:dyDescent="0.45">
      <c r="F408">
        <v>406</v>
      </c>
      <c r="G408">
        <v>0.2</v>
      </c>
      <c r="H408">
        <f t="shared" si="43"/>
        <v>0.2</v>
      </c>
      <c r="I408">
        <f t="shared" si="42"/>
        <v>5.5555555555555558E-5</v>
      </c>
      <c r="J408">
        <v>0.94</v>
      </c>
      <c r="K408">
        <f t="shared" si="44"/>
        <v>0.94</v>
      </c>
      <c r="L408">
        <f t="shared" si="45"/>
        <v>13.7479</v>
      </c>
      <c r="M408">
        <f t="shared" si="46"/>
        <v>13747.9</v>
      </c>
      <c r="N408">
        <f t="shared" si="47"/>
        <v>13.03049470909</v>
      </c>
      <c r="O408">
        <f t="shared" si="48"/>
        <v>0.45578178285138127</v>
      </c>
    </row>
    <row r="409" spans="6:15" x14ac:dyDescent="0.45">
      <c r="F409">
        <v>407</v>
      </c>
      <c r="G409">
        <v>0</v>
      </c>
      <c r="H409">
        <f t="shared" si="43"/>
        <v>0</v>
      </c>
      <c r="I409">
        <f t="shared" si="42"/>
        <v>0</v>
      </c>
      <c r="J409">
        <v>0.84</v>
      </c>
      <c r="K409">
        <f t="shared" si="44"/>
        <v>0.84</v>
      </c>
      <c r="L409">
        <f t="shared" si="45"/>
        <v>13.4979</v>
      </c>
      <c r="M409">
        <f t="shared" si="46"/>
        <v>13497.9</v>
      </c>
      <c r="N409">
        <f t="shared" si="47"/>
        <v>12.79354043409</v>
      </c>
      <c r="O409">
        <f t="shared" si="48"/>
        <v>0.44749357550968949</v>
      </c>
    </row>
    <row r="410" spans="6:15" x14ac:dyDescent="0.45">
      <c r="F410">
        <v>408</v>
      </c>
      <c r="G410">
        <v>0</v>
      </c>
      <c r="H410">
        <f t="shared" si="43"/>
        <v>0</v>
      </c>
      <c r="I410">
        <f t="shared" si="42"/>
        <v>0</v>
      </c>
      <c r="J410">
        <v>0.44</v>
      </c>
      <c r="K410">
        <f t="shared" si="44"/>
        <v>0.44</v>
      </c>
      <c r="L410">
        <f t="shared" si="45"/>
        <v>12.4979</v>
      </c>
      <c r="M410">
        <f t="shared" si="46"/>
        <v>12497.9</v>
      </c>
      <c r="N410">
        <f t="shared" si="47"/>
        <v>11.84572333409</v>
      </c>
      <c r="O410">
        <f t="shared" si="48"/>
        <v>0.4143407461429221</v>
      </c>
    </row>
    <row r="411" spans="6:15" x14ac:dyDescent="0.45">
      <c r="F411">
        <v>409</v>
      </c>
      <c r="G411">
        <v>0</v>
      </c>
      <c r="H411">
        <f t="shared" si="43"/>
        <v>0</v>
      </c>
      <c r="I411">
        <f t="shared" si="42"/>
        <v>0</v>
      </c>
      <c r="J411">
        <v>0.83</v>
      </c>
      <c r="K411">
        <f t="shared" si="44"/>
        <v>0.83</v>
      </c>
      <c r="L411">
        <f t="shared" si="45"/>
        <v>13.472899999999999</v>
      </c>
      <c r="M411">
        <f t="shared" si="46"/>
        <v>13472.9</v>
      </c>
      <c r="N411">
        <f t="shared" si="47"/>
        <v>12.76984500659</v>
      </c>
      <c r="O411">
        <f t="shared" si="48"/>
        <v>0.44666475477552031</v>
      </c>
    </row>
    <row r="412" spans="6:15" x14ac:dyDescent="0.45">
      <c r="F412">
        <v>410</v>
      </c>
      <c r="G412">
        <v>0</v>
      </c>
      <c r="H412">
        <f t="shared" si="43"/>
        <v>0</v>
      </c>
      <c r="I412">
        <f t="shared" si="42"/>
        <v>0</v>
      </c>
      <c r="J412">
        <v>0.46</v>
      </c>
      <c r="K412">
        <f t="shared" si="44"/>
        <v>0.46</v>
      </c>
      <c r="L412">
        <f t="shared" si="45"/>
        <v>12.5479</v>
      </c>
      <c r="M412">
        <f t="shared" si="46"/>
        <v>12547.9</v>
      </c>
      <c r="N412">
        <f t="shared" si="47"/>
        <v>11.893114189089999</v>
      </c>
      <c r="O412">
        <f t="shared" si="48"/>
        <v>0.41599838761126046</v>
      </c>
    </row>
    <row r="413" spans="6:15" x14ac:dyDescent="0.45">
      <c r="F413">
        <v>411</v>
      </c>
      <c r="G413">
        <v>0</v>
      </c>
      <c r="H413">
        <f t="shared" si="43"/>
        <v>0</v>
      </c>
      <c r="I413">
        <f t="shared" si="42"/>
        <v>0</v>
      </c>
      <c r="J413">
        <v>0.83</v>
      </c>
      <c r="K413">
        <f t="shared" si="44"/>
        <v>0.83</v>
      </c>
      <c r="L413">
        <f t="shared" si="45"/>
        <v>13.472899999999999</v>
      </c>
      <c r="M413">
        <f t="shared" si="46"/>
        <v>13472.9</v>
      </c>
      <c r="N413">
        <f t="shared" si="47"/>
        <v>12.76984500659</v>
      </c>
      <c r="O413">
        <f t="shared" si="48"/>
        <v>0.44666475477552031</v>
      </c>
    </row>
    <row r="414" spans="6:15" x14ac:dyDescent="0.45">
      <c r="F414">
        <v>412</v>
      </c>
      <c r="G414">
        <v>0</v>
      </c>
      <c r="H414">
        <f t="shared" si="43"/>
        <v>0</v>
      </c>
      <c r="I414">
        <f t="shared" si="42"/>
        <v>0</v>
      </c>
      <c r="J414">
        <v>0.64</v>
      </c>
      <c r="K414">
        <f t="shared" si="44"/>
        <v>0.64</v>
      </c>
      <c r="L414">
        <f t="shared" si="45"/>
        <v>12.9979</v>
      </c>
      <c r="M414">
        <f t="shared" si="46"/>
        <v>12997.9</v>
      </c>
      <c r="N414">
        <f t="shared" si="47"/>
        <v>12.319631884090001</v>
      </c>
      <c r="O414">
        <f t="shared" si="48"/>
        <v>0.43091716082630577</v>
      </c>
    </row>
    <row r="415" spans="6:15" x14ac:dyDescent="0.45">
      <c r="F415">
        <v>413</v>
      </c>
      <c r="G415">
        <v>0</v>
      </c>
      <c r="H415">
        <f t="shared" si="43"/>
        <v>0</v>
      </c>
      <c r="I415">
        <f t="shared" si="42"/>
        <v>0</v>
      </c>
      <c r="J415">
        <v>0.28999999999999998</v>
      </c>
      <c r="K415">
        <f t="shared" si="44"/>
        <v>0.28999999999999998</v>
      </c>
      <c r="L415">
        <f t="shared" si="45"/>
        <v>12.1229</v>
      </c>
      <c r="M415">
        <f t="shared" si="46"/>
        <v>12122.9</v>
      </c>
      <c r="N415">
        <f t="shared" si="47"/>
        <v>11.49029192159</v>
      </c>
      <c r="O415">
        <f t="shared" si="48"/>
        <v>0.40190843513038432</v>
      </c>
    </row>
    <row r="416" spans="6:15" x14ac:dyDescent="0.45">
      <c r="F416">
        <v>414</v>
      </c>
      <c r="G416">
        <v>0</v>
      </c>
      <c r="H416">
        <f t="shared" si="43"/>
        <v>0</v>
      </c>
      <c r="I416">
        <f t="shared" si="42"/>
        <v>0</v>
      </c>
      <c r="J416">
        <v>0.3</v>
      </c>
      <c r="K416">
        <f t="shared" si="44"/>
        <v>0.3</v>
      </c>
      <c r="L416">
        <f t="shared" si="45"/>
        <v>12.1479</v>
      </c>
      <c r="M416">
        <f t="shared" si="46"/>
        <v>12147.9</v>
      </c>
      <c r="N416">
        <f t="shared" si="47"/>
        <v>11.51398734909</v>
      </c>
      <c r="O416">
        <f t="shared" si="48"/>
        <v>0.4027372558645535</v>
      </c>
    </row>
    <row r="417" spans="6:15" x14ac:dyDescent="0.45">
      <c r="F417">
        <v>415</v>
      </c>
      <c r="G417">
        <v>0</v>
      </c>
      <c r="H417">
        <f t="shared" si="43"/>
        <v>0</v>
      </c>
      <c r="I417">
        <f t="shared" si="42"/>
        <v>0</v>
      </c>
      <c r="J417">
        <v>0.32</v>
      </c>
      <c r="K417">
        <f t="shared" si="44"/>
        <v>0.32</v>
      </c>
      <c r="L417">
        <f t="shared" si="45"/>
        <v>12.197900000000001</v>
      </c>
      <c r="M417">
        <f t="shared" si="46"/>
        <v>12197.900000000001</v>
      </c>
      <c r="N417">
        <f t="shared" si="47"/>
        <v>11.561378204090001</v>
      </c>
      <c r="O417">
        <f t="shared" si="48"/>
        <v>0.40439489733289197</v>
      </c>
    </row>
    <row r="418" spans="6:15" x14ac:dyDescent="0.45">
      <c r="F418">
        <v>416</v>
      </c>
      <c r="G418">
        <v>0</v>
      </c>
      <c r="H418">
        <f t="shared" si="43"/>
        <v>0</v>
      </c>
      <c r="I418">
        <f t="shared" si="42"/>
        <v>0</v>
      </c>
      <c r="J418">
        <v>0.39</v>
      </c>
      <c r="K418">
        <f t="shared" si="44"/>
        <v>0.39</v>
      </c>
      <c r="L418">
        <f t="shared" si="45"/>
        <v>12.3729</v>
      </c>
      <c r="M418">
        <f t="shared" si="46"/>
        <v>12372.9</v>
      </c>
      <c r="N418">
        <f t="shared" si="47"/>
        <v>11.72724619659</v>
      </c>
      <c r="O418">
        <f t="shared" si="48"/>
        <v>0.41019664247207616</v>
      </c>
    </row>
    <row r="419" spans="6:15" x14ac:dyDescent="0.45">
      <c r="F419">
        <v>417</v>
      </c>
      <c r="G419">
        <v>0</v>
      </c>
      <c r="H419">
        <f t="shared" si="43"/>
        <v>0</v>
      </c>
      <c r="I419">
        <f t="shared" si="42"/>
        <v>0</v>
      </c>
      <c r="J419">
        <v>0.23</v>
      </c>
      <c r="K419">
        <f t="shared" si="44"/>
        <v>0.23</v>
      </c>
      <c r="L419">
        <f t="shared" si="45"/>
        <v>11.972899999999999</v>
      </c>
      <c r="M419">
        <f t="shared" si="46"/>
        <v>11972.9</v>
      </c>
      <c r="N419">
        <f t="shared" si="47"/>
        <v>11.348119356590001</v>
      </c>
      <c r="O419">
        <f t="shared" si="48"/>
        <v>0.3969355107253692</v>
      </c>
    </row>
    <row r="420" spans="6:15" x14ac:dyDescent="0.45">
      <c r="F420">
        <v>418</v>
      </c>
      <c r="G420">
        <v>0</v>
      </c>
      <c r="H420">
        <f t="shared" si="43"/>
        <v>0</v>
      </c>
      <c r="I420">
        <f t="shared" si="42"/>
        <v>0</v>
      </c>
      <c r="J420">
        <v>0.24</v>
      </c>
      <c r="K420">
        <f t="shared" si="44"/>
        <v>0.24</v>
      </c>
      <c r="L420">
        <f t="shared" si="45"/>
        <v>11.9979</v>
      </c>
      <c r="M420">
        <f t="shared" si="46"/>
        <v>11997.9</v>
      </c>
      <c r="N420">
        <f t="shared" si="47"/>
        <v>11.371814784090001</v>
      </c>
      <c r="O420">
        <f t="shared" si="48"/>
        <v>0.39776433145953838</v>
      </c>
    </row>
    <row r="421" spans="6:15" x14ac:dyDescent="0.45">
      <c r="F421">
        <v>419</v>
      </c>
      <c r="G421">
        <v>0</v>
      </c>
      <c r="H421">
        <f t="shared" si="43"/>
        <v>0</v>
      </c>
      <c r="I421">
        <f t="shared" si="42"/>
        <v>0</v>
      </c>
      <c r="J421">
        <v>0.38</v>
      </c>
      <c r="K421">
        <f t="shared" si="44"/>
        <v>0.38</v>
      </c>
      <c r="L421">
        <f t="shared" si="45"/>
        <v>12.347899999999999</v>
      </c>
      <c r="M421">
        <f t="shared" si="46"/>
        <v>12347.9</v>
      </c>
      <c r="N421">
        <f t="shared" si="47"/>
        <v>11.70355076909</v>
      </c>
      <c r="O421">
        <f t="shared" si="48"/>
        <v>0.40936782173790698</v>
      </c>
    </row>
    <row r="422" spans="6:15" x14ac:dyDescent="0.45">
      <c r="F422">
        <v>420</v>
      </c>
      <c r="G422">
        <v>0</v>
      </c>
      <c r="H422">
        <f t="shared" si="43"/>
        <v>0</v>
      </c>
      <c r="I422">
        <f t="shared" si="42"/>
        <v>0</v>
      </c>
      <c r="J422">
        <v>0.25</v>
      </c>
      <c r="K422">
        <f t="shared" si="44"/>
        <v>0.25</v>
      </c>
      <c r="L422">
        <f t="shared" si="45"/>
        <v>12.0229</v>
      </c>
      <c r="M422">
        <f t="shared" si="46"/>
        <v>12022.9</v>
      </c>
      <c r="N422">
        <f t="shared" si="47"/>
        <v>11.39551021159</v>
      </c>
      <c r="O422">
        <f t="shared" si="48"/>
        <v>0.39859315219370756</v>
      </c>
    </row>
    <row r="423" spans="6:15" x14ac:dyDescent="0.45">
      <c r="F423">
        <v>421</v>
      </c>
      <c r="G423">
        <v>0</v>
      </c>
      <c r="H423">
        <f t="shared" si="43"/>
        <v>0</v>
      </c>
      <c r="I423">
        <f t="shared" si="42"/>
        <v>0</v>
      </c>
      <c r="J423">
        <v>0.34</v>
      </c>
      <c r="K423">
        <f t="shared" si="44"/>
        <v>0.34</v>
      </c>
      <c r="L423">
        <f t="shared" si="45"/>
        <v>12.2479</v>
      </c>
      <c r="M423">
        <f t="shared" si="46"/>
        <v>12247.9</v>
      </c>
      <c r="N423">
        <f t="shared" si="47"/>
        <v>11.608769059089999</v>
      </c>
      <c r="O423">
        <f t="shared" si="48"/>
        <v>0.40605253880123021</v>
      </c>
    </row>
    <row r="424" spans="6:15" x14ac:dyDescent="0.45">
      <c r="F424">
        <v>422</v>
      </c>
      <c r="G424">
        <v>0</v>
      </c>
      <c r="H424">
        <f t="shared" si="43"/>
        <v>0</v>
      </c>
      <c r="I424">
        <f t="shared" si="42"/>
        <v>0</v>
      </c>
      <c r="J424">
        <v>0.38</v>
      </c>
      <c r="K424">
        <f t="shared" si="44"/>
        <v>0.38</v>
      </c>
      <c r="L424">
        <f t="shared" si="45"/>
        <v>12.347899999999999</v>
      </c>
      <c r="M424">
        <f t="shared" si="46"/>
        <v>12347.9</v>
      </c>
      <c r="N424">
        <f t="shared" si="47"/>
        <v>11.70355076909</v>
      </c>
      <c r="O424">
        <f t="shared" si="48"/>
        <v>0.40936782173790698</v>
      </c>
    </row>
    <row r="425" spans="6:15" x14ac:dyDescent="0.45">
      <c r="F425">
        <v>423</v>
      </c>
      <c r="G425">
        <v>0</v>
      </c>
      <c r="H425">
        <f t="shared" si="43"/>
        <v>0</v>
      </c>
      <c r="I425">
        <f t="shared" si="42"/>
        <v>0</v>
      </c>
      <c r="J425">
        <v>0.72</v>
      </c>
      <c r="K425">
        <f t="shared" si="44"/>
        <v>0.72</v>
      </c>
      <c r="L425">
        <f t="shared" si="45"/>
        <v>13.197900000000001</v>
      </c>
      <c r="M425">
        <f t="shared" si="46"/>
        <v>13197.900000000001</v>
      </c>
      <c r="N425">
        <f t="shared" si="47"/>
        <v>12.509195304090001</v>
      </c>
      <c r="O425">
        <f t="shared" si="48"/>
        <v>0.43754772669965936</v>
      </c>
    </row>
    <row r="426" spans="6:15" x14ac:dyDescent="0.45">
      <c r="F426">
        <v>424</v>
      </c>
      <c r="G426">
        <v>0.6</v>
      </c>
      <c r="H426">
        <f t="shared" si="43"/>
        <v>0.6</v>
      </c>
      <c r="I426">
        <f t="shared" si="42"/>
        <v>1.6666666666666666E-4</v>
      </c>
      <c r="J426">
        <v>0.9</v>
      </c>
      <c r="K426">
        <f t="shared" si="44"/>
        <v>0.9</v>
      </c>
      <c r="L426">
        <f t="shared" si="45"/>
        <v>13.6479</v>
      </c>
      <c r="M426">
        <f t="shared" si="46"/>
        <v>13647.9</v>
      </c>
      <c r="N426">
        <f t="shared" si="47"/>
        <v>12.935712999090001</v>
      </c>
      <c r="O426">
        <f t="shared" si="48"/>
        <v>0.45246649991470456</v>
      </c>
    </row>
    <row r="427" spans="6:15" x14ac:dyDescent="0.45">
      <c r="F427">
        <v>425</v>
      </c>
      <c r="G427">
        <v>3.9</v>
      </c>
      <c r="H427">
        <f t="shared" si="43"/>
        <v>3.9</v>
      </c>
      <c r="I427">
        <f t="shared" si="42"/>
        <v>1.0833333333333333E-3</v>
      </c>
      <c r="J427">
        <v>7.09</v>
      </c>
      <c r="K427">
        <f t="shared" si="44"/>
        <v>7.09</v>
      </c>
      <c r="L427">
        <f t="shared" si="45"/>
        <v>29.122900000000001</v>
      </c>
      <c r="M427">
        <f t="shared" si="46"/>
        <v>29122.9</v>
      </c>
      <c r="N427">
        <f t="shared" si="47"/>
        <v>27.603182621590001</v>
      </c>
      <c r="O427">
        <f t="shared" si="48"/>
        <v>0.96550653436542999</v>
      </c>
    </row>
    <row r="428" spans="6:15" x14ac:dyDescent="0.45">
      <c r="F428">
        <v>426</v>
      </c>
      <c r="G428">
        <v>7.2</v>
      </c>
      <c r="H428">
        <f t="shared" si="43"/>
        <v>7.2</v>
      </c>
      <c r="I428">
        <f t="shared" si="42"/>
        <v>2E-3</v>
      </c>
      <c r="J428">
        <v>12.22</v>
      </c>
      <c r="K428">
        <f t="shared" si="44"/>
        <v>12.22</v>
      </c>
      <c r="L428">
        <f t="shared" si="45"/>
        <v>41.947900000000004</v>
      </c>
      <c r="M428">
        <f t="shared" si="46"/>
        <v>41947.9</v>
      </c>
      <c r="N428">
        <f t="shared" si="47"/>
        <v>39.758936929090005</v>
      </c>
      <c r="O428">
        <f t="shared" si="48"/>
        <v>1.3906915709942216</v>
      </c>
    </row>
    <row r="429" spans="6:15" x14ac:dyDescent="0.45">
      <c r="F429">
        <v>427</v>
      </c>
      <c r="G429">
        <v>10.7</v>
      </c>
      <c r="H429">
        <f t="shared" si="43"/>
        <v>10.7</v>
      </c>
      <c r="I429">
        <f t="shared" si="42"/>
        <v>2.972222222222222E-3</v>
      </c>
      <c r="J429">
        <v>16.87</v>
      </c>
      <c r="K429">
        <f t="shared" si="44"/>
        <v>16.87</v>
      </c>
      <c r="L429">
        <f t="shared" si="45"/>
        <v>53.572900000000004</v>
      </c>
      <c r="M429">
        <f t="shared" si="46"/>
        <v>53572.9</v>
      </c>
      <c r="N429">
        <f t="shared" si="47"/>
        <v>50.777310716590002</v>
      </c>
      <c r="O429">
        <f t="shared" si="48"/>
        <v>1.7760932123828925</v>
      </c>
    </row>
    <row r="430" spans="6:15" x14ac:dyDescent="0.45">
      <c r="F430">
        <v>428</v>
      </c>
      <c r="G430">
        <v>14.3</v>
      </c>
      <c r="H430">
        <f t="shared" si="43"/>
        <v>14.3</v>
      </c>
      <c r="I430">
        <f t="shared" si="42"/>
        <v>3.9722222222222225E-3</v>
      </c>
      <c r="J430">
        <v>20.39</v>
      </c>
      <c r="K430">
        <f t="shared" si="44"/>
        <v>20.39</v>
      </c>
      <c r="L430">
        <f t="shared" si="45"/>
        <v>62.372900000000001</v>
      </c>
      <c r="M430">
        <f t="shared" si="46"/>
        <v>62372.9</v>
      </c>
      <c r="N430">
        <f t="shared" si="47"/>
        <v>59.118101196590004</v>
      </c>
      <c r="O430">
        <f t="shared" si="48"/>
        <v>2.0678381108104458</v>
      </c>
    </row>
    <row r="431" spans="6:15" x14ac:dyDescent="0.45">
      <c r="F431">
        <v>429</v>
      </c>
      <c r="G431">
        <v>17.600000000000001</v>
      </c>
      <c r="H431">
        <f t="shared" si="43"/>
        <v>17.600000000000001</v>
      </c>
      <c r="I431">
        <f t="shared" si="42"/>
        <v>4.8888888888888897E-3</v>
      </c>
      <c r="J431">
        <v>24.07</v>
      </c>
      <c r="K431">
        <f t="shared" si="44"/>
        <v>24.07</v>
      </c>
      <c r="L431">
        <f t="shared" si="45"/>
        <v>71.572900000000004</v>
      </c>
      <c r="M431">
        <f t="shared" si="46"/>
        <v>71572.900000000009</v>
      </c>
      <c r="N431">
        <f t="shared" si="47"/>
        <v>67.838018516590012</v>
      </c>
      <c r="O431">
        <f t="shared" si="48"/>
        <v>2.3728441409847054</v>
      </c>
    </row>
    <row r="432" spans="6:15" x14ac:dyDescent="0.45">
      <c r="F432">
        <v>430</v>
      </c>
      <c r="G432">
        <v>19.899999999999999</v>
      </c>
      <c r="H432">
        <f t="shared" si="43"/>
        <v>19.899999999999999</v>
      </c>
      <c r="I432">
        <f t="shared" si="42"/>
        <v>5.5277777777777773E-3</v>
      </c>
      <c r="J432">
        <v>21.14</v>
      </c>
      <c r="K432">
        <f t="shared" si="44"/>
        <v>21.14</v>
      </c>
      <c r="L432">
        <f t="shared" si="45"/>
        <v>64.247900000000001</v>
      </c>
      <c r="M432">
        <f t="shared" si="46"/>
        <v>64247.9</v>
      </c>
      <c r="N432">
        <f t="shared" si="47"/>
        <v>60.895258259090006</v>
      </c>
      <c r="O432">
        <f t="shared" si="48"/>
        <v>2.1299996658731342</v>
      </c>
    </row>
    <row r="433" spans="6:15" x14ac:dyDescent="0.45">
      <c r="F433">
        <v>431</v>
      </c>
      <c r="G433">
        <v>22.9</v>
      </c>
      <c r="H433">
        <f t="shared" si="43"/>
        <v>22.9</v>
      </c>
      <c r="I433">
        <f t="shared" si="42"/>
        <v>6.3611111111111108E-3</v>
      </c>
      <c r="J433">
        <v>28.83</v>
      </c>
      <c r="K433">
        <f t="shared" si="44"/>
        <v>28.83</v>
      </c>
      <c r="L433">
        <f t="shared" si="45"/>
        <v>83.472899999999981</v>
      </c>
      <c r="M433">
        <f t="shared" si="46"/>
        <v>83472.89999999998</v>
      </c>
      <c r="N433">
        <f t="shared" si="47"/>
        <v>79.117042006589983</v>
      </c>
      <c r="O433">
        <f t="shared" si="48"/>
        <v>2.7673628104492365</v>
      </c>
    </row>
    <row r="434" spans="6:15" x14ac:dyDescent="0.45">
      <c r="F434">
        <v>432</v>
      </c>
      <c r="G434">
        <v>26</v>
      </c>
      <c r="H434">
        <f t="shared" si="43"/>
        <v>26</v>
      </c>
      <c r="I434">
        <f t="shared" si="42"/>
        <v>7.2222222222222219E-3</v>
      </c>
      <c r="J434">
        <v>34.89</v>
      </c>
      <c r="K434">
        <f t="shared" si="44"/>
        <v>34.89</v>
      </c>
      <c r="L434">
        <f t="shared" si="45"/>
        <v>98.622899999999987</v>
      </c>
      <c r="M434">
        <f t="shared" si="46"/>
        <v>98622.9</v>
      </c>
      <c r="N434">
        <f t="shared" si="47"/>
        <v>93.476471071589998</v>
      </c>
      <c r="O434">
        <f t="shared" si="48"/>
        <v>3.2696281753557632</v>
      </c>
    </row>
    <row r="435" spans="6:15" x14ac:dyDescent="0.45">
      <c r="F435">
        <v>433</v>
      </c>
      <c r="G435">
        <v>27.8</v>
      </c>
      <c r="H435">
        <f t="shared" si="43"/>
        <v>27.8</v>
      </c>
      <c r="I435">
        <f t="shared" si="42"/>
        <v>7.7222222222222223E-3</v>
      </c>
      <c r="J435">
        <v>23.35</v>
      </c>
      <c r="K435">
        <f t="shared" si="44"/>
        <v>23.35</v>
      </c>
      <c r="L435">
        <f t="shared" si="45"/>
        <v>69.772899999999993</v>
      </c>
      <c r="M435">
        <f t="shared" si="46"/>
        <v>69772.899999999994</v>
      </c>
      <c r="N435">
        <f t="shared" si="47"/>
        <v>66.131947736589993</v>
      </c>
      <c r="O435">
        <f t="shared" si="48"/>
        <v>2.3131690481245237</v>
      </c>
    </row>
    <row r="436" spans="6:15" x14ac:dyDescent="0.45">
      <c r="F436">
        <v>434</v>
      </c>
      <c r="G436">
        <v>29.5</v>
      </c>
      <c r="H436">
        <f t="shared" si="43"/>
        <v>29.5</v>
      </c>
      <c r="I436">
        <f t="shared" si="42"/>
        <v>8.1944444444444452E-3</v>
      </c>
      <c r="J436">
        <v>30.9</v>
      </c>
      <c r="K436">
        <f t="shared" si="44"/>
        <v>30.9</v>
      </c>
      <c r="L436">
        <f t="shared" si="45"/>
        <v>88.647899999999993</v>
      </c>
      <c r="M436">
        <f t="shared" si="46"/>
        <v>88647.9</v>
      </c>
      <c r="N436">
        <f t="shared" si="47"/>
        <v>84.021995499089996</v>
      </c>
      <c r="O436">
        <f t="shared" si="48"/>
        <v>2.9389287024222579</v>
      </c>
    </row>
    <row r="437" spans="6:15" x14ac:dyDescent="0.45">
      <c r="F437">
        <v>435</v>
      </c>
      <c r="G437">
        <v>31.4</v>
      </c>
      <c r="H437">
        <f t="shared" si="43"/>
        <v>31.4</v>
      </c>
      <c r="I437">
        <f t="shared" si="42"/>
        <v>8.7222222222222215E-3</v>
      </c>
      <c r="J437">
        <v>30.64</v>
      </c>
      <c r="K437">
        <f t="shared" si="44"/>
        <v>30.64</v>
      </c>
      <c r="L437">
        <f t="shared" si="45"/>
        <v>87.997899999999987</v>
      </c>
      <c r="M437">
        <f t="shared" si="46"/>
        <v>87997.9</v>
      </c>
      <c r="N437">
        <f t="shared" si="47"/>
        <v>83.405914384089996</v>
      </c>
      <c r="O437">
        <f t="shared" si="48"/>
        <v>2.9173793633338594</v>
      </c>
    </row>
    <row r="438" spans="6:15" x14ac:dyDescent="0.45">
      <c r="F438">
        <v>436</v>
      </c>
      <c r="G438">
        <v>33</v>
      </c>
      <c r="H438">
        <f t="shared" si="43"/>
        <v>33</v>
      </c>
      <c r="I438">
        <f t="shared" si="42"/>
        <v>9.1666666666666667E-3</v>
      </c>
      <c r="J438">
        <v>20.420000000000002</v>
      </c>
      <c r="K438">
        <f t="shared" si="44"/>
        <v>20.420000000000002</v>
      </c>
      <c r="L438">
        <f t="shared" si="45"/>
        <v>62.447900000000004</v>
      </c>
      <c r="M438">
        <f t="shared" si="46"/>
        <v>62447.9</v>
      </c>
      <c r="N438">
        <f t="shared" si="47"/>
        <v>59.189187479090002</v>
      </c>
      <c r="O438">
        <f t="shared" si="48"/>
        <v>2.0703245730129529</v>
      </c>
    </row>
    <row r="439" spans="6:15" x14ac:dyDescent="0.45">
      <c r="F439">
        <v>437</v>
      </c>
      <c r="G439">
        <v>34.1</v>
      </c>
      <c r="H439">
        <f t="shared" si="43"/>
        <v>34.1</v>
      </c>
      <c r="I439">
        <f t="shared" si="42"/>
        <v>9.4722222222222222E-3</v>
      </c>
      <c r="J439">
        <v>15.49</v>
      </c>
      <c r="K439">
        <f t="shared" si="44"/>
        <v>15.49</v>
      </c>
      <c r="L439">
        <f t="shared" si="45"/>
        <v>50.122900000000001</v>
      </c>
      <c r="M439">
        <f t="shared" si="46"/>
        <v>50122.9</v>
      </c>
      <c r="N439">
        <f t="shared" si="47"/>
        <v>47.507341721590002</v>
      </c>
      <c r="O439">
        <f t="shared" si="48"/>
        <v>1.661715951067545</v>
      </c>
    </row>
    <row r="440" spans="6:15" x14ac:dyDescent="0.45">
      <c r="F440">
        <v>438</v>
      </c>
      <c r="G440">
        <v>34.6</v>
      </c>
      <c r="H440">
        <f t="shared" si="43"/>
        <v>34.6</v>
      </c>
      <c r="I440">
        <f t="shared" si="42"/>
        <v>9.6111111111111119E-3</v>
      </c>
      <c r="J440">
        <v>9.82</v>
      </c>
      <c r="K440">
        <f t="shared" si="44"/>
        <v>9.82</v>
      </c>
      <c r="L440">
        <f t="shared" si="45"/>
        <v>35.947900000000004</v>
      </c>
      <c r="M440">
        <f t="shared" si="46"/>
        <v>35947.9</v>
      </c>
      <c r="N440">
        <f t="shared" si="47"/>
        <v>34.072034329090002</v>
      </c>
      <c r="O440">
        <f t="shared" si="48"/>
        <v>1.1917745947936174</v>
      </c>
    </row>
    <row r="441" spans="6:15" x14ac:dyDescent="0.45">
      <c r="F441">
        <v>439</v>
      </c>
      <c r="G441">
        <v>35.299999999999997</v>
      </c>
      <c r="H441">
        <f t="shared" si="43"/>
        <v>35.299999999999997</v>
      </c>
      <c r="I441">
        <f t="shared" si="42"/>
        <v>9.8055555555555552E-3</v>
      </c>
      <c r="J441">
        <v>8.0399999999999991</v>
      </c>
      <c r="K441">
        <f t="shared" si="44"/>
        <v>8.0399999999999991</v>
      </c>
      <c r="L441">
        <f t="shared" si="45"/>
        <v>31.497899999999998</v>
      </c>
      <c r="M441">
        <f t="shared" si="46"/>
        <v>31497.899999999998</v>
      </c>
      <c r="N441">
        <f t="shared" si="47"/>
        <v>29.854248234089997</v>
      </c>
      <c r="O441">
        <f t="shared" si="48"/>
        <v>1.0442445041115023</v>
      </c>
    </row>
    <row r="442" spans="6:15" x14ac:dyDescent="0.45">
      <c r="F442">
        <v>440</v>
      </c>
      <c r="G442">
        <v>35.700000000000003</v>
      </c>
      <c r="H442">
        <f t="shared" si="43"/>
        <v>35.700000000000003</v>
      </c>
      <c r="I442">
        <f t="shared" si="42"/>
        <v>9.9166666666666674E-3</v>
      </c>
      <c r="J442">
        <v>11.32</v>
      </c>
      <c r="K442">
        <f t="shared" si="44"/>
        <v>11.32</v>
      </c>
      <c r="L442">
        <f t="shared" si="45"/>
        <v>39.697900000000004</v>
      </c>
      <c r="M442">
        <f t="shared" si="46"/>
        <v>39697.9</v>
      </c>
      <c r="N442">
        <f t="shared" si="47"/>
        <v>37.62634845409</v>
      </c>
      <c r="O442">
        <f t="shared" si="48"/>
        <v>1.316097704918995</v>
      </c>
    </row>
    <row r="443" spans="6:15" x14ac:dyDescent="0.45">
      <c r="F443">
        <v>441</v>
      </c>
      <c r="G443">
        <v>36.1</v>
      </c>
      <c r="H443">
        <f t="shared" si="43"/>
        <v>36.1</v>
      </c>
      <c r="I443">
        <f t="shared" si="42"/>
        <v>1.0027777777777778E-2</v>
      </c>
      <c r="J443">
        <v>6.23</v>
      </c>
      <c r="K443">
        <f t="shared" si="44"/>
        <v>6.23</v>
      </c>
      <c r="L443">
        <f t="shared" si="45"/>
        <v>26.972900000000003</v>
      </c>
      <c r="M443">
        <f t="shared" si="46"/>
        <v>26972.9</v>
      </c>
      <c r="N443">
        <f t="shared" si="47"/>
        <v>25.565375856590002</v>
      </c>
      <c r="O443">
        <f t="shared" si="48"/>
        <v>0.89422795122688004</v>
      </c>
    </row>
    <row r="444" spans="6:15" x14ac:dyDescent="0.45">
      <c r="F444">
        <v>442</v>
      </c>
      <c r="G444">
        <v>36</v>
      </c>
      <c r="H444">
        <f t="shared" si="43"/>
        <v>36</v>
      </c>
      <c r="I444">
        <f t="shared" si="42"/>
        <v>0.01</v>
      </c>
      <c r="J444">
        <v>6.2</v>
      </c>
      <c r="K444">
        <f t="shared" si="44"/>
        <v>6.2</v>
      </c>
      <c r="L444">
        <f t="shared" si="45"/>
        <v>26.8979</v>
      </c>
      <c r="M444">
        <f t="shared" si="46"/>
        <v>26897.9</v>
      </c>
      <c r="N444">
        <f t="shared" si="47"/>
        <v>25.494289574090001</v>
      </c>
      <c r="O444">
        <f t="shared" si="48"/>
        <v>0.89174148902437245</v>
      </c>
    </row>
    <row r="445" spans="6:15" x14ac:dyDescent="0.45">
      <c r="F445">
        <v>443</v>
      </c>
      <c r="G445">
        <v>36.200000000000003</v>
      </c>
      <c r="H445">
        <f t="shared" si="43"/>
        <v>36.200000000000003</v>
      </c>
      <c r="I445">
        <f t="shared" si="42"/>
        <v>1.0055555555555557E-2</v>
      </c>
      <c r="J445">
        <v>9.84</v>
      </c>
      <c r="K445">
        <f t="shared" si="44"/>
        <v>9.84</v>
      </c>
      <c r="L445">
        <f t="shared" si="45"/>
        <v>35.997900000000001</v>
      </c>
      <c r="M445">
        <f t="shared" si="46"/>
        <v>35997.9</v>
      </c>
      <c r="N445">
        <f t="shared" si="47"/>
        <v>34.119425184090005</v>
      </c>
      <c r="O445">
        <f t="shared" si="48"/>
        <v>1.1934322362619556</v>
      </c>
    </row>
    <row r="446" spans="6:15" x14ac:dyDescent="0.45">
      <c r="F446">
        <v>444</v>
      </c>
      <c r="G446">
        <v>36.5</v>
      </c>
      <c r="H446">
        <f t="shared" si="43"/>
        <v>36.5</v>
      </c>
      <c r="I446">
        <f t="shared" si="42"/>
        <v>1.0138888888888888E-2</v>
      </c>
      <c r="J446">
        <v>2.7</v>
      </c>
      <c r="K446">
        <f t="shared" si="44"/>
        <v>2.7</v>
      </c>
      <c r="L446">
        <f t="shared" si="45"/>
        <v>18.1479</v>
      </c>
      <c r="M446">
        <f t="shared" si="46"/>
        <v>18147.900000000001</v>
      </c>
      <c r="N446">
        <f t="shared" si="47"/>
        <v>17.200889949090001</v>
      </c>
      <c r="O446">
        <f t="shared" si="48"/>
        <v>0.60165423206515789</v>
      </c>
    </row>
    <row r="447" spans="6:15" x14ac:dyDescent="0.45">
      <c r="F447">
        <v>445</v>
      </c>
      <c r="G447">
        <v>36.200000000000003</v>
      </c>
      <c r="H447">
        <f t="shared" si="43"/>
        <v>36.200000000000003</v>
      </c>
      <c r="I447">
        <f t="shared" si="42"/>
        <v>1.0055555555555557E-2</v>
      </c>
      <c r="J447">
        <v>5.48</v>
      </c>
      <c r="K447">
        <f t="shared" si="44"/>
        <v>5.48</v>
      </c>
      <c r="L447">
        <f t="shared" si="45"/>
        <v>25.097900000000003</v>
      </c>
      <c r="M447">
        <f t="shared" si="46"/>
        <v>25097.9</v>
      </c>
      <c r="N447">
        <f t="shared" si="47"/>
        <v>23.788218794090003</v>
      </c>
      <c r="O447">
        <f t="shared" si="48"/>
        <v>0.8320663961641912</v>
      </c>
    </row>
    <row r="448" spans="6:15" x14ac:dyDescent="0.45">
      <c r="F448">
        <v>446</v>
      </c>
      <c r="G448">
        <v>36.1</v>
      </c>
      <c r="H448">
        <f t="shared" si="43"/>
        <v>36.1</v>
      </c>
      <c r="I448">
        <f t="shared" si="42"/>
        <v>1.0027777777777778E-2</v>
      </c>
      <c r="J448">
        <v>2.68</v>
      </c>
      <c r="K448">
        <f t="shared" si="44"/>
        <v>2.68</v>
      </c>
      <c r="L448">
        <f t="shared" si="45"/>
        <v>18.097899999999999</v>
      </c>
      <c r="M448">
        <f t="shared" si="46"/>
        <v>18097.899999999998</v>
      </c>
      <c r="N448">
        <f t="shared" si="47"/>
        <v>17.153499094089998</v>
      </c>
      <c r="O448">
        <f t="shared" si="48"/>
        <v>0.59999659059681942</v>
      </c>
    </row>
    <row r="449" spans="6:15" x14ac:dyDescent="0.45">
      <c r="F449">
        <v>447</v>
      </c>
      <c r="G449">
        <v>35.9</v>
      </c>
      <c r="H449">
        <f t="shared" si="43"/>
        <v>35.9</v>
      </c>
      <c r="I449">
        <f t="shared" si="42"/>
        <v>9.9722222222222226E-3</v>
      </c>
      <c r="J449">
        <v>4.4000000000000004</v>
      </c>
      <c r="K449">
        <f t="shared" si="44"/>
        <v>4.4000000000000004</v>
      </c>
      <c r="L449">
        <f t="shared" si="45"/>
        <v>22.3979</v>
      </c>
      <c r="M449">
        <f t="shared" si="46"/>
        <v>22397.9</v>
      </c>
      <c r="N449">
        <f t="shared" si="47"/>
        <v>21.229112624090003</v>
      </c>
      <c r="O449">
        <f t="shared" si="48"/>
        <v>0.74255375687391934</v>
      </c>
    </row>
    <row r="450" spans="6:15" x14ac:dyDescent="0.45">
      <c r="F450">
        <v>448</v>
      </c>
      <c r="G450">
        <v>35.700000000000003</v>
      </c>
      <c r="H450">
        <f t="shared" si="43"/>
        <v>35.700000000000003</v>
      </c>
      <c r="I450">
        <f t="shared" ref="I450:I513" si="49">H450*(1/3600)</f>
        <v>9.9166666666666674E-3</v>
      </c>
      <c r="J450">
        <v>4.51</v>
      </c>
      <c r="K450">
        <f t="shared" si="44"/>
        <v>4.51</v>
      </c>
      <c r="L450">
        <f t="shared" si="45"/>
        <v>22.672899999999998</v>
      </c>
      <c r="M450">
        <f t="shared" si="46"/>
        <v>22672.899999999998</v>
      </c>
      <c r="N450">
        <f t="shared" si="47"/>
        <v>21.48976232659</v>
      </c>
      <c r="O450">
        <f t="shared" si="48"/>
        <v>0.75167078494978024</v>
      </c>
    </row>
    <row r="451" spans="6:15" x14ac:dyDescent="0.45">
      <c r="F451">
        <v>449</v>
      </c>
      <c r="G451">
        <v>35.6</v>
      </c>
      <c r="H451">
        <f t="shared" ref="H451:H514" si="50">IF(G451&lt;0,0,G451)</f>
        <v>35.6</v>
      </c>
      <c r="I451">
        <f t="shared" si="49"/>
        <v>9.8888888888888898E-3</v>
      </c>
      <c r="J451">
        <v>5.99</v>
      </c>
      <c r="K451">
        <f t="shared" ref="K451:K514" si="51">IF(J451&lt;0,0,J451)</f>
        <v>5.99</v>
      </c>
      <c r="L451">
        <f t="shared" ref="L451:L514" si="52">(1/$B$5)*K451+((3.4798*$B$6)+0.9585)</f>
        <v>26.372900000000001</v>
      </c>
      <c r="M451">
        <f t="shared" ref="M451:M514" si="53">L451*1000</f>
        <v>26372.9</v>
      </c>
      <c r="N451">
        <f t="shared" ref="N451:N514" si="54">M451*0.0009478171</f>
        <v>24.996685596590002</v>
      </c>
      <c r="O451">
        <f t="shared" ref="O451:O514" si="55">(M451*453.59237)/(18489*0.74*1000)</f>
        <v>0.87433625360681966</v>
      </c>
    </row>
    <row r="452" spans="6:15" x14ac:dyDescent="0.45">
      <c r="F452">
        <v>450</v>
      </c>
      <c r="G452">
        <v>35.5</v>
      </c>
      <c r="H452">
        <f t="shared" si="50"/>
        <v>35.5</v>
      </c>
      <c r="I452">
        <f t="shared" si="49"/>
        <v>9.8611111111111104E-3</v>
      </c>
      <c r="J452">
        <v>4.88</v>
      </c>
      <c r="K452">
        <f t="shared" si="51"/>
        <v>4.88</v>
      </c>
      <c r="L452">
        <f t="shared" si="52"/>
        <v>23.597899999999999</v>
      </c>
      <c r="M452">
        <f t="shared" si="53"/>
        <v>23597.899999999998</v>
      </c>
      <c r="N452">
        <f t="shared" si="54"/>
        <v>22.366493144089997</v>
      </c>
      <c r="O452">
        <f t="shared" si="55"/>
        <v>0.78233715211404009</v>
      </c>
    </row>
    <row r="453" spans="6:15" x14ac:dyDescent="0.45">
      <c r="F453">
        <v>451</v>
      </c>
      <c r="G453">
        <v>35.4</v>
      </c>
      <c r="H453">
        <f t="shared" si="50"/>
        <v>35.4</v>
      </c>
      <c r="I453">
        <f t="shared" si="49"/>
        <v>9.8333333333333328E-3</v>
      </c>
      <c r="J453">
        <v>5.32</v>
      </c>
      <c r="K453">
        <f t="shared" si="51"/>
        <v>5.32</v>
      </c>
      <c r="L453">
        <f t="shared" si="52"/>
        <v>24.697900000000001</v>
      </c>
      <c r="M453">
        <f t="shared" si="53"/>
        <v>24697.9</v>
      </c>
      <c r="N453">
        <f t="shared" si="54"/>
        <v>23.409091954090002</v>
      </c>
      <c r="O453">
        <f t="shared" si="55"/>
        <v>0.81880526441748425</v>
      </c>
    </row>
    <row r="454" spans="6:15" x14ac:dyDescent="0.45">
      <c r="F454">
        <v>452</v>
      </c>
      <c r="G454">
        <v>35.299999999999997</v>
      </c>
      <c r="H454">
        <f t="shared" si="50"/>
        <v>35.299999999999997</v>
      </c>
      <c r="I454">
        <f t="shared" si="49"/>
        <v>9.8055555555555552E-3</v>
      </c>
      <c r="J454">
        <v>6.87</v>
      </c>
      <c r="K454">
        <f t="shared" si="51"/>
        <v>6.87</v>
      </c>
      <c r="L454">
        <f t="shared" si="52"/>
        <v>28.572900000000001</v>
      </c>
      <c r="M454">
        <f t="shared" si="53"/>
        <v>28572.9</v>
      </c>
      <c r="N454">
        <f t="shared" si="54"/>
        <v>27.081883216590001</v>
      </c>
      <c r="O454">
        <f t="shared" si="55"/>
        <v>0.94727247821370786</v>
      </c>
    </row>
    <row r="455" spans="6:15" x14ac:dyDescent="0.45">
      <c r="F455">
        <v>453</v>
      </c>
      <c r="G455">
        <v>35.200000000000003</v>
      </c>
      <c r="H455">
        <f t="shared" si="50"/>
        <v>35.200000000000003</v>
      </c>
      <c r="I455">
        <f t="shared" si="49"/>
        <v>9.7777777777777793E-3</v>
      </c>
      <c r="J455">
        <v>7.56</v>
      </c>
      <c r="K455">
        <f t="shared" si="51"/>
        <v>7.56</v>
      </c>
      <c r="L455">
        <f t="shared" si="52"/>
        <v>30.297899999999998</v>
      </c>
      <c r="M455">
        <f t="shared" si="53"/>
        <v>30297.899999999998</v>
      </c>
      <c r="N455">
        <f t="shared" si="54"/>
        <v>28.71686771409</v>
      </c>
      <c r="O455">
        <f t="shared" si="55"/>
        <v>1.0044611088713815</v>
      </c>
    </row>
    <row r="456" spans="6:15" x14ac:dyDescent="0.45">
      <c r="F456">
        <v>454</v>
      </c>
      <c r="G456">
        <v>35.1</v>
      </c>
      <c r="H456">
        <f t="shared" si="50"/>
        <v>35.1</v>
      </c>
      <c r="I456">
        <f t="shared" si="49"/>
        <v>9.75E-3</v>
      </c>
      <c r="J456">
        <v>2.94</v>
      </c>
      <c r="K456">
        <f t="shared" si="51"/>
        <v>2.94</v>
      </c>
      <c r="L456">
        <f t="shared" si="52"/>
        <v>18.747900000000001</v>
      </c>
      <c r="M456">
        <f t="shared" si="53"/>
        <v>18747.900000000001</v>
      </c>
      <c r="N456">
        <f t="shared" si="54"/>
        <v>17.769580209090002</v>
      </c>
      <c r="O456">
        <f t="shared" si="55"/>
        <v>0.62154592968521827</v>
      </c>
    </row>
    <row r="457" spans="6:15" x14ac:dyDescent="0.45">
      <c r="F457">
        <v>455</v>
      </c>
      <c r="G457">
        <v>35</v>
      </c>
      <c r="H457">
        <f t="shared" si="50"/>
        <v>35</v>
      </c>
      <c r="I457">
        <f t="shared" si="49"/>
        <v>9.7222222222222224E-3</v>
      </c>
      <c r="J457">
        <v>8.66</v>
      </c>
      <c r="K457">
        <f t="shared" si="51"/>
        <v>8.66</v>
      </c>
      <c r="L457">
        <f t="shared" si="52"/>
        <v>33.047899999999998</v>
      </c>
      <c r="M457">
        <f t="shared" si="53"/>
        <v>33047.9</v>
      </c>
      <c r="N457">
        <f t="shared" si="54"/>
        <v>31.323364739090003</v>
      </c>
      <c r="O457">
        <f t="shared" si="55"/>
        <v>1.0956313896299918</v>
      </c>
    </row>
    <row r="458" spans="6:15" x14ac:dyDescent="0.45">
      <c r="F458">
        <v>456</v>
      </c>
      <c r="G458">
        <v>35</v>
      </c>
      <c r="H458">
        <f t="shared" si="50"/>
        <v>35</v>
      </c>
      <c r="I458">
        <f t="shared" si="49"/>
        <v>9.7222222222222224E-3</v>
      </c>
      <c r="J458">
        <v>8.7899999999999991</v>
      </c>
      <c r="K458">
        <f t="shared" si="51"/>
        <v>8.7899999999999991</v>
      </c>
      <c r="L458">
        <f t="shared" si="52"/>
        <v>33.372900000000001</v>
      </c>
      <c r="M458">
        <f t="shared" si="53"/>
        <v>33372.9</v>
      </c>
      <c r="N458">
        <f t="shared" si="54"/>
        <v>31.631405296590003</v>
      </c>
      <c r="O458">
        <f t="shared" si="55"/>
        <v>1.1064060591741913</v>
      </c>
    </row>
    <row r="459" spans="6:15" x14ac:dyDescent="0.45">
      <c r="F459">
        <v>457</v>
      </c>
      <c r="G459">
        <v>34.9</v>
      </c>
      <c r="H459">
        <f t="shared" si="50"/>
        <v>34.9</v>
      </c>
      <c r="I459">
        <f t="shared" si="49"/>
        <v>9.6944444444444448E-3</v>
      </c>
      <c r="J459">
        <v>2.92</v>
      </c>
      <c r="K459">
        <f t="shared" si="51"/>
        <v>2.92</v>
      </c>
      <c r="L459">
        <f t="shared" si="52"/>
        <v>18.697900000000001</v>
      </c>
      <c r="M459">
        <f t="shared" si="53"/>
        <v>18697.900000000001</v>
      </c>
      <c r="N459">
        <f t="shared" si="54"/>
        <v>17.722189354090002</v>
      </c>
      <c r="O459">
        <f t="shared" si="55"/>
        <v>0.61988828821687991</v>
      </c>
    </row>
    <row r="460" spans="6:15" x14ac:dyDescent="0.45">
      <c r="F460">
        <v>458</v>
      </c>
      <c r="G460">
        <v>34.799999999999997</v>
      </c>
      <c r="H460">
        <f t="shared" si="50"/>
        <v>34.799999999999997</v>
      </c>
      <c r="I460">
        <f t="shared" si="49"/>
        <v>9.6666666666666654E-3</v>
      </c>
      <c r="J460">
        <v>3.66</v>
      </c>
      <c r="K460">
        <f t="shared" si="51"/>
        <v>3.66</v>
      </c>
      <c r="L460">
        <f t="shared" si="52"/>
        <v>20.547899999999998</v>
      </c>
      <c r="M460">
        <f t="shared" si="53"/>
        <v>20547.899999999998</v>
      </c>
      <c r="N460">
        <f t="shared" si="54"/>
        <v>19.475650989089999</v>
      </c>
      <c r="O460">
        <f t="shared" si="55"/>
        <v>0.68122102254539951</v>
      </c>
    </row>
    <row r="461" spans="6:15" x14ac:dyDescent="0.45">
      <c r="F461">
        <v>459</v>
      </c>
      <c r="G461">
        <v>35</v>
      </c>
      <c r="H461">
        <f t="shared" si="50"/>
        <v>35</v>
      </c>
      <c r="I461">
        <f t="shared" si="49"/>
        <v>9.7222222222222224E-3</v>
      </c>
      <c r="J461">
        <v>13.77</v>
      </c>
      <c r="K461">
        <f t="shared" si="51"/>
        <v>13.77</v>
      </c>
      <c r="L461">
        <f t="shared" si="52"/>
        <v>45.822899999999997</v>
      </c>
      <c r="M461">
        <f t="shared" si="53"/>
        <v>45822.899999999994</v>
      </c>
      <c r="N461">
        <f t="shared" si="54"/>
        <v>43.431728191589997</v>
      </c>
      <c r="O461">
        <f t="shared" si="55"/>
        <v>1.5191587847904449</v>
      </c>
    </row>
    <row r="462" spans="6:15" x14ac:dyDescent="0.45">
      <c r="F462">
        <v>460</v>
      </c>
      <c r="G462">
        <v>35.200000000000003</v>
      </c>
      <c r="H462">
        <f t="shared" si="50"/>
        <v>35.200000000000003</v>
      </c>
      <c r="I462">
        <f t="shared" si="49"/>
        <v>9.7777777777777793E-3</v>
      </c>
      <c r="J462">
        <v>9.61</v>
      </c>
      <c r="K462">
        <f t="shared" si="51"/>
        <v>9.61</v>
      </c>
      <c r="L462">
        <f t="shared" si="52"/>
        <v>35.422899999999998</v>
      </c>
      <c r="M462">
        <f t="shared" si="53"/>
        <v>35422.9</v>
      </c>
      <c r="N462">
        <f t="shared" si="54"/>
        <v>33.574430351590003</v>
      </c>
      <c r="O462">
        <f t="shared" si="55"/>
        <v>1.1743693593760645</v>
      </c>
    </row>
    <row r="463" spans="6:15" x14ac:dyDescent="0.45">
      <c r="F463">
        <v>461</v>
      </c>
      <c r="G463">
        <v>35.299999999999997</v>
      </c>
      <c r="H463">
        <f t="shared" si="50"/>
        <v>35.299999999999997</v>
      </c>
      <c r="I463">
        <f t="shared" si="49"/>
        <v>9.8055555555555552E-3</v>
      </c>
      <c r="J463">
        <v>8.6300000000000008</v>
      </c>
      <c r="K463">
        <f t="shared" si="51"/>
        <v>8.6300000000000008</v>
      </c>
      <c r="L463">
        <f t="shared" si="52"/>
        <v>32.972900000000003</v>
      </c>
      <c r="M463">
        <f t="shared" si="53"/>
        <v>32972.9</v>
      </c>
      <c r="N463">
        <f t="shared" si="54"/>
        <v>31.252278456590002</v>
      </c>
      <c r="O463">
        <f t="shared" si="55"/>
        <v>1.0931449274274845</v>
      </c>
    </row>
    <row r="464" spans="6:15" x14ac:dyDescent="0.45">
      <c r="F464">
        <v>462</v>
      </c>
      <c r="G464">
        <v>35.200000000000003</v>
      </c>
      <c r="H464">
        <f t="shared" si="50"/>
        <v>35.200000000000003</v>
      </c>
      <c r="I464">
        <f t="shared" si="49"/>
        <v>9.7777777777777793E-3</v>
      </c>
      <c r="J464">
        <v>6.01</v>
      </c>
      <c r="K464">
        <f t="shared" si="51"/>
        <v>6.01</v>
      </c>
      <c r="L464">
        <f t="shared" si="52"/>
        <v>26.422899999999998</v>
      </c>
      <c r="M464">
        <f t="shared" si="53"/>
        <v>26422.899999999998</v>
      </c>
      <c r="N464">
        <f t="shared" si="54"/>
        <v>25.044076451589998</v>
      </c>
      <c r="O464">
        <f t="shared" si="55"/>
        <v>0.8759938950751579</v>
      </c>
    </row>
    <row r="465" spans="6:15" x14ac:dyDescent="0.45">
      <c r="F465">
        <v>463</v>
      </c>
      <c r="G465">
        <v>35.1</v>
      </c>
      <c r="H465">
        <f t="shared" si="50"/>
        <v>35.1</v>
      </c>
      <c r="I465">
        <f t="shared" si="49"/>
        <v>9.75E-3</v>
      </c>
      <c r="J465">
        <v>7.79</v>
      </c>
      <c r="K465">
        <f t="shared" si="51"/>
        <v>7.79</v>
      </c>
      <c r="L465">
        <f t="shared" si="52"/>
        <v>30.872900000000001</v>
      </c>
      <c r="M465">
        <f t="shared" si="53"/>
        <v>30872.9</v>
      </c>
      <c r="N465">
        <f t="shared" si="54"/>
        <v>29.261862546590002</v>
      </c>
      <c r="O465">
        <f t="shared" si="55"/>
        <v>1.0235239857572729</v>
      </c>
    </row>
    <row r="466" spans="6:15" x14ac:dyDescent="0.45">
      <c r="F466">
        <v>464</v>
      </c>
      <c r="G466">
        <v>35</v>
      </c>
      <c r="H466">
        <f t="shared" si="50"/>
        <v>35</v>
      </c>
      <c r="I466">
        <f t="shared" si="49"/>
        <v>9.7222222222222224E-3</v>
      </c>
      <c r="J466">
        <v>1.9</v>
      </c>
      <c r="K466">
        <f t="shared" si="51"/>
        <v>1.9</v>
      </c>
      <c r="L466">
        <f t="shared" si="52"/>
        <v>16.1479</v>
      </c>
      <c r="M466">
        <f t="shared" si="53"/>
        <v>16147.9</v>
      </c>
      <c r="N466">
        <f t="shared" si="54"/>
        <v>15.30525574909</v>
      </c>
      <c r="O466">
        <f t="shared" si="55"/>
        <v>0.535348573331623</v>
      </c>
    </row>
    <row r="467" spans="6:15" x14ac:dyDescent="0.45">
      <c r="F467">
        <v>465</v>
      </c>
      <c r="G467">
        <v>35</v>
      </c>
      <c r="H467">
        <f t="shared" si="50"/>
        <v>35</v>
      </c>
      <c r="I467">
        <f t="shared" si="49"/>
        <v>9.7222222222222224E-3</v>
      </c>
      <c r="J467">
        <v>9.24</v>
      </c>
      <c r="K467">
        <f t="shared" si="51"/>
        <v>9.24</v>
      </c>
      <c r="L467">
        <f t="shared" si="52"/>
        <v>34.497900000000001</v>
      </c>
      <c r="M467">
        <f t="shared" si="53"/>
        <v>34497.9</v>
      </c>
      <c r="N467">
        <f t="shared" si="54"/>
        <v>32.697699534089999</v>
      </c>
      <c r="O467">
        <f t="shared" si="55"/>
        <v>1.1437029922118045</v>
      </c>
    </row>
    <row r="468" spans="6:15" x14ac:dyDescent="0.45">
      <c r="F468">
        <v>466</v>
      </c>
      <c r="G468">
        <v>34.799999999999997</v>
      </c>
      <c r="H468">
        <f t="shared" si="50"/>
        <v>34.799999999999997</v>
      </c>
      <c r="I468">
        <f t="shared" si="49"/>
        <v>9.6666666666666654E-3</v>
      </c>
      <c r="J468">
        <v>1.28</v>
      </c>
      <c r="K468">
        <f t="shared" si="51"/>
        <v>1.28</v>
      </c>
      <c r="L468">
        <f t="shared" si="52"/>
        <v>14.597899999999999</v>
      </c>
      <c r="M468">
        <f t="shared" si="53"/>
        <v>14597.9</v>
      </c>
      <c r="N468">
        <f t="shared" si="54"/>
        <v>13.836139244090001</v>
      </c>
      <c r="O468">
        <f t="shared" si="55"/>
        <v>0.48396168781313359</v>
      </c>
    </row>
    <row r="469" spans="6:15" x14ac:dyDescent="0.45">
      <c r="F469">
        <v>467</v>
      </c>
      <c r="G469">
        <v>34.700000000000003</v>
      </c>
      <c r="H469">
        <f t="shared" si="50"/>
        <v>34.700000000000003</v>
      </c>
      <c r="I469">
        <f t="shared" si="49"/>
        <v>9.6388888888888895E-3</v>
      </c>
      <c r="J469">
        <v>4.2699999999999996</v>
      </c>
      <c r="K469">
        <f t="shared" si="51"/>
        <v>4.2699999999999996</v>
      </c>
      <c r="L469">
        <f t="shared" si="52"/>
        <v>22.072899999999997</v>
      </c>
      <c r="M469">
        <f t="shared" si="53"/>
        <v>22072.899999999998</v>
      </c>
      <c r="N469">
        <f t="shared" si="54"/>
        <v>20.92107206659</v>
      </c>
      <c r="O469">
        <f t="shared" si="55"/>
        <v>0.73177908732971975</v>
      </c>
    </row>
    <row r="470" spans="6:15" x14ac:dyDescent="0.45">
      <c r="F470">
        <v>468</v>
      </c>
      <c r="G470">
        <v>34.6</v>
      </c>
      <c r="H470">
        <f t="shared" si="50"/>
        <v>34.6</v>
      </c>
      <c r="I470">
        <f t="shared" si="49"/>
        <v>9.6111111111111119E-3</v>
      </c>
      <c r="J470">
        <v>4.2699999999999996</v>
      </c>
      <c r="K470">
        <f t="shared" si="51"/>
        <v>4.2699999999999996</v>
      </c>
      <c r="L470">
        <f t="shared" si="52"/>
        <v>22.072899999999997</v>
      </c>
      <c r="M470">
        <f t="shared" si="53"/>
        <v>22072.899999999998</v>
      </c>
      <c r="N470">
        <f t="shared" si="54"/>
        <v>20.92107206659</v>
      </c>
      <c r="O470">
        <f t="shared" si="55"/>
        <v>0.73177908732971975</v>
      </c>
    </row>
    <row r="471" spans="6:15" x14ac:dyDescent="0.45">
      <c r="F471">
        <v>469</v>
      </c>
      <c r="G471">
        <v>33.4</v>
      </c>
      <c r="H471">
        <f t="shared" si="50"/>
        <v>33.4</v>
      </c>
      <c r="I471">
        <f t="shared" si="49"/>
        <v>9.2777777777777772E-3</v>
      </c>
      <c r="J471">
        <v>-2.67</v>
      </c>
      <c r="K471">
        <f t="shared" si="51"/>
        <v>0</v>
      </c>
      <c r="L471">
        <f t="shared" si="52"/>
        <v>11.3979</v>
      </c>
      <c r="M471">
        <f t="shared" si="53"/>
        <v>11397.9</v>
      </c>
      <c r="N471">
        <f t="shared" si="54"/>
        <v>10.80312452409</v>
      </c>
      <c r="O471">
        <f t="shared" si="55"/>
        <v>0.377872633839478</v>
      </c>
    </row>
    <row r="472" spans="6:15" x14ac:dyDescent="0.45">
      <c r="F472">
        <v>470</v>
      </c>
      <c r="G472">
        <v>27.5</v>
      </c>
      <c r="H472">
        <f t="shared" si="50"/>
        <v>27.5</v>
      </c>
      <c r="I472">
        <f t="shared" si="49"/>
        <v>7.6388888888888886E-3</v>
      </c>
      <c r="J472">
        <v>-2.2000000000000002</v>
      </c>
      <c r="K472">
        <f t="shared" si="51"/>
        <v>0</v>
      </c>
      <c r="L472">
        <f t="shared" si="52"/>
        <v>11.3979</v>
      </c>
      <c r="M472">
        <f t="shared" si="53"/>
        <v>11397.9</v>
      </c>
      <c r="N472">
        <f t="shared" si="54"/>
        <v>10.80312452409</v>
      </c>
      <c r="O472">
        <f t="shared" si="55"/>
        <v>0.377872633839478</v>
      </c>
    </row>
    <row r="473" spans="6:15" x14ac:dyDescent="0.45">
      <c r="F473">
        <v>471</v>
      </c>
      <c r="G473">
        <v>25.3</v>
      </c>
      <c r="H473">
        <f t="shared" si="50"/>
        <v>25.3</v>
      </c>
      <c r="I473">
        <f t="shared" si="49"/>
        <v>7.0277777777777778E-3</v>
      </c>
      <c r="J473">
        <v>-0.45</v>
      </c>
      <c r="K473">
        <f t="shared" si="51"/>
        <v>0</v>
      </c>
      <c r="L473">
        <f t="shared" si="52"/>
        <v>11.3979</v>
      </c>
      <c r="M473">
        <f t="shared" si="53"/>
        <v>11397.9</v>
      </c>
      <c r="N473">
        <f t="shared" si="54"/>
        <v>10.80312452409</v>
      </c>
      <c r="O473">
        <f t="shared" si="55"/>
        <v>0.377872633839478</v>
      </c>
    </row>
    <row r="474" spans="6:15" x14ac:dyDescent="0.45">
      <c r="F474">
        <v>472</v>
      </c>
      <c r="G474">
        <v>22.2</v>
      </c>
      <c r="H474">
        <f t="shared" si="50"/>
        <v>22.2</v>
      </c>
      <c r="I474">
        <f t="shared" si="49"/>
        <v>6.1666666666666667E-3</v>
      </c>
      <c r="J474">
        <v>-1.07</v>
      </c>
      <c r="K474">
        <f t="shared" si="51"/>
        <v>0</v>
      </c>
      <c r="L474">
        <f t="shared" si="52"/>
        <v>11.3979</v>
      </c>
      <c r="M474">
        <f t="shared" si="53"/>
        <v>11397.9</v>
      </c>
      <c r="N474">
        <f t="shared" si="54"/>
        <v>10.80312452409</v>
      </c>
      <c r="O474">
        <f t="shared" si="55"/>
        <v>0.377872633839478</v>
      </c>
    </row>
    <row r="475" spans="6:15" x14ac:dyDescent="0.45">
      <c r="F475">
        <v>473</v>
      </c>
      <c r="G475">
        <v>18.8</v>
      </c>
      <c r="H475">
        <f t="shared" si="50"/>
        <v>18.8</v>
      </c>
      <c r="I475">
        <f t="shared" si="49"/>
        <v>5.2222222222222227E-3</v>
      </c>
      <c r="J475">
        <v>-0.73</v>
      </c>
      <c r="K475">
        <f t="shared" si="51"/>
        <v>0</v>
      </c>
      <c r="L475">
        <f t="shared" si="52"/>
        <v>11.3979</v>
      </c>
      <c r="M475">
        <f t="shared" si="53"/>
        <v>11397.9</v>
      </c>
      <c r="N475">
        <f t="shared" si="54"/>
        <v>10.80312452409</v>
      </c>
      <c r="O475">
        <f t="shared" si="55"/>
        <v>0.377872633839478</v>
      </c>
    </row>
    <row r="476" spans="6:15" x14ac:dyDescent="0.45">
      <c r="F476">
        <v>474</v>
      </c>
      <c r="G476">
        <v>15.8</v>
      </c>
      <c r="H476">
        <f t="shared" si="50"/>
        <v>15.8</v>
      </c>
      <c r="I476">
        <f t="shared" si="49"/>
        <v>4.3888888888888892E-3</v>
      </c>
      <c r="J476">
        <v>-0.69</v>
      </c>
      <c r="K476">
        <f t="shared" si="51"/>
        <v>0</v>
      </c>
      <c r="L476">
        <f t="shared" si="52"/>
        <v>11.3979</v>
      </c>
      <c r="M476">
        <f t="shared" si="53"/>
        <v>11397.9</v>
      </c>
      <c r="N476">
        <f t="shared" si="54"/>
        <v>10.80312452409</v>
      </c>
      <c r="O476">
        <f t="shared" si="55"/>
        <v>0.377872633839478</v>
      </c>
    </row>
    <row r="477" spans="6:15" x14ac:dyDescent="0.45">
      <c r="F477">
        <v>475</v>
      </c>
      <c r="G477">
        <v>12.6</v>
      </c>
      <c r="H477">
        <f t="shared" si="50"/>
        <v>12.6</v>
      </c>
      <c r="I477">
        <f t="shared" si="49"/>
        <v>3.5000000000000001E-3</v>
      </c>
      <c r="J477">
        <v>-0.56000000000000005</v>
      </c>
      <c r="K477">
        <f t="shared" si="51"/>
        <v>0</v>
      </c>
      <c r="L477">
        <f t="shared" si="52"/>
        <v>11.3979</v>
      </c>
      <c r="M477">
        <f t="shared" si="53"/>
        <v>11397.9</v>
      </c>
      <c r="N477">
        <f t="shared" si="54"/>
        <v>10.80312452409</v>
      </c>
      <c r="O477">
        <f t="shared" si="55"/>
        <v>0.377872633839478</v>
      </c>
    </row>
    <row r="478" spans="6:15" x14ac:dyDescent="0.45">
      <c r="F478">
        <v>476</v>
      </c>
      <c r="G478">
        <v>9.4</v>
      </c>
      <c r="H478">
        <f t="shared" si="50"/>
        <v>9.4</v>
      </c>
      <c r="I478">
        <f t="shared" si="49"/>
        <v>2.6111111111111114E-3</v>
      </c>
      <c r="J478">
        <v>-0.23</v>
      </c>
      <c r="K478">
        <f t="shared" si="51"/>
        <v>0</v>
      </c>
      <c r="L478">
        <f t="shared" si="52"/>
        <v>11.3979</v>
      </c>
      <c r="M478">
        <f t="shared" si="53"/>
        <v>11397.9</v>
      </c>
      <c r="N478">
        <f t="shared" si="54"/>
        <v>10.80312452409</v>
      </c>
      <c r="O478">
        <f t="shared" si="55"/>
        <v>0.377872633839478</v>
      </c>
    </row>
    <row r="479" spans="6:15" x14ac:dyDescent="0.45">
      <c r="F479">
        <v>477</v>
      </c>
      <c r="G479">
        <v>6.6</v>
      </c>
      <c r="H479">
        <f t="shared" si="50"/>
        <v>6.6</v>
      </c>
      <c r="I479">
        <f t="shared" si="49"/>
        <v>1.8333333333333333E-3</v>
      </c>
      <c r="J479">
        <v>0.03</v>
      </c>
      <c r="K479">
        <f t="shared" si="51"/>
        <v>0.03</v>
      </c>
      <c r="L479">
        <f t="shared" si="52"/>
        <v>11.472899999999999</v>
      </c>
      <c r="M479">
        <f t="shared" si="53"/>
        <v>11472.9</v>
      </c>
      <c r="N479">
        <f t="shared" si="54"/>
        <v>10.87421080659</v>
      </c>
      <c r="O479">
        <f t="shared" si="55"/>
        <v>0.38035909604198553</v>
      </c>
    </row>
    <row r="480" spans="6:15" x14ac:dyDescent="0.45">
      <c r="F480">
        <v>478</v>
      </c>
      <c r="G480">
        <v>3.2</v>
      </c>
      <c r="H480">
        <f t="shared" si="50"/>
        <v>3.2</v>
      </c>
      <c r="I480">
        <f t="shared" si="49"/>
        <v>8.8888888888888893E-4</v>
      </c>
      <c r="J480">
        <v>0.65</v>
      </c>
      <c r="K480">
        <f t="shared" si="51"/>
        <v>0.65</v>
      </c>
      <c r="L480">
        <f t="shared" si="52"/>
        <v>13.0229</v>
      </c>
      <c r="M480">
        <f t="shared" si="53"/>
        <v>13022.9</v>
      </c>
      <c r="N480">
        <f t="shared" si="54"/>
        <v>12.34332731159</v>
      </c>
      <c r="O480">
        <f t="shared" si="55"/>
        <v>0.43174598156047495</v>
      </c>
    </row>
    <row r="481" spans="6:15" x14ac:dyDescent="0.45">
      <c r="F481">
        <v>479</v>
      </c>
      <c r="G481">
        <v>1</v>
      </c>
      <c r="H481">
        <f t="shared" si="50"/>
        <v>1</v>
      </c>
      <c r="I481">
        <f t="shared" si="49"/>
        <v>2.7777777777777778E-4</v>
      </c>
      <c r="J481">
        <v>0.46</v>
      </c>
      <c r="K481">
        <f t="shared" si="51"/>
        <v>0.46</v>
      </c>
      <c r="L481">
        <f t="shared" si="52"/>
        <v>12.5479</v>
      </c>
      <c r="M481">
        <f t="shared" si="53"/>
        <v>12547.9</v>
      </c>
      <c r="N481">
        <f t="shared" si="54"/>
        <v>11.893114189089999</v>
      </c>
      <c r="O481">
        <f t="shared" si="55"/>
        <v>0.41599838761126046</v>
      </c>
    </row>
    <row r="482" spans="6:15" x14ac:dyDescent="0.45">
      <c r="F482">
        <v>480</v>
      </c>
      <c r="G482">
        <v>0</v>
      </c>
      <c r="H482">
        <f t="shared" si="50"/>
        <v>0</v>
      </c>
      <c r="I482">
        <f t="shared" si="49"/>
        <v>0</v>
      </c>
      <c r="J482">
        <v>0.96</v>
      </c>
      <c r="K482">
        <f t="shared" si="51"/>
        <v>0.96</v>
      </c>
      <c r="L482">
        <f t="shared" si="52"/>
        <v>13.7979</v>
      </c>
      <c r="M482">
        <f t="shared" si="53"/>
        <v>13797.9</v>
      </c>
      <c r="N482">
        <f t="shared" si="54"/>
        <v>13.07788556409</v>
      </c>
      <c r="O482">
        <f t="shared" si="55"/>
        <v>0.45743942431971973</v>
      </c>
    </row>
    <row r="483" spans="6:15" x14ac:dyDescent="0.45">
      <c r="F483">
        <v>481</v>
      </c>
      <c r="G483">
        <v>0</v>
      </c>
      <c r="H483">
        <f t="shared" si="50"/>
        <v>0</v>
      </c>
      <c r="I483">
        <f t="shared" si="49"/>
        <v>0</v>
      </c>
      <c r="J483">
        <v>0.31</v>
      </c>
      <c r="K483">
        <f t="shared" si="51"/>
        <v>0.31</v>
      </c>
      <c r="L483">
        <f t="shared" si="52"/>
        <v>12.1729</v>
      </c>
      <c r="M483">
        <f t="shared" si="53"/>
        <v>12172.9</v>
      </c>
      <c r="N483">
        <f t="shared" si="54"/>
        <v>11.53768277659</v>
      </c>
      <c r="O483">
        <f t="shared" si="55"/>
        <v>0.40356607659872268</v>
      </c>
    </row>
    <row r="484" spans="6:15" x14ac:dyDescent="0.45">
      <c r="F484">
        <v>482</v>
      </c>
      <c r="G484">
        <v>0</v>
      </c>
      <c r="H484">
        <f t="shared" si="50"/>
        <v>0</v>
      </c>
      <c r="I484">
        <f t="shared" si="49"/>
        <v>0</v>
      </c>
      <c r="J484">
        <v>0.43</v>
      </c>
      <c r="K484">
        <f t="shared" si="51"/>
        <v>0.43</v>
      </c>
      <c r="L484">
        <f t="shared" si="52"/>
        <v>12.472899999999999</v>
      </c>
      <c r="M484">
        <f t="shared" si="53"/>
        <v>12472.9</v>
      </c>
      <c r="N484">
        <f t="shared" si="54"/>
        <v>11.82202790659</v>
      </c>
      <c r="O484">
        <f t="shared" si="55"/>
        <v>0.41351192540875292</v>
      </c>
    </row>
    <row r="485" spans="6:15" x14ac:dyDescent="0.45">
      <c r="F485">
        <v>483</v>
      </c>
      <c r="G485">
        <v>0</v>
      </c>
      <c r="H485">
        <f t="shared" si="50"/>
        <v>0</v>
      </c>
      <c r="I485">
        <f t="shared" si="49"/>
        <v>0</v>
      </c>
      <c r="J485">
        <v>0.88</v>
      </c>
      <c r="K485">
        <f t="shared" si="51"/>
        <v>0.88</v>
      </c>
      <c r="L485">
        <f t="shared" si="52"/>
        <v>13.597899999999999</v>
      </c>
      <c r="M485">
        <f t="shared" si="53"/>
        <v>13597.9</v>
      </c>
      <c r="N485">
        <f t="shared" si="54"/>
        <v>12.888322144090001</v>
      </c>
      <c r="O485">
        <f t="shared" si="55"/>
        <v>0.4508088584463662</v>
      </c>
    </row>
    <row r="486" spans="6:15" x14ac:dyDescent="0.45">
      <c r="F486">
        <v>484</v>
      </c>
      <c r="G486">
        <v>0</v>
      </c>
      <c r="H486">
        <f t="shared" si="50"/>
        <v>0</v>
      </c>
      <c r="I486">
        <f t="shared" si="49"/>
        <v>0</v>
      </c>
      <c r="J486">
        <v>0.3</v>
      </c>
      <c r="K486">
        <f t="shared" si="51"/>
        <v>0.3</v>
      </c>
      <c r="L486">
        <f t="shared" si="52"/>
        <v>12.1479</v>
      </c>
      <c r="M486">
        <f t="shared" si="53"/>
        <v>12147.9</v>
      </c>
      <c r="N486">
        <f t="shared" si="54"/>
        <v>11.51398734909</v>
      </c>
      <c r="O486">
        <f t="shared" si="55"/>
        <v>0.4027372558645535</v>
      </c>
    </row>
    <row r="487" spans="6:15" x14ac:dyDescent="0.45">
      <c r="F487">
        <v>485</v>
      </c>
      <c r="G487">
        <v>0.3</v>
      </c>
      <c r="H487">
        <f t="shared" si="50"/>
        <v>0.3</v>
      </c>
      <c r="I487">
        <f t="shared" si="49"/>
        <v>8.3333333333333331E-5</v>
      </c>
      <c r="J487">
        <v>1.04</v>
      </c>
      <c r="K487">
        <f t="shared" si="51"/>
        <v>1.04</v>
      </c>
      <c r="L487">
        <f t="shared" si="52"/>
        <v>13.9979</v>
      </c>
      <c r="M487">
        <f t="shared" si="53"/>
        <v>13997.9</v>
      </c>
      <c r="N487">
        <f t="shared" si="54"/>
        <v>13.267448984090001</v>
      </c>
      <c r="O487">
        <f t="shared" si="55"/>
        <v>0.46406999019307316</v>
      </c>
    </row>
    <row r="488" spans="6:15" x14ac:dyDescent="0.45">
      <c r="F488">
        <v>486</v>
      </c>
      <c r="G488">
        <v>1.5</v>
      </c>
      <c r="H488">
        <f t="shared" si="50"/>
        <v>1.5</v>
      </c>
      <c r="I488">
        <f t="shared" si="49"/>
        <v>4.1666666666666664E-4</v>
      </c>
      <c r="J488">
        <v>0.9</v>
      </c>
      <c r="K488">
        <f t="shared" si="51"/>
        <v>0.9</v>
      </c>
      <c r="L488">
        <f t="shared" si="52"/>
        <v>13.6479</v>
      </c>
      <c r="M488">
        <f t="shared" si="53"/>
        <v>13647.9</v>
      </c>
      <c r="N488">
        <f t="shared" si="54"/>
        <v>12.935712999090001</v>
      </c>
      <c r="O488">
        <f t="shared" si="55"/>
        <v>0.45246649991470456</v>
      </c>
    </row>
    <row r="489" spans="6:15" x14ac:dyDescent="0.45">
      <c r="F489">
        <v>487</v>
      </c>
      <c r="G489">
        <v>3.6</v>
      </c>
      <c r="H489">
        <f t="shared" si="50"/>
        <v>3.6</v>
      </c>
      <c r="I489">
        <f t="shared" si="49"/>
        <v>1E-3</v>
      </c>
      <c r="J489">
        <v>2.4900000000000002</v>
      </c>
      <c r="K489">
        <f t="shared" si="51"/>
        <v>2.4900000000000002</v>
      </c>
      <c r="L489">
        <f t="shared" si="52"/>
        <v>17.622900000000001</v>
      </c>
      <c r="M489">
        <f t="shared" si="53"/>
        <v>17622.900000000001</v>
      </c>
      <c r="N489">
        <f t="shared" si="54"/>
        <v>16.703285971590002</v>
      </c>
      <c r="O489">
        <f t="shared" si="55"/>
        <v>0.58424899664760499</v>
      </c>
    </row>
    <row r="490" spans="6:15" x14ac:dyDescent="0.45">
      <c r="F490">
        <v>488</v>
      </c>
      <c r="G490">
        <v>5.5</v>
      </c>
      <c r="H490">
        <f t="shared" si="50"/>
        <v>5.5</v>
      </c>
      <c r="I490">
        <f t="shared" si="49"/>
        <v>1.5277777777777779E-3</v>
      </c>
      <c r="J490">
        <v>5.22</v>
      </c>
      <c r="K490">
        <f t="shared" si="51"/>
        <v>5.22</v>
      </c>
      <c r="L490">
        <f t="shared" si="52"/>
        <v>24.447899999999997</v>
      </c>
      <c r="M490">
        <f t="shared" si="53"/>
        <v>24447.899999999998</v>
      </c>
      <c r="N490">
        <f t="shared" si="54"/>
        <v>23.17213767909</v>
      </c>
      <c r="O490">
        <f t="shared" si="55"/>
        <v>0.81051705707579236</v>
      </c>
    </row>
    <row r="491" spans="6:15" x14ac:dyDescent="0.45">
      <c r="F491">
        <v>489</v>
      </c>
      <c r="G491">
        <v>7.2</v>
      </c>
      <c r="H491">
        <f t="shared" si="50"/>
        <v>7.2</v>
      </c>
      <c r="I491">
        <f t="shared" si="49"/>
        <v>2E-3</v>
      </c>
      <c r="J491">
        <v>9.7100000000000009</v>
      </c>
      <c r="K491">
        <f t="shared" si="51"/>
        <v>9.7100000000000009</v>
      </c>
      <c r="L491">
        <f t="shared" si="52"/>
        <v>35.672899999999998</v>
      </c>
      <c r="M491">
        <f t="shared" si="53"/>
        <v>35672.9</v>
      </c>
      <c r="N491">
        <f t="shared" si="54"/>
        <v>33.811384626590005</v>
      </c>
      <c r="O491">
        <f t="shared" si="55"/>
        <v>1.1826575667177563</v>
      </c>
    </row>
    <row r="492" spans="6:15" x14ac:dyDescent="0.45">
      <c r="F492">
        <v>490</v>
      </c>
      <c r="G492">
        <v>8.6999999999999993</v>
      </c>
      <c r="H492">
        <f t="shared" si="50"/>
        <v>8.6999999999999993</v>
      </c>
      <c r="I492">
        <f t="shared" si="49"/>
        <v>2.4166666666666664E-3</v>
      </c>
      <c r="J492">
        <v>5.22</v>
      </c>
      <c r="K492">
        <f t="shared" si="51"/>
        <v>5.22</v>
      </c>
      <c r="L492">
        <f t="shared" si="52"/>
        <v>24.447899999999997</v>
      </c>
      <c r="M492">
        <f t="shared" si="53"/>
        <v>24447.899999999998</v>
      </c>
      <c r="N492">
        <f t="shared" si="54"/>
        <v>23.17213767909</v>
      </c>
      <c r="O492">
        <f t="shared" si="55"/>
        <v>0.81051705707579236</v>
      </c>
    </row>
    <row r="493" spans="6:15" x14ac:dyDescent="0.45">
      <c r="F493">
        <v>491</v>
      </c>
      <c r="G493">
        <v>9.5</v>
      </c>
      <c r="H493">
        <f t="shared" si="50"/>
        <v>9.5</v>
      </c>
      <c r="I493">
        <f t="shared" si="49"/>
        <v>2.638888888888889E-3</v>
      </c>
      <c r="J493">
        <v>3.34</v>
      </c>
      <c r="K493">
        <f t="shared" si="51"/>
        <v>3.34</v>
      </c>
      <c r="L493">
        <f t="shared" si="52"/>
        <v>19.747900000000001</v>
      </c>
      <c r="M493">
        <f t="shared" si="53"/>
        <v>19747.900000000001</v>
      </c>
      <c r="N493">
        <f t="shared" si="54"/>
        <v>18.717397309090003</v>
      </c>
      <c r="O493">
        <f t="shared" si="55"/>
        <v>0.65469875905198571</v>
      </c>
    </row>
    <row r="494" spans="6:15" x14ac:dyDescent="0.45">
      <c r="F494">
        <v>492</v>
      </c>
      <c r="G494">
        <v>10.8</v>
      </c>
      <c r="H494">
        <f t="shared" si="50"/>
        <v>10.8</v>
      </c>
      <c r="I494">
        <f t="shared" si="49"/>
        <v>3.0000000000000001E-3</v>
      </c>
      <c r="J494">
        <v>4.3099999999999996</v>
      </c>
      <c r="K494">
        <f t="shared" si="51"/>
        <v>4.3099999999999996</v>
      </c>
      <c r="L494">
        <f t="shared" si="52"/>
        <v>22.172899999999998</v>
      </c>
      <c r="M494">
        <f t="shared" si="53"/>
        <v>22172.899999999998</v>
      </c>
      <c r="N494">
        <f t="shared" si="54"/>
        <v>21.015853776589999</v>
      </c>
      <c r="O494">
        <f t="shared" si="55"/>
        <v>0.73509437026639646</v>
      </c>
    </row>
    <row r="495" spans="6:15" x14ac:dyDescent="0.45">
      <c r="F495">
        <v>493</v>
      </c>
      <c r="G495">
        <v>12.5</v>
      </c>
      <c r="H495">
        <f t="shared" si="50"/>
        <v>12.5</v>
      </c>
      <c r="I495">
        <f t="shared" si="49"/>
        <v>3.472222222222222E-3</v>
      </c>
      <c r="J495">
        <v>10.199999999999999</v>
      </c>
      <c r="K495">
        <f t="shared" si="51"/>
        <v>10.199999999999999</v>
      </c>
      <c r="L495">
        <f t="shared" si="52"/>
        <v>36.8979</v>
      </c>
      <c r="M495">
        <f t="shared" si="53"/>
        <v>36897.9</v>
      </c>
      <c r="N495">
        <f t="shared" si="54"/>
        <v>34.97246057409</v>
      </c>
      <c r="O495">
        <f t="shared" si="55"/>
        <v>1.2232697826920464</v>
      </c>
    </row>
    <row r="496" spans="6:15" x14ac:dyDescent="0.45">
      <c r="F496">
        <v>494</v>
      </c>
      <c r="G496">
        <v>14.7</v>
      </c>
      <c r="H496">
        <f t="shared" si="50"/>
        <v>14.7</v>
      </c>
      <c r="I496">
        <f t="shared" si="49"/>
        <v>4.0833333333333329E-3</v>
      </c>
      <c r="J496">
        <v>19.350000000000001</v>
      </c>
      <c r="K496">
        <f t="shared" si="51"/>
        <v>19.350000000000001</v>
      </c>
      <c r="L496">
        <f t="shared" si="52"/>
        <v>59.7729</v>
      </c>
      <c r="M496">
        <f t="shared" si="53"/>
        <v>59772.9</v>
      </c>
      <c r="N496">
        <f t="shared" si="54"/>
        <v>56.653776736590004</v>
      </c>
      <c r="O496">
        <f t="shared" si="55"/>
        <v>1.9816407544568504</v>
      </c>
    </row>
    <row r="497" spans="6:15" x14ac:dyDescent="0.45">
      <c r="F497">
        <v>495</v>
      </c>
      <c r="G497">
        <v>16.8</v>
      </c>
      <c r="H497">
        <f t="shared" si="50"/>
        <v>16.8</v>
      </c>
      <c r="I497">
        <f t="shared" si="49"/>
        <v>4.6666666666666671E-3</v>
      </c>
      <c r="J497">
        <v>18.88</v>
      </c>
      <c r="K497">
        <f t="shared" si="51"/>
        <v>18.88</v>
      </c>
      <c r="L497">
        <f t="shared" si="52"/>
        <v>58.597899999999996</v>
      </c>
      <c r="M497">
        <f t="shared" si="53"/>
        <v>58597.899999999994</v>
      </c>
      <c r="N497">
        <f t="shared" si="54"/>
        <v>55.540091644089998</v>
      </c>
      <c r="O497">
        <f t="shared" si="55"/>
        <v>1.9426861799508985</v>
      </c>
    </row>
    <row r="498" spans="6:15" x14ac:dyDescent="0.45">
      <c r="F498">
        <v>496</v>
      </c>
      <c r="G498">
        <v>18</v>
      </c>
      <c r="H498">
        <f t="shared" si="50"/>
        <v>18</v>
      </c>
      <c r="I498">
        <f t="shared" si="49"/>
        <v>5.0000000000000001E-3</v>
      </c>
      <c r="J498">
        <v>8.9700000000000006</v>
      </c>
      <c r="K498">
        <f t="shared" si="51"/>
        <v>8.9700000000000006</v>
      </c>
      <c r="L498">
        <f t="shared" si="52"/>
        <v>33.822900000000004</v>
      </c>
      <c r="M498">
        <f t="shared" si="53"/>
        <v>33822.9</v>
      </c>
      <c r="N498">
        <f t="shared" si="54"/>
        <v>32.057922991590004</v>
      </c>
      <c r="O498">
        <f t="shared" si="55"/>
        <v>1.1213248323892366</v>
      </c>
    </row>
    <row r="499" spans="6:15" x14ac:dyDescent="0.45">
      <c r="F499">
        <v>497</v>
      </c>
      <c r="G499">
        <v>19.100000000000001</v>
      </c>
      <c r="H499">
        <f t="shared" si="50"/>
        <v>19.100000000000001</v>
      </c>
      <c r="I499">
        <f t="shared" si="49"/>
        <v>5.3055555555555555E-3</v>
      </c>
      <c r="J499">
        <v>9.94</v>
      </c>
      <c r="K499">
        <f t="shared" si="51"/>
        <v>9.94</v>
      </c>
      <c r="L499">
        <f t="shared" si="52"/>
        <v>36.247900000000001</v>
      </c>
      <c r="M499">
        <f t="shared" si="53"/>
        <v>36247.9</v>
      </c>
      <c r="N499">
        <f t="shared" si="54"/>
        <v>34.35637945909</v>
      </c>
      <c r="O499">
        <f t="shared" si="55"/>
        <v>1.2017204436036475</v>
      </c>
    </row>
    <row r="500" spans="6:15" x14ac:dyDescent="0.45">
      <c r="F500">
        <v>498</v>
      </c>
      <c r="G500">
        <v>20.2</v>
      </c>
      <c r="H500">
        <f t="shared" si="50"/>
        <v>20.2</v>
      </c>
      <c r="I500">
        <f t="shared" si="49"/>
        <v>5.611111111111111E-3</v>
      </c>
      <c r="J500">
        <v>9.69</v>
      </c>
      <c r="K500">
        <f t="shared" si="51"/>
        <v>9.69</v>
      </c>
      <c r="L500">
        <f t="shared" si="52"/>
        <v>35.622900000000001</v>
      </c>
      <c r="M500">
        <f t="shared" si="53"/>
        <v>35622.9</v>
      </c>
      <c r="N500">
        <f t="shared" si="54"/>
        <v>33.763993771590002</v>
      </c>
      <c r="O500">
        <f t="shared" si="55"/>
        <v>1.1809999252494179</v>
      </c>
    </row>
    <row r="501" spans="6:15" x14ac:dyDescent="0.45">
      <c r="F501">
        <v>499</v>
      </c>
      <c r="G501">
        <v>21.2</v>
      </c>
      <c r="H501">
        <f t="shared" si="50"/>
        <v>21.2</v>
      </c>
      <c r="I501">
        <f t="shared" si="49"/>
        <v>5.8888888888888888E-3</v>
      </c>
      <c r="J501">
        <v>11.4</v>
      </c>
      <c r="K501">
        <f t="shared" si="51"/>
        <v>11.4</v>
      </c>
      <c r="L501">
        <f t="shared" si="52"/>
        <v>39.8979</v>
      </c>
      <c r="M501">
        <f t="shared" si="53"/>
        <v>39897.9</v>
      </c>
      <c r="N501">
        <f t="shared" si="54"/>
        <v>37.815911874090006</v>
      </c>
      <c r="O501">
        <f t="shared" si="55"/>
        <v>1.3227282707923484</v>
      </c>
    </row>
    <row r="502" spans="6:15" x14ac:dyDescent="0.45">
      <c r="F502">
        <v>500</v>
      </c>
      <c r="G502">
        <v>22</v>
      </c>
      <c r="H502">
        <f t="shared" si="50"/>
        <v>22</v>
      </c>
      <c r="I502">
        <f t="shared" si="49"/>
        <v>6.1111111111111114E-3</v>
      </c>
      <c r="J502">
        <v>9.09</v>
      </c>
      <c r="K502">
        <f t="shared" si="51"/>
        <v>9.09</v>
      </c>
      <c r="L502">
        <f t="shared" si="52"/>
        <v>34.122900000000001</v>
      </c>
      <c r="M502">
        <f t="shared" si="53"/>
        <v>34122.9</v>
      </c>
      <c r="N502">
        <f t="shared" si="54"/>
        <v>32.342268121590003</v>
      </c>
      <c r="O502">
        <f t="shared" si="55"/>
        <v>1.1312706811992668</v>
      </c>
    </row>
    <row r="503" spans="6:15" x14ac:dyDescent="0.45">
      <c r="F503">
        <v>501</v>
      </c>
      <c r="G503">
        <v>22.8</v>
      </c>
      <c r="H503">
        <f t="shared" si="50"/>
        <v>22.8</v>
      </c>
      <c r="I503">
        <f t="shared" si="49"/>
        <v>6.3333333333333332E-3</v>
      </c>
      <c r="J503">
        <v>6.25</v>
      </c>
      <c r="K503">
        <f t="shared" si="51"/>
        <v>6.25</v>
      </c>
      <c r="L503">
        <f t="shared" si="52"/>
        <v>27.0229</v>
      </c>
      <c r="M503">
        <f t="shared" si="53"/>
        <v>27022.9</v>
      </c>
      <c r="N503">
        <f t="shared" si="54"/>
        <v>25.612766711590002</v>
      </c>
      <c r="O503">
        <f t="shared" si="55"/>
        <v>0.89588559269521839</v>
      </c>
    </row>
    <row r="504" spans="6:15" x14ac:dyDescent="0.45">
      <c r="F504">
        <v>502</v>
      </c>
      <c r="G504">
        <v>23.8</v>
      </c>
      <c r="H504">
        <f t="shared" si="50"/>
        <v>23.8</v>
      </c>
      <c r="I504">
        <f t="shared" si="49"/>
        <v>6.611111111111111E-3</v>
      </c>
      <c r="J504">
        <v>7.28</v>
      </c>
      <c r="K504">
        <f t="shared" si="51"/>
        <v>7.28</v>
      </c>
      <c r="L504">
        <f t="shared" si="52"/>
        <v>29.597899999999999</v>
      </c>
      <c r="M504">
        <f t="shared" si="53"/>
        <v>29597.899999999998</v>
      </c>
      <c r="N504">
        <f t="shared" si="54"/>
        <v>28.05339574409</v>
      </c>
      <c r="O504">
        <f t="shared" si="55"/>
        <v>0.98125412831464431</v>
      </c>
    </row>
    <row r="505" spans="6:15" x14ac:dyDescent="0.45">
      <c r="F505">
        <v>503</v>
      </c>
      <c r="G505">
        <v>24.5</v>
      </c>
      <c r="H505">
        <f t="shared" si="50"/>
        <v>24.5</v>
      </c>
      <c r="I505">
        <f t="shared" si="49"/>
        <v>6.8055555555555551E-3</v>
      </c>
      <c r="J505">
        <v>9.27</v>
      </c>
      <c r="K505">
        <f t="shared" si="51"/>
        <v>9.27</v>
      </c>
      <c r="L505">
        <f t="shared" si="52"/>
        <v>34.572899999999997</v>
      </c>
      <c r="M505">
        <f t="shared" si="53"/>
        <v>34572.899999999994</v>
      </c>
      <c r="N505">
        <f t="shared" si="54"/>
        <v>32.768785816589997</v>
      </c>
      <c r="O505">
        <f t="shared" si="55"/>
        <v>1.1461894544143119</v>
      </c>
    </row>
    <row r="506" spans="6:15" x14ac:dyDescent="0.45">
      <c r="F506">
        <v>504</v>
      </c>
      <c r="G506">
        <v>24.9</v>
      </c>
      <c r="H506">
        <f t="shared" si="50"/>
        <v>24.9</v>
      </c>
      <c r="I506">
        <f t="shared" si="49"/>
        <v>6.9166666666666664E-3</v>
      </c>
      <c r="J506">
        <v>4.17</v>
      </c>
      <c r="K506">
        <f t="shared" si="51"/>
        <v>4.17</v>
      </c>
      <c r="L506">
        <f t="shared" si="52"/>
        <v>21.822900000000001</v>
      </c>
      <c r="M506">
        <f t="shared" si="53"/>
        <v>21822.9</v>
      </c>
      <c r="N506">
        <f t="shared" si="54"/>
        <v>20.684117791590001</v>
      </c>
      <c r="O506">
        <f t="shared" si="55"/>
        <v>0.72349087998802797</v>
      </c>
    </row>
    <row r="507" spans="6:15" x14ac:dyDescent="0.45">
      <c r="F507">
        <v>505</v>
      </c>
      <c r="G507">
        <v>25.2</v>
      </c>
      <c r="H507">
        <f t="shared" si="50"/>
        <v>25.2</v>
      </c>
      <c r="I507">
        <f t="shared" si="49"/>
        <v>7.0000000000000001E-3</v>
      </c>
      <c r="J507">
        <v>6.71</v>
      </c>
      <c r="K507">
        <f t="shared" si="51"/>
        <v>6.71</v>
      </c>
      <c r="L507">
        <f t="shared" si="52"/>
        <v>28.172899999999998</v>
      </c>
      <c r="M507">
        <f t="shared" si="53"/>
        <v>28172.899999999998</v>
      </c>
      <c r="N507">
        <f t="shared" si="54"/>
        <v>26.702756376589999</v>
      </c>
      <c r="O507">
        <f t="shared" si="55"/>
        <v>0.93401134646700079</v>
      </c>
    </row>
    <row r="508" spans="6:15" x14ac:dyDescent="0.45">
      <c r="F508">
        <v>506</v>
      </c>
      <c r="G508">
        <v>25.2</v>
      </c>
      <c r="H508">
        <f t="shared" si="50"/>
        <v>25.2</v>
      </c>
      <c r="I508">
        <f t="shared" si="49"/>
        <v>7.0000000000000001E-3</v>
      </c>
      <c r="J508">
        <v>4.6900000000000004</v>
      </c>
      <c r="K508">
        <f t="shared" si="51"/>
        <v>4.6900000000000004</v>
      </c>
      <c r="L508">
        <f t="shared" si="52"/>
        <v>23.122900000000001</v>
      </c>
      <c r="M508">
        <f t="shared" si="53"/>
        <v>23122.9</v>
      </c>
      <c r="N508">
        <f t="shared" si="54"/>
        <v>21.916280021590001</v>
      </c>
      <c r="O508">
        <f t="shared" si="55"/>
        <v>0.76658955816482555</v>
      </c>
    </row>
    <row r="509" spans="6:15" x14ac:dyDescent="0.45">
      <c r="F509">
        <v>507</v>
      </c>
      <c r="G509">
        <v>25</v>
      </c>
      <c r="H509">
        <f t="shared" si="50"/>
        <v>25</v>
      </c>
      <c r="I509">
        <f t="shared" si="49"/>
        <v>6.9444444444444441E-3</v>
      </c>
      <c r="J509">
        <v>0.2</v>
      </c>
      <c r="K509">
        <f t="shared" si="51"/>
        <v>0.2</v>
      </c>
      <c r="L509">
        <f t="shared" si="52"/>
        <v>11.8979</v>
      </c>
      <c r="M509">
        <f t="shared" si="53"/>
        <v>11897.9</v>
      </c>
      <c r="N509">
        <f t="shared" si="54"/>
        <v>11.277033074089999</v>
      </c>
      <c r="O509">
        <f t="shared" si="55"/>
        <v>0.39444904852286167</v>
      </c>
    </row>
    <row r="510" spans="6:15" x14ac:dyDescent="0.45">
      <c r="F510">
        <v>508</v>
      </c>
      <c r="G510">
        <v>24.9</v>
      </c>
      <c r="H510">
        <f t="shared" si="50"/>
        <v>24.9</v>
      </c>
      <c r="I510">
        <f t="shared" si="49"/>
        <v>6.9166666666666664E-3</v>
      </c>
      <c r="J510">
        <v>2.89</v>
      </c>
      <c r="K510">
        <f t="shared" si="51"/>
        <v>2.89</v>
      </c>
      <c r="L510">
        <f t="shared" si="52"/>
        <v>18.622900000000001</v>
      </c>
      <c r="M510">
        <f t="shared" si="53"/>
        <v>18622.900000000001</v>
      </c>
      <c r="N510">
        <f t="shared" si="54"/>
        <v>17.651103071590001</v>
      </c>
      <c r="O510">
        <f t="shared" si="55"/>
        <v>0.61740182601437243</v>
      </c>
    </row>
    <row r="511" spans="6:15" x14ac:dyDescent="0.45">
      <c r="F511">
        <v>509</v>
      </c>
      <c r="G511">
        <v>25</v>
      </c>
      <c r="H511">
        <f t="shared" si="50"/>
        <v>25</v>
      </c>
      <c r="I511">
        <f t="shared" si="49"/>
        <v>6.9444444444444441E-3</v>
      </c>
      <c r="J511">
        <v>3.64</v>
      </c>
      <c r="K511">
        <f t="shared" si="51"/>
        <v>3.64</v>
      </c>
      <c r="L511">
        <f t="shared" si="52"/>
        <v>20.497900000000001</v>
      </c>
      <c r="M511">
        <f t="shared" si="53"/>
        <v>20497.900000000001</v>
      </c>
      <c r="N511">
        <f t="shared" si="54"/>
        <v>19.428260134090003</v>
      </c>
      <c r="O511">
        <f t="shared" si="55"/>
        <v>0.67956338107706127</v>
      </c>
    </row>
    <row r="512" spans="6:15" x14ac:dyDescent="0.45">
      <c r="F512">
        <v>510</v>
      </c>
      <c r="G512">
        <v>25.1</v>
      </c>
      <c r="H512">
        <f t="shared" si="50"/>
        <v>25.1</v>
      </c>
      <c r="I512">
        <f t="shared" si="49"/>
        <v>6.9722222222222225E-3</v>
      </c>
      <c r="J512">
        <v>4.26</v>
      </c>
      <c r="K512">
        <f t="shared" si="51"/>
        <v>4.26</v>
      </c>
      <c r="L512">
        <f t="shared" si="52"/>
        <v>22.047899999999998</v>
      </c>
      <c r="M512">
        <f t="shared" si="53"/>
        <v>22047.899999999998</v>
      </c>
      <c r="N512">
        <f t="shared" si="54"/>
        <v>20.897376639089998</v>
      </c>
      <c r="O512">
        <f t="shared" si="55"/>
        <v>0.73095026659555051</v>
      </c>
    </row>
    <row r="513" spans="6:15" x14ac:dyDescent="0.45">
      <c r="F513">
        <v>511</v>
      </c>
      <c r="G513">
        <v>25.4</v>
      </c>
      <c r="H513">
        <f t="shared" si="50"/>
        <v>25.4</v>
      </c>
      <c r="I513">
        <f t="shared" si="49"/>
        <v>7.0555555555555554E-3</v>
      </c>
      <c r="J513">
        <v>8.2899999999999991</v>
      </c>
      <c r="K513">
        <f t="shared" si="51"/>
        <v>8.2899999999999991</v>
      </c>
      <c r="L513">
        <f t="shared" si="52"/>
        <v>32.122900000000001</v>
      </c>
      <c r="M513">
        <f t="shared" si="53"/>
        <v>32122.9</v>
      </c>
      <c r="N513">
        <f t="shared" si="54"/>
        <v>30.446633921590003</v>
      </c>
      <c r="O513">
        <f t="shared" si="55"/>
        <v>1.0649650224657321</v>
      </c>
    </row>
    <row r="514" spans="6:15" x14ac:dyDescent="0.45">
      <c r="F514">
        <v>512</v>
      </c>
      <c r="G514">
        <v>25.7</v>
      </c>
      <c r="H514">
        <f t="shared" si="50"/>
        <v>25.7</v>
      </c>
      <c r="I514">
        <f t="shared" ref="I514:I577" si="56">H514*(1/3600)</f>
        <v>7.1388888888888891E-3</v>
      </c>
      <c r="J514">
        <v>6.47</v>
      </c>
      <c r="K514">
        <f t="shared" si="51"/>
        <v>6.47</v>
      </c>
      <c r="L514">
        <f t="shared" si="52"/>
        <v>27.572900000000001</v>
      </c>
      <c r="M514">
        <f t="shared" si="53"/>
        <v>27572.9</v>
      </c>
      <c r="N514">
        <f t="shared" si="54"/>
        <v>26.134066116590002</v>
      </c>
      <c r="O514">
        <f t="shared" si="55"/>
        <v>0.91411964884694052</v>
      </c>
    </row>
    <row r="515" spans="6:15" x14ac:dyDescent="0.45">
      <c r="F515">
        <v>513</v>
      </c>
      <c r="G515">
        <v>25.8</v>
      </c>
      <c r="H515">
        <f t="shared" ref="H515:H578" si="57">IF(G515&lt;0,0,G515)</f>
        <v>25.8</v>
      </c>
      <c r="I515">
        <f t="shared" si="56"/>
        <v>7.1666666666666667E-3</v>
      </c>
      <c r="J515">
        <v>4.93</v>
      </c>
      <c r="K515">
        <f t="shared" ref="K515:K578" si="58">IF(J515&lt;0,0,J515)</f>
        <v>4.93</v>
      </c>
      <c r="L515">
        <f t="shared" ref="L515:L578" si="59">(1/$B$5)*K515+((3.4798*$B$6)+0.9585)</f>
        <v>23.722899999999999</v>
      </c>
      <c r="M515">
        <f t="shared" ref="M515:M578" si="60">L515*1000</f>
        <v>23722.899999999998</v>
      </c>
      <c r="N515">
        <f t="shared" ref="N515:N578" si="61">M515*0.0009478171</f>
        <v>22.484970281589998</v>
      </c>
      <c r="O515">
        <f t="shared" ref="O515:O578" si="62">(M515*453.59237)/(18489*0.74*1000)</f>
        <v>0.78648125578488592</v>
      </c>
    </row>
    <row r="516" spans="6:15" x14ac:dyDescent="0.45">
      <c r="F516">
        <v>514</v>
      </c>
      <c r="G516">
        <v>25.6</v>
      </c>
      <c r="H516">
        <f t="shared" si="57"/>
        <v>25.6</v>
      </c>
      <c r="I516">
        <f t="shared" si="56"/>
        <v>7.1111111111111115E-3</v>
      </c>
      <c r="J516">
        <v>2.1</v>
      </c>
      <c r="K516">
        <f t="shared" si="58"/>
        <v>2.1</v>
      </c>
      <c r="L516">
        <f t="shared" si="59"/>
        <v>16.6479</v>
      </c>
      <c r="M516">
        <f t="shared" si="60"/>
        <v>16647.900000000001</v>
      </c>
      <c r="N516">
        <f t="shared" si="61"/>
        <v>15.779164299090002</v>
      </c>
      <c r="O516">
        <f t="shared" si="62"/>
        <v>0.55192498801500678</v>
      </c>
    </row>
    <row r="517" spans="6:15" x14ac:dyDescent="0.45">
      <c r="F517">
        <v>515</v>
      </c>
      <c r="G517">
        <v>25.3</v>
      </c>
      <c r="H517">
        <f t="shared" si="57"/>
        <v>25.3</v>
      </c>
      <c r="I517">
        <f t="shared" si="56"/>
        <v>7.0277777777777778E-3</v>
      </c>
      <c r="J517">
        <v>2.0299999999999998</v>
      </c>
      <c r="K517">
        <f t="shared" si="58"/>
        <v>2.0299999999999998</v>
      </c>
      <c r="L517">
        <f t="shared" si="59"/>
        <v>16.472899999999999</v>
      </c>
      <c r="M517">
        <f t="shared" si="60"/>
        <v>16472.899999999998</v>
      </c>
      <c r="N517">
        <f t="shared" si="61"/>
        <v>15.613296306589998</v>
      </c>
      <c r="O517">
        <f t="shared" si="62"/>
        <v>0.54612324287582237</v>
      </c>
    </row>
    <row r="518" spans="6:15" x14ac:dyDescent="0.45">
      <c r="F518">
        <v>516</v>
      </c>
      <c r="G518">
        <v>24.8</v>
      </c>
      <c r="H518">
        <f t="shared" si="57"/>
        <v>24.8</v>
      </c>
      <c r="I518">
        <f t="shared" si="56"/>
        <v>6.8888888888888888E-3</v>
      </c>
      <c r="J518">
        <v>2.17</v>
      </c>
      <c r="K518">
        <f t="shared" si="58"/>
        <v>2.17</v>
      </c>
      <c r="L518">
        <f t="shared" si="59"/>
        <v>16.822900000000001</v>
      </c>
      <c r="M518">
        <f t="shared" si="60"/>
        <v>16822.900000000001</v>
      </c>
      <c r="N518">
        <f t="shared" si="61"/>
        <v>15.945032291590001</v>
      </c>
      <c r="O518">
        <f t="shared" si="62"/>
        <v>0.55772673315419108</v>
      </c>
    </row>
    <row r="519" spans="6:15" x14ac:dyDescent="0.45">
      <c r="F519">
        <v>517</v>
      </c>
      <c r="G519">
        <v>24.8</v>
      </c>
      <c r="H519">
        <f t="shared" si="57"/>
        <v>24.8</v>
      </c>
      <c r="I519">
        <f t="shared" si="56"/>
        <v>6.8888888888888888E-3</v>
      </c>
      <c r="J519">
        <v>4.47</v>
      </c>
      <c r="K519">
        <f t="shared" si="58"/>
        <v>4.47</v>
      </c>
      <c r="L519">
        <f t="shared" si="59"/>
        <v>22.572899999999997</v>
      </c>
      <c r="M519">
        <f t="shared" si="60"/>
        <v>22572.899999999998</v>
      </c>
      <c r="N519">
        <f t="shared" si="61"/>
        <v>21.394980616589997</v>
      </c>
      <c r="O519">
        <f t="shared" si="62"/>
        <v>0.74835550201310352</v>
      </c>
    </row>
    <row r="520" spans="6:15" x14ac:dyDescent="0.45">
      <c r="F520">
        <v>518</v>
      </c>
      <c r="G520">
        <v>24.9</v>
      </c>
      <c r="H520">
        <f t="shared" si="57"/>
        <v>24.9</v>
      </c>
      <c r="I520">
        <f t="shared" si="56"/>
        <v>6.9166666666666664E-3</v>
      </c>
      <c r="J520">
        <v>4.2300000000000004</v>
      </c>
      <c r="K520">
        <f t="shared" si="58"/>
        <v>4.2300000000000004</v>
      </c>
      <c r="L520">
        <f t="shared" si="59"/>
        <v>21.972900000000003</v>
      </c>
      <c r="M520">
        <f t="shared" si="60"/>
        <v>21972.9</v>
      </c>
      <c r="N520">
        <f t="shared" si="61"/>
        <v>20.82629035659</v>
      </c>
      <c r="O520">
        <f t="shared" si="62"/>
        <v>0.72846380439304315</v>
      </c>
    </row>
    <row r="521" spans="6:15" x14ac:dyDescent="0.45">
      <c r="F521">
        <v>519</v>
      </c>
      <c r="G521">
        <v>24</v>
      </c>
      <c r="H521">
        <f t="shared" si="57"/>
        <v>24</v>
      </c>
      <c r="I521">
        <f t="shared" si="56"/>
        <v>6.6666666666666662E-3</v>
      </c>
      <c r="J521">
        <v>-1.97</v>
      </c>
      <c r="K521">
        <f t="shared" si="58"/>
        <v>0</v>
      </c>
      <c r="L521">
        <f t="shared" si="59"/>
        <v>11.3979</v>
      </c>
      <c r="M521">
        <f t="shared" si="60"/>
        <v>11397.9</v>
      </c>
      <c r="N521">
        <f t="shared" si="61"/>
        <v>10.80312452409</v>
      </c>
      <c r="O521">
        <f t="shared" si="62"/>
        <v>0.377872633839478</v>
      </c>
    </row>
    <row r="522" spans="6:15" x14ac:dyDescent="0.45">
      <c r="F522">
        <v>520</v>
      </c>
      <c r="G522">
        <v>22.1</v>
      </c>
      <c r="H522">
        <f t="shared" si="57"/>
        <v>22.1</v>
      </c>
      <c r="I522">
        <f t="shared" si="56"/>
        <v>6.138888888888889E-3</v>
      </c>
      <c r="J522">
        <v>-1.5</v>
      </c>
      <c r="K522">
        <f t="shared" si="58"/>
        <v>0</v>
      </c>
      <c r="L522">
        <f t="shared" si="59"/>
        <v>11.3979</v>
      </c>
      <c r="M522">
        <f t="shared" si="60"/>
        <v>11397.9</v>
      </c>
      <c r="N522">
        <f t="shared" si="61"/>
        <v>10.80312452409</v>
      </c>
      <c r="O522">
        <f t="shared" si="62"/>
        <v>0.377872633839478</v>
      </c>
    </row>
    <row r="523" spans="6:15" x14ac:dyDescent="0.45">
      <c r="F523">
        <v>521</v>
      </c>
      <c r="G523">
        <v>18.899999999999999</v>
      </c>
      <c r="H523">
        <f t="shared" si="57"/>
        <v>18.899999999999999</v>
      </c>
      <c r="I523">
        <f t="shared" si="56"/>
        <v>5.2499999999999995E-3</v>
      </c>
      <c r="J523">
        <v>-1.08</v>
      </c>
      <c r="K523">
        <f t="shared" si="58"/>
        <v>0</v>
      </c>
      <c r="L523">
        <f t="shared" si="59"/>
        <v>11.3979</v>
      </c>
      <c r="M523">
        <f t="shared" si="60"/>
        <v>11397.9</v>
      </c>
      <c r="N523">
        <f t="shared" si="61"/>
        <v>10.80312452409</v>
      </c>
      <c r="O523">
        <f t="shared" si="62"/>
        <v>0.377872633839478</v>
      </c>
    </row>
    <row r="524" spans="6:15" x14ac:dyDescent="0.45">
      <c r="F524">
        <v>522</v>
      </c>
      <c r="G524">
        <v>15.7</v>
      </c>
      <c r="H524">
        <f t="shared" si="57"/>
        <v>15.7</v>
      </c>
      <c r="I524">
        <f t="shared" si="56"/>
        <v>4.3611111111111107E-3</v>
      </c>
      <c r="J524">
        <v>-0.73</v>
      </c>
      <c r="K524">
        <f t="shared" si="58"/>
        <v>0</v>
      </c>
      <c r="L524">
        <f t="shared" si="59"/>
        <v>11.3979</v>
      </c>
      <c r="M524">
        <f t="shared" si="60"/>
        <v>11397.9</v>
      </c>
      <c r="N524">
        <f t="shared" si="61"/>
        <v>10.80312452409</v>
      </c>
      <c r="O524">
        <f t="shared" si="62"/>
        <v>0.377872633839478</v>
      </c>
    </row>
    <row r="525" spans="6:15" x14ac:dyDescent="0.45">
      <c r="F525">
        <v>523</v>
      </c>
      <c r="G525">
        <v>12.2</v>
      </c>
      <c r="H525">
        <f t="shared" si="57"/>
        <v>12.2</v>
      </c>
      <c r="I525">
        <f t="shared" si="56"/>
        <v>3.3888888888888888E-3</v>
      </c>
      <c r="J525">
        <v>-0.84</v>
      </c>
      <c r="K525">
        <f t="shared" si="58"/>
        <v>0</v>
      </c>
      <c r="L525">
        <f t="shared" si="59"/>
        <v>11.3979</v>
      </c>
      <c r="M525">
        <f t="shared" si="60"/>
        <v>11397.9</v>
      </c>
      <c r="N525">
        <f t="shared" si="61"/>
        <v>10.80312452409</v>
      </c>
      <c r="O525">
        <f t="shared" si="62"/>
        <v>0.377872633839478</v>
      </c>
    </row>
    <row r="526" spans="6:15" x14ac:dyDescent="0.45">
      <c r="F526">
        <v>524</v>
      </c>
      <c r="G526">
        <v>9</v>
      </c>
      <c r="H526">
        <f t="shared" si="57"/>
        <v>9</v>
      </c>
      <c r="I526">
        <f t="shared" si="56"/>
        <v>2.5000000000000001E-3</v>
      </c>
      <c r="J526">
        <v>-1.07</v>
      </c>
      <c r="K526">
        <f t="shared" si="58"/>
        <v>0</v>
      </c>
      <c r="L526">
        <f t="shared" si="59"/>
        <v>11.3979</v>
      </c>
      <c r="M526">
        <f t="shared" si="60"/>
        <v>11397.9</v>
      </c>
      <c r="N526">
        <f t="shared" si="61"/>
        <v>10.80312452409</v>
      </c>
      <c r="O526">
        <f t="shared" si="62"/>
        <v>0.377872633839478</v>
      </c>
    </row>
    <row r="527" spans="6:15" x14ac:dyDescent="0.45">
      <c r="F527">
        <v>525</v>
      </c>
      <c r="G527">
        <v>5.8</v>
      </c>
      <c r="H527">
        <f t="shared" si="57"/>
        <v>5.8</v>
      </c>
      <c r="I527">
        <f t="shared" si="56"/>
        <v>1.6111111111111111E-3</v>
      </c>
      <c r="J527">
        <v>-0.18</v>
      </c>
      <c r="K527">
        <f t="shared" si="58"/>
        <v>0</v>
      </c>
      <c r="L527">
        <f t="shared" si="59"/>
        <v>11.3979</v>
      </c>
      <c r="M527">
        <f t="shared" si="60"/>
        <v>11397.9</v>
      </c>
      <c r="N527">
        <f t="shared" si="61"/>
        <v>10.80312452409</v>
      </c>
      <c r="O527">
        <f t="shared" si="62"/>
        <v>0.377872633839478</v>
      </c>
    </row>
    <row r="528" spans="6:15" x14ac:dyDescent="0.45">
      <c r="F528">
        <v>526</v>
      </c>
      <c r="G528">
        <v>2.5</v>
      </c>
      <c r="H528">
        <f t="shared" si="57"/>
        <v>2.5</v>
      </c>
      <c r="I528">
        <f t="shared" si="56"/>
        <v>6.9444444444444447E-4</v>
      </c>
      <c r="J528">
        <v>1.38</v>
      </c>
      <c r="K528">
        <f t="shared" si="58"/>
        <v>1.38</v>
      </c>
      <c r="L528">
        <f t="shared" si="59"/>
        <v>14.847899999999999</v>
      </c>
      <c r="M528">
        <f t="shared" si="60"/>
        <v>14847.9</v>
      </c>
      <c r="N528">
        <f t="shared" si="61"/>
        <v>14.07309351909</v>
      </c>
      <c r="O528">
        <f t="shared" si="62"/>
        <v>0.49224989515482548</v>
      </c>
    </row>
    <row r="529" spans="6:15" x14ac:dyDescent="0.45">
      <c r="F529">
        <v>527</v>
      </c>
      <c r="G529">
        <v>0</v>
      </c>
      <c r="H529">
        <f t="shared" si="57"/>
        <v>0</v>
      </c>
      <c r="I529">
        <f t="shared" si="56"/>
        <v>0</v>
      </c>
      <c r="J529">
        <v>1</v>
      </c>
      <c r="K529">
        <f t="shared" si="58"/>
        <v>1</v>
      </c>
      <c r="L529">
        <f t="shared" si="59"/>
        <v>13.8979</v>
      </c>
      <c r="M529">
        <f t="shared" si="60"/>
        <v>13897.9</v>
      </c>
      <c r="N529">
        <f t="shared" si="61"/>
        <v>13.172667274089999</v>
      </c>
      <c r="O529">
        <f t="shared" si="62"/>
        <v>0.46075470725639645</v>
      </c>
    </row>
    <row r="530" spans="6:15" x14ac:dyDescent="0.45">
      <c r="F530">
        <v>528</v>
      </c>
      <c r="G530">
        <v>0</v>
      </c>
      <c r="H530">
        <f t="shared" si="57"/>
        <v>0</v>
      </c>
      <c r="I530">
        <f t="shared" si="56"/>
        <v>0</v>
      </c>
      <c r="J530">
        <v>0.71</v>
      </c>
      <c r="K530">
        <f t="shared" si="58"/>
        <v>0.71</v>
      </c>
      <c r="L530">
        <f t="shared" si="59"/>
        <v>13.1729</v>
      </c>
      <c r="M530">
        <f t="shared" si="60"/>
        <v>13172.9</v>
      </c>
      <c r="N530">
        <f t="shared" si="61"/>
        <v>12.48549987659</v>
      </c>
      <c r="O530">
        <f t="shared" si="62"/>
        <v>0.43671890596549007</v>
      </c>
    </row>
    <row r="531" spans="6:15" x14ac:dyDescent="0.45">
      <c r="F531">
        <v>529</v>
      </c>
      <c r="G531">
        <v>0</v>
      </c>
      <c r="H531">
        <f t="shared" si="57"/>
        <v>0</v>
      </c>
      <c r="I531">
        <f t="shared" si="56"/>
        <v>0</v>
      </c>
      <c r="J531">
        <v>0.94</v>
      </c>
      <c r="K531">
        <f t="shared" si="58"/>
        <v>0.94</v>
      </c>
      <c r="L531">
        <f t="shared" si="59"/>
        <v>13.7479</v>
      </c>
      <c r="M531">
        <f t="shared" si="60"/>
        <v>13747.9</v>
      </c>
      <c r="N531">
        <f t="shared" si="61"/>
        <v>13.03049470909</v>
      </c>
      <c r="O531">
        <f t="shared" si="62"/>
        <v>0.45578178285138127</v>
      </c>
    </row>
    <row r="532" spans="6:15" x14ac:dyDescent="0.45">
      <c r="F532">
        <v>530</v>
      </c>
      <c r="G532">
        <v>0</v>
      </c>
      <c r="H532">
        <f t="shared" si="57"/>
        <v>0</v>
      </c>
      <c r="I532">
        <f t="shared" si="56"/>
        <v>0</v>
      </c>
      <c r="J532">
        <v>1.17</v>
      </c>
      <c r="K532">
        <f t="shared" si="58"/>
        <v>1.17</v>
      </c>
      <c r="L532">
        <f t="shared" si="59"/>
        <v>14.322900000000001</v>
      </c>
      <c r="M532">
        <f t="shared" si="60"/>
        <v>14322.900000000001</v>
      </c>
      <c r="N532">
        <f t="shared" si="61"/>
        <v>13.575489541590002</v>
      </c>
      <c r="O532">
        <f t="shared" si="62"/>
        <v>0.47484465973727263</v>
      </c>
    </row>
    <row r="533" spans="6:15" x14ac:dyDescent="0.45">
      <c r="F533">
        <v>531</v>
      </c>
      <c r="G533">
        <v>0</v>
      </c>
      <c r="H533">
        <f t="shared" si="57"/>
        <v>0</v>
      </c>
      <c r="I533">
        <f t="shared" si="56"/>
        <v>0</v>
      </c>
      <c r="J533">
        <v>0.44</v>
      </c>
      <c r="K533">
        <f t="shared" si="58"/>
        <v>0.44</v>
      </c>
      <c r="L533">
        <f t="shared" si="59"/>
        <v>12.4979</v>
      </c>
      <c r="M533">
        <f t="shared" si="60"/>
        <v>12497.9</v>
      </c>
      <c r="N533">
        <f t="shared" si="61"/>
        <v>11.84572333409</v>
      </c>
      <c r="O533">
        <f t="shared" si="62"/>
        <v>0.4143407461429221</v>
      </c>
    </row>
    <row r="534" spans="6:15" x14ac:dyDescent="0.45">
      <c r="F534">
        <v>532</v>
      </c>
      <c r="G534">
        <v>0</v>
      </c>
      <c r="H534">
        <f t="shared" si="57"/>
        <v>0</v>
      </c>
      <c r="I534">
        <f t="shared" si="56"/>
        <v>0</v>
      </c>
      <c r="J534">
        <v>1.03</v>
      </c>
      <c r="K534">
        <f t="shared" si="58"/>
        <v>1.03</v>
      </c>
      <c r="L534">
        <f t="shared" si="59"/>
        <v>13.972899999999999</v>
      </c>
      <c r="M534">
        <f t="shared" si="60"/>
        <v>13972.9</v>
      </c>
      <c r="N534">
        <f t="shared" si="61"/>
        <v>13.243753556590001</v>
      </c>
      <c r="O534">
        <f t="shared" si="62"/>
        <v>0.46324116945890398</v>
      </c>
    </row>
    <row r="535" spans="6:15" x14ac:dyDescent="0.45">
      <c r="F535">
        <v>533</v>
      </c>
      <c r="G535">
        <v>0</v>
      </c>
      <c r="H535">
        <f t="shared" si="57"/>
        <v>0</v>
      </c>
      <c r="I535">
        <f t="shared" si="56"/>
        <v>0</v>
      </c>
      <c r="J535">
        <v>0.31</v>
      </c>
      <c r="K535">
        <f t="shared" si="58"/>
        <v>0.31</v>
      </c>
      <c r="L535">
        <f t="shared" si="59"/>
        <v>12.1729</v>
      </c>
      <c r="M535">
        <f t="shared" si="60"/>
        <v>12172.9</v>
      </c>
      <c r="N535">
        <f t="shared" si="61"/>
        <v>11.53768277659</v>
      </c>
      <c r="O535">
        <f t="shared" si="62"/>
        <v>0.40356607659872268</v>
      </c>
    </row>
    <row r="536" spans="6:15" x14ac:dyDescent="0.45">
      <c r="F536">
        <v>534</v>
      </c>
      <c r="G536">
        <v>0</v>
      </c>
      <c r="H536">
        <f t="shared" si="57"/>
        <v>0</v>
      </c>
      <c r="I536">
        <f t="shared" si="56"/>
        <v>0</v>
      </c>
      <c r="J536">
        <v>0.83</v>
      </c>
      <c r="K536">
        <f t="shared" si="58"/>
        <v>0.83</v>
      </c>
      <c r="L536">
        <f t="shared" si="59"/>
        <v>13.472899999999999</v>
      </c>
      <c r="M536">
        <f t="shared" si="60"/>
        <v>13472.9</v>
      </c>
      <c r="N536">
        <f t="shared" si="61"/>
        <v>12.76984500659</v>
      </c>
      <c r="O536">
        <f t="shared" si="62"/>
        <v>0.44666475477552031</v>
      </c>
    </row>
    <row r="537" spans="6:15" x14ac:dyDescent="0.45">
      <c r="F537">
        <v>535</v>
      </c>
      <c r="G537">
        <v>0</v>
      </c>
      <c r="H537">
        <f t="shared" si="57"/>
        <v>0</v>
      </c>
      <c r="I537">
        <f t="shared" si="56"/>
        <v>0</v>
      </c>
      <c r="J537">
        <v>0.86</v>
      </c>
      <c r="K537">
        <f t="shared" si="58"/>
        <v>0.86</v>
      </c>
      <c r="L537">
        <f t="shared" si="59"/>
        <v>13.5479</v>
      </c>
      <c r="M537">
        <f t="shared" si="60"/>
        <v>13547.9</v>
      </c>
      <c r="N537">
        <f t="shared" si="61"/>
        <v>12.840931289089999</v>
      </c>
      <c r="O537">
        <f t="shared" si="62"/>
        <v>0.44915121697802785</v>
      </c>
    </row>
    <row r="538" spans="6:15" x14ac:dyDescent="0.45">
      <c r="F538">
        <v>536</v>
      </c>
      <c r="G538">
        <v>0</v>
      </c>
      <c r="H538">
        <f t="shared" si="57"/>
        <v>0</v>
      </c>
      <c r="I538">
        <f t="shared" si="56"/>
        <v>0</v>
      </c>
      <c r="J538">
        <v>0.69</v>
      </c>
      <c r="K538">
        <f t="shared" si="58"/>
        <v>0.69</v>
      </c>
      <c r="L538">
        <f t="shared" si="59"/>
        <v>13.1229</v>
      </c>
      <c r="M538">
        <f t="shared" si="60"/>
        <v>13122.9</v>
      </c>
      <c r="N538">
        <f t="shared" si="61"/>
        <v>12.43810902159</v>
      </c>
      <c r="O538">
        <f t="shared" si="62"/>
        <v>0.43506126449715171</v>
      </c>
    </row>
    <row r="539" spans="6:15" x14ac:dyDescent="0.45">
      <c r="F539">
        <v>537</v>
      </c>
      <c r="G539">
        <v>0</v>
      </c>
      <c r="H539">
        <f t="shared" si="57"/>
        <v>0</v>
      </c>
      <c r="I539">
        <f t="shared" si="56"/>
        <v>0</v>
      </c>
      <c r="J539">
        <v>0.43</v>
      </c>
      <c r="K539">
        <f t="shared" si="58"/>
        <v>0.43</v>
      </c>
      <c r="L539">
        <f t="shared" si="59"/>
        <v>12.472899999999999</v>
      </c>
      <c r="M539">
        <f t="shared" si="60"/>
        <v>12472.9</v>
      </c>
      <c r="N539">
        <f t="shared" si="61"/>
        <v>11.82202790659</v>
      </c>
      <c r="O539">
        <f t="shared" si="62"/>
        <v>0.41351192540875292</v>
      </c>
    </row>
    <row r="540" spans="6:15" x14ac:dyDescent="0.45">
      <c r="F540">
        <v>538</v>
      </c>
      <c r="G540">
        <v>0</v>
      </c>
      <c r="H540">
        <f t="shared" si="57"/>
        <v>0</v>
      </c>
      <c r="I540">
        <f t="shared" si="56"/>
        <v>0</v>
      </c>
      <c r="J540">
        <v>0.78</v>
      </c>
      <c r="K540">
        <f t="shared" si="58"/>
        <v>0.78</v>
      </c>
      <c r="L540">
        <f t="shared" si="59"/>
        <v>13.347899999999999</v>
      </c>
      <c r="M540">
        <f t="shared" si="60"/>
        <v>13347.9</v>
      </c>
      <c r="N540">
        <f t="shared" si="61"/>
        <v>12.65136786909</v>
      </c>
      <c r="O540">
        <f t="shared" si="62"/>
        <v>0.44252065110467437</v>
      </c>
    </row>
    <row r="541" spans="6:15" x14ac:dyDescent="0.45">
      <c r="F541">
        <v>539</v>
      </c>
      <c r="G541">
        <v>0</v>
      </c>
      <c r="H541">
        <f t="shared" si="57"/>
        <v>0</v>
      </c>
      <c r="I541">
        <f t="shared" si="56"/>
        <v>0</v>
      </c>
      <c r="J541">
        <v>0.84</v>
      </c>
      <c r="K541">
        <f t="shared" si="58"/>
        <v>0.84</v>
      </c>
      <c r="L541">
        <f t="shared" si="59"/>
        <v>13.4979</v>
      </c>
      <c r="M541">
        <f t="shared" si="60"/>
        <v>13497.9</v>
      </c>
      <c r="N541">
        <f t="shared" si="61"/>
        <v>12.79354043409</v>
      </c>
      <c r="O541">
        <f t="shared" si="62"/>
        <v>0.44749357550968949</v>
      </c>
    </row>
    <row r="542" spans="6:15" x14ac:dyDescent="0.45">
      <c r="F542">
        <v>540</v>
      </c>
      <c r="G542">
        <v>0</v>
      </c>
      <c r="H542">
        <f t="shared" si="57"/>
        <v>0</v>
      </c>
      <c r="I542">
        <f t="shared" si="56"/>
        <v>0</v>
      </c>
      <c r="J542">
        <v>0.36</v>
      </c>
      <c r="K542">
        <f t="shared" si="58"/>
        <v>0.36</v>
      </c>
      <c r="L542">
        <f t="shared" si="59"/>
        <v>12.2979</v>
      </c>
      <c r="M542">
        <f t="shared" si="60"/>
        <v>12297.9</v>
      </c>
      <c r="N542">
        <f t="shared" si="61"/>
        <v>11.656159914090001</v>
      </c>
      <c r="O542">
        <f t="shared" si="62"/>
        <v>0.40771018026956862</v>
      </c>
    </row>
    <row r="543" spans="6:15" x14ac:dyDescent="0.45">
      <c r="F543">
        <v>541</v>
      </c>
      <c r="G543">
        <v>0</v>
      </c>
      <c r="H543">
        <f t="shared" si="57"/>
        <v>0</v>
      </c>
      <c r="I543">
        <f t="shared" si="56"/>
        <v>0</v>
      </c>
      <c r="J543">
        <v>0.42</v>
      </c>
      <c r="K543">
        <f t="shared" si="58"/>
        <v>0.42</v>
      </c>
      <c r="L543">
        <f t="shared" si="59"/>
        <v>12.447900000000001</v>
      </c>
      <c r="M543">
        <f t="shared" si="60"/>
        <v>12447.900000000001</v>
      </c>
      <c r="N543">
        <f t="shared" si="61"/>
        <v>11.798332479090002</v>
      </c>
      <c r="O543">
        <f t="shared" si="62"/>
        <v>0.4126831046745838</v>
      </c>
    </row>
    <row r="544" spans="6:15" x14ac:dyDescent="0.45">
      <c r="F544">
        <v>542</v>
      </c>
      <c r="G544">
        <v>0</v>
      </c>
      <c r="H544">
        <f t="shared" si="57"/>
        <v>0</v>
      </c>
      <c r="I544">
        <f t="shared" si="56"/>
        <v>0</v>
      </c>
      <c r="J544">
        <v>0.37</v>
      </c>
      <c r="K544">
        <f t="shared" si="58"/>
        <v>0.37</v>
      </c>
      <c r="L544">
        <f t="shared" si="59"/>
        <v>12.322900000000001</v>
      </c>
      <c r="M544">
        <f t="shared" si="60"/>
        <v>12322.900000000001</v>
      </c>
      <c r="N544">
        <f t="shared" si="61"/>
        <v>11.679855341590002</v>
      </c>
      <c r="O544">
        <f t="shared" si="62"/>
        <v>0.40853900100373786</v>
      </c>
    </row>
    <row r="545" spans="6:15" x14ac:dyDescent="0.45">
      <c r="F545">
        <v>543</v>
      </c>
      <c r="G545">
        <v>0.6</v>
      </c>
      <c r="H545">
        <f t="shared" si="57"/>
        <v>0.6</v>
      </c>
      <c r="I545">
        <f t="shared" si="56"/>
        <v>1.6666666666666666E-4</v>
      </c>
      <c r="J545">
        <v>0.59</v>
      </c>
      <c r="K545">
        <f t="shared" si="58"/>
        <v>0.59</v>
      </c>
      <c r="L545">
        <f t="shared" si="59"/>
        <v>12.8729</v>
      </c>
      <c r="M545">
        <f t="shared" si="60"/>
        <v>12872.9</v>
      </c>
      <c r="N545">
        <f t="shared" si="61"/>
        <v>12.201154746589999</v>
      </c>
      <c r="O545">
        <f t="shared" si="62"/>
        <v>0.42677305715545988</v>
      </c>
    </row>
    <row r="546" spans="6:15" x14ac:dyDescent="0.45">
      <c r="F546">
        <v>544</v>
      </c>
      <c r="G546">
        <v>3.5</v>
      </c>
      <c r="H546">
        <f t="shared" si="57"/>
        <v>3.5</v>
      </c>
      <c r="I546">
        <f t="shared" si="56"/>
        <v>9.7222222222222219E-4</v>
      </c>
      <c r="J546">
        <v>6.35</v>
      </c>
      <c r="K546">
        <f t="shared" si="58"/>
        <v>6.35</v>
      </c>
      <c r="L546">
        <f t="shared" si="59"/>
        <v>27.2729</v>
      </c>
      <c r="M546">
        <f t="shared" si="60"/>
        <v>27272.9</v>
      </c>
      <c r="N546">
        <f t="shared" si="61"/>
        <v>25.849720986590004</v>
      </c>
      <c r="O546">
        <f t="shared" si="62"/>
        <v>0.90417380003691028</v>
      </c>
    </row>
    <row r="547" spans="6:15" x14ac:dyDescent="0.45">
      <c r="F547">
        <v>545</v>
      </c>
      <c r="G547">
        <v>6.8</v>
      </c>
      <c r="H547">
        <f t="shared" si="57"/>
        <v>6.8</v>
      </c>
      <c r="I547">
        <f t="shared" si="56"/>
        <v>1.8888888888888887E-3</v>
      </c>
      <c r="J547">
        <v>9.1</v>
      </c>
      <c r="K547">
        <f t="shared" si="58"/>
        <v>9.1</v>
      </c>
      <c r="L547">
        <f t="shared" si="59"/>
        <v>34.1479</v>
      </c>
      <c r="M547">
        <f t="shared" si="60"/>
        <v>34147.9</v>
      </c>
      <c r="N547">
        <f t="shared" si="61"/>
        <v>32.365963549090004</v>
      </c>
      <c r="O547">
        <f t="shared" si="62"/>
        <v>1.1320995019334361</v>
      </c>
    </row>
    <row r="548" spans="6:15" x14ac:dyDescent="0.45">
      <c r="F548">
        <v>546</v>
      </c>
      <c r="G548">
        <v>10</v>
      </c>
      <c r="H548">
        <f t="shared" si="57"/>
        <v>10</v>
      </c>
      <c r="I548">
        <f t="shared" si="56"/>
        <v>2.7777777777777779E-3</v>
      </c>
      <c r="J548">
        <v>19.010000000000002</v>
      </c>
      <c r="K548">
        <f t="shared" si="58"/>
        <v>19.010000000000002</v>
      </c>
      <c r="L548">
        <f t="shared" si="59"/>
        <v>58.922900000000006</v>
      </c>
      <c r="M548">
        <f t="shared" si="60"/>
        <v>58922.900000000009</v>
      </c>
      <c r="N548">
        <f t="shared" si="61"/>
        <v>55.848132201590012</v>
      </c>
      <c r="O548">
        <f t="shared" si="62"/>
        <v>1.953460849495098</v>
      </c>
    </row>
    <row r="549" spans="6:15" x14ac:dyDescent="0.45">
      <c r="F549">
        <v>547</v>
      </c>
      <c r="G549">
        <v>13.2</v>
      </c>
      <c r="H549">
        <f t="shared" si="57"/>
        <v>13.2</v>
      </c>
      <c r="I549">
        <f t="shared" si="56"/>
        <v>3.6666666666666666E-3</v>
      </c>
      <c r="J549">
        <v>14.51</v>
      </c>
      <c r="K549">
        <f t="shared" si="58"/>
        <v>14.51</v>
      </c>
      <c r="L549">
        <f t="shared" si="59"/>
        <v>47.672899999999998</v>
      </c>
      <c r="M549">
        <f t="shared" si="60"/>
        <v>47672.9</v>
      </c>
      <c r="N549">
        <f t="shared" si="61"/>
        <v>45.185189826590005</v>
      </c>
      <c r="O549">
        <f t="shared" si="62"/>
        <v>1.580491519118965</v>
      </c>
    </row>
    <row r="550" spans="6:15" x14ac:dyDescent="0.45">
      <c r="F550">
        <v>548</v>
      </c>
      <c r="G550">
        <v>14.4</v>
      </c>
      <c r="H550">
        <f t="shared" si="57"/>
        <v>14.4</v>
      </c>
      <c r="I550">
        <f t="shared" si="56"/>
        <v>4.0000000000000001E-3</v>
      </c>
      <c r="J550">
        <v>8.82</v>
      </c>
      <c r="K550">
        <f t="shared" si="58"/>
        <v>8.82</v>
      </c>
      <c r="L550">
        <f t="shared" si="59"/>
        <v>33.447900000000004</v>
      </c>
      <c r="M550">
        <f t="shared" si="60"/>
        <v>33447.9</v>
      </c>
      <c r="N550">
        <f t="shared" si="61"/>
        <v>31.702491579090001</v>
      </c>
      <c r="O550">
        <f t="shared" si="62"/>
        <v>1.1088925213766989</v>
      </c>
    </row>
    <row r="551" spans="6:15" x14ac:dyDescent="0.45">
      <c r="F551">
        <v>549</v>
      </c>
      <c r="G551">
        <v>15.8</v>
      </c>
      <c r="H551">
        <f t="shared" si="57"/>
        <v>15.8</v>
      </c>
      <c r="I551">
        <f t="shared" si="56"/>
        <v>4.3888888888888892E-3</v>
      </c>
      <c r="J551">
        <v>16.510000000000002</v>
      </c>
      <c r="K551">
        <f t="shared" si="58"/>
        <v>16.510000000000002</v>
      </c>
      <c r="L551">
        <f t="shared" si="59"/>
        <v>52.672900000000006</v>
      </c>
      <c r="M551">
        <f t="shared" si="60"/>
        <v>52672.900000000009</v>
      </c>
      <c r="N551">
        <f t="shared" si="61"/>
        <v>49.924275326590006</v>
      </c>
      <c r="O551">
        <f t="shared" si="62"/>
        <v>1.7462556659528019</v>
      </c>
    </row>
    <row r="552" spans="6:15" x14ac:dyDescent="0.45">
      <c r="F552">
        <v>550</v>
      </c>
      <c r="G552">
        <v>16.899999999999999</v>
      </c>
      <c r="H552">
        <f t="shared" si="57"/>
        <v>16.899999999999999</v>
      </c>
      <c r="I552">
        <f t="shared" si="56"/>
        <v>4.6944444444444438E-3</v>
      </c>
      <c r="J552">
        <v>9.6</v>
      </c>
      <c r="K552">
        <f t="shared" si="58"/>
        <v>9.6</v>
      </c>
      <c r="L552">
        <f t="shared" si="59"/>
        <v>35.3979</v>
      </c>
      <c r="M552">
        <f t="shared" si="60"/>
        <v>35397.9</v>
      </c>
      <c r="N552">
        <f t="shared" si="61"/>
        <v>33.550734924090001</v>
      </c>
      <c r="O552">
        <f t="shared" si="62"/>
        <v>1.1735405386418953</v>
      </c>
    </row>
    <row r="553" spans="6:15" x14ac:dyDescent="0.45">
      <c r="F553">
        <v>551</v>
      </c>
      <c r="G553">
        <v>17.2</v>
      </c>
      <c r="H553">
        <f t="shared" si="57"/>
        <v>17.2</v>
      </c>
      <c r="I553">
        <f t="shared" si="56"/>
        <v>4.7777777777777775E-3</v>
      </c>
      <c r="J553">
        <v>6.7</v>
      </c>
      <c r="K553">
        <f t="shared" si="58"/>
        <v>6.7</v>
      </c>
      <c r="L553">
        <f t="shared" si="59"/>
        <v>28.1479</v>
      </c>
      <c r="M553">
        <f t="shared" si="60"/>
        <v>28147.9</v>
      </c>
      <c r="N553">
        <f t="shared" si="61"/>
        <v>26.679060949090001</v>
      </c>
      <c r="O553">
        <f t="shared" si="62"/>
        <v>0.93318252573283167</v>
      </c>
    </row>
    <row r="554" spans="6:15" x14ac:dyDescent="0.45">
      <c r="F554">
        <v>552</v>
      </c>
      <c r="G554">
        <v>17.2</v>
      </c>
      <c r="H554">
        <f t="shared" si="57"/>
        <v>17.2</v>
      </c>
      <c r="I554">
        <f t="shared" si="56"/>
        <v>4.7777777777777775E-3</v>
      </c>
      <c r="J554">
        <v>0.83</v>
      </c>
      <c r="K554">
        <f t="shared" si="58"/>
        <v>0.83</v>
      </c>
      <c r="L554">
        <f t="shared" si="59"/>
        <v>13.472899999999999</v>
      </c>
      <c r="M554">
        <f t="shared" si="60"/>
        <v>13472.9</v>
      </c>
      <c r="N554">
        <f t="shared" si="61"/>
        <v>12.76984500659</v>
      </c>
      <c r="O554">
        <f t="shared" si="62"/>
        <v>0.44666475477552031</v>
      </c>
    </row>
    <row r="555" spans="6:15" x14ac:dyDescent="0.45">
      <c r="F555">
        <v>553</v>
      </c>
      <c r="G555">
        <v>17.600000000000001</v>
      </c>
      <c r="H555">
        <f t="shared" si="57"/>
        <v>17.600000000000001</v>
      </c>
      <c r="I555">
        <f t="shared" si="56"/>
        <v>4.8888888888888897E-3</v>
      </c>
      <c r="J555">
        <v>6.91</v>
      </c>
      <c r="K555">
        <f t="shared" si="58"/>
        <v>6.91</v>
      </c>
      <c r="L555">
        <f t="shared" si="59"/>
        <v>28.672899999999998</v>
      </c>
      <c r="M555">
        <f t="shared" si="60"/>
        <v>28672.899999999998</v>
      </c>
      <c r="N555">
        <f t="shared" si="61"/>
        <v>27.17666492659</v>
      </c>
      <c r="O555">
        <f t="shared" si="62"/>
        <v>0.95058776115038446</v>
      </c>
    </row>
    <row r="556" spans="6:15" x14ac:dyDescent="0.45">
      <c r="F556">
        <v>554</v>
      </c>
      <c r="G556">
        <v>17.7</v>
      </c>
      <c r="H556">
        <f t="shared" si="57"/>
        <v>17.7</v>
      </c>
      <c r="I556">
        <f t="shared" si="56"/>
        <v>4.9166666666666664E-3</v>
      </c>
      <c r="J556">
        <v>5.1100000000000003</v>
      </c>
      <c r="K556">
        <f t="shared" si="58"/>
        <v>5.1100000000000003</v>
      </c>
      <c r="L556">
        <f t="shared" si="59"/>
        <v>24.172899999999998</v>
      </c>
      <c r="M556">
        <f t="shared" si="60"/>
        <v>24172.899999999998</v>
      </c>
      <c r="N556">
        <f t="shared" si="61"/>
        <v>22.911487976589999</v>
      </c>
      <c r="O556">
        <f t="shared" si="62"/>
        <v>0.80140002899993124</v>
      </c>
    </row>
    <row r="557" spans="6:15" x14ac:dyDescent="0.45">
      <c r="F557">
        <v>555</v>
      </c>
      <c r="G557">
        <v>17.7</v>
      </c>
      <c r="H557">
        <f t="shared" si="57"/>
        <v>17.7</v>
      </c>
      <c r="I557">
        <f t="shared" si="56"/>
        <v>4.9166666666666664E-3</v>
      </c>
      <c r="J557">
        <v>2.56</v>
      </c>
      <c r="K557">
        <f t="shared" si="58"/>
        <v>2.56</v>
      </c>
      <c r="L557">
        <f t="shared" si="59"/>
        <v>17.797899999999998</v>
      </c>
      <c r="M557">
        <f t="shared" si="60"/>
        <v>17797.899999999998</v>
      </c>
      <c r="N557">
        <f t="shared" si="61"/>
        <v>16.86915396409</v>
      </c>
      <c r="O557">
        <f t="shared" si="62"/>
        <v>0.59005074178678918</v>
      </c>
    </row>
    <row r="558" spans="6:15" x14ac:dyDescent="0.45">
      <c r="F558">
        <v>556</v>
      </c>
      <c r="G558">
        <v>17.5</v>
      </c>
      <c r="H558">
        <f t="shared" si="57"/>
        <v>17.5</v>
      </c>
      <c r="I558">
        <f t="shared" si="56"/>
        <v>4.8611111111111112E-3</v>
      </c>
      <c r="J558">
        <v>0.35</v>
      </c>
      <c r="K558">
        <f t="shared" si="58"/>
        <v>0.35</v>
      </c>
      <c r="L558">
        <f t="shared" si="59"/>
        <v>12.2729</v>
      </c>
      <c r="M558">
        <f t="shared" si="60"/>
        <v>12272.9</v>
      </c>
      <c r="N558">
        <f t="shared" si="61"/>
        <v>11.632464486590001</v>
      </c>
      <c r="O558">
        <f t="shared" si="62"/>
        <v>0.40688135953539939</v>
      </c>
    </row>
    <row r="559" spans="6:15" x14ac:dyDescent="0.45">
      <c r="F559">
        <v>557</v>
      </c>
      <c r="G559">
        <v>17.2</v>
      </c>
      <c r="H559">
        <f t="shared" si="57"/>
        <v>17.2</v>
      </c>
      <c r="I559">
        <f t="shared" si="56"/>
        <v>4.7777777777777775E-3</v>
      </c>
      <c r="J559">
        <v>-0.26</v>
      </c>
      <c r="K559">
        <f t="shared" si="58"/>
        <v>0</v>
      </c>
      <c r="L559">
        <f t="shared" si="59"/>
        <v>11.3979</v>
      </c>
      <c r="M559">
        <f t="shared" si="60"/>
        <v>11397.9</v>
      </c>
      <c r="N559">
        <f t="shared" si="61"/>
        <v>10.80312452409</v>
      </c>
      <c r="O559">
        <f t="shared" si="62"/>
        <v>0.377872633839478</v>
      </c>
    </row>
    <row r="560" spans="6:15" x14ac:dyDescent="0.45">
      <c r="F560">
        <v>558</v>
      </c>
      <c r="G560">
        <v>17.2</v>
      </c>
      <c r="H560">
        <f t="shared" si="57"/>
        <v>17.2</v>
      </c>
      <c r="I560">
        <f t="shared" si="56"/>
        <v>4.7777777777777775E-3</v>
      </c>
      <c r="J560">
        <v>1.24</v>
      </c>
      <c r="K560">
        <f t="shared" si="58"/>
        <v>1.24</v>
      </c>
      <c r="L560">
        <f t="shared" si="59"/>
        <v>14.4979</v>
      </c>
      <c r="M560">
        <f t="shared" si="60"/>
        <v>14497.9</v>
      </c>
      <c r="N560">
        <f t="shared" si="61"/>
        <v>13.74135753409</v>
      </c>
      <c r="O560">
        <f t="shared" si="62"/>
        <v>0.48064640487645688</v>
      </c>
    </row>
    <row r="561" spans="6:15" x14ac:dyDescent="0.45">
      <c r="F561">
        <v>559</v>
      </c>
      <c r="G561">
        <v>17</v>
      </c>
      <c r="H561">
        <f t="shared" si="57"/>
        <v>17</v>
      </c>
      <c r="I561">
        <f t="shared" si="56"/>
        <v>4.7222222222222223E-3</v>
      </c>
      <c r="J561">
        <v>1.27</v>
      </c>
      <c r="K561">
        <f t="shared" si="58"/>
        <v>1.27</v>
      </c>
      <c r="L561">
        <f t="shared" si="59"/>
        <v>14.572900000000001</v>
      </c>
      <c r="M561">
        <f t="shared" si="60"/>
        <v>14572.900000000001</v>
      </c>
      <c r="N561">
        <f t="shared" si="61"/>
        <v>13.812443816590001</v>
      </c>
      <c r="O561">
        <f t="shared" si="62"/>
        <v>0.48313286707896447</v>
      </c>
    </row>
    <row r="562" spans="6:15" x14ac:dyDescent="0.45">
      <c r="F562">
        <v>560</v>
      </c>
      <c r="G562">
        <v>17.2</v>
      </c>
      <c r="H562">
        <f t="shared" si="57"/>
        <v>17.2</v>
      </c>
      <c r="I562">
        <f t="shared" si="56"/>
        <v>4.7777777777777775E-3</v>
      </c>
      <c r="J562">
        <v>0.97</v>
      </c>
      <c r="K562">
        <f t="shared" si="58"/>
        <v>0.97</v>
      </c>
      <c r="L562">
        <f t="shared" si="59"/>
        <v>13.822900000000001</v>
      </c>
      <c r="M562">
        <f t="shared" si="60"/>
        <v>13822.900000000001</v>
      </c>
      <c r="N562">
        <f t="shared" si="61"/>
        <v>13.101580991590001</v>
      </c>
      <c r="O562">
        <f t="shared" si="62"/>
        <v>0.45826824505388897</v>
      </c>
    </row>
    <row r="563" spans="6:15" x14ac:dyDescent="0.45">
      <c r="F563">
        <v>561</v>
      </c>
      <c r="G563">
        <v>17.399999999999999</v>
      </c>
      <c r="H563">
        <f t="shared" si="57"/>
        <v>17.399999999999999</v>
      </c>
      <c r="I563">
        <f t="shared" si="56"/>
        <v>4.8333333333333327E-3</v>
      </c>
      <c r="J563">
        <v>3.16</v>
      </c>
      <c r="K563">
        <f t="shared" si="58"/>
        <v>3.16</v>
      </c>
      <c r="L563">
        <f t="shared" si="59"/>
        <v>19.297899999999998</v>
      </c>
      <c r="M563">
        <f t="shared" si="60"/>
        <v>19297.899999999998</v>
      </c>
      <c r="N563">
        <f t="shared" si="61"/>
        <v>18.290879614089999</v>
      </c>
      <c r="O563">
        <f t="shared" si="62"/>
        <v>0.63977998583694018</v>
      </c>
    </row>
    <row r="564" spans="6:15" x14ac:dyDescent="0.45">
      <c r="F564">
        <v>562</v>
      </c>
      <c r="G564">
        <v>17.2</v>
      </c>
      <c r="H564">
        <f t="shared" si="57"/>
        <v>17.2</v>
      </c>
      <c r="I564">
        <f t="shared" si="56"/>
        <v>4.7777777777777775E-3</v>
      </c>
      <c r="J564">
        <v>-0.08</v>
      </c>
      <c r="K564">
        <f t="shared" si="58"/>
        <v>0</v>
      </c>
      <c r="L564">
        <f t="shared" si="59"/>
        <v>11.3979</v>
      </c>
      <c r="M564">
        <f t="shared" si="60"/>
        <v>11397.9</v>
      </c>
      <c r="N564">
        <f t="shared" si="61"/>
        <v>10.80312452409</v>
      </c>
      <c r="O564">
        <f t="shared" si="62"/>
        <v>0.377872633839478</v>
      </c>
    </row>
    <row r="565" spans="6:15" x14ac:dyDescent="0.45">
      <c r="F565">
        <v>563</v>
      </c>
      <c r="G565">
        <v>17</v>
      </c>
      <c r="H565">
        <f t="shared" si="57"/>
        <v>17</v>
      </c>
      <c r="I565">
        <f t="shared" si="56"/>
        <v>4.7222222222222223E-3</v>
      </c>
      <c r="J565">
        <v>0.94</v>
      </c>
      <c r="K565">
        <f t="shared" si="58"/>
        <v>0.94</v>
      </c>
      <c r="L565">
        <f t="shared" si="59"/>
        <v>13.7479</v>
      </c>
      <c r="M565">
        <f t="shared" si="60"/>
        <v>13747.9</v>
      </c>
      <c r="N565">
        <f t="shared" si="61"/>
        <v>13.03049470909</v>
      </c>
      <c r="O565">
        <f t="shared" si="62"/>
        <v>0.45578178285138127</v>
      </c>
    </row>
    <row r="566" spans="6:15" x14ac:dyDescent="0.45">
      <c r="F566">
        <v>564</v>
      </c>
      <c r="G566">
        <v>16.8</v>
      </c>
      <c r="H566">
        <f t="shared" si="57"/>
        <v>16.8</v>
      </c>
      <c r="I566">
        <f t="shared" si="56"/>
        <v>4.6666666666666671E-3</v>
      </c>
      <c r="J566">
        <v>0.55000000000000004</v>
      </c>
      <c r="K566">
        <f t="shared" si="58"/>
        <v>0.55000000000000004</v>
      </c>
      <c r="L566">
        <f t="shared" si="59"/>
        <v>12.7729</v>
      </c>
      <c r="M566">
        <f t="shared" si="60"/>
        <v>12772.9</v>
      </c>
      <c r="N566">
        <f t="shared" si="61"/>
        <v>12.10637303659</v>
      </c>
      <c r="O566">
        <f t="shared" si="62"/>
        <v>0.42345777421878317</v>
      </c>
    </row>
    <row r="567" spans="6:15" x14ac:dyDescent="0.45">
      <c r="F567">
        <v>565</v>
      </c>
      <c r="G567">
        <v>16.7</v>
      </c>
      <c r="H567">
        <f t="shared" si="57"/>
        <v>16.7</v>
      </c>
      <c r="I567">
        <f t="shared" si="56"/>
        <v>4.6388888888888886E-3</v>
      </c>
      <c r="J567">
        <v>2.3199999999999998</v>
      </c>
      <c r="K567">
        <f t="shared" si="58"/>
        <v>2.3199999999999998</v>
      </c>
      <c r="L567">
        <f t="shared" si="59"/>
        <v>17.197900000000001</v>
      </c>
      <c r="M567">
        <f t="shared" si="60"/>
        <v>17197.900000000001</v>
      </c>
      <c r="N567">
        <f t="shared" si="61"/>
        <v>16.300463704090003</v>
      </c>
      <c r="O567">
        <f t="shared" si="62"/>
        <v>0.5701590441667288</v>
      </c>
    </row>
    <row r="568" spans="6:15" x14ac:dyDescent="0.45">
      <c r="F568">
        <v>566</v>
      </c>
      <c r="G568">
        <v>16.7</v>
      </c>
      <c r="H568">
        <f t="shared" si="57"/>
        <v>16.7</v>
      </c>
      <c r="I568">
        <f t="shared" si="56"/>
        <v>4.6388888888888886E-3</v>
      </c>
      <c r="J568">
        <v>3.17</v>
      </c>
      <c r="K568">
        <f t="shared" si="58"/>
        <v>3.17</v>
      </c>
      <c r="L568">
        <f t="shared" si="59"/>
        <v>19.322900000000001</v>
      </c>
      <c r="M568">
        <f t="shared" si="60"/>
        <v>19322.900000000001</v>
      </c>
      <c r="N568">
        <f t="shared" si="61"/>
        <v>18.31457504159</v>
      </c>
      <c r="O568">
        <f t="shared" si="62"/>
        <v>0.64060880657110963</v>
      </c>
    </row>
    <row r="569" spans="6:15" x14ac:dyDescent="0.45">
      <c r="F569">
        <v>567</v>
      </c>
      <c r="G569">
        <v>17.100000000000001</v>
      </c>
      <c r="H569">
        <f t="shared" si="57"/>
        <v>17.100000000000001</v>
      </c>
      <c r="I569">
        <f t="shared" si="56"/>
        <v>4.7500000000000007E-3</v>
      </c>
      <c r="J569">
        <v>3.57</v>
      </c>
      <c r="K569">
        <f t="shared" si="58"/>
        <v>3.57</v>
      </c>
      <c r="L569">
        <f t="shared" si="59"/>
        <v>20.322899999999997</v>
      </c>
      <c r="M569">
        <f t="shared" si="60"/>
        <v>20322.899999999998</v>
      </c>
      <c r="N569">
        <f t="shared" si="61"/>
        <v>19.262392141589999</v>
      </c>
      <c r="O569">
        <f t="shared" si="62"/>
        <v>0.67376163593787675</v>
      </c>
    </row>
    <row r="570" spans="6:15" x14ac:dyDescent="0.45">
      <c r="F570">
        <v>568</v>
      </c>
      <c r="G570">
        <v>17.7</v>
      </c>
      <c r="H570">
        <f t="shared" si="57"/>
        <v>17.7</v>
      </c>
      <c r="I570">
        <f t="shared" si="56"/>
        <v>4.9166666666666664E-3</v>
      </c>
      <c r="J570">
        <v>6.89</v>
      </c>
      <c r="K570">
        <f t="shared" si="58"/>
        <v>6.89</v>
      </c>
      <c r="L570">
        <f t="shared" si="59"/>
        <v>28.622899999999998</v>
      </c>
      <c r="M570">
        <f t="shared" si="60"/>
        <v>28622.899999999998</v>
      </c>
      <c r="N570">
        <f t="shared" si="61"/>
        <v>27.12927407159</v>
      </c>
      <c r="O570">
        <f t="shared" si="62"/>
        <v>0.9489301196820461</v>
      </c>
    </row>
    <row r="571" spans="6:15" x14ac:dyDescent="0.45">
      <c r="F571">
        <v>569</v>
      </c>
      <c r="G571">
        <v>18.399999999999999</v>
      </c>
      <c r="H571">
        <f t="shared" si="57"/>
        <v>18.399999999999999</v>
      </c>
      <c r="I571">
        <f t="shared" si="56"/>
        <v>5.1111111111111105E-3</v>
      </c>
      <c r="J571">
        <v>5.19</v>
      </c>
      <c r="K571">
        <f t="shared" si="58"/>
        <v>5.19</v>
      </c>
      <c r="L571">
        <f t="shared" si="59"/>
        <v>24.372900000000001</v>
      </c>
      <c r="M571">
        <f t="shared" si="60"/>
        <v>24372.9</v>
      </c>
      <c r="N571">
        <f t="shared" si="61"/>
        <v>23.101051396590002</v>
      </c>
      <c r="O571">
        <f t="shared" si="62"/>
        <v>0.80803059487328488</v>
      </c>
    </row>
    <row r="572" spans="6:15" x14ac:dyDescent="0.45">
      <c r="F572">
        <v>570</v>
      </c>
      <c r="G572">
        <v>19.2</v>
      </c>
      <c r="H572">
        <f t="shared" si="57"/>
        <v>19.2</v>
      </c>
      <c r="I572">
        <f t="shared" si="56"/>
        <v>5.3333333333333332E-3</v>
      </c>
      <c r="J572">
        <v>6.28</v>
      </c>
      <c r="K572">
        <f t="shared" si="58"/>
        <v>6.28</v>
      </c>
      <c r="L572">
        <f t="shared" si="59"/>
        <v>27.097900000000003</v>
      </c>
      <c r="M572">
        <f t="shared" si="60"/>
        <v>27097.9</v>
      </c>
      <c r="N572">
        <f t="shared" si="61"/>
        <v>25.683852994090003</v>
      </c>
      <c r="O572">
        <f t="shared" si="62"/>
        <v>0.89837205489772609</v>
      </c>
    </row>
    <row r="573" spans="6:15" x14ac:dyDescent="0.45">
      <c r="F573">
        <v>571</v>
      </c>
      <c r="G573">
        <v>19.8</v>
      </c>
      <c r="H573">
        <f t="shared" si="57"/>
        <v>19.8</v>
      </c>
      <c r="I573">
        <f t="shared" si="56"/>
        <v>5.5000000000000005E-3</v>
      </c>
      <c r="J573">
        <v>9.32</v>
      </c>
      <c r="K573">
        <f t="shared" si="58"/>
        <v>9.32</v>
      </c>
      <c r="L573">
        <f t="shared" si="59"/>
        <v>34.697900000000004</v>
      </c>
      <c r="M573">
        <f t="shared" si="60"/>
        <v>34697.9</v>
      </c>
      <c r="N573">
        <f t="shared" si="61"/>
        <v>32.887262954090005</v>
      </c>
      <c r="O573">
        <f t="shared" si="62"/>
        <v>1.1503335580851581</v>
      </c>
    </row>
    <row r="574" spans="6:15" x14ac:dyDescent="0.45">
      <c r="F574">
        <v>572</v>
      </c>
      <c r="G574">
        <v>20.6</v>
      </c>
      <c r="H574">
        <f t="shared" si="57"/>
        <v>20.6</v>
      </c>
      <c r="I574">
        <f t="shared" si="56"/>
        <v>5.7222222222222223E-3</v>
      </c>
      <c r="J574">
        <v>7.58</v>
      </c>
      <c r="K574">
        <f t="shared" si="58"/>
        <v>7.58</v>
      </c>
      <c r="L574">
        <f t="shared" si="59"/>
        <v>30.347899999999999</v>
      </c>
      <c r="M574">
        <f t="shared" si="60"/>
        <v>30347.899999999998</v>
      </c>
      <c r="N574">
        <f t="shared" si="61"/>
        <v>28.76425856909</v>
      </c>
      <c r="O574">
        <f t="shared" si="62"/>
        <v>1.0061187503397198</v>
      </c>
    </row>
    <row r="575" spans="6:15" x14ac:dyDescent="0.45">
      <c r="F575">
        <v>573</v>
      </c>
      <c r="G575">
        <v>20.8</v>
      </c>
      <c r="H575">
        <f t="shared" si="57"/>
        <v>20.8</v>
      </c>
      <c r="I575">
        <f t="shared" si="56"/>
        <v>5.7777777777777784E-3</v>
      </c>
      <c r="J575">
        <v>3.52</v>
      </c>
      <c r="K575">
        <f t="shared" si="58"/>
        <v>3.52</v>
      </c>
      <c r="L575">
        <f t="shared" si="59"/>
        <v>20.197900000000001</v>
      </c>
      <c r="M575">
        <f t="shared" si="60"/>
        <v>20197.900000000001</v>
      </c>
      <c r="N575">
        <f t="shared" si="61"/>
        <v>19.143915004090001</v>
      </c>
      <c r="O575">
        <f t="shared" si="62"/>
        <v>0.66961753226703113</v>
      </c>
    </row>
    <row r="576" spans="6:15" x14ac:dyDescent="0.45">
      <c r="F576">
        <v>574</v>
      </c>
      <c r="G576">
        <v>21.2</v>
      </c>
      <c r="H576">
        <f t="shared" si="57"/>
        <v>21.2</v>
      </c>
      <c r="I576">
        <f t="shared" si="56"/>
        <v>5.8888888888888888E-3</v>
      </c>
      <c r="J576">
        <v>5.41</v>
      </c>
      <c r="K576">
        <f t="shared" si="58"/>
        <v>5.41</v>
      </c>
      <c r="L576">
        <f t="shared" si="59"/>
        <v>24.922899999999998</v>
      </c>
      <c r="M576">
        <f t="shared" si="60"/>
        <v>24922.899999999998</v>
      </c>
      <c r="N576">
        <f t="shared" si="61"/>
        <v>23.622350801589999</v>
      </c>
      <c r="O576">
        <f t="shared" si="62"/>
        <v>0.82626465102500679</v>
      </c>
    </row>
    <row r="577" spans="6:15" x14ac:dyDescent="0.45">
      <c r="F577">
        <v>575</v>
      </c>
      <c r="G577">
        <v>21.6</v>
      </c>
      <c r="H577">
        <f t="shared" si="57"/>
        <v>21.6</v>
      </c>
      <c r="I577">
        <f t="shared" si="56"/>
        <v>6.0000000000000001E-3</v>
      </c>
      <c r="J577">
        <v>5.38</v>
      </c>
      <c r="K577">
        <f t="shared" si="58"/>
        <v>5.38</v>
      </c>
      <c r="L577">
        <f t="shared" si="59"/>
        <v>24.847899999999999</v>
      </c>
      <c r="M577">
        <f t="shared" si="60"/>
        <v>24847.899999999998</v>
      </c>
      <c r="N577">
        <f t="shared" si="61"/>
        <v>23.551264519089997</v>
      </c>
      <c r="O577">
        <f t="shared" si="62"/>
        <v>0.8237781888224992</v>
      </c>
    </row>
    <row r="578" spans="6:15" x14ac:dyDescent="0.45">
      <c r="F578">
        <v>576</v>
      </c>
      <c r="G578">
        <v>21.9</v>
      </c>
      <c r="H578">
        <f t="shared" si="57"/>
        <v>21.9</v>
      </c>
      <c r="I578">
        <f t="shared" ref="I578:I641" si="63">H578*(1/3600)</f>
        <v>6.083333333333333E-3</v>
      </c>
      <c r="J578">
        <v>6.48</v>
      </c>
      <c r="K578">
        <f t="shared" si="58"/>
        <v>6.48</v>
      </c>
      <c r="L578">
        <f t="shared" si="59"/>
        <v>27.597900000000003</v>
      </c>
      <c r="M578">
        <f t="shared" si="60"/>
        <v>27597.9</v>
      </c>
      <c r="N578">
        <f t="shared" si="61"/>
        <v>26.15776154409</v>
      </c>
      <c r="O578">
        <f t="shared" si="62"/>
        <v>0.91494846958110965</v>
      </c>
    </row>
    <row r="579" spans="6:15" x14ac:dyDescent="0.45">
      <c r="F579">
        <v>577</v>
      </c>
      <c r="G579">
        <v>22.3</v>
      </c>
      <c r="H579">
        <f t="shared" ref="H579:H642" si="64">IF(G579&lt;0,0,G579)</f>
        <v>22.3</v>
      </c>
      <c r="I579">
        <f t="shared" si="63"/>
        <v>6.1944444444444443E-3</v>
      </c>
      <c r="J579">
        <v>5.18</v>
      </c>
      <c r="K579">
        <f t="shared" ref="K579:K642" si="65">IF(J579&lt;0,0,J579)</f>
        <v>5.18</v>
      </c>
      <c r="L579">
        <f t="shared" ref="L579:L642" si="66">(1/$B$5)*K579+((3.4798*$B$6)+0.9585)</f>
        <v>24.347899999999999</v>
      </c>
      <c r="M579">
        <f t="shared" ref="M579:M642" si="67">L579*1000</f>
        <v>24347.899999999998</v>
      </c>
      <c r="N579">
        <f t="shared" ref="N579:N642" si="68">M579*0.0009478171</f>
        <v>23.07735596909</v>
      </c>
      <c r="O579">
        <f t="shared" ref="O579:O642" si="69">(M579*453.59237)/(18489*0.74*1000)</f>
        <v>0.80720177413911565</v>
      </c>
    </row>
    <row r="580" spans="6:15" x14ac:dyDescent="0.45">
      <c r="F580">
        <v>578</v>
      </c>
      <c r="G580">
        <v>22.4</v>
      </c>
      <c r="H580">
        <f t="shared" si="64"/>
        <v>22.4</v>
      </c>
      <c r="I580">
        <f t="shared" si="63"/>
        <v>6.2222222222222219E-3</v>
      </c>
      <c r="J580">
        <v>3.76</v>
      </c>
      <c r="K580">
        <f t="shared" si="65"/>
        <v>3.76</v>
      </c>
      <c r="L580">
        <f t="shared" si="66"/>
        <v>20.797899999999998</v>
      </c>
      <c r="M580">
        <f t="shared" si="67"/>
        <v>20797.899999999998</v>
      </c>
      <c r="N580">
        <f t="shared" si="68"/>
        <v>19.712605264089998</v>
      </c>
      <c r="O580">
        <f t="shared" si="69"/>
        <v>0.6895092298870914</v>
      </c>
    </row>
    <row r="581" spans="6:15" x14ac:dyDescent="0.45">
      <c r="F581">
        <v>579</v>
      </c>
      <c r="G581">
        <v>22.4</v>
      </c>
      <c r="H581">
        <f t="shared" si="64"/>
        <v>22.4</v>
      </c>
      <c r="I581">
        <f t="shared" si="63"/>
        <v>6.2222222222222219E-3</v>
      </c>
      <c r="J581">
        <v>2.4</v>
      </c>
      <c r="K581">
        <f t="shared" si="65"/>
        <v>2.4</v>
      </c>
      <c r="L581">
        <f t="shared" si="66"/>
        <v>17.3979</v>
      </c>
      <c r="M581">
        <f t="shared" si="67"/>
        <v>17397.900000000001</v>
      </c>
      <c r="N581">
        <f t="shared" si="68"/>
        <v>16.490027124090002</v>
      </c>
      <c r="O581">
        <f t="shared" si="69"/>
        <v>0.57678961004008233</v>
      </c>
    </row>
    <row r="582" spans="6:15" x14ac:dyDescent="0.45">
      <c r="F582">
        <v>580</v>
      </c>
      <c r="G582">
        <v>22.5</v>
      </c>
      <c r="H582">
        <f t="shared" si="64"/>
        <v>22.5</v>
      </c>
      <c r="I582">
        <f t="shared" si="63"/>
        <v>6.2500000000000003E-3</v>
      </c>
      <c r="J582">
        <v>5.26</v>
      </c>
      <c r="K582">
        <f t="shared" si="65"/>
        <v>5.26</v>
      </c>
      <c r="L582">
        <f t="shared" si="66"/>
        <v>24.547899999999998</v>
      </c>
      <c r="M582">
        <f t="shared" si="67"/>
        <v>24547.899999999998</v>
      </c>
      <c r="N582">
        <f t="shared" si="68"/>
        <v>23.266919389089999</v>
      </c>
      <c r="O582">
        <f t="shared" si="69"/>
        <v>0.81383234001246907</v>
      </c>
    </row>
    <row r="583" spans="6:15" x14ac:dyDescent="0.45">
      <c r="F583">
        <v>581</v>
      </c>
      <c r="G583">
        <v>22.8</v>
      </c>
      <c r="H583">
        <f t="shared" si="64"/>
        <v>22.8</v>
      </c>
      <c r="I583">
        <f t="shared" si="63"/>
        <v>6.3333333333333332E-3</v>
      </c>
      <c r="J583">
        <v>6.29</v>
      </c>
      <c r="K583">
        <f t="shared" si="65"/>
        <v>6.29</v>
      </c>
      <c r="L583">
        <f t="shared" si="66"/>
        <v>27.122900000000001</v>
      </c>
      <c r="M583">
        <f t="shared" si="67"/>
        <v>27122.9</v>
      </c>
      <c r="N583">
        <f t="shared" si="68"/>
        <v>25.707548421590001</v>
      </c>
      <c r="O583">
        <f t="shared" si="69"/>
        <v>0.8992008756318951</v>
      </c>
    </row>
    <row r="584" spans="6:15" x14ac:dyDescent="0.45">
      <c r="F584">
        <v>582</v>
      </c>
      <c r="G584">
        <v>23.5</v>
      </c>
      <c r="H584">
        <f t="shared" si="64"/>
        <v>23.5</v>
      </c>
      <c r="I584">
        <f t="shared" si="63"/>
        <v>6.5277777777777782E-3</v>
      </c>
      <c r="J584">
        <v>19.47</v>
      </c>
      <c r="K584">
        <f t="shared" si="65"/>
        <v>19.47</v>
      </c>
      <c r="L584">
        <f t="shared" si="66"/>
        <v>60.072899999999997</v>
      </c>
      <c r="M584">
        <f t="shared" si="67"/>
        <v>60072.899999999994</v>
      </c>
      <c r="N584">
        <f t="shared" si="68"/>
        <v>56.938121866589995</v>
      </c>
      <c r="O584">
        <f t="shared" si="69"/>
        <v>1.9915866032668803</v>
      </c>
    </row>
    <row r="585" spans="6:15" x14ac:dyDescent="0.45">
      <c r="F585">
        <v>583</v>
      </c>
      <c r="G585">
        <v>24.9</v>
      </c>
      <c r="H585">
        <f t="shared" si="64"/>
        <v>24.9</v>
      </c>
      <c r="I585">
        <f t="shared" si="63"/>
        <v>6.9166666666666664E-3</v>
      </c>
      <c r="J585">
        <v>11.96</v>
      </c>
      <c r="K585">
        <f t="shared" si="65"/>
        <v>11.96</v>
      </c>
      <c r="L585">
        <f t="shared" si="66"/>
        <v>41.297899999999998</v>
      </c>
      <c r="M585">
        <f t="shared" si="67"/>
        <v>41297.9</v>
      </c>
      <c r="N585">
        <f t="shared" si="68"/>
        <v>39.142855814090005</v>
      </c>
      <c r="O585">
        <f t="shared" si="69"/>
        <v>1.3691422319058228</v>
      </c>
    </row>
    <row r="586" spans="6:15" x14ac:dyDescent="0.45">
      <c r="F586">
        <v>584</v>
      </c>
      <c r="G586">
        <v>26.1</v>
      </c>
      <c r="H586">
        <f t="shared" si="64"/>
        <v>26.1</v>
      </c>
      <c r="I586">
        <f t="shared" si="63"/>
        <v>7.2500000000000004E-3</v>
      </c>
      <c r="J586">
        <v>10.3</v>
      </c>
      <c r="K586">
        <f t="shared" si="65"/>
        <v>10.3</v>
      </c>
      <c r="L586">
        <f t="shared" si="66"/>
        <v>37.1479</v>
      </c>
      <c r="M586">
        <f t="shared" si="67"/>
        <v>37147.9</v>
      </c>
      <c r="N586">
        <f t="shared" si="68"/>
        <v>35.209414849090003</v>
      </c>
      <c r="O586">
        <f t="shared" si="69"/>
        <v>1.2315579900337383</v>
      </c>
    </row>
    <row r="587" spans="6:15" x14ac:dyDescent="0.45">
      <c r="F587">
        <v>585</v>
      </c>
      <c r="G587">
        <v>26.8</v>
      </c>
      <c r="H587">
        <f t="shared" si="64"/>
        <v>26.8</v>
      </c>
      <c r="I587">
        <f t="shared" si="63"/>
        <v>7.4444444444444445E-3</v>
      </c>
      <c r="J587">
        <v>8.65</v>
      </c>
      <c r="K587">
        <f t="shared" si="65"/>
        <v>8.65</v>
      </c>
      <c r="L587">
        <f t="shared" si="66"/>
        <v>33.0229</v>
      </c>
      <c r="M587">
        <f t="shared" si="67"/>
        <v>33022.9</v>
      </c>
      <c r="N587">
        <f t="shared" si="68"/>
        <v>31.299669311590002</v>
      </c>
      <c r="O587">
        <f t="shared" si="69"/>
        <v>1.0948025688958227</v>
      </c>
    </row>
    <row r="588" spans="6:15" x14ac:dyDescent="0.45">
      <c r="F588">
        <v>586</v>
      </c>
      <c r="G588">
        <v>26.9</v>
      </c>
      <c r="H588">
        <f t="shared" si="64"/>
        <v>26.9</v>
      </c>
      <c r="I588">
        <f t="shared" si="63"/>
        <v>7.4722222222222221E-3</v>
      </c>
      <c r="J588">
        <v>2.08</v>
      </c>
      <c r="K588">
        <f t="shared" si="65"/>
        <v>2.08</v>
      </c>
      <c r="L588">
        <f t="shared" si="66"/>
        <v>16.597899999999999</v>
      </c>
      <c r="M588">
        <f t="shared" si="67"/>
        <v>16597.899999999998</v>
      </c>
      <c r="N588">
        <f t="shared" si="68"/>
        <v>15.731773444089999</v>
      </c>
      <c r="O588">
        <f t="shared" si="69"/>
        <v>0.55026734654666831</v>
      </c>
    </row>
    <row r="589" spans="6:15" x14ac:dyDescent="0.45">
      <c r="F589">
        <v>587</v>
      </c>
      <c r="G589">
        <v>25.4</v>
      </c>
      <c r="H589">
        <f t="shared" si="64"/>
        <v>25.4</v>
      </c>
      <c r="I589">
        <f t="shared" si="63"/>
        <v>7.0555555555555554E-3</v>
      </c>
      <c r="J589">
        <v>-1.39</v>
      </c>
      <c r="K589">
        <f t="shared" si="65"/>
        <v>0</v>
      </c>
      <c r="L589">
        <f t="shared" si="66"/>
        <v>11.3979</v>
      </c>
      <c r="M589">
        <f t="shared" si="67"/>
        <v>11397.9</v>
      </c>
      <c r="N589">
        <f t="shared" si="68"/>
        <v>10.80312452409</v>
      </c>
      <c r="O589">
        <f t="shared" si="69"/>
        <v>0.377872633839478</v>
      </c>
    </row>
    <row r="590" spans="6:15" x14ac:dyDescent="0.45">
      <c r="F590">
        <v>588</v>
      </c>
      <c r="G590">
        <v>22.4</v>
      </c>
      <c r="H590">
        <f t="shared" si="64"/>
        <v>22.4</v>
      </c>
      <c r="I590">
        <f t="shared" si="63"/>
        <v>6.2222222222222219E-3</v>
      </c>
      <c r="J590">
        <v>-1.08</v>
      </c>
      <c r="K590">
        <f t="shared" si="65"/>
        <v>0</v>
      </c>
      <c r="L590">
        <f t="shared" si="66"/>
        <v>11.3979</v>
      </c>
      <c r="M590">
        <f t="shared" si="67"/>
        <v>11397.9</v>
      </c>
      <c r="N590">
        <f t="shared" si="68"/>
        <v>10.80312452409</v>
      </c>
      <c r="O590">
        <f t="shared" si="69"/>
        <v>0.377872633839478</v>
      </c>
    </row>
    <row r="591" spans="6:15" x14ac:dyDescent="0.45">
      <c r="F591">
        <v>589</v>
      </c>
      <c r="G591">
        <v>19</v>
      </c>
      <c r="H591">
        <f t="shared" si="64"/>
        <v>19</v>
      </c>
      <c r="I591">
        <f t="shared" si="63"/>
        <v>5.2777777777777779E-3</v>
      </c>
      <c r="J591">
        <v>-1.32</v>
      </c>
      <c r="K591">
        <f t="shared" si="65"/>
        <v>0</v>
      </c>
      <c r="L591">
        <f t="shared" si="66"/>
        <v>11.3979</v>
      </c>
      <c r="M591">
        <f t="shared" si="67"/>
        <v>11397.9</v>
      </c>
      <c r="N591">
        <f t="shared" si="68"/>
        <v>10.80312452409</v>
      </c>
      <c r="O591">
        <f t="shared" si="69"/>
        <v>0.377872633839478</v>
      </c>
    </row>
    <row r="592" spans="6:15" x14ac:dyDescent="0.45">
      <c r="F592">
        <v>590</v>
      </c>
      <c r="G592">
        <v>15.6</v>
      </c>
      <c r="H592">
        <f t="shared" si="64"/>
        <v>15.6</v>
      </c>
      <c r="I592">
        <f t="shared" si="63"/>
        <v>4.3333333333333331E-3</v>
      </c>
      <c r="J592">
        <v>-0.74</v>
      </c>
      <c r="K592">
        <f t="shared" si="65"/>
        <v>0</v>
      </c>
      <c r="L592">
        <f t="shared" si="66"/>
        <v>11.3979</v>
      </c>
      <c r="M592">
        <f t="shared" si="67"/>
        <v>11397.9</v>
      </c>
      <c r="N592">
        <f t="shared" si="68"/>
        <v>10.80312452409</v>
      </c>
      <c r="O592">
        <f t="shared" si="69"/>
        <v>0.377872633839478</v>
      </c>
    </row>
    <row r="593" spans="6:15" x14ac:dyDescent="0.45">
      <c r="F593">
        <v>591</v>
      </c>
      <c r="G593">
        <v>12.1</v>
      </c>
      <c r="H593">
        <f t="shared" si="64"/>
        <v>12.1</v>
      </c>
      <c r="I593">
        <f t="shared" si="63"/>
        <v>3.3611111111111112E-3</v>
      </c>
      <c r="J593">
        <v>-0.95</v>
      </c>
      <c r="K593">
        <f t="shared" si="65"/>
        <v>0</v>
      </c>
      <c r="L593">
        <f t="shared" si="66"/>
        <v>11.3979</v>
      </c>
      <c r="M593">
        <f t="shared" si="67"/>
        <v>11397.9</v>
      </c>
      <c r="N593">
        <f t="shared" si="68"/>
        <v>10.80312452409</v>
      </c>
      <c r="O593">
        <f t="shared" si="69"/>
        <v>0.377872633839478</v>
      </c>
    </row>
    <row r="594" spans="6:15" x14ac:dyDescent="0.45">
      <c r="F594">
        <v>592</v>
      </c>
      <c r="G594">
        <v>8.6</v>
      </c>
      <c r="H594">
        <f t="shared" si="64"/>
        <v>8.6</v>
      </c>
      <c r="I594">
        <f t="shared" si="63"/>
        <v>2.3888888888888887E-3</v>
      </c>
      <c r="J594">
        <v>-0.31</v>
      </c>
      <c r="K594">
        <f t="shared" si="65"/>
        <v>0</v>
      </c>
      <c r="L594">
        <f t="shared" si="66"/>
        <v>11.3979</v>
      </c>
      <c r="M594">
        <f t="shared" si="67"/>
        <v>11397.9</v>
      </c>
      <c r="N594">
        <f t="shared" si="68"/>
        <v>10.80312452409</v>
      </c>
      <c r="O594">
        <f t="shared" si="69"/>
        <v>0.377872633839478</v>
      </c>
    </row>
    <row r="595" spans="6:15" x14ac:dyDescent="0.45">
      <c r="F595">
        <v>593</v>
      </c>
      <c r="G595">
        <v>5.3</v>
      </c>
      <c r="H595">
        <f t="shared" si="64"/>
        <v>5.3</v>
      </c>
      <c r="I595">
        <f t="shared" si="63"/>
        <v>1.4722222222222222E-3</v>
      </c>
      <c r="J595">
        <v>0.47</v>
      </c>
      <c r="K595">
        <f t="shared" si="65"/>
        <v>0.47</v>
      </c>
      <c r="L595">
        <f t="shared" si="66"/>
        <v>12.572900000000001</v>
      </c>
      <c r="M595">
        <f t="shared" si="67"/>
        <v>12572.900000000001</v>
      </c>
      <c r="N595">
        <f t="shared" si="68"/>
        <v>11.916809616590001</v>
      </c>
      <c r="O595">
        <f t="shared" si="69"/>
        <v>0.41682720834542969</v>
      </c>
    </row>
    <row r="596" spans="6:15" x14ac:dyDescent="0.45">
      <c r="F596">
        <v>594</v>
      </c>
      <c r="G596">
        <v>2.2999999999999998</v>
      </c>
      <c r="H596">
        <f t="shared" si="64"/>
        <v>2.2999999999999998</v>
      </c>
      <c r="I596">
        <f t="shared" si="63"/>
        <v>6.3888888888888882E-4</v>
      </c>
      <c r="J596">
        <v>0.95</v>
      </c>
      <c r="K596">
        <f t="shared" si="65"/>
        <v>0.95</v>
      </c>
      <c r="L596">
        <f t="shared" si="66"/>
        <v>13.7729</v>
      </c>
      <c r="M596">
        <f t="shared" si="67"/>
        <v>13772.9</v>
      </c>
      <c r="N596">
        <f t="shared" si="68"/>
        <v>13.05419013659</v>
      </c>
      <c r="O596">
        <f t="shared" si="69"/>
        <v>0.45661060358555056</v>
      </c>
    </row>
    <row r="597" spans="6:15" x14ac:dyDescent="0.45">
      <c r="F597">
        <v>595</v>
      </c>
      <c r="G597">
        <v>0.3</v>
      </c>
      <c r="H597">
        <f t="shared" si="64"/>
        <v>0.3</v>
      </c>
      <c r="I597">
        <f t="shared" si="63"/>
        <v>8.3333333333333331E-5</v>
      </c>
      <c r="J597">
        <v>1.01</v>
      </c>
      <c r="K597">
        <f t="shared" si="65"/>
        <v>1.01</v>
      </c>
      <c r="L597">
        <f t="shared" si="66"/>
        <v>13.9229</v>
      </c>
      <c r="M597">
        <f t="shared" si="67"/>
        <v>13922.9</v>
      </c>
      <c r="N597">
        <f t="shared" si="68"/>
        <v>13.196362701590001</v>
      </c>
      <c r="O597">
        <f t="shared" si="69"/>
        <v>0.46158352799056562</v>
      </c>
    </row>
    <row r="598" spans="6:15" x14ac:dyDescent="0.45">
      <c r="F598">
        <v>596</v>
      </c>
      <c r="G598">
        <v>-0.1</v>
      </c>
      <c r="H598">
        <f t="shared" si="64"/>
        <v>0</v>
      </c>
      <c r="I598">
        <f t="shared" si="63"/>
        <v>0</v>
      </c>
      <c r="J598">
        <v>0.62</v>
      </c>
      <c r="K598">
        <f t="shared" si="65"/>
        <v>0.62</v>
      </c>
      <c r="L598">
        <f t="shared" si="66"/>
        <v>12.947900000000001</v>
      </c>
      <c r="M598">
        <f t="shared" si="67"/>
        <v>12947.900000000001</v>
      </c>
      <c r="N598">
        <f t="shared" si="68"/>
        <v>12.272241029090003</v>
      </c>
      <c r="O598">
        <f t="shared" si="69"/>
        <v>0.42925951935796747</v>
      </c>
    </row>
    <row r="599" spans="6:15" x14ac:dyDescent="0.45">
      <c r="F599">
        <v>597</v>
      </c>
      <c r="G599">
        <v>0</v>
      </c>
      <c r="H599">
        <f t="shared" si="64"/>
        <v>0</v>
      </c>
      <c r="I599">
        <f t="shared" si="63"/>
        <v>0</v>
      </c>
      <c r="J599">
        <v>0.52</v>
      </c>
      <c r="K599">
        <f t="shared" si="65"/>
        <v>0.52</v>
      </c>
      <c r="L599">
        <f t="shared" si="66"/>
        <v>12.697900000000001</v>
      </c>
      <c r="M599">
        <f t="shared" si="67"/>
        <v>12697.900000000001</v>
      </c>
      <c r="N599">
        <f t="shared" si="68"/>
        <v>12.035286754090002</v>
      </c>
      <c r="O599">
        <f t="shared" si="69"/>
        <v>0.42097131201627563</v>
      </c>
    </row>
    <row r="600" spans="6:15" x14ac:dyDescent="0.45">
      <c r="F600">
        <v>598</v>
      </c>
      <c r="G600">
        <v>0</v>
      </c>
      <c r="H600">
        <f t="shared" si="64"/>
        <v>0</v>
      </c>
      <c r="I600">
        <f t="shared" si="63"/>
        <v>0</v>
      </c>
      <c r="J600">
        <v>0.34</v>
      </c>
      <c r="K600">
        <f t="shared" si="65"/>
        <v>0.34</v>
      </c>
      <c r="L600">
        <f t="shared" si="66"/>
        <v>12.2479</v>
      </c>
      <c r="M600">
        <f t="shared" si="67"/>
        <v>12247.9</v>
      </c>
      <c r="N600">
        <f t="shared" si="68"/>
        <v>11.608769059089999</v>
      </c>
      <c r="O600">
        <f t="shared" si="69"/>
        <v>0.40605253880123021</v>
      </c>
    </row>
    <row r="601" spans="6:15" x14ac:dyDescent="0.45">
      <c r="F601">
        <v>599</v>
      </c>
      <c r="G601">
        <v>0</v>
      </c>
      <c r="H601">
        <f t="shared" si="64"/>
        <v>0</v>
      </c>
      <c r="I601">
        <f t="shared" si="63"/>
        <v>0</v>
      </c>
      <c r="J601">
        <v>0.71</v>
      </c>
      <c r="K601">
        <f t="shared" si="65"/>
        <v>0.71</v>
      </c>
      <c r="L601">
        <f t="shared" si="66"/>
        <v>13.1729</v>
      </c>
      <c r="M601">
        <f t="shared" si="67"/>
        <v>13172.9</v>
      </c>
      <c r="N601">
        <f t="shared" si="68"/>
        <v>12.48549987659</v>
      </c>
      <c r="O601">
        <f t="shared" si="69"/>
        <v>0.43671890596549007</v>
      </c>
    </row>
    <row r="602" spans="6:15" x14ac:dyDescent="0.45">
      <c r="F602">
        <v>600</v>
      </c>
      <c r="G602">
        <v>0</v>
      </c>
      <c r="H602">
        <f t="shared" si="64"/>
        <v>0</v>
      </c>
      <c r="I602">
        <f t="shared" si="63"/>
        <v>0</v>
      </c>
      <c r="J602">
        <v>0.76</v>
      </c>
      <c r="K602">
        <f t="shared" si="65"/>
        <v>0.76</v>
      </c>
      <c r="L602">
        <f t="shared" si="66"/>
        <v>13.2979</v>
      </c>
      <c r="M602">
        <f t="shared" si="67"/>
        <v>13297.9</v>
      </c>
      <c r="N602">
        <f t="shared" si="68"/>
        <v>12.603977014090001</v>
      </c>
      <c r="O602">
        <f t="shared" si="69"/>
        <v>0.44086300963633601</v>
      </c>
    </row>
    <row r="603" spans="6:15" x14ac:dyDescent="0.45">
      <c r="F603">
        <v>601</v>
      </c>
      <c r="G603">
        <v>0</v>
      </c>
      <c r="H603">
        <f t="shared" si="64"/>
        <v>0</v>
      </c>
      <c r="I603">
        <f t="shared" si="63"/>
        <v>0</v>
      </c>
      <c r="J603">
        <v>0.51</v>
      </c>
      <c r="K603">
        <f t="shared" si="65"/>
        <v>0.51</v>
      </c>
      <c r="L603">
        <f t="shared" si="66"/>
        <v>12.6729</v>
      </c>
      <c r="M603">
        <f t="shared" si="67"/>
        <v>12672.9</v>
      </c>
      <c r="N603">
        <f t="shared" si="68"/>
        <v>12.011591326590001</v>
      </c>
      <c r="O603">
        <f t="shared" si="69"/>
        <v>0.42014249128210635</v>
      </c>
    </row>
    <row r="604" spans="6:15" x14ac:dyDescent="0.45">
      <c r="F604">
        <v>602</v>
      </c>
      <c r="G604">
        <v>0</v>
      </c>
      <c r="H604">
        <f t="shared" si="64"/>
        <v>0</v>
      </c>
      <c r="I604">
        <f t="shared" si="63"/>
        <v>0</v>
      </c>
      <c r="J604">
        <v>0.48</v>
      </c>
      <c r="K604">
        <f t="shared" si="65"/>
        <v>0.48</v>
      </c>
      <c r="L604">
        <f t="shared" si="66"/>
        <v>12.597899999999999</v>
      </c>
      <c r="M604">
        <f t="shared" si="67"/>
        <v>12597.9</v>
      </c>
      <c r="N604">
        <f t="shared" si="68"/>
        <v>11.940505044090001</v>
      </c>
      <c r="O604">
        <f t="shared" si="69"/>
        <v>0.41765602907959881</v>
      </c>
    </row>
    <row r="605" spans="6:15" x14ac:dyDescent="0.45">
      <c r="F605">
        <v>603</v>
      </c>
      <c r="G605">
        <v>0</v>
      </c>
      <c r="H605">
        <f t="shared" si="64"/>
        <v>0</v>
      </c>
      <c r="I605">
        <f t="shared" si="63"/>
        <v>0</v>
      </c>
      <c r="J605">
        <v>0.35</v>
      </c>
      <c r="K605">
        <f t="shared" si="65"/>
        <v>0.35</v>
      </c>
      <c r="L605">
        <f t="shared" si="66"/>
        <v>12.2729</v>
      </c>
      <c r="M605">
        <f t="shared" si="67"/>
        <v>12272.9</v>
      </c>
      <c r="N605">
        <f t="shared" si="68"/>
        <v>11.632464486590001</v>
      </c>
      <c r="O605">
        <f t="shared" si="69"/>
        <v>0.40688135953539939</v>
      </c>
    </row>
    <row r="606" spans="6:15" x14ac:dyDescent="0.45">
      <c r="F606">
        <v>604</v>
      </c>
      <c r="G606">
        <v>0</v>
      </c>
      <c r="H606">
        <f t="shared" si="64"/>
        <v>0</v>
      </c>
      <c r="I606">
        <f t="shared" si="63"/>
        <v>0</v>
      </c>
      <c r="J606">
        <v>0.38</v>
      </c>
      <c r="K606">
        <f t="shared" si="65"/>
        <v>0.38</v>
      </c>
      <c r="L606">
        <f t="shared" si="66"/>
        <v>12.347899999999999</v>
      </c>
      <c r="M606">
        <f t="shared" si="67"/>
        <v>12347.9</v>
      </c>
      <c r="N606">
        <f t="shared" si="68"/>
        <v>11.70355076909</v>
      </c>
      <c r="O606">
        <f t="shared" si="69"/>
        <v>0.40936782173790698</v>
      </c>
    </row>
    <row r="607" spans="6:15" x14ac:dyDescent="0.45">
      <c r="F607">
        <v>605</v>
      </c>
      <c r="G607">
        <v>0</v>
      </c>
      <c r="H607">
        <f t="shared" si="64"/>
        <v>0</v>
      </c>
      <c r="I607">
        <f t="shared" si="63"/>
        <v>0</v>
      </c>
      <c r="J607">
        <v>0.34</v>
      </c>
      <c r="K607">
        <f t="shared" si="65"/>
        <v>0.34</v>
      </c>
      <c r="L607">
        <f t="shared" si="66"/>
        <v>12.2479</v>
      </c>
      <c r="M607">
        <f t="shared" si="67"/>
        <v>12247.9</v>
      </c>
      <c r="N607">
        <f t="shared" si="68"/>
        <v>11.608769059089999</v>
      </c>
      <c r="O607">
        <f t="shared" si="69"/>
        <v>0.40605253880123021</v>
      </c>
    </row>
    <row r="608" spans="6:15" x14ac:dyDescent="0.45">
      <c r="F608">
        <v>606</v>
      </c>
      <c r="G608">
        <v>0</v>
      </c>
      <c r="H608">
        <f t="shared" si="64"/>
        <v>0</v>
      </c>
      <c r="I608">
        <f t="shared" si="63"/>
        <v>0</v>
      </c>
      <c r="J608">
        <v>0.5</v>
      </c>
      <c r="K608">
        <f t="shared" si="65"/>
        <v>0.5</v>
      </c>
      <c r="L608">
        <f t="shared" si="66"/>
        <v>12.6479</v>
      </c>
      <c r="M608">
        <f t="shared" si="67"/>
        <v>12647.9</v>
      </c>
      <c r="N608">
        <f t="shared" si="68"/>
        <v>11.987895899090001</v>
      </c>
      <c r="O608">
        <f t="shared" si="69"/>
        <v>0.41931367054793717</v>
      </c>
    </row>
    <row r="609" spans="6:15" x14ac:dyDescent="0.45">
      <c r="F609">
        <v>607</v>
      </c>
      <c r="G609">
        <v>0</v>
      </c>
      <c r="H609">
        <f t="shared" si="64"/>
        <v>0</v>
      </c>
      <c r="I609">
        <f t="shared" si="63"/>
        <v>0</v>
      </c>
      <c r="J609">
        <v>0.83</v>
      </c>
      <c r="K609">
        <f t="shared" si="65"/>
        <v>0.83</v>
      </c>
      <c r="L609">
        <f t="shared" si="66"/>
        <v>13.472899999999999</v>
      </c>
      <c r="M609">
        <f t="shared" si="67"/>
        <v>13472.9</v>
      </c>
      <c r="N609">
        <f t="shared" si="68"/>
        <v>12.76984500659</v>
      </c>
      <c r="O609">
        <f t="shared" si="69"/>
        <v>0.44666475477552031</v>
      </c>
    </row>
    <row r="610" spans="6:15" x14ac:dyDescent="0.45">
      <c r="F610">
        <v>608</v>
      </c>
      <c r="G610">
        <v>0</v>
      </c>
      <c r="H610">
        <f t="shared" si="64"/>
        <v>0</v>
      </c>
      <c r="I610">
        <f t="shared" si="63"/>
        <v>0</v>
      </c>
      <c r="J610">
        <v>0.86</v>
      </c>
      <c r="K610">
        <f t="shared" si="65"/>
        <v>0.86</v>
      </c>
      <c r="L610">
        <f t="shared" si="66"/>
        <v>13.5479</v>
      </c>
      <c r="M610">
        <f t="shared" si="67"/>
        <v>13547.9</v>
      </c>
      <c r="N610">
        <f t="shared" si="68"/>
        <v>12.840931289089999</v>
      </c>
      <c r="O610">
        <f t="shared" si="69"/>
        <v>0.44915121697802785</v>
      </c>
    </row>
    <row r="611" spans="6:15" x14ac:dyDescent="0.45">
      <c r="F611">
        <v>609</v>
      </c>
      <c r="G611">
        <v>0</v>
      </c>
      <c r="H611">
        <f t="shared" si="64"/>
        <v>0</v>
      </c>
      <c r="I611">
        <f t="shared" si="63"/>
        <v>0</v>
      </c>
      <c r="J611">
        <v>0.69</v>
      </c>
      <c r="K611">
        <f t="shared" si="65"/>
        <v>0.69</v>
      </c>
      <c r="L611">
        <f t="shared" si="66"/>
        <v>13.1229</v>
      </c>
      <c r="M611">
        <f t="shared" si="67"/>
        <v>13122.9</v>
      </c>
      <c r="N611">
        <f t="shared" si="68"/>
        <v>12.43810902159</v>
      </c>
      <c r="O611">
        <f t="shared" si="69"/>
        <v>0.43506126449715171</v>
      </c>
    </row>
    <row r="612" spans="6:15" x14ac:dyDescent="0.45">
      <c r="F612">
        <v>610</v>
      </c>
      <c r="G612">
        <v>0</v>
      </c>
      <c r="H612">
        <f t="shared" si="64"/>
        <v>0</v>
      </c>
      <c r="I612">
        <f t="shared" si="63"/>
        <v>0</v>
      </c>
      <c r="J612">
        <v>0.24</v>
      </c>
      <c r="K612">
        <f t="shared" si="65"/>
        <v>0.24</v>
      </c>
      <c r="L612">
        <f t="shared" si="66"/>
        <v>11.9979</v>
      </c>
      <c r="M612">
        <f t="shared" si="67"/>
        <v>11997.9</v>
      </c>
      <c r="N612">
        <f t="shared" si="68"/>
        <v>11.371814784090001</v>
      </c>
      <c r="O612">
        <f t="shared" si="69"/>
        <v>0.39776433145953838</v>
      </c>
    </row>
    <row r="613" spans="6:15" x14ac:dyDescent="0.45">
      <c r="F613">
        <v>611</v>
      </c>
      <c r="G613">
        <v>0</v>
      </c>
      <c r="H613">
        <f t="shared" si="64"/>
        <v>0</v>
      </c>
      <c r="I613">
        <f t="shared" si="63"/>
        <v>0</v>
      </c>
      <c r="J613">
        <v>0.38</v>
      </c>
      <c r="K613">
        <f t="shared" si="65"/>
        <v>0.38</v>
      </c>
      <c r="L613">
        <f t="shared" si="66"/>
        <v>12.347899999999999</v>
      </c>
      <c r="M613">
        <f t="shared" si="67"/>
        <v>12347.9</v>
      </c>
      <c r="N613">
        <f t="shared" si="68"/>
        <v>11.70355076909</v>
      </c>
      <c r="O613">
        <f t="shared" si="69"/>
        <v>0.40936782173790698</v>
      </c>
    </row>
    <row r="614" spans="6:15" x14ac:dyDescent="0.45">
      <c r="F614">
        <v>612</v>
      </c>
      <c r="G614">
        <v>0</v>
      </c>
      <c r="H614">
        <f t="shared" si="64"/>
        <v>0</v>
      </c>
      <c r="I614">
        <f t="shared" si="63"/>
        <v>0</v>
      </c>
      <c r="J614">
        <v>0.27</v>
      </c>
      <c r="K614">
        <f t="shared" si="65"/>
        <v>0.27</v>
      </c>
      <c r="L614">
        <f t="shared" si="66"/>
        <v>12.072900000000001</v>
      </c>
      <c r="M614">
        <f t="shared" si="67"/>
        <v>12072.900000000001</v>
      </c>
      <c r="N614">
        <f t="shared" si="68"/>
        <v>11.442901066590002</v>
      </c>
      <c r="O614">
        <f t="shared" si="69"/>
        <v>0.40025079366204602</v>
      </c>
    </row>
    <row r="615" spans="6:15" x14ac:dyDescent="0.45">
      <c r="F615">
        <v>613</v>
      </c>
      <c r="G615">
        <v>0</v>
      </c>
      <c r="H615">
        <f t="shared" si="64"/>
        <v>0</v>
      </c>
      <c r="I615">
        <f t="shared" si="63"/>
        <v>0</v>
      </c>
      <c r="J615">
        <v>0.33</v>
      </c>
      <c r="K615">
        <f t="shared" si="65"/>
        <v>0.33</v>
      </c>
      <c r="L615">
        <f t="shared" si="66"/>
        <v>12.222899999999999</v>
      </c>
      <c r="M615">
        <f t="shared" si="67"/>
        <v>12222.9</v>
      </c>
      <c r="N615">
        <f t="shared" si="68"/>
        <v>11.585073631589999</v>
      </c>
      <c r="O615">
        <f t="shared" si="69"/>
        <v>0.40522371806706103</v>
      </c>
    </row>
    <row r="616" spans="6:15" x14ac:dyDescent="0.45">
      <c r="F616">
        <v>614</v>
      </c>
      <c r="G616">
        <v>0</v>
      </c>
      <c r="H616">
        <f t="shared" si="64"/>
        <v>0</v>
      </c>
      <c r="I616">
        <f t="shared" si="63"/>
        <v>0</v>
      </c>
      <c r="J616">
        <v>0.17</v>
      </c>
      <c r="K616">
        <f t="shared" si="65"/>
        <v>0.17</v>
      </c>
      <c r="L616">
        <f t="shared" si="66"/>
        <v>11.822900000000001</v>
      </c>
      <c r="M616">
        <f t="shared" si="67"/>
        <v>11822.900000000001</v>
      </c>
      <c r="N616">
        <f t="shared" si="68"/>
        <v>11.205946791590002</v>
      </c>
      <c r="O616">
        <f t="shared" si="69"/>
        <v>0.39196258632035419</v>
      </c>
    </row>
    <row r="617" spans="6:15" x14ac:dyDescent="0.45">
      <c r="F617">
        <v>615</v>
      </c>
      <c r="G617">
        <v>0</v>
      </c>
      <c r="H617">
        <f t="shared" si="64"/>
        <v>0</v>
      </c>
      <c r="I617">
        <f t="shared" si="63"/>
        <v>0</v>
      </c>
      <c r="J617">
        <v>0.32</v>
      </c>
      <c r="K617">
        <f t="shared" si="65"/>
        <v>0.32</v>
      </c>
      <c r="L617">
        <f t="shared" si="66"/>
        <v>12.197900000000001</v>
      </c>
      <c r="M617">
        <f t="shared" si="67"/>
        <v>12197.900000000001</v>
      </c>
      <c r="N617">
        <f t="shared" si="68"/>
        <v>11.561378204090001</v>
      </c>
      <c r="O617">
        <f t="shared" si="69"/>
        <v>0.40439489733289197</v>
      </c>
    </row>
    <row r="618" spans="6:15" x14ac:dyDescent="0.45">
      <c r="F618">
        <v>616</v>
      </c>
      <c r="G618">
        <v>0</v>
      </c>
      <c r="H618">
        <f t="shared" si="64"/>
        <v>0</v>
      </c>
      <c r="I618">
        <f t="shared" si="63"/>
        <v>0</v>
      </c>
      <c r="J618">
        <v>0.4</v>
      </c>
      <c r="K618">
        <f t="shared" si="65"/>
        <v>0.4</v>
      </c>
      <c r="L618">
        <f t="shared" si="66"/>
        <v>12.3979</v>
      </c>
      <c r="M618">
        <f t="shared" si="67"/>
        <v>12397.9</v>
      </c>
      <c r="N618">
        <f t="shared" si="68"/>
        <v>11.75094162409</v>
      </c>
      <c r="O618">
        <f t="shared" si="69"/>
        <v>0.41102546320624539</v>
      </c>
    </row>
    <row r="619" spans="6:15" x14ac:dyDescent="0.45">
      <c r="F619">
        <v>617</v>
      </c>
      <c r="G619">
        <v>0</v>
      </c>
      <c r="H619">
        <f t="shared" si="64"/>
        <v>0</v>
      </c>
      <c r="I619">
        <f t="shared" si="63"/>
        <v>0</v>
      </c>
      <c r="J619">
        <v>0.44</v>
      </c>
      <c r="K619">
        <f t="shared" si="65"/>
        <v>0.44</v>
      </c>
      <c r="L619">
        <f t="shared" si="66"/>
        <v>12.4979</v>
      </c>
      <c r="M619">
        <f t="shared" si="67"/>
        <v>12497.9</v>
      </c>
      <c r="N619">
        <f t="shared" si="68"/>
        <v>11.84572333409</v>
      </c>
      <c r="O619">
        <f t="shared" si="69"/>
        <v>0.4143407461429221</v>
      </c>
    </row>
    <row r="620" spans="6:15" x14ac:dyDescent="0.45">
      <c r="F620">
        <v>618</v>
      </c>
      <c r="G620">
        <v>0</v>
      </c>
      <c r="H620">
        <f t="shared" si="64"/>
        <v>0</v>
      </c>
      <c r="I620">
        <f t="shared" si="63"/>
        <v>0</v>
      </c>
      <c r="J620">
        <v>0.47</v>
      </c>
      <c r="K620">
        <f t="shared" si="65"/>
        <v>0.47</v>
      </c>
      <c r="L620">
        <f t="shared" si="66"/>
        <v>12.572900000000001</v>
      </c>
      <c r="M620">
        <f t="shared" si="67"/>
        <v>12572.900000000001</v>
      </c>
      <c r="N620">
        <f t="shared" si="68"/>
        <v>11.916809616590001</v>
      </c>
      <c r="O620">
        <f t="shared" si="69"/>
        <v>0.41682720834542969</v>
      </c>
    </row>
    <row r="621" spans="6:15" x14ac:dyDescent="0.45">
      <c r="F621">
        <v>619</v>
      </c>
      <c r="G621">
        <v>0</v>
      </c>
      <c r="H621">
        <f t="shared" si="64"/>
        <v>0</v>
      </c>
      <c r="I621">
        <f t="shared" si="63"/>
        <v>0</v>
      </c>
      <c r="J621">
        <v>0.68</v>
      </c>
      <c r="K621">
        <f t="shared" si="65"/>
        <v>0.68</v>
      </c>
      <c r="L621">
        <f t="shared" si="66"/>
        <v>13.097899999999999</v>
      </c>
      <c r="M621">
        <f t="shared" si="67"/>
        <v>13097.9</v>
      </c>
      <c r="N621">
        <f t="shared" si="68"/>
        <v>12.41441359409</v>
      </c>
      <c r="O621">
        <f t="shared" si="69"/>
        <v>0.43423244376298253</v>
      </c>
    </row>
    <row r="622" spans="6:15" x14ac:dyDescent="0.45">
      <c r="F622">
        <v>620</v>
      </c>
      <c r="G622">
        <v>0.5</v>
      </c>
      <c r="H622">
        <f t="shared" si="64"/>
        <v>0.5</v>
      </c>
      <c r="I622">
        <f t="shared" si="63"/>
        <v>1.3888888888888889E-4</v>
      </c>
      <c r="J622">
        <v>0.28999999999999998</v>
      </c>
      <c r="K622">
        <f t="shared" si="65"/>
        <v>0.28999999999999998</v>
      </c>
      <c r="L622">
        <f t="shared" si="66"/>
        <v>12.1229</v>
      </c>
      <c r="M622">
        <f t="shared" si="67"/>
        <v>12122.9</v>
      </c>
      <c r="N622">
        <f t="shared" si="68"/>
        <v>11.49029192159</v>
      </c>
      <c r="O622">
        <f t="shared" si="69"/>
        <v>0.40190843513038432</v>
      </c>
    </row>
    <row r="623" spans="6:15" x14ac:dyDescent="0.45">
      <c r="F623">
        <v>621</v>
      </c>
      <c r="G623">
        <v>1.8</v>
      </c>
      <c r="H623">
        <f t="shared" si="64"/>
        <v>1.8</v>
      </c>
      <c r="I623">
        <f t="shared" si="63"/>
        <v>5.0000000000000001E-4</v>
      </c>
      <c r="J623">
        <v>1.38</v>
      </c>
      <c r="K623">
        <f t="shared" si="65"/>
        <v>1.38</v>
      </c>
      <c r="L623">
        <f t="shared" si="66"/>
        <v>14.847899999999999</v>
      </c>
      <c r="M623">
        <f t="shared" si="67"/>
        <v>14847.9</v>
      </c>
      <c r="N623">
        <f t="shared" si="68"/>
        <v>14.07309351909</v>
      </c>
      <c r="O623">
        <f t="shared" si="69"/>
        <v>0.49224989515482548</v>
      </c>
    </row>
    <row r="624" spans="6:15" x14ac:dyDescent="0.45">
      <c r="F624">
        <v>622</v>
      </c>
      <c r="G624">
        <v>4.9000000000000004</v>
      </c>
      <c r="H624">
        <f t="shared" si="64"/>
        <v>4.9000000000000004</v>
      </c>
      <c r="I624">
        <f t="shared" si="63"/>
        <v>1.3611111111111111E-3</v>
      </c>
      <c r="J624">
        <v>6.49</v>
      </c>
      <c r="K624">
        <f t="shared" si="65"/>
        <v>6.49</v>
      </c>
      <c r="L624">
        <f t="shared" si="66"/>
        <v>27.622900000000001</v>
      </c>
      <c r="M624">
        <f t="shared" si="67"/>
        <v>27622.9</v>
      </c>
      <c r="N624">
        <f t="shared" si="68"/>
        <v>26.181456971590002</v>
      </c>
      <c r="O624">
        <f t="shared" si="69"/>
        <v>0.91577729031527888</v>
      </c>
    </row>
    <row r="625" spans="6:15" x14ac:dyDescent="0.45">
      <c r="F625">
        <v>623</v>
      </c>
      <c r="G625">
        <v>8</v>
      </c>
      <c r="H625">
        <f t="shared" si="64"/>
        <v>8</v>
      </c>
      <c r="I625">
        <f t="shared" si="63"/>
        <v>2.2222222222222222E-3</v>
      </c>
      <c r="J625">
        <v>9.26</v>
      </c>
      <c r="K625">
        <f t="shared" si="65"/>
        <v>9.26</v>
      </c>
      <c r="L625">
        <f t="shared" si="66"/>
        <v>34.547899999999998</v>
      </c>
      <c r="M625">
        <f t="shared" si="67"/>
        <v>34547.9</v>
      </c>
      <c r="N625">
        <f t="shared" si="68"/>
        <v>32.745090389090002</v>
      </c>
      <c r="O625">
        <f t="shared" si="69"/>
        <v>1.145360633680143</v>
      </c>
    </row>
    <row r="626" spans="6:15" x14ac:dyDescent="0.45">
      <c r="F626">
        <v>624</v>
      </c>
      <c r="G626">
        <v>10.4</v>
      </c>
      <c r="H626">
        <f t="shared" si="64"/>
        <v>10.4</v>
      </c>
      <c r="I626">
        <f t="shared" si="63"/>
        <v>2.8888888888888892E-3</v>
      </c>
      <c r="J626">
        <v>7.71</v>
      </c>
      <c r="K626">
        <f t="shared" si="65"/>
        <v>7.71</v>
      </c>
      <c r="L626">
        <f t="shared" si="66"/>
        <v>30.672899999999998</v>
      </c>
      <c r="M626">
        <f t="shared" si="67"/>
        <v>30672.899999999998</v>
      </c>
      <c r="N626">
        <f t="shared" si="68"/>
        <v>29.07229912659</v>
      </c>
      <c r="O626">
        <f t="shared" si="69"/>
        <v>1.0168934198839192</v>
      </c>
    </row>
    <row r="627" spans="6:15" x14ac:dyDescent="0.45">
      <c r="F627">
        <v>625</v>
      </c>
      <c r="G627">
        <v>12.4</v>
      </c>
      <c r="H627">
        <f t="shared" si="64"/>
        <v>12.4</v>
      </c>
      <c r="I627">
        <f t="shared" si="63"/>
        <v>3.4444444444444444E-3</v>
      </c>
      <c r="J627">
        <v>12.79</v>
      </c>
      <c r="K627">
        <f t="shared" si="65"/>
        <v>12.79</v>
      </c>
      <c r="L627">
        <f t="shared" si="66"/>
        <v>43.372900000000001</v>
      </c>
      <c r="M627">
        <f t="shared" si="67"/>
        <v>43372.9</v>
      </c>
      <c r="N627">
        <f t="shared" si="68"/>
        <v>41.109576296589999</v>
      </c>
      <c r="O627">
        <f t="shared" si="69"/>
        <v>1.4379343528418653</v>
      </c>
    </row>
    <row r="628" spans="6:15" x14ac:dyDescent="0.45">
      <c r="F628">
        <v>626</v>
      </c>
      <c r="G628">
        <v>14.3</v>
      </c>
      <c r="H628">
        <f t="shared" si="64"/>
        <v>14.3</v>
      </c>
      <c r="I628">
        <f t="shared" si="63"/>
        <v>3.9722222222222225E-3</v>
      </c>
      <c r="J628">
        <v>13.5</v>
      </c>
      <c r="K628">
        <f t="shared" si="65"/>
        <v>13.5</v>
      </c>
      <c r="L628">
        <f t="shared" si="66"/>
        <v>45.1479</v>
      </c>
      <c r="M628">
        <f t="shared" si="67"/>
        <v>45147.9</v>
      </c>
      <c r="N628">
        <f t="shared" si="68"/>
        <v>42.791951649090002</v>
      </c>
      <c r="O628">
        <f t="shared" si="69"/>
        <v>1.4967806249678772</v>
      </c>
    </row>
    <row r="629" spans="6:15" x14ac:dyDescent="0.45">
      <c r="F629">
        <v>627</v>
      </c>
      <c r="G629">
        <v>15.5</v>
      </c>
      <c r="H629">
        <f t="shared" si="64"/>
        <v>15.5</v>
      </c>
      <c r="I629">
        <f t="shared" si="63"/>
        <v>4.3055555555555555E-3</v>
      </c>
      <c r="J629">
        <v>9.77</v>
      </c>
      <c r="K629">
        <f t="shared" si="65"/>
        <v>9.77</v>
      </c>
      <c r="L629">
        <f t="shared" si="66"/>
        <v>35.822899999999997</v>
      </c>
      <c r="M629">
        <f t="shared" si="67"/>
        <v>35822.899999999994</v>
      </c>
      <c r="N629">
        <f t="shared" si="68"/>
        <v>33.953557191589994</v>
      </c>
      <c r="O629">
        <f t="shared" si="69"/>
        <v>1.1876304911227711</v>
      </c>
    </row>
    <row r="630" spans="6:15" x14ac:dyDescent="0.45">
      <c r="F630">
        <v>628</v>
      </c>
      <c r="G630">
        <v>17.3</v>
      </c>
      <c r="H630">
        <f t="shared" si="64"/>
        <v>17.3</v>
      </c>
      <c r="I630">
        <f t="shared" si="63"/>
        <v>4.805555555555556E-3</v>
      </c>
      <c r="J630">
        <v>14.35</v>
      </c>
      <c r="K630">
        <f t="shared" si="65"/>
        <v>14.35</v>
      </c>
      <c r="L630">
        <f t="shared" si="66"/>
        <v>47.2729</v>
      </c>
      <c r="M630">
        <f t="shared" si="67"/>
        <v>47272.9</v>
      </c>
      <c r="N630">
        <f t="shared" si="68"/>
        <v>44.80606298659</v>
      </c>
      <c r="O630">
        <f t="shared" si="69"/>
        <v>1.5672303873722582</v>
      </c>
    </row>
    <row r="631" spans="6:15" x14ac:dyDescent="0.45">
      <c r="F631">
        <v>629</v>
      </c>
      <c r="G631">
        <v>19.5</v>
      </c>
      <c r="H631">
        <f t="shared" si="64"/>
        <v>19.5</v>
      </c>
      <c r="I631">
        <f t="shared" si="63"/>
        <v>5.4166666666666669E-3</v>
      </c>
      <c r="J631">
        <v>19.010000000000002</v>
      </c>
      <c r="K631">
        <f t="shared" si="65"/>
        <v>19.010000000000002</v>
      </c>
      <c r="L631">
        <f t="shared" si="66"/>
        <v>58.922900000000006</v>
      </c>
      <c r="M631">
        <f t="shared" si="67"/>
        <v>58922.900000000009</v>
      </c>
      <c r="N631">
        <f t="shared" si="68"/>
        <v>55.848132201590012</v>
      </c>
      <c r="O631">
        <f t="shared" si="69"/>
        <v>1.953460849495098</v>
      </c>
    </row>
    <row r="632" spans="6:15" x14ac:dyDescent="0.45">
      <c r="F632">
        <v>630</v>
      </c>
      <c r="G632">
        <v>20.9</v>
      </c>
      <c r="H632">
        <f t="shared" si="64"/>
        <v>20.9</v>
      </c>
      <c r="I632">
        <f t="shared" si="63"/>
        <v>5.8055555555555551E-3</v>
      </c>
      <c r="J632">
        <v>12.55</v>
      </c>
      <c r="K632">
        <f t="shared" si="65"/>
        <v>12.55</v>
      </c>
      <c r="L632">
        <f t="shared" si="66"/>
        <v>42.7729</v>
      </c>
      <c r="M632">
        <f t="shared" si="67"/>
        <v>42772.9</v>
      </c>
      <c r="N632">
        <f t="shared" si="68"/>
        <v>40.540886036590003</v>
      </c>
      <c r="O632">
        <f t="shared" si="69"/>
        <v>1.4180426552218046</v>
      </c>
    </row>
    <row r="633" spans="6:15" x14ac:dyDescent="0.45">
      <c r="F633">
        <v>631</v>
      </c>
      <c r="G633">
        <v>22.5</v>
      </c>
      <c r="H633">
        <f t="shared" si="64"/>
        <v>22.5</v>
      </c>
      <c r="I633">
        <f t="shared" si="63"/>
        <v>6.2500000000000003E-3</v>
      </c>
      <c r="J633">
        <v>16.5</v>
      </c>
      <c r="K633">
        <f t="shared" si="65"/>
        <v>16.5</v>
      </c>
      <c r="L633">
        <f t="shared" si="66"/>
        <v>52.6479</v>
      </c>
      <c r="M633">
        <f t="shared" si="67"/>
        <v>52647.9</v>
      </c>
      <c r="N633">
        <f t="shared" si="68"/>
        <v>49.900579899090005</v>
      </c>
      <c r="O633">
        <f t="shared" si="69"/>
        <v>1.7454268452186328</v>
      </c>
    </row>
    <row r="634" spans="6:15" x14ac:dyDescent="0.45">
      <c r="F634">
        <v>632</v>
      </c>
      <c r="G634">
        <v>23.7</v>
      </c>
      <c r="H634">
        <f t="shared" si="64"/>
        <v>23.7</v>
      </c>
      <c r="I634">
        <f t="shared" si="63"/>
        <v>6.5833333333333334E-3</v>
      </c>
      <c r="J634">
        <v>13.54</v>
      </c>
      <c r="K634">
        <f t="shared" si="65"/>
        <v>13.54</v>
      </c>
      <c r="L634">
        <f t="shared" si="66"/>
        <v>45.247899999999994</v>
      </c>
      <c r="M634">
        <f t="shared" si="67"/>
        <v>45247.899999999994</v>
      </c>
      <c r="N634">
        <f t="shared" si="68"/>
        <v>42.886733359089995</v>
      </c>
      <c r="O634">
        <f t="shared" si="69"/>
        <v>1.5000959079045539</v>
      </c>
    </row>
    <row r="635" spans="6:15" x14ac:dyDescent="0.45">
      <c r="F635">
        <v>633</v>
      </c>
      <c r="G635">
        <v>24.4</v>
      </c>
      <c r="H635">
        <f t="shared" si="64"/>
        <v>24.4</v>
      </c>
      <c r="I635">
        <f t="shared" si="63"/>
        <v>6.7777777777777775E-3</v>
      </c>
      <c r="J635">
        <v>8.69</v>
      </c>
      <c r="K635">
        <f t="shared" si="65"/>
        <v>8.69</v>
      </c>
      <c r="L635">
        <f t="shared" si="66"/>
        <v>33.122900000000001</v>
      </c>
      <c r="M635">
        <f t="shared" si="67"/>
        <v>33122.9</v>
      </c>
      <c r="N635">
        <f t="shared" si="68"/>
        <v>31.394451021590001</v>
      </c>
      <c r="O635">
        <f t="shared" si="69"/>
        <v>1.0981178518324994</v>
      </c>
    </row>
    <row r="636" spans="6:15" x14ac:dyDescent="0.45">
      <c r="F636">
        <v>634</v>
      </c>
      <c r="G636">
        <v>25.3</v>
      </c>
      <c r="H636">
        <f t="shared" si="64"/>
        <v>25.3</v>
      </c>
      <c r="I636">
        <f t="shared" si="63"/>
        <v>7.0277777777777778E-3</v>
      </c>
      <c r="J636">
        <v>11.07</v>
      </c>
      <c r="K636">
        <f t="shared" si="65"/>
        <v>11.07</v>
      </c>
      <c r="L636">
        <f t="shared" si="66"/>
        <v>39.072900000000004</v>
      </c>
      <c r="M636">
        <f t="shared" si="67"/>
        <v>39072.9</v>
      </c>
      <c r="N636">
        <f t="shared" si="68"/>
        <v>37.033962766590001</v>
      </c>
      <c r="O636">
        <f t="shared" si="69"/>
        <v>1.2953771865647654</v>
      </c>
    </row>
    <row r="637" spans="6:15" x14ac:dyDescent="0.45">
      <c r="F637">
        <v>635</v>
      </c>
      <c r="G637">
        <v>25.8</v>
      </c>
      <c r="H637">
        <f t="shared" si="64"/>
        <v>25.8</v>
      </c>
      <c r="I637">
        <f t="shared" si="63"/>
        <v>7.1666666666666667E-3</v>
      </c>
      <c r="J637">
        <v>8.82</v>
      </c>
      <c r="K637">
        <f t="shared" si="65"/>
        <v>8.82</v>
      </c>
      <c r="L637">
        <f t="shared" si="66"/>
        <v>33.447900000000004</v>
      </c>
      <c r="M637">
        <f t="shared" si="67"/>
        <v>33447.9</v>
      </c>
      <c r="N637">
        <f t="shared" si="68"/>
        <v>31.702491579090001</v>
      </c>
      <c r="O637">
        <f t="shared" si="69"/>
        <v>1.1088925213766989</v>
      </c>
    </row>
    <row r="638" spans="6:15" x14ac:dyDescent="0.45">
      <c r="F638">
        <v>636</v>
      </c>
      <c r="G638">
        <v>26.3</v>
      </c>
      <c r="H638">
        <f t="shared" si="64"/>
        <v>26.3</v>
      </c>
      <c r="I638">
        <f t="shared" si="63"/>
        <v>7.3055555555555556E-3</v>
      </c>
      <c r="J638">
        <v>9.64</v>
      </c>
      <c r="K638">
        <f t="shared" si="65"/>
        <v>9.64</v>
      </c>
      <c r="L638">
        <f t="shared" si="66"/>
        <v>35.497900000000001</v>
      </c>
      <c r="M638">
        <f t="shared" si="67"/>
        <v>35497.9</v>
      </c>
      <c r="N638">
        <f t="shared" si="68"/>
        <v>33.645516634090001</v>
      </c>
      <c r="O638">
        <f t="shared" si="69"/>
        <v>1.176855821578572</v>
      </c>
    </row>
    <row r="639" spans="6:15" x14ac:dyDescent="0.45">
      <c r="F639">
        <v>637</v>
      </c>
      <c r="G639">
        <v>27.2</v>
      </c>
      <c r="H639">
        <f t="shared" si="64"/>
        <v>27.2</v>
      </c>
      <c r="I639">
        <f t="shared" si="63"/>
        <v>7.5555555555555549E-3</v>
      </c>
      <c r="J639">
        <v>7.73</v>
      </c>
      <c r="K639">
        <f t="shared" si="65"/>
        <v>7.73</v>
      </c>
      <c r="L639">
        <f t="shared" si="66"/>
        <v>30.722900000000003</v>
      </c>
      <c r="M639">
        <f t="shared" si="67"/>
        <v>30722.9</v>
      </c>
      <c r="N639">
        <f t="shared" si="68"/>
        <v>29.119689981590003</v>
      </c>
      <c r="O639">
        <f t="shared" si="69"/>
        <v>1.0185510613522577</v>
      </c>
    </row>
    <row r="640" spans="6:15" x14ac:dyDescent="0.45">
      <c r="F640">
        <v>638</v>
      </c>
      <c r="G640">
        <v>26.8</v>
      </c>
      <c r="H640">
        <f t="shared" si="64"/>
        <v>26.8</v>
      </c>
      <c r="I640">
        <f t="shared" si="63"/>
        <v>7.4444444444444445E-3</v>
      </c>
      <c r="J640">
        <v>-1.4</v>
      </c>
      <c r="K640">
        <f t="shared" si="65"/>
        <v>0</v>
      </c>
      <c r="L640">
        <f t="shared" si="66"/>
        <v>11.3979</v>
      </c>
      <c r="M640">
        <f t="shared" si="67"/>
        <v>11397.9</v>
      </c>
      <c r="N640">
        <f t="shared" si="68"/>
        <v>10.80312452409</v>
      </c>
      <c r="O640">
        <f t="shared" si="69"/>
        <v>0.377872633839478</v>
      </c>
    </row>
    <row r="641" spans="6:15" x14ac:dyDescent="0.45">
      <c r="F641">
        <v>639</v>
      </c>
      <c r="G641">
        <v>26.2</v>
      </c>
      <c r="H641">
        <f t="shared" si="64"/>
        <v>26.2</v>
      </c>
      <c r="I641">
        <f t="shared" si="63"/>
        <v>7.277777777777778E-3</v>
      </c>
      <c r="J641">
        <v>1.27</v>
      </c>
      <c r="K641">
        <f t="shared" si="65"/>
        <v>1.27</v>
      </c>
      <c r="L641">
        <f t="shared" si="66"/>
        <v>14.572900000000001</v>
      </c>
      <c r="M641">
        <f t="shared" si="67"/>
        <v>14572.900000000001</v>
      </c>
      <c r="N641">
        <f t="shared" si="68"/>
        <v>13.812443816590001</v>
      </c>
      <c r="O641">
        <f t="shared" si="69"/>
        <v>0.48313286707896447</v>
      </c>
    </row>
    <row r="642" spans="6:15" x14ac:dyDescent="0.45">
      <c r="F642">
        <v>640</v>
      </c>
      <c r="G642">
        <v>26.4</v>
      </c>
      <c r="H642">
        <f t="shared" si="64"/>
        <v>26.4</v>
      </c>
      <c r="I642">
        <f t="shared" ref="I642:I705" si="70">H642*(1/3600)</f>
        <v>7.3333333333333332E-3</v>
      </c>
      <c r="J642">
        <v>3.94</v>
      </c>
      <c r="K642">
        <f t="shared" si="65"/>
        <v>3.94</v>
      </c>
      <c r="L642">
        <f t="shared" si="66"/>
        <v>21.247900000000001</v>
      </c>
      <c r="M642">
        <f t="shared" si="67"/>
        <v>21247.9</v>
      </c>
      <c r="N642">
        <f t="shared" si="68"/>
        <v>20.139122959090002</v>
      </c>
      <c r="O642">
        <f t="shared" si="69"/>
        <v>0.70442800310213671</v>
      </c>
    </row>
    <row r="643" spans="6:15" x14ac:dyDescent="0.45">
      <c r="F643">
        <v>641</v>
      </c>
      <c r="G643">
        <v>26.5</v>
      </c>
      <c r="H643">
        <f t="shared" ref="H643:H706" si="71">IF(G643&lt;0,0,G643)</f>
        <v>26.5</v>
      </c>
      <c r="I643">
        <f t="shared" si="70"/>
        <v>7.3611111111111108E-3</v>
      </c>
      <c r="J643">
        <v>6.39</v>
      </c>
      <c r="K643">
        <f t="shared" ref="K643:K706" si="72">IF(J643&lt;0,0,J643)</f>
        <v>6.39</v>
      </c>
      <c r="L643">
        <f t="shared" ref="L643:L706" si="73">(1/$B$5)*K643+((3.4798*$B$6)+0.9585)</f>
        <v>27.372900000000001</v>
      </c>
      <c r="M643">
        <f t="shared" ref="M643:M706" si="74">L643*1000</f>
        <v>27372.9</v>
      </c>
      <c r="N643">
        <f t="shared" ref="N643:N706" si="75">M643*0.0009478171</f>
        <v>25.944502696590003</v>
      </c>
      <c r="O643">
        <f t="shared" ref="O643:O706" si="76">(M643*453.59237)/(18489*0.74*1000)</f>
        <v>0.90748908297358699</v>
      </c>
    </row>
    <row r="644" spans="6:15" x14ac:dyDescent="0.45">
      <c r="F644">
        <v>642</v>
      </c>
      <c r="G644">
        <v>26.5</v>
      </c>
      <c r="H644">
        <f t="shared" si="71"/>
        <v>26.5</v>
      </c>
      <c r="I644">
        <f t="shared" si="70"/>
        <v>7.3611111111111108E-3</v>
      </c>
      <c r="J644">
        <v>0.47</v>
      </c>
      <c r="K644">
        <f t="shared" si="72"/>
        <v>0.47</v>
      </c>
      <c r="L644">
        <f t="shared" si="73"/>
        <v>12.572900000000001</v>
      </c>
      <c r="M644">
        <f t="shared" si="74"/>
        <v>12572.900000000001</v>
      </c>
      <c r="N644">
        <f t="shared" si="75"/>
        <v>11.916809616590001</v>
      </c>
      <c r="O644">
        <f t="shared" si="76"/>
        <v>0.41682720834542969</v>
      </c>
    </row>
    <row r="645" spans="6:15" x14ac:dyDescent="0.45">
      <c r="F645">
        <v>643</v>
      </c>
      <c r="G645">
        <v>25.9</v>
      </c>
      <c r="H645">
        <f t="shared" si="71"/>
        <v>25.9</v>
      </c>
      <c r="I645">
        <f t="shared" si="70"/>
        <v>7.1944444444444443E-3</v>
      </c>
      <c r="J645">
        <v>-1.44</v>
      </c>
      <c r="K645">
        <f t="shared" si="72"/>
        <v>0</v>
      </c>
      <c r="L645">
        <f t="shared" si="73"/>
        <v>11.3979</v>
      </c>
      <c r="M645">
        <f t="shared" si="74"/>
        <v>11397.9</v>
      </c>
      <c r="N645">
        <f t="shared" si="75"/>
        <v>10.80312452409</v>
      </c>
      <c r="O645">
        <f t="shared" si="76"/>
        <v>0.377872633839478</v>
      </c>
    </row>
    <row r="646" spans="6:15" x14ac:dyDescent="0.45">
      <c r="F646">
        <v>644</v>
      </c>
      <c r="G646">
        <v>25.2</v>
      </c>
      <c r="H646">
        <f t="shared" si="71"/>
        <v>25.2</v>
      </c>
      <c r="I646">
        <f t="shared" si="70"/>
        <v>7.0000000000000001E-3</v>
      </c>
      <c r="J646">
        <v>-1.57</v>
      </c>
      <c r="K646">
        <f t="shared" si="72"/>
        <v>0</v>
      </c>
      <c r="L646">
        <f t="shared" si="73"/>
        <v>11.3979</v>
      </c>
      <c r="M646">
        <f t="shared" si="74"/>
        <v>11397.9</v>
      </c>
      <c r="N646">
        <f t="shared" si="75"/>
        <v>10.80312452409</v>
      </c>
      <c r="O646">
        <f t="shared" si="76"/>
        <v>0.377872633839478</v>
      </c>
    </row>
    <row r="647" spans="6:15" x14ac:dyDescent="0.45">
      <c r="F647">
        <v>645</v>
      </c>
      <c r="G647">
        <v>23.3</v>
      </c>
      <c r="H647">
        <f t="shared" si="71"/>
        <v>23.3</v>
      </c>
      <c r="I647">
        <f t="shared" si="70"/>
        <v>6.4722222222222221E-3</v>
      </c>
      <c r="J647">
        <v>-1.23</v>
      </c>
      <c r="K647">
        <f t="shared" si="72"/>
        <v>0</v>
      </c>
      <c r="L647">
        <f t="shared" si="73"/>
        <v>11.3979</v>
      </c>
      <c r="M647">
        <f t="shared" si="74"/>
        <v>11397.9</v>
      </c>
      <c r="N647">
        <f t="shared" si="75"/>
        <v>10.80312452409</v>
      </c>
      <c r="O647">
        <f t="shared" si="76"/>
        <v>0.377872633839478</v>
      </c>
    </row>
    <row r="648" spans="6:15" x14ac:dyDescent="0.45">
      <c r="F648">
        <v>646</v>
      </c>
      <c r="G648">
        <v>20.8</v>
      </c>
      <c r="H648">
        <f t="shared" si="71"/>
        <v>20.8</v>
      </c>
      <c r="I648">
        <f t="shared" si="70"/>
        <v>5.7777777777777784E-3</v>
      </c>
      <c r="J648">
        <v>-1.25</v>
      </c>
      <c r="K648">
        <f t="shared" si="72"/>
        <v>0</v>
      </c>
      <c r="L648">
        <f t="shared" si="73"/>
        <v>11.3979</v>
      </c>
      <c r="M648">
        <f t="shared" si="74"/>
        <v>11397.9</v>
      </c>
      <c r="N648">
        <f t="shared" si="75"/>
        <v>10.80312452409</v>
      </c>
      <c r="O648">
        <f t="shared" si="76"/>
        <v>0.377872633839478</v>
      </c>
    </row>
    <row r="649" spans="6:15" x14ac:dyDescent="0.45">
      <c r="F649">
        <v>647</v>
      </c>
      <c r="G649">
        <v>18.100000000000001</v>
      </c>
      <c r="H649">
        <f t="shared" si="71"/>
        <v>18.100000000000001</v>
      </c>
      <c r="I649">
        <f t="shared" si="70"/>
        <v>5.0277777777777786E-3</v>
      </c>
      <c r="J649">
        <v>-1.18</v>
      </c>
      <c r="K649">
        <f t="shared" si="72"/>
        <v>0</v>
      </c>
      <c r="L649">
        <f t="shared" si="73"/>
        <v>11.3979</v>
      </c>
      <c r="M649">
        <f t="shared" si="74"/>
        <v>11397.9</v>
      </c>
      <c r="N649">
        <f t="shared" si="75"/>
        <v>10.80312452409</v>
      </c>
      <c r="O649">
        <f t="shared" si="76"/>
        <v>0.377872633839478</v>
      </c>
    </row>
    <row r="650" spans="6:15" x14ac:dyDescent="0.45">
      <c r="F650">
        <v>648</v>
      </c>
      <c r="G650">
        <v>15.9</v>
      </c>
      <c r="H650">
        <f t="shared" si="71"/>
        <v>15.9</v>
      </c>
      <c r="I650">
        <f t="shared" si="70"/>
        <v>4.4166666666666668E-3</v>
      </c>
      <c r="J650">
        <v>-0.67</v>
      </c>
      <c r="K650">
        <f t="shared" si="72"/>
        <v>0</v>
      </c>
      <c r="L650">
        <f t="shared" si="73"/>
        <v>11.3979</v>
      </c>
      <c r="M650">
        <f t="shared" si="74"/>
        <v>11397.9</v>
      </c>
      <c r="N650">
        <f t="shared" si="75"/>
        <v>10.80312452409</v>
      </c>
      <c r="O650">
        <f t="shared" si="76"/>
        <v>0.377872633839478</v>
      </c>
    </row>
    <row r="651" spans="6:15" x14ac:dyDescent="0.45">
      <c r="F651">
        <v>649</v>
      </c>
      <c r="G651">
        <v>13.6</v>
      </c>
      <c r="H651">
        <f t="shared" si="71"/>
        <v>13.6</v>
      </c>
      <c r="I651">
        <f t="shared" si="70"/>
        <v>3.7777777777777775E-3</v>
      </c>
      <c r="J651">
        <v>-1.0900000000000001</v>
      </c>
      <c r="K651">
        <f t="shared" si="72"/>
        <v>0</v>
      </c>
      <c r="L651">
        <f t="shared" si="73"/>
        <v>11.3979</v>
      </c>
      <c r="M651">
        <f t="shared" si="74"/>
        <v>11397.9</v>
      </c>
      <c r="N651">
        <f t="shared" si="75"/>
        <v>10.80312452409</v>
      </c>
      <c r="O651">
        <f t="shared" si="76"/>
        <v>0.377872633839478</v>
      </c>
    </row>
    <row r="652" spans="6:15" x14ac:dyDescent="0.45">
      <c r="F652">
        <v>650</v>
      </c>
      <c r="G652">
        <v>11.2</v>
      </c>
      <c r="H652">
        <f t="shared" si="71"/>
        <v>11.2</v>
      </c>
      <c r="I652">
        <f t="shared" si="70"/>
        <v>3.1111111111111109E-3</v>
      </c>
      <c r="J652">
        <v>-0.69</v>
      </c>
      <c r="K652">
        <f t="shared" si="72"/>
        <v>0</v>
      </c>
      <c r="L652">
        <f t="shared" si="73"/>
        <v>11.3979</v>
      </c>
      <c r="M652">
        <f t="shared" si="74"/>
        <v>11397.9</v>
      </c>
      <c r="N652">
        <f t="shared" si="75"/>
        <v>10.80312452409</v>
      </c>
      <c r="O652">
        <f t="shared" si="76"/>
        <v>0.377872633839478</v>
      </c>
    </row>
    <row r="653" spans="6:15" x14ac:dyDescent="0.45">
      <c r="F653">
        <v>651</v>
      </c>
      <c r="G653">
        <v>8.5</v>
      </c>
      <c r="H653">
        <f t="shared" si="71"/>
        <v>8.5</v>
      </c>
      <c r="I653">
        <f t="shared" si="70"/>
        <v>2.3611111111111111E-3</v>
      </c>
      <c r="J653">
        <v>0.59</v>
      </c>
      <c r="K653">
        <f t="shared" si="72"/>
        <v>0.59</v>
      </c>
      <c r="L653">
        <f t="shared" si="73"/>
        <v>12.8729</v>
      </c>
      <c r="M653">
        <f t="shared" si="74"/>
        <v>12872.9</v>
      </c>
      <c r="N653">
        <f t="shared" si="75"/>
        <v>12.201154746589999</v>
      </c>
      <c r="O653">
        <f t="shared" si="76"/>
        <v>0.42677305715545988</v>
      </c>
    </row>
    <row r="654" spans="6:15" x14ac:dyDescent="0.45">
      <c r="F654">
        <v>652</v>
      </c>
      <c r="G654">
        <v>5.4</v>
      </c>
      <c r="H654">
        <f t="shared" si="71"/>
        <v>5.4</v>
      </c>
      <c r="I654">
        <f t="shared" si="70"/>
        <v>1.5E-3</v>
      </c>
      <c r="J654">
        <v>0.44</v>
      </c>
      <c r="K654">
        <f t="shared" si="72"/>
        <v>0.44</v>
      </c>
      <c r="L654">
        <f t="shared" si="73"/>
        <v>12.4979</v>
      </c>
      <c r="M654">
        <f t="shared" si="74"/>
        <v>12497.9</v>
      </c>
      <c r="N654">
        <f t="shared" si="75"/>
        <v>11.84572333409</v>
      </c>
      <c r="O654">
        <f t="shared" si="76"/>
        <v>0.4143407461429221</v>
      </c>
    </row>
    <row r="655" spans="6:15" x14ac:dyDescent="0.45">
      <c r="F655">
        <v>653</v>
      </c>
      <c r="G655">
        <v>2.8</v>
      </c>
      <c r="H655">
        <f t="shared" si="71"/>
        <v>2.8</v>
      </c>
      <c r="I655">
        <f t="shared" si="70"/>
        <v>7.7777777777777773E-4</v>
      </c>
      <c r="J655">
        <v>1.33</v>
      </c>
      <c r="K655">
        <f t="shared" si="72"/>
        <v>1.33</v>
      </c>
      <c r="L655">
        <f t="shared" si="73"/>
        <v>14.722899999999999</v>
      </c>
      <c r="M655">
        <f t="shared" si="74"/>
        <v>14722.9</v>
      </c>
      <c r="N655">
        <f t="shared" si="75"/>
        <v>13.95461638159</v>
      </c>
      <c r="O655">
        <f t="shared" si="76"/>
        <v>0.48810579148397948</v>
      </c>
    </row>
    <row r="656" spans="6:15" x14ac:dyDescent="0.45">
      <c r="F656">
        <v>654</v>
      </c>
      <c r="G656">
        <v>1.3</v>
      </c>
      <c r="H656">
        <f t="shared" si="71"/>
        <v>1.3</v>
      </c>
      <c r="I656">
        <f t="shared" si="70"/>
        <v>3.6111111111111115E-4</v>
      </c>
      <c r="J656">
        <v>1.1100000000000001</v>
      </c>
      <c r="K656">
        <f t="shared" si="72"/>
        <v>1.1100000000000001</v>
      </c>
      <c r="L656">
        <f t="shared" si="73"/>
        <v>14.1729</v>
      </c>
      <c r="M656">
        <f t="shared" si="74"/>
        <v>14172.9</v>
      </c>
      <c r="N656">
        <f t="shared" si="75"/>
        <v>13.43331697659</v>
      </c>
      <c r="O656">
        <f t="shared" si="76"/>
        <v>0.46987173533225746</v>
      </c>
    </row>
    <row r="657" spans="6:15" x14ac:dyDescent="0.45">
      <c r="F657">
        <v>655</v>
      </c>
      <c r="G657">
        <v>-0.1</v>
      </c>
      <c r="H657">
        <f t="shared" si="71"/>
        <v>0</v>
      </c>
      <c r="I657">
        <f t="shared" si="70"/>
        <v>0</v>
      </c>
      <c r="J657">
        <v>0.57999999999999996</v>
      </c>
      <c r="K657">
        <f t="shared" si="72"/>
        <v>0.57999999999999996</v>
      </c>
      <c r="L657">
        <f t="shared" si="73"/>
        <v>12.847899999999999</v>
      </c>
      <c r="M657">
        <f t="shared" si="74"/>
        <v>12847.9</v>
      </c>
      <c r="N657">
        <f t="shared" si="75"/>
        <v>12.17745931909</v>
      </c>
      <c r="O657">
        <f t="shared" si="76"/>
        <v>0.4259442364212907</v>
      </c>
    </row>
    <row r="658" spans="6:15" x14ac:dyDescent="0.45">
      <c r="F658">
        <v>656</v>
      </c>
      <c r="G658">
        <v>0</v>
      </c>
      <c r="H658">
        <f t="shared" si="71"/>
        <v>0</v>
      </c>
      <c r="I658">
        <f t="shared" si="70"/>
        <v>0</v>
      </c>
      <c r="J658">
        <v>1.21</v>
      </c>
      <c r="K658">
        <f t="shared" si="72"/>
        <v>1.21</v>
      </c>
      <c r="L658">
        <f t="shared" si="73"/>
        <v>14.4229</v>
      </c>
      <c r="M658">
        <f t="shared" si="74"/>
        <v>14422.9</v>
      </c>
      <c r="N658">
        <f t="shared" si="75"/>
        <v>13.67027125159</v>
      </c>
      <c r="O658">
        <f t="shared" si="76"/>
        <v>0.47815994267394929</v>
      </c>
    </row>
    <row r="659" spans="6:15" x14ac:dyDescent="0.45">
      <c r="F659">
        <v>657</v>
      </c>
      <c r="G659">
        <v>0</v>
      </c>
      <c r="H659">
        <f t="shared" si="71"/>
        <v>0</v>
      </c>
      <c r="I659">
        <f t="shared" si="70"/>
        <v>0</v>
      </c>
      <c r="J659">
        <v>0.97</v>
      </c>
      <c r="K659">
        <f t="shared" si="72"/>
        <v>0.97</v>
      </c>
      <c r="L659">
        <f t="shared" si="73"/>
        <v>13.822900000000001</v>
      </c>
      <c r="M659">
        <f t="shared" si="74"/>
        <v>13822.900000000001</v>
      </c>
      <c r="N659">
        <f t="shared" si="75"/>
        <v>13.101580991590001</v>
      </c>
      <c r="O659">
        <f t="shared" si="76"/>
        <v>0.45826824505388897</v>
      </c>
    </row>
    <row r="660" spans="6:15" x14ac:dyDescent="0.45">
      <c r="F660">
        <v>658</v>
      </c>
      <c r="G660">
        <v>0</v>
      </c>
      <c r="H660">
        <f t="shared" si="71"/>
        <v>0</v>
      </c>
      <c r="I660">
        <f t="shared" si="70"/>
        <v>0</v>
      </c>
      <c r="J660">
        <v>0.41</v>
      </c>
      <c r="K660">
        <f t="shared" si="72"/>
        <v>0.41</v>
      </c>
      <c r="L660">
        <f t="shared" si="73"/>
        <v>12.4229</v>
      </c>
      <c r="M660">
        <f t="shared" si="74"/>
        <v>12422.9</v>
      </c>
      <c r="N660">
        <f t="shared" si="75"/>
        <v>11.77463705159</v>
      </c>
      <c r="O660">
        <f t="shared" si="76"/>
        <v>0.41185428394041457</v>
      </c>
    </row>
    <row r="661" spans="6:15" x14ac:dyDescent="0.45">
      <c r="F661">
        <v>659</v>
      </c>
      <c r="G661">
        <v>0</v>
      </c>
      <c r="H661">
        <f t="shared" si="71"/>
        <v>0</v>
      </c>
      <c r="I661">
        <f t="shared" si="70"/>
        <v>0</v>
      </c>
      <c r="J661">
        <v>0.76</v>
      </c>
      <c r="K661">
        <f t="shared" si="72"/>
        <v>0.76</v>
      </c>
      <c r="L661">
        <f t="shared" si="73"/>
        <v>13.2979</v>
      </c>
      <c r="M661">
        <f t="shared" si="74"/>
        <v>13297.9</v>
      </c>
      <c r="N661">
        <f t="shared" si="75"/>
        <v>12.603977014090001</v>
      </c>
      <c r="O661">
        <f t="shared" si="76"/>
        <v>0.44086300963633601</v>
      </c>
    </row>
    <row r="662" spans="6:15" x14ac:dyDescent="0.45">
      <c r="F662">
        <v>660</v>
      </c>
      <c r="G662">
        <v>0</v>
      </c>
      <c r="H662">
        <f t="shared" si="71"/>
        <v>0</v>
      </c>
      <c r="I662">
        <f t="shared" si="70"/>
        <v>0</v>
      </c>
      <c r="J662">
        <v>0.86</v>
      </c>
      <c r="K662">
        <f t="shared" si="72"/>
        <v>0.86</v>
      </c>
      <c r="L662">
        <f t="shared" si="73"/>
        <v>13.5479</v>
      </c>
      <c r="M662">
        <f t="shared" si="74"/>
        <v>13547.9</v>
      </c>
      <c r="N662">
        <f t="shared" si="75"/>
        <v>12.840931289089999</v>
      </c>
      <c r="O662">
        <f t="shared" si="76"/>
        <v>0.44915121697802785</v>
      </c>
    </row>
    <row r="663" spans="6:15" x14ac:dyDescent="0.45">
      <c r="F663">
        <v>661</v>
      </c>
      <c r="G663">
        <v>0</v>
      </c>
      <c r="H663">
        <f t="shared" si="71"/>
        <v>0</v>
      </c>
      <c r="I663">
        <f t="shared" si="70"/>
        <v>0</v>
      </c>
      <c r="J663">
        <v>0.54</v>
      </c>
      <c r="K663">
        <f t="shared" si="72"/>
        <v>0.54</v>
      </c>
      <c r="L663">
        <f t="shared" si="73"/>
        <v>12.7479</v>
      </c>
      <c r="M663">
        <f t="shared" si="74"/>
        <v>12747.9</v>
      </c>
      <c r="N663">
        <f t="shared" si="75"/>
        <v>12.08267760909</v>
      </c>
      <c r="O663">
        <f t="shared" si="76"/>
        <v>0.42262895348461399</v>
      </c>
    </row>
    <row r="664" spans="6:15" x14ac:dyDescent="0.45">
      <c r="F664">
        <v>662</v>
      </c>
      <c r="G664">
        <v>0</v>
      </c>
      <c r="H664">
        <f t="shared" si="71"/>
        <v>0</v>
      </c>
      <c r="I664">
        <f t="shared" si="70"/>
        <v>0</v>
      </c>
      <c r="J664">
        <v>0.48</v>
      </c>
      <c r="K664">
        <f t="shared" si="72"/>
        <v>0.48</v>
      </c>
      <c r="L664">
        <f t="shared" si="73"/>
        <v>12.597899999999999</v>
      </c>
      <c r="M664">
        <f t="shared" si="74"/>
        <v>12597.9</v>
      </c>
      <c r="N664">
        <f t="shared" si="75"/>
        <v>11.940505044090001</v>
      </c>
      <c r="O664">
        <f t="shared" si="76"/>
        <v>0.41765602907959881</v>
      </c>
    </row>
    <row r="665" spans="6:15" x14ac:dyDescent="0.45">
      <c r="F665">
        <v>663</v>
      </c>
      <c r="G665">
        <v>0</v>
      </c>
      <c r="H665">
        <f t="shared" si="71"/>
        <v>0</v>
      </c>
      <c r="I665">
        <f t="shared" si="70"/>
        <v>0</v>
      </c>
      <c r="J665">
        <v>0.28999999999999998</v>
      </c>
      <c r="K665">
        <f t="shared" si="72"/>
        <v>0.28999999999999998</v>
      </c>
      <c r="L665">
        <f t="shared" si="73"/>
        <v>12.1229</v>
      </c>
      <c r="M665">
        <f t="shared" si="74"/>
        <v>12122.9</v>
      </c>
      <c r="N665">
        <f t="shared" si="75"/>
        <v>11.49029192159</v>
      </c>
      <c r="O665">
        <f t="shared" si="76"/>
        <v>0.40190843513038432</v>
      </c>
    </row>
    <row r="666" spans="6:15" x14ac:dyDescent="0.45">
      <c r="F666">
        <v>664</v>
      </c>
      <c r="G666">
        <v>0</v>
      </c>
      <c r="H666">
        <f t="shared" si="71"/>
        <v>0</v>
      </c>
      <c r="I666">
        <f t="shared" si="70"/>
        <v>0</v>
      </c>
      <c r="J666">
        <v>0.31</v>
      </c>
      <c r="K666">
        <f t="shared" si="72"/>
        <v>0.31</v>
      </c>
      <c r="L666">
        <f t="shared" si="73"/>
        <v>12.1729</v>
      </c>
      <c r="M666">
        <f t="shared" si="74"/>
        <v>12172.9</v>
      </c>
      <c r="N666">
        <f t="shared" si="75"/>
        <v>11.53768277659</v>
      </c>
      <c r="O666">
        <f t="shared" si="76"/>
        <v>0.40356607659872268</v>
      </c>
    </row>
    <row r="667" spans="6:15" x14ac:dyDescent="0.45">
      <c r="F667">
        <v>665</v>
      </c>
      <c r="G667">
        <v>0</v>
      </c>
      <c r="H667">
        <f t="shared" si="71"/>
        <v>0</v>
      </c>
      <c r="I667">
        <f t="shared" si="70"/>
        <v>0</v>
      </c>
      <c r="J667">
        <v>0.23</v>
      </c>
      <c r="K667">
        <f t="shared" si="72"/>
        <v>0.23</v>
      </c>
      <c r="L667">
        <f t="shared" si="73"/>
        <v>11.972899999999999</v>
      </c>
      <c r="M667">
        <f t="shared" si="74"/>
        <v>11972.9</v>
      </c>
      <c r="N667">
        <f t="shared" si="75"/>
        <v>11.348119356590001</v>
      </c>
      <c r="O667">
        <f t="shared" si="76"/>
        <v>0.3969355107253692</v>
      </c>
    </row>
    <row r="668" spans="6:15" x14ac:dyDescent="0.45">
      <c r="F668">
        <v>666</v>
      </c>
      <c r="G668">
        <v>0</v>
      </c>
      <c r="H668">
        <f t="shared" si="71"/>
        <v>0</v>
      </c>
      <c r="I668">
        <f t="shared" si="70"/>
        <v>0</v>
      </c>
      <c r="J668">
        <v>0.43</v>
      </c>
      <c r="K668">
        <f t="shared" si="72"/>
        <v>0.43</v>
      </c>
      <c r="L668">
        <f t="shared" si="73"/>
        <v>12.472899999999999</v>
      </c>
      <c r="M668">
        <f t="shared" si="74"/>
        <v>12472.9</v>
      </c>
      <c r="N668">
        <f t="shared" si="75"/>
        <v>11.82202790659</v>
      </c>
      <c r="O668">
        <f t="shared" si="76"/>
        <v>0.41351192540875292</v>
      </c>
    </row>
    <row r="669" spans="6:15" x14ac:dyDescent="0.45">
      <c r="F669">
        <v>667</v>
      </c>
      <c r="G669">
        <v>0</v>
      </c>
      <c r="H669">
        <f t="shared" si="71"/>
        <v>0</v>
      </c>
      <c r="I669">
        <f t="shared" si="70"/>
        <v>0</v>
      </c>
      <c r="J669">
        <v>0.51</v>
      </c>
      <c r="K669">
        <f t="shared" si="72"/>
        <v>0.51</v>
      </c>
      <c r="L669">
        <f t="shared" si="73"/>
        <v>12.6729</v>
      </c>
      <c r="M669">
        <f t="shared" si="74"/>
        <v>12672.9</v>
      </c>
      <c r="N669">
        <f t="shared" si="75"/>
        <v>12.011591326590001</v>
      </c>
      <c r="O669">
        <f t="shared" si="76"/>
        <v>0.42014249128210635</v>
      </c>
    </row>
    <row r="670" spans="6:15" x14ac:dyDescent="0.45">
      <c r="F670">
        <v>668</v>
      </c>
      <c r="G670">
        <v>0.4</v>
      </c>
      <c r="H670">
        <f t="shared" si="71"/>
        <v>0.4</v>
      </c>
      <c r="I670">
        <f t="shared" si="70"/>
        <v>1.1111111111111112E-4</v>
      </c>
      <c r="J670">
        <v>0.28999999999999998</v>
      </c>
      <c r="K670">
        <f t="shared" si="72"/>
        <v>0.28999999999999998</v>
      </c>
      <c r="L670">
        <f t="shared" si="73"/>
        <v>12.1229</v>
      </c>
      <c r="M670">
        <f t="shared" si="74"/>
        <v>12122.9</v>
      </c>
      <c r="N670">
        <f t="shared" si="75"/>
        <v>11.49029192159</v>
      </c>
      <c r="O670">
        <f t="shared" si="76"/>
        <v>0.40190843513038432</v>
      </c>
    </row>
    <row r="671" spans="6:15" x14ac:dyDescent="0.45">
      <c r="F671">
        <v>669</v>
      </c>
      <c r="G671">
        <v>1.5</v>
      </c>
      <c r="H671">
        <f t="shared" si="71"/>
        <v>1.5</v>
      </c>
      <c r="I671">
        <f t="shared" si="70"/>
        <v>4.1666666666666664E-4</v>
      </c>
      <c r="J671">
        <v>0.56000000000000005</v>
      </c>
      <c r="K671">
        <f t="shared" si="72"/>
        <v>0.56000000000000005</v>
      </c>
      <c r="L671">
        <f t="shared" si="73"/>
        <v>12.7979</v>
      </c>
      <c r="M671">
        <f t="shared" si="74"/>
        <v>12797.9</v>
      </c>
      <c r="N671">
        <f t="shared" si="75"/>
        <v>12.13006846409</v>
      </c>
      <c r="O671">
        <f t="shared" si="76"/>
        <v>0.42428659495295235</v>
      </c>
    </row>
    <row r="672" spans="6:15" x14ac:dyDescent="0.45">
      <c r="F672">
        <v>670</v>
      </c>
      <c r="G672">
        <v>3.6</v>
      </c>
      <c r="H672">
        <f t="shared" si="71"/>
        <v>3.6</v>
      </c>
      <c r="I672">
        <f t="shared" si="70"/>
        <v>1E-3</v>
      </c>
      <c r="J672">
        <v>3.53</v>
      </c>
      <c r="K672">
        <f t="shared" si="72"/>
        <v>3.53</v>
      </c>
      <c r="L672">
        <f t="shared" si="73"/>
        <v>20.222899999999999</v>
      </c>
      <c r="M672">
        <f t="shared" si="74"/>
        <v>20222.899999999998</v>
      </c>
      <c r="N672">
        <f t="shared" si="75"/>
        <v>19.167610431589999</v>
      </c>
      <c r="O672">
        <f t="shared" si="76"/>
        <v>0.67044635300120003</v>
      </c>
    </row>
    <row r="673" spans="6:15" x14ac:dyDescent="0.45">
      <c r="F673">
        <v>671</v>
      </c>
      <c r="G673">
        <v>5.4</v>
      </c>
      <c r="H673">
        <f t="shared" si="71"/>
        <v>5.4</v>
      </c>
      <c r="I673">
        <f t="shared" si="70"/>
        <v>1.5E-3</v>
      </c>
      <c r="J673">
        <v>4.43</v>
      </c>
      <c r="K673">
        <f t="shared" si="72"/>
        <v>4.43</v>
      </c>
      <c r="L673">
        <f t="shared" si="73"/>
        <v>22.472899999999999</v>
      </c>
      <c r="M673">
        <f t="shared" si="74"/>
        <v>22472.899999999998</v>
      </c>
      <c r="N673">
        <f t="shared" si="75"/>
        <v>21.300198906589998</v>
      </c>
      <c r="O673">
        <f t="shared" si="76"/>
        <v>0.74504021907642659</v>
      </c>
    </row>
    <row r="674" spans="6:15" x14ac:dyDescent="0.45">
      <c r="F674">
        <v>672</v>
      </c>
      <c r="G674">
        <v>7</v>
      </c>
      <c r="H674">
        <f t="shared" si="71"/>
        <v>7</v>
      </c>
      <c r="I674">
        <f t="shared" si="70"/>
        <v>1.9444444444444444E-3</v>
      </c>
      <c r="J674">
        <v>6.43</v>
      </c>
      <c r="K674">
        <f t="shared" si="72"/>
        <v>6.43</v>
      </c>
      <c r="L674">
        <f t="shared" si="73"/>
        <v>27.472899999999999</v>
      </c>
      <c r="M674">
        <f t="shared" si="74"/>
        <v>27472.899999999998</v>
      </c>
      <c r="N674">
        <f t="shared" si="75"/>
        <v>26.039284406589999</v>
      </c>
      <c r="O674">
        <f t="shared" si="76"/>
        <v>0.9108043659102637</v>
      </c>
    </row>
    <row r="675" spans="6:15" x14ac:dyDescent="0.45">
      <c r="F675">
        <v>673</v>
      </c>
      <c r="G675">
        <v>9.3000000000000007</v>
      </c>
      <c r="H675">
        <f t="shared" si="71"/>
        <v>9.3000000000000007</v>
      </c>
      <c r="I675">
        <f t="shared" si="70"/>
        <v>2.5833333333333333E-3</v>
      </c>
      <c r="J675">
        <v>11.87</v>
      </c>
      <c r="K675">
        <f t="shared" si="72"/>
        <v>11.87</v>
      </c>
      <c r="L675">
        <f t="shared" si="73"/>
        <v>41.072899999999997</v>
      </c>
      <c r="M675">
        <f t="shared" si="74"/>
        <v>41072.899999999994</v>
      </c>
      <c r="N675">
        <f t="shared" si="75"/>
        <v>38.929596966589997</v>
      </c>
      <c r="O675">
        <f t="shared" si="76"/>
        <v>1.3616828452982999</v>
      </c>
    </row>
    <row r="676" spans="6:15" x14ac:dyDescent="0.45">
      <c r="F676">
        <v>674</v>
      </c>
      <c r="G676">
        <v>11.6</v>
      </c>
      <c r="H676">
        <f t="shared" si="71"/>
        <v>11.6</v>
      </c>
      <c r="I676">
        <f t="shared" si="70"/>
        <v>3.2222222222222222E-3</v>
      </c>
      <c r="J676">
        <v>10.06</v>
      </c>
      <c r="K676">
        <f t="shared" si="72"/>
        <v>10.06</v>
      </c>
      <c r="L676">
        <f t="shared" si="73"/>
        <v>36.547899999999998</v>
      </c>
      <c r="M676">
        <f t="shared" si="74"/>
        <v>36547.9</v>
      </c>
      <c r="N676">
        <f t="shared" si="75"/>
        <v>34.640724589090006</v>
      </c>
      <c r="O676">
        <f t="shared" si="76"/>
        <v>1.2116662924136776</v>
      </c>
    </row>
    <row r="677" spans="6:15" x14ac:dyDescent="0.45">
      <c r="F677">
        <v>675</v>
      </c>
      <c r="G677">
        <v>13.8</v>
      </c>
      <c r="H677">
        <f t="shared" si="71"/>
        <v>13.8</v>
      </c>
      <c r="I677">
        <f t="shared" si="70"/>
        <v>3.8333333333333336E-3</v>
      </c>
      <c r="J677">
        <v>13.64</v>
      </c>
      <c r="K677">
        <f t="shared" si="72"/>
        <v>13.64</v>
      </c>
      <c r="L677">
        <f t="shared" si="73"/>
        <v>45.497900000000001</v>
      </c>
      <c r="M677">
        <f t="shared" si="74"/>
        <v>45497.9</v>
      </c>
      <c r="N677">
        <f t="shared" si="75"/>
        <v>43.123687634090004</v>
      </c>
      <c r="O677">
        <f t="shared" si="76"/>
        <v>1.5083841152462458</v>
      </c>
    </row>
    <row r="678" spans="6:15" x14ac:dyDescent="0.45">
      <c r="F678">
        <v>676</v>
      </c>
      <c r="G678">
        <v>14.9</v>
      </c>
      <c r="H678">
        <f t="shared" si="71"/>
        <v>14.9</v>
      </c>
      <c r="I678">
        <f t="shared" si="70"/>
        <v>4.138888888888889E-3</v>
      </c>
      <c r="J678">
        <v>7.98</v>
      </c>
      <c r="K678">
        <f t="shared" si="72"/>
        <v>7.98</v>
      </c>
      <c r="L678">
        <f t="shared" si="73"/>
        <v>31.347900000000003</v>
      </c>
      <c r="M678">
        <f t="shared" si="74"/>
        <v>31347.9</v>
      </c>
      <c r="N678">
        <f t="shared" si="75"/>
        <v>29.712075669090002</v>
      </c>
      <c r="O678">
        <f t="shared" si="76"/>
        <v>1.0392715797064873</v>
      </c>
    </row>
    <row r="679" spans="6:15" x14ac:dyDescent="0.45">
      <c r="F679">
        <v>677</v>
      </c>
      <c r="G679">
        <v>16.2</v>
      </c>
      <c r="H679">
        <f t="shared" si="71"/>
        <v>16.2</v>
      </c>
      <c r="I679">
        <f t="shared" si="70"/>
        <v>4.4999999999999997E-3</v>
      </c>
      <c r="J679">
        <v>16.03</v>
      </c>
      <c r="K679">
        <f t="shared" si="72"/>
        <v>16.03</v>
      </c>
      <c r="L679">
        <f t="shared" si="73"/>
        <v>51.472900000000003</v>
      </c>
      <c r="M679">
        <f t="shared" si="74"/>
        <v>51472.9</v>
      </c>
      <c r="N679">
        <f t="shared" si="75"/>
        <v>48.786894806590006</v>
      </c>
      <c r="O679">
        <f t="shared" si="76"/>
        <v>1.7064722707126811</v>
      </c>
    </row>
    <row r="680" spans="6:15" x14ac:dyDescent="0.45">
      <c r="F680">
        <v>678</v>
      </c>
      <c r="G680">
        <v>16.8</v>
      </c>
      <c r="H680">
        <f t="shared" si="71"/>
        <v>16.8</v>
      </c>
      <c r="I680">
        <f t="shared" si="70"/>
        <v>4.6666666666666671E-3</v>
      </c>
      <c r="J680">
        <v>5.33</v>
      </c>
      <c r="K680">
        <f t="shared" si="72"/>
        <v>5.33</v>
      </c>
      <c r="L680">
        <f t="shared" si="73"/>
        <v>24.722899999999999</v>
      </c>
      <c r="M680">
        <f t="shared" si="74"/>
        <v>24722.899999999998</v>
      </c>
      <c r="N680">
        <f t="shared" si="75"/>
        <v>23.43278738159</v>
      </c>
      <c r="O680">
        <f t="shared" si="76"/>
        <v>0.81963408515165337</v>
      </c>
    </row>
    <row r="681" spans="6:15" x14ac:dyDescent="0.45">
      <c r="F681">
        <v>679</v>
      </c>
      <c r="G681">
        <v>16.8</v>
      </c>
      <c r="H681">
        <f t="shared" si="71"/>
        <v>16.8</v>
      </c>
      <c r="I681">
        <f t="shared" si="70"/>
        <v>4.6666666666666671E-3</v>
      </c>
      <c r="J681">
        <v>1.23</v>
      </c>
      <c r="K681">
        <f t="shared" si="72"/>
        <v>1.23</v>
      </c>
      <c r="L681">
        <f t="shared" si="73"/>
        <v>14.472899999999999</v>
      </c>
      <c r="M681">
        <f t="shared" si="74"/>
        <v>14472.9</v>
      </c>
      <c r="N681">
        <f t="shared" si="75"/>
        <v>13.71766210659</v>
      </c>
      <c r="O681">
        <f t="shared" si="76"/>
        <v>0.4798175841422877</v>
      </c>
    </row>
    <row r="682" spans="6:15" x14ac:dyDescent="0.45">
      <c r="F682">
        <v>680</v>
      </c>
      <c r="G682">
        <v>17.100000000000001</v>
      </c>
      <c r="H682">
        <f t="shared" si="71"/>
        <v>17.100000000000001</v>
      </c>
      <c r="I682">
        <f t="shared" si="70"/>
        <v>4.7500000000000007E-3</v>
      </c>
      <c r="J682">
        <v>7.14</v>
      </c>
      <c r="K682">
        <f t="shared" si="72"/>
        <v>7.14</v>
      </c>
      <c r="L682">
        <f t="shared" si="73"/>
        <v>29.247899999999998</v>
      </c>
      <c r="M682">
        <f t="shared" si="74"/>
        <v>29247.899999999998</v>
      </c>
      <c r="N682">
        <f t="shared" si="75"/>
        <v>27.721659759089999</v>
      </c>
      <c r="O682">
        <f t="shared" si="76"/>
        <v>0.96965063803627571</v>
      </c>
    </row>
    <row r="683" spans="6:15" x14ac:dyDescent="0.45">
      <c r="F683">
        <v>681</v>
      </c>
      <c r="G683">
        <v>18.3</v>
      </c>
      <c r="H683">
        <f t="shared" si="71"/>
        <v>18.3</v>
      </c>
      <c r="I683">
        <f t="shared" si="70"/>
        <v>5.0833333333333338E-3</v>
      </c>
      <c r="J683">
        <v>9.8800000000000008</v>
      </c>
      <c r="K683">
        <f t="shared" si="72"/>
        <v>9.8800000000000008</v>
      </c>
      <c r="L683">
        <f t="shared" si="73"/>
        <v>36.097900000000003</v>
      </c>
      <c r="M683">
        <f t="shared" si="74"/>
        <v>36097.9</v>
      </c>
      <c r="N683">
        <f t="shared" si="75"/>
        <v>34.214206894090005</v>
      </c>
      <c r="O683">
        <f t="shared" si="76"/>
        <v>1.1967475191986325</v>
      </c>
    </row>
    <row r="684" spans="6:15" x14ac:dyDescent="0.45">
      <c r="F684">
        <v>682</v>
      </c>
      <c r="G684">
        <v>19.3</v>
      </c>
      <c r="H684">
        <f t="shared" si="71"/>
        <v>19.3</v>
      </c>
      <c r="I684">
        <f t="shared" si="70"/>
        <v>5.3611111111111116E-3</v>
      </c>
      <c r="J684">
        <v>11.06</v>
      </c>
      <c r="K684">
        <f t="shared" si="72"/>
        <v>11.06</v>
      </c>
      <c r="L684">
        <f t="shared" si="73"/>
        <v>39.047899999999998</v>
      </c>
      <c r="M684">
        <f t="shared" si="74"/>
        <v>39047.9</v>
      </c>
      <c r="N684">
        <f t="shared" si="75"/>
        <v>37.010267339089999</v>
      </c>
      <c r="O684">
        <f t="shared" si="76"/>
        <v>1.2945483658305963</v>
      </c>
    </row>
    <row r="685" spans="6:15" x14ac:dyDescent="0.45">
      <c r="F685">
        <v>683</v>
      </c>
      <c r="G685">
        <v>20.6</v>
      </c>
      <c r="H685">
        <f t="shared" si="71"/>
        <v>20.6</v>
      </c>
      <c r="I685">
        <f t="shared" si="70"/>
        <v>5.7222222222222223E-3</v>
      </c>
      <c r="J685">
        <v>11.21</v>
      </c>
      <c r="K685">
        <f t="shared" si="72"/>
        <v>11.21</v>
      </c>
      <c r="L685">
        <f t="shared" si="73"/>
        <v>39.422899999999998</v>
      </c>
      <c r="M685">
        <f t="shared" si="74"/>
        <v>39422.9</v>
      </c>
      <c r="N685">
        <f t="shared" si="75"/>
        <v>37.365698751590003</v>
      </c>
      <c r="O685">
        <f t="shared" si="76"/>
        <v>1.3069806768431338</v>
      </c>
    </row>
    <row r="686" spans="6:15" x14ac:dyDescent="0.45">
      <c r="F686">
        <v>684</v>
      </c>
      <c r="G686">
        <v>21.9</v>
      </c>
      <c r="H686">
        <f t="shared" si="71"/>
        <v>21.9</v>
      </c>
      <c r="I686">
        <f t="shared" si="70"/>
        <v>6.083333333333333E-3</v>
      </c>
      <c r="J686">
        <v>12.34</v>
      </c>
      <c r="K686">
        <f t="shared" si="72"/>
        <v>12.34</v>
      </c>
      <c r="L686">
        <f t="shared" si="73"/>
        <v>42.247900000000001</v>
      </c>
      <c r="M686">
        <f t="shared" si="74"/>
        <v>42247.9</v>
      </c>
      <c r="N686">
        <f t="shared" si="75"/>
        <v>40.043282059090004</v>
      </c>
      <c r="O686">
        <f t="shared" si="76"/>
        <v>1.4006374198042517</v>
      </c>
    </row>
    <row r="687" spans="6:15" x14ac:dyDescent="0.45">
      <c r="F687">
        <v>685</v>
      </c>
      <c r="G687">
        <v>22.4</v>
      </c>
      <c r="H687">
        <f t="shared" si="71"/>
        <v>22.4</v>
      </c>
      <c r="I687">
        <f t="shared" si="70"/>
        <v>6.2222222222222219E-3</v>
      </c>
      <c r="J687">
        <v>6.32</v>
      </c>
      <c r="K687">
        <f t="shared" si="72"/>
        <v>6.32</v>
      </c>
      <c r="L687">
        <f t="shared" si="73"/>
        <v>27.197900000000001</v>
      </c>
      <c r="M687">
        <f t="shared" si="74"/>
        <v>27197.9</v>
      </c>
      <c r="N687">
        <f t="shared" si="75"/>
        <v>25.778634704090003</v>
      </c>
      <c r="O687">
        <f t="shared" si="76"/>
        <v>0.9016873378344028</v>
      </c>
    </row>
    <row r="688" spans="6:15" x14ac:dyDescent="0.45">
      <c r="F688">
        <v>686</v>
      </c>
      <c r="G688">
        <v>22.5</v>
      </c>
      <c r="H688">
        <f t="shared" si="71"/>
        <v>22.5</v>
      </c>
      <c r="I688">
        <f t="shared" si="70"/>
        <v>6.2500000000000003E-3</v>
      </c>
      <c r="J688">
        <v>1.98</v>
      </c>
      <c r="K688">
        <f t="shared" si="72"/>
        <v>1.98</v>
      </c>
      <c r="L688">
        <f t="shared" si="73"/>
        <v>16.347899999999999</v>
      </c>
      <c r="M688">
        <f t="shared" si="74"/>
        <v>16347.9</v>
      </c>
      <c r="N688">
        <f t="shared" si="75"/>
        <v>15.49481916909</v>
      </c>
      <c r="O688">
        <f t="shared" si="76"/>
        <v>0.54197913920497653</v>
      </c>
    </row>
    <row r="689" spans="6:15" x14ac:dyDescent="0.45">
      <c r="F689">
        <v>687</v>
      </c>
      <c r="G689">
        <v>22.1</v>
      </c>
      <c r="H689">
        <f t="shared" si="71"/>
        <v>22.1</v>
      </c>
      <c r="I689">
        <f t="shared" si="70"/>
        <v>6.138888888888889E-3</v>
      </c>
      <c r="J689">
        <v>7.0000000000000007E-2</v>
      </c>
      <c r="K689">
        <f t="shared" si="72"/>
        <v>7.0000000000000007E-2</v>
      </c>
      <c r="L689">
        <f t="shared" si="73"/>
        <v>11.572900000000001</v>
      </c>
      <c r="M689">
        <f t="shared" si="74"/>
        <v>11572.900000000001</v>
      </c>
      <c r="N689">
        <f t="shared" si="75"/>
        <v>10.968992516590001</v>
      </c>
      <c r="O689">
        <f t="shared" si="76"/>
        <v>0.3836743789786623</v>
      </c>
    </row>
    <row r="690" spans="6:15" x14ac:dyDescent="0.45">
      <c r="F690">
        <v>688</v>
      </c>
      <c r="G690">
        <v>22.6</v>
      </c>
      <c r="H690">
        <f t="shared" si="71"/>
        <v>22.6</v>
      </c>
      <c r="I690">
        <f t="shared" si="70"/>
        <v>6.277777777777778E-3</v>
      </c>
      <c r="J690">
        <v>7.62</v>
      </c>
      <c r="K690">
        <f t="shared" si="72"/>
        <v>7.62</v>
      </c>
      <c r="L690">
        <f t="shared" si="73"/>
        <v>30.447900000000001</v>
      </c>
      <c r="M690">
        <f t="shared" si="74"/>
        <v>30447.9</v>
      </c>
      <c r="N690">
        <f t="shared" si="75"/>
        <v>28.859040279090003</v>
      </c>
      <c r="O690">
        <f t="shared" si="76"/>
        <v>1.0094340332763967</v>
      </c>
    </row>
    <row r="691" spans="6:15" x14ac:dyDescent="0.45">
      <c r="F691">
        <v>689</v>
      </c>
      <c r="G691">
        <v>23.2</v>
      </c>
      <c r="H691">
        <f t="shared" si="71"/>
        <v>23.2</v>
      </c>
      <c r="I691">
        <f t="shared" si="70"/>
        <v>6.4444444444444445E-3</v>
      </c>
      <c r="J691">
        <v>9.9700000000000006</v>
      </c>
      <c r="K691">
        <f t="shared" si="72"/>
        <v>9.9700000000000006</v>
      </c>
      <c r="L691">
        <f t="shared" si="73"/>
        <v>36.322900000000004</v>
      </c>
      <c r="M691">
        <f t="shared" si="74"/>
        <v>36322.9</v>
      </c>
      <c r="N691">
        <f t="shared" si="75"/>
        <v>34.427465741590005</v>
      </c>
      <c r="O691">
        <f t="shared" si="76"/>
        <v>1.2042069058061551</v>
      </c>
    </row>
    <row r="692" spans="6:15" x14ac:dyDescent="0.45">
      <c r="F692">
        <v>690</v>
      </c>
      <c r="G692">
        <v>23.3</v>
      </c>
      <c r="H692">
        <f t="shared" si="71"/>
        <v>23.3</v>
      </c>
      <c r="I692">
        <f t="shared" si="70"/>
        <v>6.4722222222222221E-3</v>
      </c>
      <c r="J692">
        <v>0.77</v>
      </c>
      <c r="K692">
        <f t="shared" si="72"/>
        <v>0.77</v>
      </c>
      <c r="L692">
        <f t="shared" si="73"/>
        <v>13.322900000000001</v>
      </c>
      <c r="M692">
        <f t="shared" si="74"/>
        <v>13322.900000000001</v>
      </c>
      <c r="N692">
        <f t="shared" si="75"/>
        <v>12.627672441590002</v>
      </c>
      <c r="O692">
        <f t="shared" si="76"/>
        <v>0.44169183037050525</v>
      </c>
    </row>
    <row r="693" spans="6:15" x14ac:dyDescent="0.45">
      <c r="F693">
        <v>691</v>
      </c>
      <c r="G693">
        <v>22.4</v>
      </c>
      <c r="H693">
        <f t="shared" si="71"/>
        <v>22.4</v>
      </c>
      <c r="I693">
        <f t="shared" si="70"/>
        <v>6.2222222222222219E-3</v>
      </c>
      <c r="J693">
        <v>-1.1100000000000001</v>
      </c>
      <c r="K693">
        <f t="shared" si="72"/>
        <v>0</v>
      </c>
      <c r="L693">
        <f t="shared" si="73"/>
        <v>11.3979</v>
      </c>
      <c r="M693">
        <f t="shared" si="74"/>
        <v>11397.9</v>
      </c>
      <c r="N693">
        <f t="shared" si="75"/>
        <v>10.80312452409</v>
      </c>
      <c r="O693">
        <f t="shared" si="76"/>
        <v>0.377872633839478</v>
      </c>
    </row>
    <row r="694" spans="6:15" x14ac:dyDescent="0.45">
      <c r="F694">
        <v>692</v>
      </c>
      <c r="G694">
        <v>21.3</v>
      </c>
      <c r="H694">
        <f t="shared" si="71"/>
        <v>21.3</v>
      </c>
      <c r="I694">
        <f t="shared" si="70"/>
        <v>5.9166666666666664E-3</v>
      </c>
      <c r="J694">
        <v>-0.96</v>
      </c>
      <c r="K694">
        <f t="shared" si="72"/>
        <v>0</v>
      </c>
      <c r="L694">
        <f t="shared" si="73"/>
        <v>11.3979</v>
      </c>
      <c r="M694">
        <f t="shared" si="74"/>
        <v>11397.9</v>
      </c>
      <c r="N694">
        <f t="shared" si="75"/>
        <v>10.80312452409</v>
      </c>
      <c r="O694">
        <f t="shared" si="76"/>
        <v>0.377872633839478</v>
      </c>
    </row>
    <row r="695" spans="6:15" x14ac:dyDescent="0.45">
      <c r="F695">
        <v>693</v>
      </c>
      <c r="G695">
        <v>20.100000000000001</v>
      </c>
      <c r="H695">
        <f t="shared" si="71"/>
        <v>20.100000000000001</v>
      </c>
      <c r="I695">
        <f t="shared" si="70"/>
        <v>5.5833333333333334E-3</v>
      </c>
      <c r="J695">
        <v>-1</v>
      </c>
      <c r="K695">
        <f t="shared" si="72"/>
        <v>0</v>
      </c>
      <c r="L695">
        <f t="shared" si="73"/>
        <v>11.3979</v>
      </c>
      <c r="M695">
        <f t="shared" si="74"/>
        <v>11397.9</v>
      </c>
      <c r="N695">
        <f t="shared" si="75"/>
        <v>10.80312452409</v>
      </c>
      <c r="O695">
        <f t="shared" si="76"/>
        <v>0.377872633839478</v>
      </c>
    </row>
    <row r="696" spans="6:15" x14ac:dyDescent="0.45">
      <c r="F696">
        <v>694</v>
      </c>
      <c r="G696">
        <v>17.5</v>
      </c>
      <c r="H696">
        <f t="shared" si="71"/>
        <v>17.5</v>
      </c>
      <c r="I696">
        <f t="shared" si="70"/>
        <v>4.8611111111111112E-3</v>
      </c>
      <c r="J696">
        <v>-1.28</v>
      </c>
      <c r="K696">
        <f t="shared" si="72"/>
        <v>0</v>
      </c>
      <c r="L696">
        <f t="shared" si="73"/>
        <v>11.3979</v>
      </c>
      <c r="M696">
        <f t="shared" si="74"/>
        <v>11397.9</v>
      </c>
      <c r="N696">
        <f t="shared" si="75"/>
        <v>10.80312452409</v>
      </c>
      <c r="O696">
        <f t="shared" si="76"/>
        <v>0.377872633839478</v>
      </c>
    </row>
    <row r="697" spans="6:15" x14ac:dyDescent="0.45">
      <c r="F697">
        <v>695</v>
      </c>
      <c r="G697">
        <v>14.5</v>
      </c>
      <c r="H697">
        <f t="shared" si="71"/>
        <v>14.5</v>
      </c>
      <c r="I697">
        <f t="shared" si="70"/>
        <v>4.0277777777777777E-3</v>
      </c>
      <c r="J697">
        <v>-0.24</v>
      </c>
      <c r="K697">
        <f t="shared" si="72"/>
        <v>0</v>
      </c>
      <c r="L697">
        <f t="shared" si="73"/>
        <v>11.3979</v>
      </c>
      <c r="M697">
        <f t="shared" si="74"/>
        <v>11397.9</v>
      </c>
      <c r="N697">
        <f t="shared" si="75"/>
        <v>10.80312452409</v>
      </c>
      <c r="O697">
        <f t="shared" si="76"/>
        <v>0.377872633839478</v>
      </c>
    </row>
    <row r="698" spans="6:15" x14ac:dyDescent="0.45">
      <c r="F698">
        <v>696</v>
      </c>
      <c r="G698">
        <v>11.2</v>
      </c>
      <c r="H698">
        <f t="shared" si="71"/>
        <v>11.2</v>
      </c>
      <c r="I698">
        <f t="shared" si="70"/>
        <v>3.1111111111111109E-3</v>
      </c>
      <c r="J698">
        <v>-0.5</v>
      </c>
      <c r="K698">
        <f t="shared" si="72"/>
        <v>0</v>
      </c>
      <c r="L698">
        <f t="shared" si="73"/>
        <v>11.3979</v>
      </c>
      <c r="M698">
        <f t="shared" si="74"/>
        <v>11397.9</v>
      </c>
      <c r="N698">
        <f t="shared" si="75"/>
        <v>10.80312452409</v>
      </c>
      <c r="O698">
        <f t="shared" si="76"/>
        <v>0.377872633839478</v>
      </c>
    </row>
    <row r="699" spans="6:15" x14ac:dyDescent="0.45">
      <c r="F699">
        <v>697</v>
      </c>
      <c r="G699">
        <v>8</v>
      </c>
      <c r="H699">
        <f t="shared" si="71"/>
        <v>8</v>
      </c>
      <c r="I699">
        <f t="shared" si="70"/>
        <v>2.2222222222222222E-3</v>
      </c>
      <c r="J699">
        <v>-0.32</v>
      </c>
      <c r="K699">
        <f t="shared" si="72"/>
        <v>0</v>
      </c>
      <c r="L699">
        <f t="shared" si="73"/>
        <v>11.3979</v>
      </c>
      <c r="M699">
        <f t="shared" si="74"/>
        <v>11397.9</v>
      </c>
      <c r="N699">
        <f t="shared" si="75"/>
        <v>10.80312452409</v>
      </c>
      <c r="O699">
        <f t="shared" si="76"/>
        <v>0.377872633839478</v>
      </c>
    </row>
    <row r="700" spans="6:15" x14ac:dyDescent="0.45">
      <c r="F700">
        <v>698</v>
      </c>
      <c r="G700">
        <v>5.5</v>
      </c>
      <c r="H700">
        <f t="shared" si="71"/>
        <v>5.5</v>
      </c>
      <c r="I700">
        <f t="shared" si="70"/>
        <v>1.5277777777777779E-3</v>
      </c>
      <c r="J700">
        <v>-0.04</v>
      </c>
      <c r="K700">
        <f t="shared" si="72"/>
        <v>0</v>
      </c>
      <c r="L700">
        <f t="shared" si="73"/>
        <v>11.3979</v>
      </c>
      <c r="M700">
        <f t="shared" si="74"/>
        <v>11397.9</v>
      </c>
      <c r="N700">
        <f t="shared" si="75"/>
        <v>10.80312452409</v>
      </c>
      <c r="O700">
        <f t="shared" si="76"/>
        <v>0.377872633839478</v>
      </c>
    </row>
    <row r="701" spans="6:15" x14ac:dyDescent="0.45">
      <c r="F701">
        <v>699</v>
      </c>
      <c r="G701">
        <v>3.6</v>
      </c>
      <c r="H701">
        <f t="shared" si="71"/>
        <v>3.6</v>
      </c>
      <c r="I701">
        <f t="shared" si="70"/>
        <v>1E-3</v>
      </c>
      <c r="J701">
        <v>0.22</v>
      </c>
      <c r="K701">
        <f t="shared" si="72"/>
        <v>0.22</v>
      </c>
      <c r="L701">
        <f t="shared" si="73"/>
        <v>11.947900000000001</v>
      </c>
      <c r="M701">
        <f t="shared" si="74"/>
        <v>11947.900000000001</v>
      </c>
      <c r="N701">
        <f t="shared" si="75"/>
        <v>11.324423929090003</v>
      </c>
      <c r="O701">
        <f t="shared" si="76"/>
        <v>0.39610668999120008</v>
      </c>
    </row>
    <row r="702" spans="6:15" x14ac:dyDescent="0.45">
      <c r="F702">
        <v>700</v>
      </c>
      <c r="G702">
        <v>2.8</v>
      </c>
      <c r="H702">
        <f t="shared" si="71"/>
        <v>2.8</v>
      </c>
      <c r="I702">
        <f t="shared" si="70"/>
        <v>7.7777777777777773E-4</v>
      </c>
      <c r="J702">
        <v>0.57999999999999996</v>
      </c>
      <c r="K702">
        <f t="shared" si="72"/>
        <v>0.57999999999999996</v>
      </c>
      <c r="L702">
        <f t="shared" si="73"/>
        <v>12.847899999999999</v>
      </c>
      <c r="M702">
        <f t="shared" si="74"/>
        <v>12847.9</v>
      </c>
      <c r="N702">
        <f t="shared" si="75"/>
        <v>12.17745931909</v>
      </c>
      <c r="O702">
        <f t="shared" si="76"/>
        <v>0.4259442364212907</v>
      </c>
    </row>
    <row r="703" spans="6:15" x14ac:dyDescent="0.45">
      <c r="F703">
        <v>701</v>
      </c>
      <c r="G703">
        <v>1.8</v>
      </c>
      <c r="H703">
        <f t="shared" si="71"/>
        <v>1.8</v>
      </c>
      <c r="I703">
        <f t="shared" si="70"/>
        <v>5.0000000000000001E-4</v>
      </c>
      <c r="J703">
        <v>0.47</v>
      </c>
      <c r="K703">
        <f t="shared" si="72"/>
        <v>0.47</v>
      </c>
      <c r="L703">
        <f t="shared" si="73"/>
        <v>12.572900000000001</v>
      </c>
      <c r="M703">
        <f t="shared" si="74"/>
        <v>12572.900000000001</v>
      </c>
      <c r="N703">
        <f t="shared" si="75"/>
        <v>11.916809616590001</v>
      </c>
      <c r="O703">
        <f t="shared" si="76"/>
        <v>0.41682720834542969</v>
      </c>
    </row>
    <row r="704" spans="6:15" x14ac:dyDescent="0.45">
      <c r="F704">
        <v>702</v>
      </c>
      <c r="G704">
        <v>0.6</v>
      </c>
      <c r="H704">
        <f t="shared" si="71"/>
        <v>0.6</v>
      </c>
      <c r="I704">
        <f t="shared" si="70"/>
        <v>1.6666666666666666E-4</v>
      </c>
      <c r="J704">
        <v>1.03</v>
      </c>
      <c r="K704">
        <f t="shared" si="72"/>
        <v>1.03</v>
      </c>
      <c r="L704">
        <f t="shared" si="73"/>
        <v>13.972899999999999</v>
      </c>
      <c r="M704">
        <f t="shared" si="74"/>
        <v>13972.9</v>
      </c>
      <c r="N704">
        <f t="shared" si="75"/>
        <v>13.243753556590001</v>
      </c>
      <c r="O704">
        <f t="shared" si="76"/>
        <v>0.46324116945890398</v>
      </c>
    </row>
    <row r="705" spans="6:15" x14ac:dyDescent="0.45">
      <c r="F705">
        <v>703</v>
      </c>
      <c r="G705">
        <v>0.7</v>
      </c>
      <c r="H705">
        <f t="shared" si="71"/>
        <v>0.7</v>
      </c>
      <c r="I705">
        <f t="shared" si="70"/>
        <v>1.9444444444444443E-4</v>
      </c>
      <c r="J705">
        <v>0.75</v>
      </c>
      <c r="K705">
        <f t="shared" si="72"/>
        <v>0.75</v>
      </c>
      <c r="L705">
        <f t="shared" si="73"/>
        <v>13.2729</v>
      </c>
      <c r="M705">
        <f t="shared" si="74"/>
        <v>13272.9</v>
      </c>
      <c r="N705">
        <f t="shared" si="75"/>
        <v>12.580281586590001</v>
      </c>
      <c r="O705">
        <f t="shared" si="76"/>
        <v>0.44003418890216683</v>
      </c>
    </row>
    <row r="706" spans="6:15" x14ac:dyDescent="0.45">
      <c r="F706">
        <v>704</v>
      </c>
      <c r="G706">
        <v>3.7</v>
      </c>
      <c r="H706">
        <f t="shared" si="71"/>
        <v>3.7</v>
      </c>
      <c r="I706">
        <f t="shared" ref="I706:I769" si="77">H706*(1/3600)</f>
        <v>1.0277777777777778E-3</v>
      </c>
      <c r="J706">
        <v>6.94</v>
      </c>
      <c r="K706">
        <f t="shared" si="72"/>
        <v>6.94</v>
      </c>
      <c r="L706">
        <f t="shared" si="73"/>
        <v>28.747900000000001</v>
      </c>
      <c r="M706">
        <f t="shared" si="74"/>
        <v>28747.9</v>
      </c>
      <c r="N706">
        <f t="shared" si="75"/>
        <v>27.247751209090001</v>
      </c>
      <c r="O706">
        <f t="shared" si="76"/>
        <v>0.95307422335289216</v>
      </c>
    </row>
    <row r="707" spans="6:15" x14ac:dyDescent="0.45">
      <c r="F707">
        <v>705</v>
      </c>
      <c r="G707">
        <v>6.9</v>
      </c>
      <c r="H707">
        <f t="shared" ref="H707:H770" si="78">IF(G707&lt;0,0,G707)</f>
        <v>6.9</v>
      </c>
      <c r="I707">
        <f t="shared" si="77"/>
        <v>1.9166666666666668E-3</v>
      </c>
      <c r="J707">
        <v>13.14</v>
      </c>
      <c r="K707">
        <f t="shared" ref="K707:K770" si="79">IF(J707&lt;0,0,J707)</f>
        <v>13.14</v>
      </c>
      <c r="L707">
        <f t="shared" ref="L707:L770" si="80">(1/$B$5)*K707+((3.4798*$B$6)+0.9585)</f>
        <v>44.247900000000001</v>
      </c>
      <c r="M707">
        <f t="shared" ref="M707:M770" si="81">L707*1000</f>
        <v>44247.9</v>
      </c>
      <c r="N707">
        <f t="shared" ref="N707:N770" si="82">M707*0.0009478171</f>
        <v>41.93891625909</v>
      </c>
      <c r="O707">
        <f t="shared" ref="O707:O770" si="83">(M707*453.59237)/(18489*0.74*1000)</f>
        <v>1.4669430785377868</v>
      </c>
    </row>
    <row r="708" spans="6:15" x14ac:dyDescent="0.45">
      <c r="F708">
        <v>706</v>
      </c>
      <c r="G708">
        <v>9.6</v>
      </c>
      <c r="H708">
        <f t="shared" si="78"/>
        <v>9.6</v>
      </c>
      <c r="I708">
        <f t="shared" si="77"/>
        <v>2.6666666666666666E-3</v>
      </c>
      <c r="J708">
        <v>10.91</v>
      </c>
      <c r="K708">
        <f t="shared" si="79"/>
        <v>10.91</v>
      </c>
      <c r="L708">
        <f t="shared" si="80"/>
        <v>38.672899999999998</v>
      </c>
      <c r="M708">
        <f t="shared" si="81"/>
        <v>38672.9</v>
      </c>
      <c r="N708">
        <f t="shared" si="82"/>
        <v>36.654835926590003</v>
      </c>
      <c r="O708">
        <f t="shared" si="83"/>
        <v>1.2821160548180583</v>
      </c>
    </row>
    <row r="709" spans="6:15" x14ac:dyDescent="0.45">
      <c r="F709">
        <v>707</v>
      </c>
      <c r="G709">
        <v>12.3</v>
      </c>
      <c r="H709">
        <f t="shared" si="78"/>
        <v>12.3</v>
      </c>
      <c r="I709">
        <f t="shared" si="77"/>
        <v>3.4166666666666668E-3</v>
      </c>
      <c r="J709">
        <v>14.51</v>
      </c>
      <c r="K709">
        <f t="shared" si="79"/>
        <v>14.51</v>
      </c>
      <c r="L709">
        <f t="shared" si="80"/>
        <v>47.672899999999998</v>
      </c>
      <c r="M709">
        <f t="shared" si="81"/>
        <v>47672.9</v>
      </c>
      <c r="N709">
        <f t="shared" si="82"/>
        <v>45.185189826590005</v>
      </c>
      <c r="O709">
        <f t="shared" si="83"/>
        <v>1.580491519118965</v>
      </c>
    </row>
    <row r="710" spans="6:15" x14ac:dyDescent="0.45">
      <c r="F710">
        <v>708</v>
      </c>
      <c r="G710">
        <v>14.2</v>
      </c>
      <c r="H710">
        <f t="shared" si="78"/>
        <v>14.2</v>
      </c>
      <c r="I710">
        <f t="shared" si="77"/>
        <v>3.944444444444444E-3</v>
      </c>
      <c r="J710">
        <v>12.44</v>
      </c>
      <c r="K710">
        <f t="shared" si="79"/>
        <v>12.44</v>
      </c>
      <c r="L710">
        <f t="shared" si="80"/>
        <v>42.497900000000001</v>
      </c>
      <c r="M710">
        <f t="shared" si="81"/>
        <v>42497.9</v>
      </c>
      <c r="N710">
        <f t="shared" si="82"/>
        <v>40.280236334090006</v>
      </c>
      <c r="O710">
        <f t="shared" si="83"/>
        <v>1.4089256271459438</v>
      </c>
    </row>
    <row r="711" spans="6:15" x14ac:dyDescent="0.45">
      <c r="F711">
        <v>709</v>
      </c>
      <c r="G711">
        <v>16.100000000000001</v>
      </c>
      <c r="H711">
        <f t="shared" si="78"/>
        <v>16.100000000000001</v>
      </c>
      <c r="I711">
        <f t="shared" si="77"/>
        <v>4.4722222222222229E-3</v>
      </c>
      <c r="J711">
        <v>17.04</v>
      </c>
      <c r="K711">
        <f t="shared" si="79"/>
        <v>17.04</v>
      </c>
      <c r="L711">
        <f t="shared" si="80"/>
        <v>53.997899999999994</v>
      </c>
      <c r="M711">
        <f t="shared" si="81"/>
        <v>53997.899999999994</v>
      </c>
      <c r="N711">
        <f t="shared" si="82"/>
        <v>51.180132984089994</v>
      </c>
      <c r="O711">
        <f t="shared" si="83"/>
        <v>1.7901831648637683</v>
      </c>
    </row>
    <row r="712" spans="6:15" x14ac:dyDescent="0.45">
      <c r="F712">
        <v>710</v>
      </c>
      <c r="G712">
        <v>17.5</v>
      </c>
      <c r="H712">
        <f t="shared" si="78"/>
        <v>17.5</v>
      </c>
      <c r="I712">
        <f t="shared" si="77"/>
        <v>4.8611111111111112E-3</v>
      </c>
      <c r="J712">
        <v>11.49</v>
      </c>
      <c r="K712">
        <f t="shared" si="79"/>
        <v>11.49</v>
      </c>
      <c r="L712">
        <f t="shared" si="80"/>
        <v>40.122900000000001</v>
      </c>
      <c r="M712">
        <f t="shared" si="81"/>
        <v>40122.9</v>
      </c>
      <c r="N712">
        <f t="shared" si="82"/>
        <v>38.029170721590006</v>
      </c>
      <c r="O712">
        <f t="shared" si="83"/>
        <v>1.3301876573998712</v>
      </c>
    </row>
    <row r="713" spans="6:15" x14ac:dyDescent="0.45">
      <c r="F713">
        <v>711</v>
      </c>
      <c r="G713">
        <v>19.2</v>
      </c>
      <c r="H713">
        <f t="shared" si="78"/>
        <v>19.2</v>
      </c>
      <c r="I713">
        <f t="shared" si="77"/>
        <v>5.3333333333333332E-3</v>
      </c>
      <c r="J713">
        <v>15.16</v>
      </c>
      <c r="K713">
        <f t="shared" si="79"/>
        <v>15.16</v>
      </c>
      <c r="L713">
        <f t="shared" si="80"/>
        <v>49.297899999999998</v>
      </c>
      <c r="M713">
        <f t="shared" si="81"/>
        <v>49297.9</v>
      </c>
      <c r="N713">
        <f t="shared" si="82"/>
        <v>46.725392614090005</v>
      </c>
      <c r="O713">
        <f t="shared" si="83"/>
        <v>1.634364866839962</v>
      </c>
    </row>
    <row r="714" spans="6:15" x14ac:dyDescent="0.45">
      <c r="F714">
        <v>712</v>
      </c>
      <c r="G714">
        <v>21.1</v>
      </c>
      <c r="H714">
        <f t="shared" si="78"/>
        <v>21.1</v>
      </c>
      <c r="I714">
        <f t="shared" si="77"/>
        <v>5.8611111111111112E-3</v>
      </c>
      <c r="J714">
        <v>17.260000000000002</v>
      </c>
      <c r="K714">
        <f t="shared" si="79"/>
        <v>17.260000000000002</v>
      </c>
      <c r="L714">
        <f t="shared" si="80"/>
        <v>54.547900000000006</v>
      </c>
      <c r="M714">
        <f t="shared" si="81"/>
        <v>54547.900000000009</v>
      </c>
      <c r="N714">
        <f t="shared" si="82"/>
        <v>51.701432389090009</v>
      </c>
      <c r="O714">
        <f t="shared" si="83"/>
        <v>1.808417221015491</v>
      </c>
    </row>
    <row r="715" spans="6:15" x14ac:dyDescent="0.45">
      <c r="F715">
        <v>713</v>
      </c>
      <c r="G715">
        <v>23</v>
      </c>
      <c r="H715">
        <f t="shared" si="78"/>
        <v>23</v>
      </c>
      <c r="I715">
        <f t="shared" si="77"/>
        <v>6.3888888888888893E-3</v>
      </c>
      <c r="J715">
        <v>17.53</v>
      </c>
      <c r="K715">
        <f t="shared" si="79"/>
        <v>17.53</v>
      </c>
      <c r="L715">
        <f t="shared" si="80"/>
        <v>55.222900000000003</v>
      </c>
      <c r="M715">
        <f t="shared" si="81"/>
        <v>55222.9</v>
      </c>
      <c r="N715">
        <f t="shared" si="82"/>
        <v>52.341208931590003</v>
      </c>
      <c r="O715">
        <f t="shared" si="83"/>
        <v>1.8307953808380588</v>
      </c>
    </row>
    <row r="716" spans="6:15" x14ac:dyDescent="0.45">
      <c r="F716">
        <v>714</v>
      </c>
      <c r="G716">
        <v>24.4</v>
      </c>
      <c r="H716">
        <f t="shared" si="78"/>
        <v>24.4</v>
      </c>
      <c r="I716">
        <f t="shared" si="77"/>
        <v>6.7777777777777775E-3</v>
      </c>
      <c r="J716">
        <v>15.77</v>
      </c>
      <c r="K716">
        <f t="shared" si="79"/>
        <v>15.77</v>
      </c>
      <c r="L716">
        <f t="shared" si="80"/>
        <v>50.822899999999997</v>
      </c>
      <c r="M716">
        <f t="shared" si="81"/>
        <v>50822.899999999994</v>
      </c>
      <c r="N716">
        <f t="shared" si="82"/>
        <v>48.170813691589998</v>
      </c>
      <c r="O716">
        <f t="shared" si="83"/>
        <v>1.684922931624282</v>
      </c>
    </row>
    <row r="717" spans="6:15" x14ac:dyDescent="0.45">
      <c r="F717">
        <v>715</v>
      </c>
      <c r="G717">
        <v>25.4</v>
      </c>
      <c r="H717">
        <f t="shared" si="78"/>
        <v>25.4</v>
      </c>
      <c r="I717">
        <f t="shared" si="77"/>
        <v>7.0555555555555554E-3</v>
      </c>
      <c r="J717">
        <v>12.38</v>
      </c>
      <c r="K717">
        <f t="shared" si="79"/>
        <v>12.38</v>
      </c>
      <c r="L717">
        <f t="shared" si="80"/>
        <v>42.347900000000003</v>
      </c>
      <c r="M717">
        <f t="shared" si="81"/>
        <v>42347.9</v>
      </c>
      <c r="N717">
        <f t="shared" si="82"/>
        <v>40.138063769090003</v>
      </c>
      <c r="O717">
        <f t="shared" si="83"/>
        <v>1.4039527027409284</v>
      </c>
    </row>
    <row r="718" spans="6:15" x14ac:dyDescent="0.45">
      <c r="F718">
        <v>716</v>
      </c>
      <c r="G718">
        <v>26.5</v>
      </c>
      <c r="H718">
        <f t="shared" si="78"/>
        <v>26.5</v>
      </c>
      <c r="I718">
        <f t="shared" si="77"/>
        <v>7.3611111111111108E-3</v>
      </c>
      <c r="J718">
        <v>13.84</v>
      </c>
      <c r="K718">
        <f t="shared" si="79"/>
        <v>13.84</v>
      </c>
      <c r="L718">
        <f t="shared" si="80"/>
        <v>45.997900000000001</v>
      </c>
      <c r="M718">
        <f t="shared" si="81"/>
        <v>45997.9</v>
      </c>
      <c r="N718">
        <f t="shared" si="82"/>
        <v>43.597596184090001</v>
      </c>
      <c r="O718">
        <f t="shared" si="83"/>
        <v>1.5249605299296294</v>
      </c>
    </row>
    <row r="719" spans="6:15" x14ac:dyDescent="0.45">
      <c r="F719">
        <v>717</v>
      </c>
      <c r="G719">
        <v>27.2</v>
      </c>
      <c r="H719">
        <f t="shared" si="78"/>
        <v>27.2</v>
      </c>
      <c r="I719">
        <f t="shared" si="77"/>
        <v>7.5555555555555549E-3</v>
      </c>
      <c r="J719">
        <v>9.58</v>
      </c>
      <c r="K719">
        <f t="shared" si="79"/>
        <v>9.58</v>
      </c>
      <c r="L719">
        <f t="shared" si="80"/>
        <v>35.347899999999996</v>
      </c>
      <c r="M719">
        <f t="shared" si="81"/>
        <v>35347.899999999994</v>
      </c>
      <c r="N719">
        <f t="shared" si="82"/>
        <v>33.503344069089998</v>
      </c>
      <c r="O719">
        <f t="shared" si="83"/>
        <v>1.1718828971735566</v>
      </c>
    </row>
    <row r="720" spans="6:15" x14ac:dyDescent="0.45">
      <c r="F720">
        <v>718</v>
      </c>
      <c r="G720">
        <v>27.6</v>
      </c>
      <c r="H720">
        <f t="shared" si="78"/>
        <v>27.6</v>
      </c>
      <c r="I720">
        <f t="shared" si="77"/>
        <v>7.6666666666666671E-3</v>
      </c>
      <c r="J720">
        <v>7.14</v>
      </c>
      <c r="K720">
        <f t="shared" si="79"/>
        <v>7.14</v>
      </c>
      <c r="L720">
        <f t="shared" si="80"/>
        <v>29.247899999999998</v>
      </c>
      <c r="M720">
        <f t="shared" si="81"/>
        <v>29247.899999999998</v>
      </c>
      <c r="N720">
        <f t="shared" si="82"/>
        <v>27.721659759089999</v>
      </c>
      <c r="O720">
        <f t="shared" si="83"/>
        <v>0.96965063803627571</v>
      </c>
    </row>
    <row r="721" spans="6:15" x14ac:dyDescent="0.45">
      <c r="F721">
        <v>719</v>
      </c>
      <c r="G721">
        <v>28.1</v>
      </c>
      <c r="H721">
        <f t="shared" si="78"/>
        <v>28.1</v>
      </c>
      <c r="I721">
        <f t="shared" si="77"/>
        <v>7.805555555555556E-3</v>
      </c>
      <c r="J721">
        <v>8.1999999999999993</v>
      </c>
      <c r="K721">
        <f t="shared" si="79"/>
        <v>8.1999999999999993</v>
      </c>
      <c r="L721">
        <f t="shared" si="80"/>
        <v>31.8979</v>
      </c>
      <c r="M721">
        <f t="shared" si="81"/>
        <v>31897.9</v>
      </c>
      <c r="N721">
        <f t="shared" si="82"/>
        <v>30.233375074090002</v>
      </c>
      <c r="O721">
        <f t="shared" si="83"/>
        <v>1.0575056358582093</v>
      </c>
    </row>
    <row r="722" spans="6:15" x14ac:dyDescent="0.45">
      <c r="F722">
        <v>720</v>
      </c>
      <c r="G722">
        <v>28.4</v>
      </c>
      <c r="H722">
        <f t="shared" si="78"/>
        <v>28.4</v>
      </c>
      <c r="I722">
        <f t="shared" si="77"/>
        <v>7.888888888888888E-3</v>
      </c>
      <c r="J722">
        <v>8.64</v>
      </c>
      <c r="K722">
        <f t="shared" si="79"/>
        <v>8.64</v>
      </c>
      <c r="L722">
        <f t="shared" si="80"/>
        <v>32.997900000000001</v>
      </c>
      <c r="M722">
        <f t="shared" si="81"/>
        <v>32997.9</v>
      </c>
      <c r="N722">
        <f t="shared" si="82"/>
        <v>31.275973884090003</v>
      </c>
      <c r="O722">
        <f t="shared" si="83"/>
        <v>1.0939737481616536</v>
      </c>
    </row>
    <row r="723" spans="6:15" x14ac:dyDescent="0.45">
      <c r="F723">
        <v>721</v>
      </c>
      <c r="G723">
        <v>28.5</v>
      </c>
      <c r="H723">
        <f t="shared" si="78"/>
        <v>28.5</v>
      </c>
      <c r="I723">
        <f t="shared" si="77"/>
        <v>7.9166666666666673E-3</v>
      </c>
      <c r="J723">
        <v>3.59</v>
      </c>
      <c r="K723">
        <f t="shared" si="79"/>
        <v>3.59</v>
      </c>
      <c r="L723">
        <f t="shared" si="80"/>
        <v>20.372900000000001</v>
      </c>
      <c r="M723">
        <f t="shared" si="81"/>
        <v>20372.900000000001</v>
      </c>
      <c r="N723">
        <f t="shared" si="82"/>
        <v>19.309782996590002</v>
      </c>
      <c r="O723">
        <f t="shared" si="83"/>
        <v>0.67541927740621532</v>
      </c>
    </row>
    <row r="724" spans="6:15" x14ac:dyDescent="0.45">
      <c r="F724">
        <v>722</v>
      </c>
      <c r="G724">
        <v>28.5</v>
      </c>
      <c r="H724">
        <f t="shared" si="78"/>
        <v>28.5</v>
      </c>
      <c r="I724">
        <f t="shared" si="77"/>
        <v>7.9166666666666673E-3</v>
      </c>
      <c r="J724">
        <v>3.56</v>
      </c>
      <c r="K724">
        <f t="shared" si="79"/>
        <v>3.56</v>
      </c>
      <c r="L724">
        <f t="shared" si="80"/>
        <v>20.297899999999998</v>
      </c>
      <c r="M724">
        <f t="shared" si="81"/>
        <v>20297.899999999998</v>
      </c>
      <c r="N724">
        <f t="shared" si="82"/>
        <v>19.238696714089997</v>
      </c>
      <c r="O724">
        <f t="shared" si="83"/>
        <v>0.67293281520370762</v>
      </c>
    </row>
    <row r="725" spans="6:15" x14ac:dyDescent="0.45">
      <c r="F725">
        <v>723</v>
      </c>
      <c r="G725">
        <v>28.5</v>
      </c>
      <c r="H725">
        <f t="shared" si="78"/>
        <v>28.5</v>
      </c>
      <c r="I725">
        <f t="shared" si="77"/>
        <v>7.9166666666666673E-3</v>
      </c>
      <c r="J725">
        <v>3.35</v>
      </c>
      <c r="K725">
        <f t="shared" si="79"/>
        <v>3.35</v>
      </c>
      <c r="L725">
        <f t="shared" si="80"/>
        <v>19.7729</v>
      </c>
      <c r="M725">
        <f t="shared" si="81"/>
        <v>19772.900000000001</v>
      </c>
      <c r="N725">
        <f t="shared" si="82"/>
        <v>18.741092736590002</v>
      </c>
      <c r="O725">
        <f t="shared" si="83"/>
        <v>0.65552757978615483</v>
      </c>
    </row>
    <row r="726" spans="6:15" x14ac:dyDescent="0.45">
      <c r="F726">
        <v>724</v>
      </c>
      <c r="G726">
        <v>28.3</v>
      </c>
      <c r="H726">
        <f t="shared" si="78"/>
        <v>28.3</v>
      </c>
      <c r="I726">
        <f t="shared" si="77"/>
        <v>7.8611111111111121E-3</v>
      </c>
      <c r="J726">
        <v>2.78</v>
      </c>
      <c r="K726">
        <f t="shared" si="79"/>
        <v>2.78</v>
      </c>
      <c r="L726">
        <f t="shared" si="80"/>
        <v>18.347899999999999</v>
      </c>
      <c r="M726">
        <f t="shared" si="81"/>
        <v>18347.899999999998</v>
      </c>
      <c r="N726">
        <f t="shared" si="82"/>
        <v>17.390453369089997</v>
      </c>
      <c r="O726">
        <f t="shared" si="83"/>
        <v>0.6082847979385112</v>
      </c>
    </row>
    <row r="727" spans="6:15" x14ac:dyDescent="0.45">
      <c r="F727">
        <v>725</v>
      </c>
      <c r="G727">
        <v>28.2</v>
      </c>
      <c r="H727">
        <f t="shared" si="78"/>
        <v>28.2</v>
      </c>
      <c r="I727">
        <f t="shared" si="77"/>
        <v>7.8333333333333328E-3</v>
      </c>
      <c r="J727">
        <v>2.98</v>
      </c>
      <c r="K727">
        <f t="shared" si="79"/>
        <v>2.98</v>
      </c>
      <c r="L727">
        <f t="shared" si="80"/>
        <v>18.847899999999999</v>
      </c>
      <c r="M727">
        <f t="shared" si="81"/>
        <v>18847.899999999998</v>
      </c>
      <c r="N727">
        <f t="shared" si="82"/>
        <v>17.864361919089998</v>
      </c>
      <c r="O727">
        <f t="shared" si="83"/>
        <v>0.62486121262189498</v>
      </c>
    </row>
    <row r="728" spans="6:15" x14ac:dyDescent="0.45">
      <c r="F728">
        <v>726</v>
      </c>
      <c r="G728">
        <v>27.7</v>
      </c>
      <c r="H728">
        <f t="shared" si="78"/>
        <v>27.7</v>
      </c>
      <c r="I728">
        <f t="shared" si="77"/>
        <v>7.6944444444444439E-3</v>
      </c>
      <c r="J728">
        <v>-0.25</v>
      </c>
      <c r="K728">
        <f t="shared" si="79"/>
        <v>0</v>
      </c>
      <c r="L728">
        <f t="shared" si="80"/>
        <v>11.3979</v>
      </c>
      <c r="M728">
        <f t="shared" si="81"/>
        <v>11397.9</v>
      </c>
      <c r="N728">
        <f t="shared" si="82"/>
        <v>10.80312452409</v>
      </c>
      <c r="O728">
        <f t="shared" si="83"/>
        <v>0.377872633839478</v>
      </c>
    </row>
    <row r="729" spans="6:15" x14ac:dyDescent="0.45">
      <c r="F729">
        <v>727</v>
      </c>
      <c r="G729">
        <v>26.6</v>
      </c>
      <c r="H729">
        <f t="shared" si="78"/>
        <v>26.6</v>
      </c>
      <c r="I729">
        <f t="shared" si="77"/>
        <v>7.3888888888888893E-3</v>
      </c>
      <c r="J729">
        <v>-0.59</v>
      </c>
      <c r="K729">
        <f t="shared" si="79"/>
        <v>0</v>
      </c>
      <c r="L729">
        <f t="shared" si="80"/>
        <v>11.3979</v>
      </c>
      <c r="M729">
        <f t="shared" si="81"/>
        <v>11397.9</v>
      </c>
      <c r="N729">
        <f t="shared" si="82"/>
        <v>10.80312452409</v>
      </c>
      <c r="O729">
        <f t="shared" si="83"/>
        <v>0.377872633839478</v>
      </c>
    </row>
    <row r="730" spans="6:15" x14ac:dyDescent="0.45">
      <c r="F730">
        <v>728</v>
      </c>
      <c r="G730">
        <v>25</v>
      </c>
      <c r="H730">
        <f t="shared" si="78"/>
        <v>25</v>
      </c>
      <c r="I730">
        <f t="shared" si="77"/>
        <v>6.9444444444444441E-3</v>
      </c>
      <c r="J730">
        <v>-0.55000000000000004</v>
      </c>
      <c r="K730">
        <f t="shared" si="79"/>
        <v>0</v>
      </c>
      <c r="L730">
        <f t="shared" si="80"/>
        <v>11.3979</v>
      </c>
      <c r="M730">
        <f t="shared" si="81"/>
        <v>11397.9</v>
      </c>
      <c r="N730">
        <f t="shared" si="82"/>
        <v>10.80312452409</v>
      </c>
      <c r="O730">
        <f t="shared" si="83"/>
        <v>0.377872633839478</v>
      </c>
    </row>
    <row r="731" spans="6:15" x14ac:dyDescent="0.45">
      <c r="F731">
        <v>729</v>
      </c>
      <c r="G731">
        <v>23</v>
      </c>
      <c r="H731">
        <f t="shared" si="78"/>
        <v>23</v>
      </c>
      <c r="I731">
        <f t="shared" si="77"/>
        <v>6.3888888888888893E-3</v>
      </c>
      <c r="J731">
        <v>-1.05</v>
      </c>
      <c r="K731">
        <f t="shared" si="79"/>
        <v>0</v>
      </c>
      <c r="L731">
        <f t="shared" si="80"/>
        <v>11.3979</v>
      </c>
      <c r="M731">
        <f t="shared" si="81"/>
        <v>11397.9</v>
      </c>
      <c r="N731">
        <f t="shared" si="82"/>
        <v>10.80312452409</v>
      </c>
      <c r="O731">
        <f t="shared" si="83"/>
        <v>0.377872633839478</v>
      </c>
    </row>
    <row r="732" spans="6:15" x14ac:dyDescent="0.45">
      <c r="F732">
        <v>730</v>
      </c>
      <c r="G732">
        <v>20.6</v>
      </c>
      <c r="H732">
        <f t="shared" si="78"/>
        <v>20.6</v>
      </c>
      <c r="I732">
        <f t="shared" si="77"/>
        <v>5.7222222222222223E-3</v>
      </c>
      <c r="J732">
        <v>-1.1100000000000001</v>
      </c>
      <c r="K732">
        <f t="shared" si="79"/>
        <v>0</v>
      </c>
      <c r="L732">
        <f t="shared" si="80"/>
        <v>11.3979</v>
      </c>
      <c r="M732">
        <f t="shared" si="81"/>
        <v>11397.9</v>
      </c>
      <c r="N732">
        <f t="shared" si="82"/>
        <v>10.80312452409</v>
      </c>
      <c r="O732">
        <f t="shared" si="83"/>
        <v>0.377872633839478</v>
      </c>
    </row>
    <row r="733" spans="6:15" x14ac:dyDescent="0.45">
      <c r="F733">
        <v>731</v>
      </c>
      <c r="G733">
        <v>18.3</v>
      </c>
      <c r="H733">
        <f t="shared" si="78"/>
        <v>18.3</v>
      </c>
      <c r="I733">
        <f t="shared" si="77"/>
        <v>5.0833333333333338E-3</v>
      </c>
      <c r="J733">
        <v>-0.46</v>
      </c>
      <c r="K733">
        <f t="shared" si="79"/>
        <v>0</v>
      </c>
      <c r="L733">
        <f t="shared" si="80"/>
        <v>11.3979</v>
      </c>
      <c r="M733">
        <f t="shared" si="81"/>
        <v>11397.9</v>
      </c>
      <c r="N733">
        <f t="shared" si="82"/>
        <v>10.80312452409</v>
      </c>
      <c r="O733">
        <f t="shared" si="83"/>
        <v>0.377872633839478</v>
      </c>
    </row>
    <row r="734" spans="6:15" x14ac:dyDescent="0.45">
      <c r="F734">
        <v>732</v>
      </c>
      <c r="G734">
        <v>16.2</v>
      </c>
      <c r="H734">
        <f t="shared" si="78"/>
        <v>16.2</v>
      </c>
      <c r="I734">
        <f t="shared" si="77"/>
        <v>4.4999999999999997E-3</v>
      </c>
      <c r="J734">
        <v>-1.02</v>
      </c>
      <c r="K734">
        <f t="shared" si="79"/>
        <v>0</v>
      </c>
      <c r="L734">
        <f t="shared" si="80"/>
        <v>11.3979</v>
      </c>
      <c r="M734">
        <f t="shared" si="81"/>
        <v>11397.9</v>
      </c>
      <c r="N734">
        <f t="shared" si="82"/>
        <v>10.80312452409</v>
      </c>
      <c r="O734">
        <f t="shared" si="83"/>
        <v>0.377872633839478</v>
      </c>
    </row>
    <row r="735" spans="6:15" x14ac:dyDescent="0.45">
      <c r="F735">
        <v>733</v>
      </c>
      <c r="G735">
        <v>14.4</v>
      </c>
      <c r="H735">
        <f t="shared" si="78"/>
        <v>14.4</v>
      </c>
      <c r="I735">
        <f t="shared" si="77"/>
        <v>4.0000000000000001E-3</v>
      </c>
      <c r="J735">
        <v>-0.92</v>
      </c>
      <c r="K735">
        <f t="shared" si="79"/>
        <v>0</v>
      </c>
      <c r="L735">
        <f t="shared" si="80"/>
        <v>11.3979</v>
      </c>
      <c r="M735">
        <f t="shared" si="81"/>
        <v>11397.9</v>
      </c>
      <c r="N735">
        <f t="shared" si="82"/>
        <v>10.80312452409</v>
      </c>
      <c r="O735">
        <f t="shared" si="83"/>
        <v>0.377872633839478</v>
      </c>
    </row>
    <row r="736" spans="6:15" x14ac:dyDescent="0.45">
      <c r="F736">
        <v>734</v>
      </c>
      <c r="G736">
        <v>11.8</v>
      </c>
      <c r="H736">
        <f t="shared" si="78"/>
        <v>11.8</v>
      </c>
      <c r="I736">
        <f t="shared" si="77"/>
        <v>3.2777777777777779E-3</v>
      </c>
      <c r="J736">
        <v>-0.47</v>
      </c>
      <c r="K736">
        <f t="shared" si="79"/>
        <v>0</v>
      </c>
      <c r="L736">
        <f t="shared" si="80"/>
        <v>11.3979</v>
      </c>
      <c r="M736">
        <f t="shared" si="81"/>
        <v>11397.9</v>
      </c>
      <c r="N736">
        <f t="shared" si="82"/>
        <v>10.80312452409</v>
      </c>
      <c r="O736">
        <f t="shared" si="83"/>
        <v>0.377872633839478</v>
      </c>
    </row>
    <row r="737" spans="6:15" x14ac:dyDescent="0.45">
      <c r="F737">
        <v>735</v>
      </c>
      <c r="G737">
        <v>9.3000000000000007</v>
      </c>
      <c r="H737">
        <f t="shared" si="78"/>
        <v>9.3000000000000007</v>
      </c>
      <c r="I737">
        <f t="shared" si="77"/>
        <v>2.5833333333333333E-3</v>
      </c>
      <c r="J737">
        <v>0.61</v>
      </c>
      <c r="K737">
        <f t="shared" si="79"/>
        <v>0.61</v>
      </c>
      <c r="L737">
        <f t="shared" si="80"/>
        <v>12.9229</v>
      </c>
      <c r="M737">
        <f t="shared" si="81"/>
        <v>12922.9</v>
      </c>
      <c r="N737">
        <f t="shared" si="82"/>
        <v>12.248545601589999</v>
      </c>
      <c r="O737">
        <f t="shared" si="83"/>
        <v>0.42843069862379823</v>
      </c>
    </row>
    <row r="738" spans="6:15" x14ac:dyDescent="0.45">
      <c r="F738">
        <v>736</v>
      </c>
      <c r="G738">
        <v>6.1</v>
      </c>
      <c r="H738">
        <f t="shared" si="78"/>
        <v>6.1</v>
      </c>
      <c r="I738">
        <f t="shared" si="77"/>
        <v>1.6944444444444444E-3</v>
      </c>
      <c r="J738">
        <v>1.29</v>
      </c>
      <c r="K738">
        <f t="shared" si="79"/>
        <v>1.29</v>
      </c>
      <c r="L738">
        <f t="shared" si="80"/>
        <v>14.6229</v>
      </c>
      <c r="M738">
        <f t="shared" si="81"/>
        <v>14622.9</v>
      </c>
      <c r="N738">
        <f t="shared" si="82"/>
        <v>13.859834671590001</v>
      </c>
      <c r="O738">
        <f t="shared" si="83"/>
        <v>0.48479050854730277</v>
      </c>
    </row>
    <row r="739" spans="6:15" x14ac:dyDescent="0.45">
      <c r="F739">
        <v>737</v>
      </c>
      <c r="G739">
        <v>2.6</v>
      </c>
      <c r="H739">
        <f t="shared" si="78"/>
        <v>2.6</v>
      </c>
      <c r="I739">
        <f t="shared" si="77"/>
        <v>7.222222222222223E-4</v>
      </c>
      <c r="J739">
        <v>0.69</v>
      </c>
      <c r="K739">
        <f t="shared" si="79"/>
        <v>0.69</v>
      </c>
      <c r="L739">
        <f t="shared" si="80"/>
        <v>13.1229</v>
      </c>
      <c r="M739">
        <f t="shared" si="81"/>
        <v>13122.9</v>
      </c>
      <c r="N739">
        <f t="shared" si="82"/>
        <v>12.43810902159</v>
      </c>
      <c r="O739">
        <f t="shared" si="83"/>
        <v>0.43506126449715171</v>
      </c>
    </row>
    <row r="740" spans="6:15" x14ac:dyDescent="0.45">
      <c r="F740">
        <v>738</v>
      </c>
      <c r="G740">
        <v>2.4</v>
      </c>
      <c r="H740">
        <f t="shared" si="78"/>
        <v>2.4</v>
      </c>
      <c r="I740">
        <f t="shared" si="77"/>
        <v>6.6666666666666664E-4</v>
      </c>
      <c r="J740">
        <v>0.98</v>
      </c>
      <c r="K740">
        <f t="shared" si="79"/>
        <v>0.98</v>
      </c>
      <c r="L740">
        <f t="shared" si="80"/>
        <v>13.847899999999999</v>
      </c>
      <c r="M740">
        <f t="shared" si="81"/>
        <v>13847.9</v>
      </c>
      <c r="N740">
        <f t="shared" si="82"/>
        <v>13.12527641909</v>
      </c>
      <c r="O740">
        <f t="shared" si="83"/>
        <v>0.45909706578805809</v>
      </c>
    </row>
    <row r="741" spans="6:15" x14ac:dyDescent="0.45">
      <c r="F741">
        <v>739</v>
      </c>
      <c r="G741">
        <v>1.6</v>
      </c>
      <c r="H741">
        <f t="shared" si="78"/>
        <v>1.6</v>
      </c>
      <c r="I741">
        <f t="shared" si="77"/>
        <v>4.4444444444444447E-4</v>
      </c>
      <c r="J741">
        <v>0.73</v>
      </c>
      <c r="K741">
        <f t="shared" si="79"/>
        <v>0.73</v>
      </c>
      <c r="L741">
        <f t="shared" si="80"/>
        <v>13.222899999999999</v>
      </c>
      <c r="M741">
        <f t="shared" si="81"/>
        <v>13222.9</v>
      </c>
      <c r="N741">
        <f t="shared" si="82"/>
        <v>12.532890731589999</v>
      </c>
      <c r="O741">
        <f t="shared" si="83"/>
        <v>0.43837654743382842</v>
      </c>
    </row>
    <row r="742" spans="6:15" x14ac:dyDescent="0.45">
      <c r="F742">
        <v>740</v>
      </c>
      <c r="G742">
        <v>0.3</v>
      </c>
      <c r="H742">
        <f t="shared" si="78"/>
        <v>0.3</v>
      </c>
      <c r="I742">
        <f t="shared" si="77"/>
        <v>8.3333333333333331E-5</v>
      </c>
      <c r="J742">
        <v>1.1499999999999999</v>
      </c>
      <c r="K742">
        <f t="shared" si="79"/>
        <v>1.1499999999999999</v>
      </c>
      <c r="L742">
        <f t="shared" si="80"/>
        <v>14.2729</v>
      </c>
      <c r="M742">
        <f t="shared" si="81"/>
        <v>14272.9</v>
      </c>
      <c r="N742">
        <f t="shared" si="82"/>
        <v>13.528098686590001</v>
      </c>
      <c r="O742">
        <f t="shared" si="83"/>
        <v>0.47318701826893422</v>
      </c>
    </row>
    <row r="743" spans="6:15" x14ac:dyDescent="0.45">
      <c r="F743">
        <v>741</v>
      </c>
      <c r="G743">
        <v>0.5</v>
      </c>
      <c r="H743">
        <f t="shared" si="78"/>
        <v>0.5</v>
      </c>
      <c r="I743">
        <f t="shared" si="77"/>
        <v>1.3888888888888889E-4</v>
      </c>
      <c r="J743">
        <v>0.94</v>
      </c>
      <c r="K743">
        <f t="shared" si="79"/>
        <v>0.94</v>
      </c>
      <c r="L743">
        <f t="shared" si="80"/>
        <v>13.7479</v>
      </c>
      <c r="M743">
        <f t="shared" si="81"/>
        <v>13747.9</v>
      </c>
      <c r="N743">
        <f t="shared" si="82"/>
        <v>13.03049470909</v>
      </c>
      <c r="O743">
        <f t="shared" si="83"/>
        <v>0.45578178285138127</v>
      </c>
    </row>
    <row r="744" spans="6:15" x14ac:dyDescent="0.45">
      <c r="F744">
        <v>742</v>
      </c>
      <c r="G744">
        <v>3.1</v>
      </c>
      <c r="H744">
        <f t="shared" si="78"/>
        <v>3.1</v>
      </c>
      <c r="I744">
        <f t="shared" si="77"/>
        <v>8.611111111111111E-4</v>
      </c>
      <c r="J744">
        <v>4.6100000000000003</v>
      </c>
      <c r="K744">
        <f t="shared" si="79"/>
        <v>4.6100000000000003</v>
      </c>
      <c r="L744">
        <f t="shared" si="80"/>
        <v>22.922899999999998</v>
      </c>
      <c r="M744">
        <f t="shared" si="81"/>
        <v>22922.899999999998</v>
      </c>
      <c r="N744">
        <f t="shared" si="82"/>
        <v>21.726716601589999</v>
      </c>
      <c r="O744">
        <f t="shared" si="83"/>
        <v>0.75995899229147201</v>
      </c>
    </row>
    <row r="745" spans="6:15" x14ac:dyDescent="0.45">
      <c r="F745">
        <v>743</v>
      </c>
      <c r="G745">
        <v>6.6</v>
      </c>
      <c r="H745">
        <f t="shared" si="78"/>
        <v>6.6</v>
      </c>
      <c r="I745">
        <f t="shared" si="77"/>
        <v>1.8333333333333333E-3</v>
      </c>
      <c r="J745">
        <v>5.73</v>
      </c>
      <c r="K745">
        <f t="shared" si="79"/>
        <v>5.73</v>
      </c>
      <c r="L745">
        <f t="shared" si="80"/>
        <v>25.722900000000003</v>
      </c>
      <c r="M745">
        <f t="shared" si="81"/>
        <v>25722.9</v>
      </c>
      <c r="N745">
        <f t="shared" si="82"/>
        <v>24.380604481590002</v>
      </c>
      <c r="O745">
        <f t="shared" si="83"/>
        <v>0.85278691451842081</v>
      </c>
    </row>
    <row r="746" spans="6:15" x14ac:dyDescent="0.45">
      <c r="F746">
        <v>744</v>
      </c>
      <c r="G746">
        <v>10</v>
      </c>
      <c r="H746">
        <f t="shared" si="78"/>
        <v>10</v>
      </c>
      <c r="I746">
        <f t="shared" si="77"/>
        <v>2.7777777777777779E-3</v>
      </c>
      <c r="J746">
        <v>18.440000000000001</v>
      </c>
      <c r="K746">
        <f t="shared" si="79"/>
        <v>18.440000000000001</v>
      </c>
      <c r="L746">
        <f t="shared" si="80"/>
        <v>57.497900000000001</v>
      </c>
      <c r="M746">
        <f t="shared" si="81"/>
        <v>57497.9</v>
      </c>
      <c r="N746">
        <f t="shared" si="82"/>
        <v>54.497492834090004</v>
      </c>
      <c r="O746">
        <f t="shared" si="83"/>
        <v>1.9062180676474545</v>
      </c>
    </row>
    <row r="747" spans="6:15" x14ac:dyDescent="0.45">
      <c r="F747">
        <v>745</v>
      </c>
      <c r="G747">
        <v>13.9</v>
      </c>
      <c r="H747">
        <f t="shared" si="78"/>
        <v>13.9</v>
      </c>
      <c r="I747">
        <f t="shared" si="77"/>
        <v>3.8611111111111112E-3</v>
      </c>
      <c r="J747">
        <v>24.34</v>
      </c>
      <c r="K747">
        <f t="shared" si="79"/>
        <v>24.34</v>
      </c>
      <c r="L747">
        <f t="shared" si="80"/>
        <v>72.247900000000001</v>
      </c>
      <c r="M747">
        <f t="shared" si="81"/>
        <v>72247.899999999994</v>
      </c>
      <c r="N747">
        <f t="shared" si="82"/>
        <v>68.477795059089999</v>
      </c>
      <c r="O747">
        <f t="shared" si="83"/>
        <v>2.3952223008072733</v>
      </c>
    </row>
    <row r="748" spans="6:15" x14ac:dyDescent="0.45">
      <c r="F748">
        <v>746</v>
      </c>
      <c r="G748">
        <v>16.100000000000001</v>
      </c>
      <c r="H748">
        <f t="shared" si="78"/>
        <v>16.100000000000001</v>
      </c>
      <c r="I748">
        <f t="shared" si="77"/>
        <v>4.4722222222222229E-3</v>
      </c>
      <c r="J748">
        <v>14.78</v>
      </c>
      <c r="K748">
        <f t="shared" si="79"/>
        <v>14.78</v>
      </c>
      <c r="L748">
        <f t="shared" si="80"/>
        <v>48.347899999999996</v>
      </c>
      <c r="M748">
        <f t="shared" si="81"/>
        <v>48347.899999999994</v>
      </c>
      <c r="N748">
        <f t="shared" si="82"/>
        <v>45.824966369089999</v>
      </c>
      <c r="O748">
        <f t="shared" si="83"/>
        <v>1.6028696789415326</v>
      </c>
    </row>
    <row r="749" spans="6:15" x14ac:dyDescent="0.45">
      <c r="F749">
        <v>747</v>
      </c>
      <c r="G749">
        <v>17.3</v>
      </c>
      <c r="H749">
        <f t="shared" si="78"/>
        <v>17.3</v>
      </c>
      <c r="I749">
        <f t="shared" si="77"/>
        <v>4.805555555555556E-3</v>
      </c>
      <c r="J749">
        <v>8.86</v>
      </c>
      <c r="K749">
        <f t="shared" si="79"/>
        <v>8.86</v>
      </c>
      <c r="L749">
        <f t="shared" si="80"/>
        <v>33.547899999999998</v>
      </c>
      <c r="M749">
        <f t="shared" si="81"/>
        <v>33547.9</v>
      </c>
      <c r="N749">
        <f t="shared" si="82"/>
        <v>31.797273289090004</v>
      </c>
      <c r="O749">
        <f t="shared" si="83"/>
        <v>1.1122078043133756</v>
      </c>
    </row>
    <row r="750" spans="6:15" x14ac:dyDescent="0.45">
      <c r="F750">
        <v>748</v>
      </c>
      <c r="G750">
        <v>18.5</v>
      </c>
      <c r="H750">
        <f t="shared" si="78"/>
        <v>18.5</v>
      </c>
      <c r="I750">
        <f t="shared" si="77"/>
        <v>5.138888888888889E-3</v>
      </c>
      <c r="J750">
        <v>11.52</v>
      </c>
      <c r="K750">
        <f t="shared" si="79"/>
        <v>11.52</v>
      </c>
      <c r="L750">
        <f t="shared" si="80"/>
        <v>40.197899999999997</v>
      </c>
      <c r="M750">
        <f t="shared" si="81"/>
        <v>40197.899999999994</v>
      </c>
      <c r="N750">
        <f t="shared" si="82"/>
        <v>38.100257004089997</v>
      </c>
      <c r="O750">
        <f t="shared" si="83"/>
        <v>1.3326741196023784</v>
      </c>
    </row>
    <row r="751" spans="6:15" x14ac:dyDescent="0.45">
      <c r="F751">
        <v>749</v>
      </c>
      <c r="G751">
        <v>19.899999999999999</v>
      </c>
      <c r="H751">
        <f t="shared" si="78"/>
        <v>19.899999999999999</v>
      </c>
      <c r="I751">
        <f t="shared" si="77"/>
        <v>5.5277777777777773E-3</v>
      </c>
      <c r="J751">
        <v>12.46</v>
      </c>
      <c r="K751">
        <f t="shared" si="79"/>
        <v>12.46</v>
      </c>
      <c r="L751">
        <f t="shared" si="80"/>
        <v>42.547899999999998</v>
      </c>
      <c r="M751">
        <f t="shared" si="81"/>
        <v>42547.9</v>
      </c>
      <c r="N751">
        <f t="shared" si="82"/>
        <v>40.327627189090002</v>
      </c>
      <c r="O751">
        <f t="shared" si="83"/>
        <v>1.4105832686142818</v>
      </c>
    </row>
    <row r="752" spans="6:15" x14ac:dyDescent="0.45">
      <c r="F752">
        <v>750</v>
      </c>
      <c r="G752">
        <v>21</v>
      </c>
      <c r="H752">
        <f t="shared" si="78"/>
        <v>21</v>
      </c>
      <c r="I752">
        <f t="shared" si="77"/>
        <v>5.8333333333333336E-3</v>
      </c>
      <c r="J752">
        <v>13.04</v>
      </c>
      <c r="K752">
        <f t="shared" si="79"/>
        <v>13.04</v>
      </c>
      <c r="L752">
        <f t="shared" si="80"/>
        <v>43.997899999999994</v>
      </c>
      <c r="M752">
        <f t="shared" si="81"/>
        <v>43997.899999999994</v>
      </c>
      <c r="N752">
        <f t="shared" si="82"/>
        <v>41.701961984089998</v>
      </c>
      <c r="O752">
        <f t="shared" si="83"/>
        <v>1.4586548711960945</v>
      </c>
    </row>
    <row r="753" spans="6:15" x14ac:dyDescent="0.45">
      <c r="F753">
        <v>751</v>
      </c>
      <c r="G753">
        <v>22.1</v>
      </c>
      <c r="H753">
        <f t="shared" si="78"/>
        <v>22.1</v>
      </c>
      <c r="I753">
        <f t="shared" si="77"/>
        <v>6.138888888888889E-3</v>
      </c>
      <c r="J753">
        <v>13.75</v>
      </c>
      <c r="K753">
        <f t="shared" si="79"/>
        <v>13.75</v>
      </c>
      <c r="L753">
        <f t="shared" si="80"/>
        <v>45.7729</v>
      </c>
      <c r="M753">
        <f t="shared" si="81"/>
        <v>45772.9</v>
      </c>
      <c r="N753">
        <f t="shared" si="82"/>
        <v>43.384337336590001</v>
      </c>
      <c r="O753">
        <f t="shared" si="83"/>
        <v>1.5175011433221071</v>
      </c>
    </row>
    <row r="754" spans="6:15" x14ac:dyDescent="0.45">
      <c r="F754">
        <v>752</v>
      </c>
      <c r="G754">
        <v>23.7</v>
      </c>
      <c r="H754">
        <f t="shared" si="78"/>
        <v>23.7</v>
      </c>
      <c r="I754">
        <f t="shared" si="77"/>
        <v>6.5833333333333334E-3</v>
      </c>
      <c r="J754">
        <v>15.73</v>
      </c>
      <c r="K754">
        <f t="shared" si="79"/>
        <v>15.73</v>
      </c>
      <c r="L754">
        <f t="shared" si="80"/>
        <v>50.722900000000003</v>
      </c>
      <c r="M754">
        <f t="shared" si="81"/>
        <v>50722.9</v>
      </c>
      <c r="N754">
        <f t="shared" si="82"/>
        <v>48.076031981590006</v>
      </c>
      <c r="O754">
        <f t="shared" si="83"/>
        <v>1.6816076486876055</v>
      </c>
    </row>
    <row r="755" spans="6:15" x14ac:dyDescent="0.45">
      <c r="F755">
        <v>753</v>
      </c>
      <c r="G755">
        <v>25.4</v>
      </c>
      <c r="H755">
        <f t="shared" si="78"/>
        <v>25.4</v>
      </c>
      <c r="I755">
        <f t="shared" si="77"/>
        <v>7.0555555555555554E-3</v>
      </c>
      <c r="J755">
        <v>20.96</v>
      </c>
      <c r="K755">
        <f t="shared" si="79"/>
        <v>20.96</v>
      </c>
      <c r="L755">
        <f t="shared" si="80"/>
        <v>63.797900000000006</v>
      </c>
      <c r="M755">
        <f t="shared" si="81"/>
        <v>63797.900000000009</v>
      </c>
      <c r="N755">
        <f t="shared" si="82"/>
        <v>60.468740564090012</v>
      </c>
      <c r="O755">
        <f t="shared" si="83"/>
        <v>2.1150808926580891</v>
      </c>
    </row>
    <row r="756" spans="6:15" x14ac:dyDescent="0.45">
      <c r="F756">
        <v>754</v>
      </c>
      <c r="G756">
        <v>26.9</v>
      </c>
      <c r="H756">
        <f t="shared" si="78"/>
        <v>26.9</v>
      </c>
      <c r="I756">
        <f t="shared" si="77"/>
        <v>7.4722222222222221E-3</v>
      </c>
      <c r="J756">
        <v>21.22</v>
      </c>
      <c r="K756">
        <f t="shared" si="79"/>
        <v>21.22</v>
      </c>
      <c r="L756">
        <f t="shared" si="80"/>
        <v>64.447900000000004</v>
      </c>
      <c r="M756">
        <f t="shared" si="81"/>
        <v>64447.9</v>
      </c>
      <c r="N756">
        <f t="shared" si="82"/>
        <v>61.084821679090005</v>
      </c>
      <c r="O756">
        <f t="shared" si="83"/>
        <v>2.1366302317464876</v>
      </c>
    </row>
    <row r="757" spans="6:15" x14ac:dyDescent="0.45">
      <c r="F757">
        <v>755</v>
      </c>
      <c r="G757">
        <v>27.6</v>
      </c>
      <c r="H757">
        <f t="shared" si="78"/>
        <v>27.6</v>
      </c>
      <c r="I757">
        <f t="shared" si="77"/>
        <v>7.6666666666666671E-3</v>
      </c>
      <c r="J757">
        <v>11.94</v>
      </c>
      <c r="K757">
        <f t="shared" si="79"/>
        <v>11.94</v>
      </c>
      <c r="L757">
        <f t="shared" si="80"/>
        <v>41.247900000000001</v>
      </c>
      <c r="M757">
        <f t="shared" si="81"/>
        <v>41247.9</v>
      </c>
      <c r="N757">
        <f t="shared" si="82"/>
        <v>39.095464959090002</v>
      </c>
      <c r="O757">
        <f t="shared" si="83"/>
        <v>1.3674845904374846</v>
      </c>
    </row>
    <row r="758" spans="6:15" x14ac:dyDescent="0.45">
      <c r="F758">
        <v>756</v>
      </c>
      <c r="G758">
        <v>28.2</v>
      </c>
      <c r="H758">
        <f t="shared" si="78"/>
        <v>28.2</v>
      </c>
      <c r="I758">
        <f t="shared" si="77"/>
        <v>7.8333333333333328E-3</v>
      </c>
      <c r="J758">
        <v>11.22</v>
      </c>
      <c r="K758">
        <f t="shared" si="79"/>
        <v>11.22</v>
      </c>
      <c r="L758">
        <f t="shared" si="80"/>
        <v>39.447900000000004</v>
      </c>
      <c r="M758">
        <f t="shared" si="81"/>
        <v>39447.9</v>
      </c>
      <c r="N758">
        <f t="shared" si="82"/>
        <v>37.389394179090004</v>
      </c>
      <c r="O758">
        <f t="shared" si="83"/>
        <v>1.3078094975773031</v>
      </c>
    </row>
    <row r="759" spans="6:15" x14ac:dyDescent="0.45">
      <c r="F759">
        <v>757</v>
      </c>
      <c r="G759">
        <v>28.5</v>
      </c>
      <c r="H759">
        <f t="shared" si="78"/>
        <v>28.5</v>
      </c>
      <c r="I759">
        <f t="shared" si="77"/>
        <v>7.9166666666666673E-3</v>
      </c>
      <c r="J759">
        <v>9.61</v>
      </c>
      <c r="K759">
        <f t="shared" si="79"/>
        <v>9.61</v>
      </c>
      <c r="L759">
        <f t="shared" si="80"/>
        <v>35.422899999999998</v>
      </c>
      <c r="M759">
        <f t="shared" si="81"/>
        <v>35422.9</v>
      </c>
      <c r="N759">
        <f t="shared" si="82"/>
        <v>33.574430351590003</v>
      </c>
      <c r="O759">
        <f t="shared" si="83"/>
        <v>1.1743693593760645</v>
      </c>
    </row>
    <row r="760" spans="6:15" x14ac:dyDescent="0.45">
      <c r="F760">
        <v>758</v>
      </c>
      <c r="G760">
        <v>28.6</v>
      </c>
      <c r="H760">
        <f t="shared" si="78"/>
        <v>28.6</v>
      </c>
      <c r="I760">
        <f t="shared" si="77"/>
        <v>7.9444444444444449E-3</v>
      </c>
      <c r="J760">
        <v>7.44</v>
      </c>
      <c r="K760">
        <f t="shared" si="79"/>
        <v>7.44</v>
      </c>
      <c r="L760">
        <f t="shared" si="80"/>
        <v>29.997900000000001</v>
      </c>
      <c r="M760">
        <f t="shared" si="81"/>
        <v>29997.9</v>
      </c>
      <c r="N760">
        <f t="shared" si="82"/>
        <v>28.432522584090002</v>
      </c>
      <c r="O760">
        <f t="shared" si="83"/>
        <v>0.99451526006135138</v>
      </c>
    </row>
    <row r="761" spans="6:15" x14ac:dyDescent="0.45">
      <c r="F761">
        <v>759</v>
      </c>
      <c r="G761">
        <v>28.8</v>
      </c>
      <c r="H761">
        <f t="shared" si="78"/>
        <v>28.8</v>
      </c>
      <c r="I761">
        <f t="shared" si="77"/>
        <v>8.0000000000000002E-3</v>
      </c>
      <c r="J761">
        <v>5.87</v>
      </c>
      <c r="K761">
        <f t="shared" si="79"/>
        <v>5.87</v>
      </c>
      <c r="L761">
        <f t="shared" si="80"/>
        <v>26.072900000000001</v>
      </c>
      <c r="M761">
        <f t="shared" si="81"/>
        <v>26072.9</v>
      </c>
      <c r="N761">
        <f t="shared" si="82"/>
        <v>24.712340466590003</v>
      </c>
      <c r="O761">
        <f t="shared" si="83"/>
        <v>0.86439040479678941</v>
      </c>
    </row>
    <row r="762" spans="6:15" x14ac:dyDescent="0.45">
      <c r="F762">
        <v>760</v>
      </c>
      <c r="G762">
        <v>29</v>
      </c>
      <c r="H762">
        <f t="shared" si="78"/>
        <v>29</v>
      </c>
      <c r="I762">
        <f t="shared" si="77"/>
        <v>8.0555555555555554E-3</v>
      </c>
      <c r="J762">
        <v>5.95</v>
      </c>
      <c r="K762">
        <f t="shared" si="79"/>
        <v>5.95</v>
      </c>
      <c r="L762">
        <f t="shared" si="80"/>
        <v>26.2729</v>
      </c>
      <c r="M762">
        <f t="shared" si="81"/>
        <v>26272.9</v>
      </c>
      <c r="N762">
        <f t="shared" si="82"/>
        <v>24.901903886590002</v>
      </c>
      <c r="O762">
        <f t="shared" si="83"/>
        <v>0.87102097067014295</v>
      </c>
    </row>
    <row r="763" spans="6:15" x14ac:dyDescent="0.45">
      <c r="F763">
        <v>761</v>
      </c>
      <c r="G763">
        <v>28.9</v>
      </c>
      <c r="H763">
        <f t="shared" si="78"/>
        <v>28.9</v>
      </c>
      <c r="I763">
        <f t="shared" si="77"/>
        <v>8.0277777777777778E-3</v>
      </c>
      <c r="J763">
        <v>3.44</v>
      </c>
      <c r="K763">
        <f t="shared" si="79"/>
        <v>3.44</v>
      </c>
      <c r="L763">
        <f t="shared" si="80"/>
        <v>19.997900000000001</v>
      </c>
      <c r="M763">
        <f t="shared" si="81"/>
        <v>19997.900000000001</v>
      </c>
      <c r="N763">
        <f t="shared" si="82"/>
        <v>18.954351584090002</v>
      </c>
      <c r="O763">
        <f t="shared" si="83"/>
        <v>0.66298696639367749</v>
      </c>
    </row>
    <row r="764" spans="6:15" x14ac:dyDescent="0.45">
      <c r="F764">
        <v>762</v>
      </c>
      <c r="G764">
        <v>28.8</v>
      </c>
      <c r="H764">
        <f t="shared" si="78"/>
        <v>28.8</v>
      </c>
      <c r="I764">
        <f t="shared" si="77"/>
        <v>8.0000000000000002E-3</v>
      </c>
      <c r="J764">
        <v>2.71</v>
      </c>
      <c r="K764">
        <f t="shared" si="79"/>
        <v>2.71</v>
      </c>
      <c r="L764">
        <f t="shared" si="80"/>
        <v>18.172899999999998</v>
      </c>
      <c r="M764">
        <f t="shared" si="81"/>
        <v>18172.899999999998</v>
      </c>
      <c r="N764">
        <f t="shared" si="82"/>
        <v>17.224585376589999</v>
      </c>
      <c r="O764">
        <f t="shared" si="83"/>
        <v>0.6024830527993269</v>
      </c>
    </row>
    <row r="765" spans="6:15" x14ac:dyDescent="0.45">
      <c r="F765">
        <v>763</v>
      </c>
      <c r="G765">
        <v>28.5</v>
      </c>
      <c r="H765">
        <f t="shared" si="78"/>
        <v>28.5</v>
      </c>
      <c r="I765">
        <f t="shared" si="77"/>
        <v>7.9166666666666673E-3</v>
      </c>
      <c r="J765">
        <v>0.88</v>
      </c>
      <c r="K765">
        <f t="shared" si="79"/>
        <v>0.88</v>
      </c>
      <c r="L765">
        <f t="shared" si="80"/>
        <v>13.597899999999999</v>
      </c>
      <c r="M765">
        <f t="shared" si="81"/>
        <v>13597.9</v>
      </c>
      <c r="N765">
        <f t="shared" si="82"/>
        <v>12.888322144090001</v>
      </c>
      <c r="O765">
        <f t="shared" si="83"/>
        <v>0.4508088584463662</v>
      </c>
    </row>
    <row r="766" spans="6:15" x14ac:dyDescent="0.45">
      <c r="F766">
        <v>764</v>
      </c>
      <c r="G766">
        <v>28.4</v>
      </c>
      <c r="H766">
        <f t="shared" si="78"/>
        <v>28.4</v>
      </c>
      <c r="I766">
        <f t="shared" si="77"/>
        <v>7.888888888888888E-3</v>
      </c>
      <c r="J766">
        <v>4.0599999999999996</v>
      </c>
      <c r="K766">
        <f t="shared" si="79"/>
        <v>4.0599999999999996</v>
      </c>
      <c r="L766">
        <f t="shared" si="80"/>
        <v>21.547899999999998</v>
      </c>
      <c r="M766">
        <f t="shared" si="81"/>
        <v>21547.899999999998</v>
      </c>
      <c r="N766">
        <f t="shared" si="82"/>
        <v>20.423468089089997</v>
      </c>
      <c r="O766">
        <f t="shared" si="83"/>
        <v>0.71437385191216696</v>
      </c>
    </row>
    <row r="767" spans="6:15" x14ac:dyDescent="0.45">
      <c r="F767">
        <v>765</v>
      </c>
      <c r="G767">
        <v>28.4</v>
      </c>
      <c r="H767">
        <f t="shared" si="78"/>
        <v>28.4</v>
      </c>
      <c r="I767">
        <f t="shared" si="77"/>
        <v>7.888888888888888E-3</v>
      </c>
      <c r="J767">
        <v>3.74</v>
      </c>
      <c r="K767">
        <f t="shared" si="79"/>
        <v>3.74</v>
      </c>
      <c r="L767">
        <f t="shared" si="80"/>
        <v>20.747900000000001</v>
      </c>
      <c r="M767">
        <f t="shared" si="81"/>
        <v>20747.900000000001</v>
      </c>
      <c r="N767">
        <f t="shared" si="82"/>
        <v>19.665214409090002</v>
      </c>
      <c r="O767">
        <f t="shared" si="83"/>
        <v>0.68785158841875305</v>
      </c>
    </row>
    <row r="768" spans="6:15" x14ac:dyDescent="0.45">
      <c r="F768">
        <v>766</v>
      </c>
      <c r="G768">
        <v>28.2</v>
      </c>
      <c r="H768">
        <f t="shared" si="78"/>
        <v>28.2</v>
      </c>
      <c r="I768">
        <f t="shared" si="77"/>
        <v>7.8333333333333328E-3</v>
      </c>
      <c r="J768">
        <v>2.0699999999999998</v>
      </c>
      <c r="K768">
        <f t="shared" si="79"/>
        <v>2.0699999999999998</v>
      </c>
      <c r="L768">
        <f t="shared" si="80"/>
        <v>16.572900000000001</v>
      </c>
      <c r="M768">
        <f t="shared" si="81"/>
        <v>16572.900000000001</v>
      </c>
      <c r="N768">
        <f t="shared" si="82"/>
        <v>15.708078016590003</v>
      </c>
      <c r="O768">
        <f t="shared" si="83"/>
        <v>0.5494385258124993</v>
      </c>
    </row>
    <row r="769" spans="6:15" x14ac:dyDescent="0.45">
      <c r="F769">
        <v>767</v>
      </c>
      <c r="G769">
        <v>28</v>
      </c>
      <c r="H769">
        <f t="shared" si="78"/>
        <v>28</v>
      </c>
      <c r="I769">
        <f t="shared" si="77"/>
        <v>7.7777777777777776E-3</v>
      </c>
      <c r="J769">
        <v>1.39</v>
      </c>
      <c r="K769">
        <f t="shared" si="79"/>
        <v>1.39</v>
      </c>
      <c r="L769">
        <f t="shared" si="80"/>
        <v>14.8729</v>
      </c>
      <c r="M769">
        <f t="shared" si="81"/>
        <v>14872.9</v>
      </c>
      <c r="N769">
        <f t="shared" si="82"/>
        <v>14.096788946589999</v>
      </c>
      <c r="O769">
        <f t="shared" si="83"/>
        <v>0.49307871588899466</v>
      </c>
    </row>
    <row r="770" spans="6:15" x14ac:dyDescent="0.45">
      <c r="F770">
        <v>768</v>
      </c>
      <c r="G770">
        <v>27.8</v>
      </c>
      <c r="H770">
        <f t="shared" si="78"/>
        <v>27.8</v>
      </c>
      <c r="I770">
        <f t="shared" ref="I770:I833" si="84">H770*(1/3600)</f>
        <v>7.7222222222222223E-3</v>
      </c>
      <c r="J770">
        <v>2.0099999999999998</v>
      </c>
      <c r="K770">
        <f t="shared" si="79"/>
        <v>2.0099999999999998</v>
      </c>
      <c r="L770">
        <f t="shared" si="80"/>
        <v>16.422899999999998</v>
      </c>
      <c r="M770">
        <f t="shared" si="81"/>
        <v>16422.899999999998</v>
      </c>
      <c r="N770">
        <f t="shared" si="82"/>
        <v>15.565905451589998</v>
      </c>
      <c r="O770">
        <f t="shared" si="83"/>
        <v>0.54446560140748401</v>
      </c>
    </row>
    <row r="771" spans="6:15" x14ac:dyDescent="0.45">
      <c r="F771">
        <v>769</v>
      </c>
      <c r="G771">
        <v>27.7</v>
      </c>
      <c r="H771">
        <f t="shared" ref="H771:H834" si="85">IF(G771&lt;0,0,G771)</f>
        <v>27.7</v>
      </c>
      <c r="I771">
        <f t="shared" si="84"/>
        <v>7.6944444444444439E-3</v>
      </c>
      <c r="J771">
        <v>2.0499999999999998</v>
      </c>
      <c r="K771">
        <f t="shared" ref="K771:K834" si="86">IF(J771&lt;0,0,J771)</f>
        <v>2.0499999999999998</v>
      </c>
      <c r="L771">
        <f t="shared" ref="L771:L834" si="87">(1/$B$5)*K771+((3.4798*$B$6)+0.9585)</f>
        <v>16.5229</v>
      </c>
      <c r="M771">
        <f t="shared" ref="M771:M834" si="88">L771*1000</f>
        <v>16522.900000000001</v>
      </c>
      <c r="N771">
        <f t="shared" ref="N771:N834" si="89">M771*0.0009478171</f>
        <v>15.660687161590001</v>
      </c>
      <c r="O771">
        <f t="shared" ref="O771:O834" si="90">(M771*453.59237)/(18489*0.74*1000)</f>
        <v>0.54778088434416083</v>
      </c>
    </row>
    <row r="772" spans="6:15" x14ac:dyDescent="0.45">
      <c r="F772">
        <v>770</v>
      </c>
      <c r="G772">
        <v>27.5</v>
      </c>
      <c r="H772">
        <f t="shared" si="85"/>
        <v>27.5</v>
      </c>
      <c r="I772">
        <f t="shared" si="84"/>
        <v>7.6388888888888886E-3</v>
      </c>
      <c r="J772">
        <v>2.78</v>
      </c>
      <c r="K772">
        <f t="shared" si="86"/>
        <v>2.78</v>
      </c>
      <c r="L772">
        <f t="shared" si="87"/>
        <v>18.347899999999999</v>
      </c>
      <c r="M772">
        <f t="shared" si="88"/>
        <v>18347.899999999998</v>
      </c>
      <c r="N772">
        <f t="shared" si="89"/>
        <v>17.390453369089997</v>
      </c>
      <c r="O772">
        <f t="shared" si="90"/>
        <v>0.6082847979385112</v>
      </c>
    </row>
    <row r="773" spans="6:15" x14ac:dyDescent="0.45">
      <c r="F773">
        <v>771</v>
      </c>
      <c r="G773">
        <v>27.5</v>
      </c>
      <c r="H773">
        <f t="shared" si="85"/>
        <v>27.5</v>
      </c>
      <c r="I773">
        <f t="shared" si="84"/>
        <v>7.6388888888888886E-3</v>
      </c>
      <c r="J773">
        <v>4.6900000000000004</v>
      </c>
      <c r="K773">
        <f t="shared" si="86"/>
        <v>4.6900000000000004</v>
      </c>
      <c r="L773">
        <f t="shared" si="87"/>
        <v>23.122900000000001</v>
      </c>
      <c r="M773">
        <f t="shared" si="88"/>
        <v>23122.9</v>
      </c>
      <c r="N773">
        <f t="shared" si="89"/>
        <v>21.916280021590001</v>
      </c>
      <c r="O773">
        <f t="shared" si="90"/>
        <v>0.76658955816482555</v>
      </c>
    </row>
    <row r="774" spans="6:15" x14ac:dyDescent="0.45">
      <c r="F774">
        <v>772</v>
      </c>
      <c r="G774">
        <v>27.6</v>
      </c>
      <c r="H774">
        <f t="shared" si="85"/>
        <v>27.6</v>
      </c>
      <c r="I774">
        <f t="shared" si="84"/>
        <v>7.6666666666666671E-3</v>
      </c>
      <c r="J774">
        <v>3.52</v>
      </c>
      <c r="K774">
        <f t="shared" si="86"/>
        <v>3.52</v>
      </c>
      <c r="L774">
        <f t="shared" si="87"/>
        <v>20.197900000000001</v>
      </c>
      <c r="M774">
        <f t="shared" si="88"/>
        <v>20197.900000000001</v>
      </c>
      <c r="N774">
        <f t="shared" si="89"/>
        <v>19.143915004090001</v>
      </c>
      <c r="O774">
        <f t="shared" si="90"/>
        <v>0.66961753226703113</v>
      </c>
    </row>
    <row r="775" spans="6:15" x14ac:dyDescent="0.45">
      <c r="F775">
        <v>773</v>
      </c>
      <c r="G775">
        <v>27.5</v>
      </c>
      <c r="H775">
        <f t="shared" si="85"/>
        <v>27.5</v>
      </c>
      <c r="I775">
        <f t="shared" si="84"/>
        <v>7.6388888888888886E-3</v>
      </c>
      <c r="J775">
        <v>3.61</v>
      </c>
      <c r="K775">
        <f t="shared" si="86"/>
        <v>3.61</v>
      </c>
      <c r="L775">
        <f t="shared" si="87"/>
        <v>20.422899999999998</v>
      </c>
      <c r="M775">
        <f t="shared" si="88"/>
        <v>20422.899999999998</v>
      </c>
      <c r="N775">
        <f t="shared" si="89"/>
        <v>19.357173851589998</v>
      </c>
      <c r="O775">
        <f t="shared" si="90"/>
        <v>0.67707691887455346</v>
      </c>
    </row>
    <row r="776" spans="6:15" x14ac:dyDescent="0.45">
      <c r="F776">
        <v>774</v>
      </c>
      <c r="G776">
        <v>27.6</v>
      </c>
      <c r="H776">
        <f t="shared" si="85"/>
        <v>27.6</v>
      </c>
      <c r="I776">
        <f t="shared" si="84"/>
        <v>7.6666666666666671E-3</v>
      </c>
      <c r="J776">
        <v>6.44</v>
      </c>
      <c r="K776">
        <f t="shared" si="86"/>
        <v>6.44</v>
      </c>
      <c r="L776">
        <f t="shared" si="87"/>
        <v>27.497900000000001</v>
      </c>
      <c r="M776">
        <f t="shared" si="88"/>
        <v>27497.9</v>
      </c>
      <c r="N776">
        <f t="shared" si="89"/>
        <v>26.062979834090001</v>
      </c>
      <c r="O776">
        <f t="shared" si="90"/>
        <v>0.91163318664443294</v>
      </c>
    </row>
    <row r="777" spans="6:15" x14ac:dyDescent="0.45">
      <c r="F777">
        <v>775</v>
      </c>
      <c r="G777">
        <v>28</v>
      </c>
      <c r="H777">
        <f t="shared" si="85"/>
        <v>28</v>
      </c>
      <c r="I777">
        <f t="shared" si="84"/>
        <v>7.7777777777777776E-3</v>
      </c>
      <c r="J777">
        <v>7.53</v>
      </c>
      <c r="K777">
        <f t="shared" si="86"/>
        <v>7.53</v>
      </c>
      <c r="L777">
        <f t="shared" si="87"/>
        <v>30.222899999999999</v>
      </c>
      <c r="M777">
        <f t="shared" si="88"/>
        <v>30222.899999999998</v>
      </c>
      <c r="N777">
        <f t="shared" si="89"/>
        <v>28.645781431589999</v>
      </c>
      <c r="O777">
        <f t="shared" si="90"/>
        <v>1.0019746466688739</v>
      </c>
    </row>
    <row r="778" spans="6:15" x14ac:dyDescent="0.45">
      <c r="F778">
        <v>776</v>
      </c>
      <c r="G778">
        <v>28.7</v>
      </c>
      <c r="H778">
        <f t="shared" si="85"/>
        <v>28.7</v>
      </c>
      <c r="I778">
        <f t="shared" si="84"/>
        <v>7.9722222222222226E-3</v>
      </c>
      <c r="J778">
        <v>13.92</v>
      </c>
      <c r="K778">
        <f t="shared" si="86"/>
        <v>13.92</v>
      </c>
      <c r="L778">
        <f t="shared" si="87"/>
        <v>46.197899999999997</v>
      </c>
      <c r="M778">
        <f t="shared" si="88"/>
        <v>46197.899999999994</v>
      </c>
      <c r="N778">
        <f t="shared" si="89"/>
        <v>43.787159604089993</v>
      </c>
      <c r="O778">
        <f t="shared" si="90"/>
        <v>1.5315910958029828</v>
      </c>
    </row>
    <row r="779" spans="6:15" x14ac:dyDescent="0.45">
      <c r="F779">
        <v>777</v>
      </c>
      <c r="G779">
        <v>29.8</v>
      </c>
      <c r="H779">
        <f t="shared" si="85"/>
        <v>29.8</v>
      </c>
      <c r="I779">
        <f t="shared" si="84"/>
        <v>8.277777777777778E-3</v>
      </c>
      <c r="J779">
        <v>15.94</v>
      </c>
      <c r="K779">
        <f t="shared" si="86"/>
        <v>15.94</v>
      </c>
      <c r="L779">
        <f t="shared" si="87"/>
        <v>51.247900000000001</v>
      </c>
      <c r="M779">
        <f t="shared" si="88"/>
        <v>51247.9</v>
      </c>
      <c r="N779">
        <f t="shared" si="89"/>
        <v>48.573635959090005</v>
      </c>
      <c r="O779">
        <f t="shared" si="90"/>
        <v>1.6990128841051584</v>
      </c>
    </row>
    <row r="780" spans="6:15" x14ac:dyDescent="0.45">
      <c r="F780">
        <v>778</v>
      </c>
      <c r="G780">
        <v>30.9</v>
      </c>
      <c r="H780">
        <f t="shared" si="85"/>
        <v>30.9</v>
      </c>
      <c r="I780">
        <f t="shared" si="84"/>
        <v>8.5833333333333334E-3</v>
      </c>
      <c r="J780">
        <v>15.23</v>
      </c>
      <c r="K780">
        <f t="shared" si="86"/>
        <v>15.23</v>
      </c>
      <c r="L780">
        <f t="shared" si="87"/>
        <v>49.472900000000003</v>
      </c>
      <c r="M780">
        <f t="shared" si="88"/>
        <v>49472.9</v>
      </c>
      <c r="N780">
        <f t="shared" si="89"/>
        <v>46.891260606590002</v>
      </c>
      <c r="O780">
        <f t="shared" si="90"/>
        <v>1.6401666119791463</v>
      </c>
    </row>
    <row r="781" spans="6:15" x14ac:dyDescent="0.45">
      <c r="F781">
        <v>779</v>
      </c>
      <c r="G781">
        <v>31.9</v>
      </c>
      <c r="H781">
        <f t="shared" si="85"/>
        <v>31.9</v>
      </c>
      <c r="I781">
        <f t="shared" si="84"/>
        <v>8.8611111111111113E-3</v>
      </c>
      <c r="J781">
        <v>14.87</v>
      </c>
      <c r="K781">
        <f t="shared" si="86"/>
        <v>14.87</v>
      </c>
      <c r="L781">
        <f t="shared" si="87"/>
        <v>48.572899999999997</v>
      </c>
      <c r="M781">
        <f t="shared" si="88"/>
        <v>48572.899999999994</v>
      </c>
      <c r="N781">
        <f t="shared" si="89"/>
        <v>46.038225216589993</v>
      </c>
      <c r="O781">
        <f t="shared" si="90"/>
        <v>1.6103290655490554</v>
      </c>
    </row>
    <row r="782" spans="6:15" x14ac:dyDescent="0.45">
      <c r="F782">
        <v>780</v>
      </c>
      <c r="G782">
        <v>32.9</v>
      </c>
      <c r="H782">
        <f t="shared" si="85"/>
        <v>32.9</v>
      </c>
      <c r="I782">
        <f t="shared" si="84"/>
        <v>9.1388888888888891E-3</v>
      </c>
      <c r="J782">
        <v>14.38</v>
      </c>
      <c r="K782">
        <f t="shared" si="86"/>
        <v>14.38</v>
      </c>
      <c r="L782">
        <f t="shared" si="87"/>
        <v>47.347900000000003</v>
      </c>
      <c r="M782">
        <f t="shared" si="88"/>
        <v>47347.9</v>
      </c>
      <c r="N782">
        <f t="shared" si="89"/>
        <v>44.877149269090005</v>
      </c>
      <c r="O782">
        <f t="shared" si="90"/>
        <v>1.5697168495747655</v>
      </c>
    </row>
    <row r="783" spans="6:15" x14ac:dyDescent="0.45">
      <c r="F783">
        <v>781</v>
      </c>
      <c r="G783">
        <v>33.1</v>
      </c>
      <c r="H783">
        <f t="shared" si="85"/>
        <v>33.1</v>
      </c>
      <c r="I783">
        <f t="shared" si="84"/>
        <v>9.1944444444444443E-3</v>
      </c>
      <c r="J783">
        <v>7.51</v>
      </c>
      <c r="K783">
        <f t="shared" si="86"/>
        <v>7.51</v>
      </c>
      <c r="L783">
        <f t="shared" si="87"/>
        <v>30.172899999999998</v>
      </c>
      <c r="M783">
        <f t="shared" si="88"/>
        <v>30172.899999999998</v>
      </c>
      <c r="N783">
        <f t="shared" si="89"/>
        <v>28.598390576589999</v>
      </c>
      <c r="O783">
        <f t="shared" si="90"/>
        <v>1.0003170052005357</v>
      </c>
    </row>
    <row r="784" spans="6:15" x14ac:dyDescent="0.45">
      <c r="F784">
        <v>782</v>
      </c>
      <c r="G784">
        <v>33.700000000000003</v>
      </c>
      <c r="H784">
        <f t="shared" si="85"/>
        <v>33.700000000000003</v>
      </c>
      <c r="I784">
        <f t="shared" si="84"/>
        <v>9.3611111111111117E-3</v>
      </c>
      <c r="J784">
        <v>16.579999999999998</v>
      </c>
      <c r="K784">
        <f t="shared" si="86"/>
        <v>16.579999999999998</v>
      </c>
      <c r="L784">
        <f t="shared" si="87"/>
        <v>52.847899999999996</v>
      </c>
      <c r="M784">
        <f t="shared" si="88"/>
        <v>52847.899999999994</v>
      </c>
      <c r="N784">
        <f t="shared" si="89"/>
        <v>50.090143319089997</v>
      </c>
      <c r="O784">
        <f t="shared" si="90"/>
        <v>1.752057411091986</v>
      </c>
    </row>
    <row r="785" spans="6:15" x14ac:dyDescent="0.45">
      <c r="F785">
        <v>783</v>
      </c>
      <c r="G785">
        <v>34.200000000000003</v>
      </c>
      <c r="H785">
        <f t="shared" si="85"/>
        <v>34.200000000000003</v>
      </c>
      <c r="I785">
        <f t="shared" si="84"/>
        <v>9.5000000000000015E-3</v>
      </c>
      <c r="J785">
        <v>13.23</v>
      </c>
      <c r="K785">
        <f t="shared" si="86"/>
        <v>13.23</v>
      </c>
      <c r="L785">
        <f t="shared" si="87"/>
        <v>44.472900000000003</v>
      </c>
      <c r="M785">
        <f t="shared" si="88"/>
        <v>44472.9</v>
      </c>
      <c r="N785">
        <f t="shared" si="89"/>
        <v>42.152175106590001</v>
      </c>
      <c r="O785">
        <f t="shared" si="90"/>
        <v>1.4744024651453094</v>
      </c>
    </row>
    <row r="786" spans="6:15" x14ac:dyDescent="0.45">
      <c r="F786">
        <v>784</v>
      </c>
      <c r="G786">
        <v>34.6</v>
      </c>
      <c r="H786">
        <f t="shared" si="85"/>
        <v>34.6</v>
      </c>
      <c r="I786">
        <f t="shared" si="84"/>
        <v>9.6111111111111119E-3</v>
      </c>
      <c r="J786">
        <v>15.24</v>
      </c>
      <c r="K786">
        <f t="shared" si="86"/>
        <v>15.24</v>
      </c>
      <c r="L786">
        <f t="shared" si="87"/>
        <v>49.497900000000001</v>
      </c>
      <c r="M786">
        <f t="shared" si="88"/>
        <v>49497.9</v>
      </c>
      <c r="N786">
        <f t="shared" si="89"/>
        <v>46.914956034090004</v>
      </c>
      <c r="O786">
        <f t="shared" si="90"/>
        <v>1.6409954327133154</v>
      </c>
    </row>
    <row r="787" spans="6:15" x14ac:dyDescent="0.45">
      <c r="F787">
        <v>785</v>
      </c>
      <c r="G787">
        <v>34.5</v>
      </c>
      <c r="H787">
        <f t="shared" si="85"/>
        <v>34.5</v>
      </c>
      <c r="I787">
        <f t="shared" si="84"/>
        <v>9.5833333333333326E-3</v>
      </c>
      <c r="J787">
        <v>4.09</v>
      </c>
      <c r="K787">
        <f t="shared" si="86"/>
        <v>4.09</v>
      </c>
      <c r="L787">
        <f t="shared" si="87"/>
        <v>21.622900000000001</v>
      </c>
      <c r="M787">
        <f t="shared" si="88"/>
        <v>21622.9</v>
      </c>
      <c r="N787">
        <f t="shared" si="89"/>
        <v>20.494554371590002</v>
      </c>
      <c r="O787">
        <f t="shared" si="90"/>
        <v>0.71686031411467455</v>
      </c>
    </row>
    <row r="788" spans="6:15" x14ac:dyDescent="0.45">
      <c r="F788">
        <v>786</v>
      </c>
      <c r="G788">
        <v>34.299999999999997</v>
      </c>
      <c r="H788">
        <f t="shared" si="85"/>
        <v>34.299999999999997</v>
      </c>
      <c r="I788">
        <f t="shared" si="84"/>
        <v>9.5277777777777774E-3</v>
      </c>
      <c r="J788">
        <v>3.08</v>
      </c>
      <c r="K788">
        <f t="shared" si="86"/>
        <v>3.08</v>
      </c>
      <c r="L788">
        <f t="shared" si="87"/>
        <v>19.097899999999999</v>
      </c>
      <c r="M788">
        <f t="shared" si="88"/>
        <v>19097.899999999998</v>
      </c>
      <c r="N788">
        <f t="shared" si="89"/>
        <v>18.10131619409</v>
      </c>
      <c r="O788">
        <f t="shared" si="90"/>
        <v>0.63314941996358676</v>
      </c>
    </row>
    <row r="789" spans="6:15" x14ac:dyDescent="0.45">
      <c r="F789">
        <v>787</v>
      </c>
      <c r="G789">
        <v>34.1</v>
      </c>
      <c r="H789">
        <f t="shared" si="85"/>
        <v>34.1</v>
      </c>
      <c r="I789">
        <f t="shared" si="84"/>
        <v>9.4722222222222222E-3</v>
      </c>
      <c r="J789">
        <v>7.44</v>
      </c>
      <c r="K789">
        <f t="shared" si="86"/>
        <v>7.44</v>
      </c>
      <c r="L789">
        <f t="shared" si="87"/>
        <v>29.997900000000001</v>
      </c>
      <c r="M789">
        <f t="shared" si="88"/>
        <v>29997.9</v>
      </c>
      <c r="N789">
        <f t="shared" si="89"/>
        <v>28.432522584090002</v>
      </c>
      <c r="O789">
        <f t="shared" si="90"/>
        <v>0.99451526006135138</v>
      </c>
    </row>
    <row r="790" spans="6:15" x14ac:dyDescent="0.45">
      <c r="F790">
        <v>788</v>
      </c>
      <c r="G790">
        <v>33.9</v>
      </c>
      <c r="H790">
        <f t="shared" si="85"/>
        <v>33.9</v>
      </c>
      <c r="I790">
        <f t="shared" si="84"/>
        <v>9.4166666666666669E-3</v>
      </c>
      <c r="J790">
        <v>1.02</v>
      </c>
      <c r="K790">
        <f t="shared" si="86"/>
        <v>1.02</v>
      </c>
      <c r="L790">
        <f t="shared" si="87"/>
        <v>13.947900000000001</v>
      </c>
      <c r="M790">
        <f t="shared" si="88"/>
        <v>13947.900000000001</v>
      </c>
      <c r="N790">
        <f t="shared" si="89"/>
        <v>13.220058129090003</v>
      </c>
      <c r="O790">
        <f t="shared" si="90"/>
        <v>0.46241234872473486</v>
      </c>
    </row>
    <row r="791" spans="6:15" x14ac:dyDescent="0.45">
      <c r="F791">
        <v>789</v>
      </c>
      <c r="G791">
        <v>33.5</v>
      </c>
      <c r="H791">
        <f t="shared" si="85"/>
        <v>33.5</v>
      </c>
      <c r="I791">
        <f t="shared" si="84"/>
        <v>9.3055555555555548E-3</v>
      </c>
      <c r="J791">
        <v>0.55000000000000004</v>
      </c>
      <c r="K791">
        <f t="shared" si="86"/>
        <v>0.55000000000000004</v>
      </c>
      <c r="L791">
        <f t="shared" si="87"/>
        <v>12.7729</v>
      </c>
      <c r="M791">
        <f t="shared" si="88"/>
        <v>12772.9</v>
      </c>
      <c r="N791">
        <f t="shared" si="89"/>
        <v>12.10637303659</v>
      </c>
      <c r="O791">
        <f t="shared" si="90"/>
        <v>0.42345777421878317</v>
      </c>
    </row>
    <row r="792" spans="6:15" x14ac:dyDescent="0.45">
      <c r="F792">
        <v>790</v>
      </c>
      <c r="G792">
        <v>33.200000000000003</v>
      </c>
      <c r="H792">
        <f t="shared" si="85"/>
        <v>33.200000000000003</v>
      </c>
      <c r="I792">
        <f t="shared" si="84"/>
        <v>9.2222222222222237E-3</v>
      </c>
      <c r="J792">
        <v>0.84</v>
      </c>
      <c r="K792">
        <f t="shared" si="86"/>
        <v>0.84</v>
      </c>
      <c r="L792">
        <f t="shared" si="87"/>
        <v>13.4979</v>
      </c>
      <c r="M792">
        <f t="shared" si="88"/>
        <v>13497.9</v>
      </c>
      <c r="N792">
        <f t="shared" si="89"/>
        <v>12.79354043409</v>
      </c>
      <c r="O792">
        <f t="shared" si="90"/>
        <v>0.44749357550968949</v>
      </c>
    </row>
    <row r="793" spans="6:15" x14ac:dyDescent="0.45">
      <c r="F793">
        <v>791</v>
      </c>
      <c r="G793">
        <v>32.9</v>
      </c>
      <c r="H793">
        <f t="shared" si="85"/>
        <v>32.9</v>
      </c>
      <c r="I793">
        <f t="shared" si="84"/>
        <v>9.1388888888888891E-3</v>
      </c>
      <c r="J793">
        <v>1.25</v>
      </c>
      <c r="K793">
        <f t="shared" si="86"/>
        <v>1.25</v>
      </c>
      <c r="L793">
        <f t="shared" si="87"/>
        <v>14.5229</v>
      </c>
      <c r="M793">
        <f t="shared" si="88"/>
        <v>14522.9</v>
      </c>
      <c r="N793">
        <f t="shared" si="89"/>
        <v>13.765052961589999</v>
      </c>
      <c r="O793">
        <f t="shared" si="90"/>
        <v>0.48147522561062606</v>
      </c>
    </row>
    <row r="794" spans="6:15" x14ac:dyDescent="0.45">
      <c r="F794">
        <v>792</v>
      </c>
      <c r="G794">
        <v>32.6</v>
      </c>
      <c r="H794">
        <f t="shared" si="85"/>
        <v>32.6</v>
      </c>
      <c r="I794">
        <f t="shared" si="84"/>
        <v>9.0555555555555563E-3</v>
      </c>
      <c r="J794">
        <v>2.27</v>
      </c>
      <c r="K794">
        <f t="shared" si="86"/>
        <v>2.27</v>
      </c>
      <c r="L794">
        <f t="shared" si="87"/>
        <v>17.072900000000001</v>
      </c>
      <c r="M794">
        <f t="shared" si="88"/>
        <v>17072.900000000001</v>
      </c>
      <c r="N794">
        <f t="shared" si="89"/>
        <v>16.181986566590002</v>
      </c>
      <c r="O794">
        <f t="shared" si="90"/>
        <v>0.56601494049588297</v>
      </c>
    </row>
    <row r="795" spans="6:15" x14ac:dyDescent="0.45">
      <c r="F795">
        <v>793</v>
      </c>
      <c r="G795">
        <v>32.299999999999997</v>
      </c>
      <c r="H795">
        <f t="shared" si="85"/>
        <v>32.299999999999997</v>
      </c>
      <c r="I795">
        <f t="shared" si="84"/>
        <v>8.9722222222222217E-3</v>
      </c>
      <c r="J795">
        <v>1.41</v>
      </c>
      <c r="K795">
        <f t="shared" si="86"/>
        <v>1.41</v>
      </c>
      <c r="L795">
        <f t="shared" si="87"/>
        <v>14.9229</v>
      </c>
      <c r="M795">
        <f t="shared" si="88"/>
        <v>14922.9</v>
      </c>
      <c r="N795">
        <f t="shared" si="89"/>
        <v>14.144179801590001</v>
      </c>
      <c r="O795">
        <f t="shared" si="90"/>
        <v>0.49473635735733301</v>
      </c>
    </row>
    <row r="796" spans="6:15" x14ac:dyDescent="0.45">
      <c r="F796">
        <v>794</v>
      </c>
      <c r="G796">
        <v>32</v>
      </c>
      <c r="H796">
        <f t="shared" si="85"/>
        <v>32</v>
      </c>
      <c r="I796">
        <f t="shared" si="84"/>
        <v>8.8888888888888889E-3</v>
      </c>
      <c r="J796">
        <v>1.8</v>
      </c>
      <c r="K796">
        <f t="shared" si="86"/>
        <v>1.8</v>
      </c>
      <c r="L796">
        <f t="shared" si="87"/>
        <v>15.8979</v>
      </c>
      <c r="M796">
        <f t="shared" si="88"/>
        <v>15897.9</v>
      </c>
      <c r="N796">
        <f t="shared" si="89"/>
        <v>15.068301474090001</v>
      </c>
      <c r="O796">
        <f t="shared" si="90"/>
        <v>0.52706036598993122</v>
      </c>
    </row>
    <row r="797" spans="6:15" x14ac:dyDescent="0.45">
      <c r="F797">
        <v>795</v>
      </c>
      <c r="G797">
        <v>31.7</v>
      </c>
      <c r="H797">
        <f t="shared" si="85"/>
        <v>31.7</v>
      </c>
      <c r="I797">
        <f t="shared" si="84"/>
        <v>8.8055555555555561E-3</v>
      </c>
      <c r="J797">
        <v>1.08</v>
      </c>
      <c r="K797">
        <f t="shared" si="86"/>
        <v>1.08</v>
      </c>
      <c r="L797">
        <f t="shared" si="87"/>
        <v>14.097899999999999</v>
      </c>
      <c r="M797">
        <f t="shared" si="88"/>
        <v>14097.9</v>
      </c>
      <c r="N797">
        <f t="shared" si="89"/>
        <v>13.36223069409</v>
      </c>
      <c r="O797">
        <f t="shared" si="90"/>
        <v>0.46738527312974987</v>
      </c>
    </row>
    <row r="798" spans="6:15" x14ac:dyDescent="0.45">
      <c r="F798">
        <v>796</v>
      </c>
      <c r="G798">
        <v>31.4</v>
      </c>
      <c r="H798">
        <f t="shared" si="85"/>
        <v>31.4</v>
      </c>
      <c r="I798">
        <f t="shared" si="84"/>
        <v>8.7222222222222215E-3</v>
      </c>
      <c r="J798">
        <v>0.86</v>
      </c>
      <c r="K798">
        <f t="shared" si="86"/>
        <v>0.86</v>
      </c>
      <c r="L798">
        <f t="shared" si="87"/>
        <v>13.5479</v>
      </c>
      <c r="M798">
        <f t="shared" si="88"/>
        <v>13547.9</v>
      </c>
      <c r="N798">
        <f t="shared" si="89"/>
        <v>12.840931289089999</v>
      </c>
      <c r="O798">
        <f t="shared" si="90"/>
        <v>0.44915121697802785</v>
      </c>
    </row>
    <row r="799" spans="6:15" x14ac:dyDescent="0.45">
      <c r="F799">
        <v>797</v>
      </c>
      <c r="G799">
        <v>30.7</v>
      </c>
      <c r="H799">
        <f t="shared" si="85"/>
        <v>30.7</v>
      </c>
      <c r="I799">
        <f t="shared" si="84"/>
        <v>8.5277777777777782E-3</v>
      </c>
      <c r="J799">
        <v>-0.39</v>
      </c>
      <c r="K799">
        <f t="shared" si="86"/>
        <v>0</v>
      </c>
      <c r="L799">
        <f t="shared" si="87"/>
        <v>11.3979</v>
      </c>
      <c r="M799">
        <f t="shared" si="88"/>
        <v>11397.9</v>
      </c>
      <c r="N799">
        <f t="shared" si="89"/>
        <v>10.80312452409</v>
      </c>
      <c r="O799">
        <f t="shared" si="90"/>
        <v>0.377872633839478</v>
      </c>
    </row>
    <row r="800" spans="6:15" x14ac:dyDescent="0.45">
      <c r="F800">
        <v>798</v>
      </c>
      <c r="G800">
        <v>30.2</v>
      </c>
      <c r="H800">
        <f t="shared" si="85"/>
        <v>30.2</v>
      </c>
      <c r="I800">
        <f t="shared" si="84"/>
        <v>8.3888888888888884E-3</v>
      </c>
      <c r="J800">
        <v>-0.4</v>
      </c>
      <c r="K800">
        <f t="shared" si="86"/>
        <v>0</v>
      </c>
      <c r="L800">
        <f t="shared" si="87"/>
        <v>11.3979</v>
      </c>
      <c r="M800">
        <f t="shared" si="88"/>
        <v>11397.9</v>
      </c>
      <c r="N800">
        <f t="shared" si="89"/>
        <v>10.80312452409</v>
      </c>
      <c r="O800">
        <f t="shared" si="90"/>
        <v>0.377872633839478</v>
      </c>
    </row>
    <row r="801" spans="6:15" x14ac:dyDescent="0.45">
      <c r="F801">
        <v>799</v>
      </c>
      <c r="G801">
        <v>29.9</v>
      </c>
      <c r="H801">
        <f t="shared" si="85"/>
        <v>29.9</v>
      </c>
      <c r="I801">
        <f t="shared" si="84"/>
        <v>8.3055555555555556E-3</v>
      </c>
      <c r="J801">
        <v>2.29</v>
      </c>
      <c r="K801">
        <f t="shared" si="86"/>
        <v>2.29</v>
      </c>
      <c r="L801">
        <f t="shared" si="87"/>
        <v>17.122900000000001</v>
      </c>
      <c r="M801">
        <f t="shared" si="88"/>
        <v>17122.900000000001</v>
      </c>
      <c r="N801">
        <f t="shared" si="89"/>
        <v>16.229377421590002</v>
      </c>
      <c r="O801">
        <f t="shared" si="90"/>
        <v>0.56767258196422132</v>
      </c>
    </row>
    <row r="802" spans="6:15" x14ac:dyDescent="0.45">
      <c r="F802">
        <v>800</v>
      </c>
      <c r="G802">
        <v>29.7</v>
      </c>
      <c r="H802">
        <f t="shared" si="85"/>
        <v>29.7</v>
      </c>
      <c r="I802">
        <f t="shared" si="84"/>
        <v>8.2500000000000004E-3</v>
      </c>
      <c r="J802">
        <v>1.8</v>
      </c>
      <c r="K802">
        <f t="shared" si="86"/>
        <v>1.8</v>
      </c>
      <c r="L802">
        <f t="shared" si="87"/>
        <v>15.8979</v>
      </c>
      <c r="M802">
        <f t="shared" si="88"/>
        <v>15897.9</v>
      </c>
      <c r="N802">
        <f t="shared" si="89"/>
        <v>15.068301474090001</v>
      </c>
      <c r="O802">
        <f t="shared" si="90"/>
        <v>0.52706036598993122</v>
      </c>
    </row>
    <row r="803" spans="6:15" x14ac:dyDescent="0.45">
      <c r="F803">
        <v>801</v>
      </c>
      <c r="G803">
        <v>29.6</v>
      </c>
      <c r="H803">
        <f t="shared" si="85"/>
        <v>29.6</v>
      </c>
      <c r="I803">
        <f t="shared" si="84"/>
        <v>8.2222222222222228E-3</v>
      </c>
      <c r="J803">
        <v>3.68</v>
      </c>
      <c r="K803">
        <f t="shared" si="86"/>
        <v>3.68</v>
      </c>
      <c r="L803">
        <f t="shared" si="87"/>
        <v>20.597900000000003</v>
      </c>
      <c r="M803">
        <f t="shared" si="88"/>
        <v>20597.900000000001</v>
      </c>
      <c r="N803">
        <f t="shared" si="89"/>
        <v>19.523041844090002</v>
      </c>
      <c r="O803">
        <f t="shared" si="90"/>
        <v>0.68287866401373798</v>
      </c>
    </row>
    <row r="804" spans="6:15" x14ac:dyDescent="0.45">
      <c r="F804">
        <v>802</v>
      </c>
      <c r="G804">
        <v>29.6</v>
      </c>
      <c r="H804">
        <f t="shared" si="85"/>
        <v>29.6</v>
      </c>
      <c r="I804">
        <f t="shared" si="84"/>
        <v>8.2222222222222228E-3</v>
      </c>
      <c r="J804">
        <v>3.72</v>
      </c>
      <c r="K804">
        <f t="shared" si="86"/>
        <v>3.72</v>
      </c>
      <c r="L804">
        <f t="shared" si="87"/>
        <v>20.697900000000001</v>
      </c>
      <c r="M804">
        <f t="shared" si="88"/>
        <v>20697.900000000001</v>
      </c>
      <c r="N804">
        <f t="shared" si="89"/>
        <v>19.617823554090002</v>
      </c>
      <c r="O804">
        <f t="shared" si="90"/>
        <v>0.68619394695041469</v>
      </c>
    </row>
    <row r="805" spans="6:15" x14ac:dyDescent="0.45">
      <c r="F805">
        <v>803</v>
      </c>
      <c r="G805">
        <v>29.6</v>
      </c>
      <c r="H805">
        <f t="shared" si="85"/>
        <v>29.6</v>
      </c>
      <c r="I805">
        <f t="shared" si="84"/>
        <v>8.2222222222222228E-3</v>
      </c>
      <c r="J805">
        <v>3.13</v>
      </c>
      <c r="K805">
        <f t="shared" si="86"/>
        <v>3.13</v>
      </c>
      <c r="L805">
        <f t="shared" si="87"/>
        <v>19.222899999999999</v>
      </c>
      <c r="M805">
        <f t="shared" si="88"/>
        <v>19222.899999999998</v>
      </c>
      <c r="N805">
        <f t="shared" si="89"/>
        <v>18.219793331589997</v>
      </c>
      <c r="O805">
        <f t="shared" si="90"/>
        <v>0.6372935236344327</v>
      </c>
    </row>
    <row r="806" spans="6:15" x14ac:dyDescent="0.45">
      <c r="F806">
        <v>804</v>
      </c>
      <c r="G806">
        <v>29.5</v>
      </c>
      <c r="H806">
        <f t="shared" si="85"/>
        <v>29.5</v>
      </c>
      <c r="I806">
        <f t="shared" si="84"/>
        <v>8.1944444444444452E-3</v>
      </c>
      <c r="J806">
        <v>2.97</v>
      </c>
      <c r="K806">
        <f t="shared" si="86"/>
        <v>2.97</v>
      </c>
      <c r="L806">
        <f t="shared" si="87"/>
        <v>18.822900000000001</v>
      </c>
      <c r="M806">
        <f t="shared" si="88"/>
        <v>18822.900000000001</v>
      </c>
      <c r="N806">
        <f t="shared" si="89"/>
        <v>17.840666491590003</v>
      </c>
      <c r="O806">
        <f t="shared" si="90"/>
        <v>0.62403239188772586</v>
      </c>
    </row>
    <row r="807" spans="6:15" x14ac:dyDescent="0.45">
      <c r="F807">
        <v>805</v>
      </c>
      <c r="G807">
        <v>29.4</v>
      </c>
      <c r="H807">
        <f t="shared" si="85"/>
        <v>29.4</v>
      </c>
      <c r="I807">
        <f t="shared" si="84"/>
        <v>8.1666666666666658E-3</v>
      </c>
      <c r="J807">
        <v>2.92</v>
      </c>
      <c r="K807">
        <f t="shared" si="86"/>
        <v>2.92</v>
      </c>
      <c r="L807">
        <f t="shared" si="87"/>
        <v>18.697900000000001</v>
      </c>
      <c r="M807">
        <f t="shared" si="88"/>
        <v>18697.900000000001</v>
      </c>
      <c r="N807">
        <f t="shared" si="89"/>
        <v>17.722189354090002</v>
      </c>
      <c r="O807">
        <f t="shared" si="90"/>
        <v>0.61988828821687991</v>
      </c>
    </row>
    <row r="808" spans="6:15" x14ac:dyDescent="0.45">
      <c r="F808">
        <v>806</v>
      </c>
      <c r="G808">
        <v>29.2</v>
      </c>
      <c r="H808">
        <f t="shared" si="85"/>
        <v>29.2</v>
      </c>
      <c r="I808">
        <f t="shared" si="84"/>
        <v>8.1111111111111106E-3</v>
      </c>
      <c r="J808">
        <v>2.96</v>
      </c>
      <c r="K808">
        <f t="shared" si="86"/>
        <v>2.96</v>
      </c>
      <c r="L808">
        <f t="shared" si="87"/>
        <v>18.797899999999998</v>
      </c>
      <c r="M808">
        <f t="shared" si="88"/>
        <v>18797.899999999998</v>
      </c>
      <c r="N808">
        <f t="shared" si="89"/>
        <v>17.816971064089998</v>
      </c>
      <c r="O808">
        <f t="shared" si="90"/>
        <v>0.62320357115355662</v>
      </c>
    </row>
    <row r="809" spans="6:15" x14ac:dyDescent="0.45">
      <c r="F809">
        <v>807</v>
      </c>
      <c r="G809">
        <v>28.9</v>
      </c>
      <c r="H809">
        <f t="shared" si="85"/>
        <v>28.9</v>
      </c>
      <c r="I809">
        <f t="shared" si="84"/>
        <v>8.0277777777777778E-3</v>
      </c>
      <c r="J809">
        <v>-0.18</v>
      </c>
      <c r="K809">
        <f t="shared" si="86"/>
        <v>0</v>
      </c>
      <c r="L809">
        <f t="shared" si="87"/>
        <v>11.3979</v>
      </c>
      <c r="M809">
        <f t="shared" si="88"/>
        <v>11397.9</v>
      </c>
      <c r="N809">
        <f t="shared" si="89"/>
        <v>10.80312452409</v>
      </c>
      <c r="O809">
        <f t="shared" si="90"/>
        <v>0.377872633839478</v>
      </c>
    </row>
    <row r="810" spans="6:15" x14ac:dyDescent="0.45">
      <c r="F810">
        <v>808</v>
      </c>
      <c r="G810">
        <v>28.5</v>
      </c>
      <c r="H810">
        <f t="shared" si="85"/>
        <v>28.5</v>
      </c>
      <c r="I810">
        <f t="shared" si="84"/>
        <v>7.9166666666666673E-3</v>
      </c>
      <c r="J810">
        <v>-0.69</v>
      </c>
      <c r="K810">
        <f t="shared" si="86"/>
        <v>0</v>
      </c>
      <c r="L810">
        <f t="shared" si="87"/>
        <v>11.3979</v>
      </c>
      <c r="M810">
        <f t="shared" si="88"/>
        <v>11397.9</v>
      </c>
      <c r="N810">
        <f t="shared" si="89"/>
        <v>10.80312452409</v>
      </c>
      <c r="O810">
        <f t="shared" si="90"/>
        <v>0.377872633839478</v>
      </c>
    </row>
    <row r="811" spans="6:15" x14ac:dyDescent="0.45">
      <c r="F811">
        <v>809</v>
      </c>
      <c r="G811">
        <v>27.9</v>
      </c>
      <c r="H811">
        <f t="shared" si="85"/>
        <v>27.9</v>
      </c>
      <c r="I811">
        <f t="shared" si="84"/>
        <v>7.7499999999999999E-3</v>
      </c>
      <c r="J811">
        <v>-0.38</v>
      </c>
      <c r="K811">
        <f t="shared" si="86"/>
        <v>0</v>
      </c>
      <c r="L811">
        <f t="shared" si="87"/>
        <v>11.3979</v>
      </c>
      <c r="M811">
        <f t="shared" si="88"/>
        <v>11397.9</v>
      </c>
      <c r="N811">
        <f t="shared" si="89"/>
        <v>10.80312452409</v>
      </c>
      <c r="O811">
        <f t="shared" si="90"/>
        <v>0.377872633839478</v>
      </c>
    </row>
    <row r="812" spans="6:15" x14ac:dyDescent="0.45">
      <c r="F812">
        <v>810</v>
      </c>
      <c r="G812">
        <v>27.1</v>
      </c>
      <c r="H812">
        <f t="shared" si="85"/>
        <v>27.1</v>
      </c>
      <c r="I812">
        <f t="shared" si="84"/>
        <v>7.5277777777777782E-3</v>
      </c>
      <c r="J812">
        <v>-0.52</v>
      </c>
      <c r="K812">
        <f t="shared" si="86"/>
        <v>0</v>
      </c>
      <c r="L812">
        <f t="shared" si="87"/>
        <v>11.3979</v>
      </c>
      <c r="M812">
        <f t="shared" si="88"/>
        <v>11397.9</v>
      </c>
      <c r="N812">
        <f t="shared" si="89"/>
        <v>10.80312452409</v>
      </c>
      <c r="O812">
        <f t="shared" si="90"/>
        <v>0.377872633839478</v>
      </c>
    </row>
    <row r="813" spans="6:15" x14ac:dyDescent="0.45">
      <c r="F813">
        <v>811</v>
      </c>
      <c r="G813">
        <v>25.2</v>
      </c>
      <c r="H813">
        <f t="shared" si="85"/>
        <v>25.2</v>
      </c>
      <c r="I813">
        <f t="shared" si="84"/>
        <v>7.0000000000000001E-3</v>
      </c>
      <c r="J813">
        <v>-0.19</v>
      </c>
      <c r="K813">
        <f t="shared" si="86"/>
        <v>0</v>
      </c>
      <c r="L813">
        <f t="shared" si="87"/>
        <v>11.3979</v>
      </c>
      <c r="M813">
        <f t="shared" si="88"/>
        <v>11397.9</v>
      </c>
      <c r="N813">
        <f t="shared" si="89"/>
        <v>10.80312452409</v>
      </c>
      <c r="O813">
        <f t="shared" si="90"/>
        <v>0.377872633839478</v>
      </c>
    </row>
    <row r="814" spans="6:15" x14ac:dyDescent="0.45">
      <c r="F814">
        <v>812</v>
      </c>
      <c r="G814">
        <v>23.2</v>
      </c>
      <c r="H814">
        <f t="shared" si="85"/>
        <v>23.2</v>
      </c>
      <c r="I814">
        <f t="shared" si="84"/>
        <v>6.4444444444444445E-3</v>
      </c>
      <c r="J814">
        <v>-0.5</v>
      </c>
      <c r="K814">
        <f t="shared" si="86"/>
        <v>0</v>
      </c>
      <c r="L814">
        <f t="shared" si="87"/>
        <v>11.3979</v>
      </c>
      <c r="M814">
        <f t="shared" si="88"/>
        <v>11397.9</v>
      </c>
      <c r="N814">
        <f t="shared" si="89"/>
        <v>10.80312452409</v>
      </c>
      <c r="O814">
        <f t="shared" si="90"/>
        <v>0.377872633839478</v>
      </c>
    </row>
    <row r="815" spans="6:15" x14ac:dyDescent="0.45">
      <c r="F815">
        <v>813</v>
      </c>
      <c r="G815">
        <v>21.6</v>
      </c>
      <c r="H815">
        <f t="shared" si="85"/>
        <v>21.6</v>
      </c>
      <c r="I815">
        <f t="shared" si="84"/>
        <v>6.0000000000000001E-3</v>
      </c>
      <c r="J815">
        <v>-1.17</v>
      </c>
      <c r="K815">
        <f t="shared" si="86"/>
        <v>0</v>
      </c>
      <c r="L815">
        <f t="shared" si="87"/>
        <v>11.3979</v>
      </c>
      <c r="M815">
        <f t="shared" si="88"/>
        <v>11397.9</v>
      </c>
      <c r="N815">
        <f t="shared" si="89"/>
        <v>10.80312452409</v>
      </c>
      <c r="O815">
        <f t="shared" si="90"/>
        <v>0.377872633839478</v>
      </c>
    </row>
    <row r="816" spans="6:15" x14ac:dyDescent="0.45">
      <c r="F816">
        <v>814</v>
      </c>
      <c r="G816">
        <v>20.3</v>
      </c>
      <c r="H816">
        <f t="shared" si="85"/>
        <v>20.3</v>
      </c>
      <c r="I816">
        <f t="shared" si="84"/>
        <v>5.6388888888888895E-3</v>
      </c>
      <c r="J816">
        <v>-0.72</v>
      </c>
      <c r="K816">
        <f t="shared" si="86"/>
        <v>0</v>
      </c>
      <c r="L816">
        <f t="shared" si="87"/>
        <v>11.3979</v>
      </c>
      <c r="M816">
        <f t="shared" si="88"/>
        <v>11397.9</v>
      </c>
      <c r="N816">
        <f t="shared" si="89"/>
        <v>10.80312452409</v>
      </c>
      <c r="O816">
        <f t="shared" si="90"/>
        <v>0.377872633839478</v>
      </c>
    </row>
    <row r="817" spans="6:15" x14ac:dyDescent="0.45">
      <c r="F817">
        <v>815</v>
      </c>
      <c r="G817">
        <v>18.899999999999999</v>
      </c>
      <c r="H817">
        <f t="shared" si="85"/>
        <v>18.899999999999999</v>
      </c>
      <c r="I817">
        <f t="shared" si="84"/>
        <v>5.2499999999999995E-3</v>
      </c>
      <c r="J817">
        <v>-0.87</v>
      </c>
      <c r="K817">
        <f t="shared" si="86"/>
        <v>0</v>
      </c>
      <c r="L817">
        <f t="shared" si="87"/>
        <v>11.3979</v>
      </c>
      <c r="M817">
        <f t="shared" si="88"/>
        <v>11397.9</v>
      </c>
      <c r="N817">
        <f t="shared" si="89"/>
        <v>10.80312452409</v>
      </c>
      <c r="O817">
        <f t="shared" si="90"/>
        <v>0.377872633839478</v>
      </c>
    </row>
    <row r="818" spans="6:15" x14ac:dyDescent="0.45">
      <c r="F818">
        <v>816</v>
      </c>
      <c r="G818">
        <v>18.8</v>
      </c>
      <c r="H818">
        <f t="shared" si="85"/>
        <v>18.8</v>
      </c>
      <c r="I818">
        <f t="shared" si="84"/>
        <v>5.2222222222222227E-3</v>
      </c>
      <c r="J818">
        <v>3.36</v>
      </c>
      <c r="K818">
        <f t="shared" si="86"/>
        <v>3.36</v>
      </c>
      <c r="L818">
        <f t="shared" si="87"/>
        <v>19.797899999999998</v>
      </c>
      <c r="M818">
        <f t="shared" si="88"/>
        <v>19797.899999999998</v>
      </c>
      <c r="N818">
        <f t="shared" si="89"/>
        <v>18.76478816409</v>
      </c>
      <c r="O818">
        <f t="shared" si="90"/>
        <v>0.65635640052032396</v>
      </c>
    </row>
    <row r="819" spans="6:15" x14ac:dyDescent="0.45">
      <c r="F819">
        <v>817</v>
      </c>
      <c r="G819">
        <v>19.5</v>
      </c>
      <c r="H819">
        <f t="shared" si="85"/>
        <v>19.5</v>
      </c>
      <c r="I819">
        <f t="shared" si="84"/>
        <v>5.4166666666666669E-3</v>
      </c>
      <c r="J819">
        <v>8.84</v>
      </c>
      <c r="K819">
        <f t="shared" si="86"/>
        <v>8.84</v>
      </c>
      <c r="L819">
        <f t="shared" si="87"/>
        <v>33.497900000000001</v>
      </c>
      <c r="M819">
        <f t="shared" si="88"/>
        <v>33497.9</v>
      </c>
      <c r="N819">
        <f t="shared" si="89"/>
        <v>31.749882434090001</v>
      </c>
      <c r="O819">
        <f t="shared" si="90"/>
        <v>1.1105501628450372</v>
      </c>
    </row>
    <row r="820" spans="6:15" x14ac:dyDescent="0.45">
      <c r="F820">
        <v>818</v>
      </c>
      <c r="G820">
        <v>20.8</v>
      </c>
      <c r="H820">
        <f t="shared" si="85"/>
        <v>20.8</v>
      </c>
      <c r="I820">
        <f t="shared" si="84"/>
        <v>5.7777777777777784E-3</v>
      </c>
      <c r="J820">
        <v>10.47</v>
      </c>
      <c r="K820">
        <f t="shared" si="86"/>
        <v>10.47</v>
      </c>
      <c r="L820">
        <f t="shared" si="87"/>
        <v>37.572900000000004</v>
      </c>
      <c r="M820">
        <f t="shared" si="88"/>
        <v>37572.9</v>
      </c>
      <c r="N820">
        <f t="shared" si="89"/>
        <v>35.612237116590002</v>
      </c>
      <c r="O820">
        <f t="shared" si="90"/>
        <v>1.2456479425146145</v>
      </c>
    </row>
    <row r="821" spans="6:15" x14ac:dyDescent="0.45">
      <c r="F821">
        <v>819</v>
      </c>
      <c r="G821">
        <v>21.8</v>
      </c>
      <c r="H821">
        <f t="shared" si="85"/>
        <v>21.8</v>
      </c>
      <c r="I821">
        <f t="shared" si="84"/>
        <v>6.0555555555555553E-3</v>
      </c>
      <c r="J821">
        <v>11.79</v>
      </c>
      <c r="K821">
        <f t="shared" si="86"/>
        <v>11.79</v>
      </c>
      <c r="L821">
        <f t="shared" si="87"/>
        <v>40.872900000000001</v>
      </c>
      <c r="M821">
        <f t="shared" si="88"/>
        <v>40872.9</v>
      </c>
      <c r="N821">
        <f t="shared" si="89"/>
        <v>38.740033546590006</v>
      </c>
      <c r="O821">
        <f t="shared" si="90"/>
        <v>1.3550522794249467</v>
      </c>
    </row>
    <row r="822" spans="6:15" x14ac:dyDescent="0.45">
      <c r="F822">
        <v>820</v>
      </c>
      <c r="G822">
        <v>22.5</v>
      </c>
      <c r="H822">
        <f t="shared" si="85"/>
        <v>22.5</v>
      </c>
      <c r="I822">
        <f t="shared" si="84"/>
        <v>6.2500000000000003E-3</v>
      </c>
      <c r="J822">
        <v>9.43</v>
      </c>
      <c r="K822">
        <f t="shared" si="86"/>
        <v>9.43</v>
      </c>
      <c r="L822">
        <f t="shared" si="87"/>
        <v>34.972899999999996</v>
      </c>
      <c r="M822">
        <f t="shared" si="88"/>
        <v>34972.899999999994</v>
      </c>
      <c r="N822">
        <f t="shared" si="89"/>
        <v>33.147912656589995</v>
      </c>
      <c r="O822">
        <f t="shared" si="90"/>
        <v>1.1594505861610189</v>
      </c>
    </row>
    <row r="823" spans="6:15" x14ac:dyDescent="0.45">
      <c r="F823">
        <v>821</v>
      </c>
      <c r="G823">
        <v>23.1</v>
      </c>
      <c r="H823">
        <f t="shared" si="85"/>
        <v>23.1</v>
      </c>
      <c r="I823">
        <f t="shared" si="84"/>
        <v>6.4166666666666669E-3</v>
      </c>
      <c r="J823">
        <v>7.66</v>
      </c>
      <c r="K823">
        <f t="shared" si="86"/>
        <v>7.66</v>
      </c>
      <c r="L823">
        <f t="shared" si="87"/>
        <v>30.547899999999998</v>
      </c>
      <c r="M823">
        <f t="shared" si="88"/>
        <v>30547.899999999998</v>
      </c>
      <c r="N823">
        <f t="shared" si="89"/>
        <v>28.953821989089999</v>
      </c>
      <c r="O823">
        <f t="shared" si="90"/>
        <v>1.0127493162130734</v>
      </c>
    </row>
    <row r="824" spans="6:15" x14ac:dyDescent="0.45">
      <c r="F824">
        <v>822</v>
      </c>
      <c r="G824">
        <v>23.7</v>
      </c>
      <c r="H824">
        <f t="shared" si="85"/>
        <v>23.7</v>
      </c>
      <c r="I824">
        <f t="shared" si="84"/>
        <v>6.5833333333333334E-3</v>
      </c>
      <c r="J824">
        <v>6.17</v>
      </c>
      <c r="K824">
        <f t="shared" si="86"/>
        <v>6.17</v>
      </c>
      <c r="L824">
        <f t="shared" si="87"/>
        <v>26.822900000000001</v>
      </c>
      <c r="M824">
        <f t="shared" si="88"/>
        <v>26822.9</v>
      </c>
      <c r="N824">
        <f t="shared" si="89"/>
        <v>25.423203291590003</v>
      </c>
      <c r="O824">
        <f t="shared" si="90"/>
        <v>0.88925502682186497</v>
      </c>
    </row>
    <row r="825" spans="6:15" x14ac:dyDescent="0.45">
      <c r="F825">
        <v>823</v>
      </c>
      <c r="G825">
        <v>24.4</v>
      </c>
      <c r="H825">
        <f t="shared" si="85"/>
        <v>24.4</v>
      </c>
      <c r="I825">
        <f t="shared" si="84"/>
        <v>6.7777777777777775E-3</v>
      </c>
      <c r="J825">
        <v>10.09</v>
      </c>
      <c r="K825">
        <f t="shared" si="86"/>
        <v>10.09</v>
      </c>
      <c r="L825">
        <f t="shared" si="87"/>
        <v>36.622900000000001</v>
      </c>
      <c r="M825">
        <f t="shared" si="88"/>
        <v>36622.9</v>
      </c>
      <c r="N825">
        <f t="shared" si="89"/>
        <v>34.711810871590004</v>
      </c>
      <c r="O825">
        <f t="shared" si="90"/>
        <v>1.2141527546161854</v>
      </c>
    </row>
    <row r="826" spans="6:15" x14ac:dyDescent="0.45">
      <c r="F826">
        <v>824</v>
      </c>
      <c r="G826">
        <v>25.4</v>
      </c>
      <c r="H826">
        <f t="shared" si="85"/>
        <v>25.4</v>
      </c>
      <c r="I826">
        <f t="shared" si="84"/>
        <v>7.0555555555555554E-3</v>
      </c>
      <c r="J826">
        <v>11.03</v>
      </c>
      <c r="K826">
        <f t="shared" si="86"/>
        <v>11.03</v>
      </c>
      <c r="L826">
        <f t="shared" si="87"/>
        <v>38.972899999999996</v>
      </c>
      <c r="M826">
        <f t="shared" si="88"/>
        <v>38972.899999999994</v>
      </c>
      <c r="N826">
        <f t="shared" si="89"/>
        <v>36.939181056589995</v>
      </c>
      <c r="O826">
        <f t="shared" si="90"/>
        <v>1.2920619036280885</v>
      </c>
    </row>
    <row r="827" spans="6:15" x14ac:dyDescent="0.45">
      <c r="F827">
        <v>825</v>
      </c>
      <c r="G827">
        <v>26.3</v>
      </c>
      <c r="H827">
        <f t="shared" si="85"/>
        <v>26.3</v>
      </c>
      <c r="I827">
        <f t="shared" si="84"/>
        <v>7.3055555555555556E-3</v>
      </c>
      <c r="J827">
        <v>11.04</v>
      </c>
      <c r="K827">
        <f t="shared" si="86"/>
        <v>11.04</v>
      </c>
      <c r="L827">
        <f t="shared" si="87"/>
        <v>38.997900000000001</v>
      </c>
      <c r="M827">
        <f t="shared" si="88"/>
        <v>38997.9</v>
      </c>
      <c r="N827">
        <f t="shared" si="89"/>
        <v>36.962876484090003</v>
      </c>
      <c r="O827">
        <f t="shared" si="90"/>
        <v>1.2928907243622578</v>
      </c>
    </row>
    <row r="828" spans="6:15" x14ac:dyDescent="0.45">
      <c r="F828">
        <v>826</v>
      </c>
      <c r="G828">
        <v>26.7</v>
      </c>
      <c r="H828">
        <f t="shared" si="85"/>
        <v>26.7</v>
      </c>
      <c r="I828">
        <f t="shared" si="84"/>
        <v>7.4166666666666669E-3</v>
      </c>
      <c r="J828">
        <v>6.71</v>
      </c>
      <c r="K828">
        <f t="shared" si="86"/>
        <v>6.71</v>
      </c>
      <c r="L828">
        <f t="shared" si="87"/>
        <v>28.172899999999998</v>
      </c>
      <c r="M828">
        <f t="shared" si="88"/>
        <v>28172.899999999998</v>
      </c>
      <c r="N828">
        <f t="shared" si="89"/>
        <v>26.702756376589999</v>
      </c>
      <c r="O828">
        <f t="shared" si="90"/>
        <v>0.93401134646700079</v>
      </c>
    </row>
    <row r="829" spans="6:15" x14ac:dyDescent="0.45">
      <c r="F829">
        <v>827</v>
      </c>
      <c r="G829">
        <v>26.7</v>
      </c>
      <c r="H829">
        <f t="shared" si="85"/>
        <v>26.7</v>
      </c>
      <c r="I829">
        <f t="shared" si="84"/>
        <v>7.4166666666666669E-3</v>
      </c>
      <c r="J829">
        <v>4.84</v>
      </c>
      <c r="K829">
        <f t="shared" si="86"/>
        <v>4.84</v>
      </c>
      <c r="L829">
        <f t="shared" si="87"/>
        <v>23.497900000000001</v>
      </c>
      <c r="M829">
        <f t="shared" si="88"/>
        <v>23497.9</v>
      </c>
      <c r="N829">
        <f t="shared" si="89"/>
        <v>22.271711434090001</v>
      </c>
      <c r="O829">
        <f t="shared" si="90"/>
        <v>0.77902186917736338</v>
      </c>
    </row>
    <row r="830" spans="6:15" x14ac:dyDescent="0.45">
      <c r="F830">
        <v>828</v>
      </c>
      <c r="G830">
        <v>26.8</v>
      </c>
      <c r="H830">
        <f t="shared" si="85"/>
        <v>26.8</v>
      </c>
      <c r="I830">
        <f t="shared" si="84"/>
        <v>7.4444444444444445E-3</v>
      </c>
      <c r="J830">
        <v>6.22</v>
      </c>
      <c r="K830">
        <f t="shared" si="86"/>
        <v>6.22</v>
      </c>
      <c r="L830">
        <f t="shared" si="87"/>
        <v>26.947899999999997</v>
      </c>
      <c r="M830">
        <f t="shared" si="88"/>
        <v>26947.899999999998</v>
      </c>
      <c r="N830">
        <f t="shared" si="89"/>
        <v>25.54168042909</v>
      </c>
      <c r="O830">
        <f t="shared" si="90"/>
        <v>0.89339913049271069</v>
      </c>
    </row>
    <row r="831" spans="6:15" x14ac:dyDescent="0.45">
      <c r="F831">
        <v>829</v>
      </c>
      <c r="G831">
        <v>27.1</v>
      </c>
      <c r="H831">
        <f t="shared" si="85"/>
        <v>27.1</v>
      </c>
      <c r="I831">
        <f t="shared" si="84"/>
        <v>7.5277777777777782E-3</v>
      </c>
      <c r="J831">
        <v>9.1300000000000008</v>
      </c>
      <c r="K831">
        <f t="shared" si="86"/>
        <v>9.1300000000000008</v>
      </c>
      <c r="L831">
        <f t="shared" si="87"/>
        <v>34.222900000000003</v>
      </c>
      <c r="M831">
        <f t="shared" si="88"/>
        <v>34222.9</v>
      </c>
      <c r="N831">
        <f t="shared" si="89"/>
        <v>32.437049831590002</v>
      </c>
      <c r="O831">
        <f t="shared" si="90"/>
        <v>1.1345859641359435</v>
      </c>
    </row>
    <row r="832" spans="6:15" x14ac:dyDescent="0.45">
      <c r="F832">
        <v>830</v>
      </c>
      <c r="G832">
        <v>27.3</v>
      </c>
      <c r="H832">
        <f t="shared" si="85"/>
        <v>27.3</v>
      </c>
      <c r="I832">
        <f t="shared" si="84"/>
        <v>7.5833333333333334E-3</v>
      </c>
      <c r="J832">
        <v>7.79</v>
      </c>
      <c r="K832">
        <f t="shared" si="86"/>
        <v>7.79</v>
      </c>
      <c r="L832">
        <f t="shared" si="87"/>
        <v>30.872900000000001</v>
      </c>
      <c r="M832">
        <f t="shared" si="88"/>
        <v>30872.9</v>
      </c>
      <c r="N832">
        <f t="shared" si="89"/>
        <v>29.261862546590002</v>
      </c>
      <c r="O832">
        <f t="shared" si="90"/>
        <v>1.0235239857572729</v>
      </c>
    </row>
    <row r="833" spans="6:15" x14ac:dyDescent="0.45">
      <c r="F833">
        <v>831</v>
      </c>
      <c r="G833">
        <v>27.8</v>
      </c>
      <c r="H833">
        <f t="shared" si="85"/>
        <v>27.8</v>
      </c>
      <c r="I833">
        <f t="shared" si="84"/>
        <v>7.7222222222222223E-3</v>
      </c>
      <c r="J833">
        <v>9.3699999999999992</v>
      </c>
      <c r="K833">
        <f t="shared" si="86"/>
        <v>9.3699999999999992</v>
      </c>
      <c r="L833">
        <f t="shared" si="87"/>
        <v>34.822899999999997</v>
      </c>
      <c r="M833">
        <f t="shared" si="88"/>
        <v>34822.899999999994</v>
      </c>
      <c r="N833">
        <f t="shared" si="89"/>
        <v>33.005740091589999</v>
      </c>
      <c r="O833">
        <f t="shared" si="90"/>
        <v>1.1544776617560037</v>
      </c>
    </row>
    <row r="834" spans="6:15" x14ac:dyDescent="0.45">
      <c r="F834">
        <v>832</v>
      </c>
      <c r="G834">
        <v>28.3</v>
      </c>
      <c r="H834">
        <f t="shared" si="85"/>
        <v>28.3</v>
      </c>
      <c r="I834">
        <f t="shared" ref="I834:I897" si="91">H834*(1/3600)</f>
        <v>7.8611111111111121E-3</v>
      </c>
      <c r="J834">
        <v>10.28</v>
      </c>
      <c r="K834">
        <f t="shared" si="86"/>
        <v>10.28</v>
      </c>
      <c r="L834">
        <f t="shared" si="87"/>
        <v>37.097899999999996</v>
      </c>
      <c r="M834">
        <f t="shared" si="88"/>
        <v>37097.899999999994</v>
      </c>
      <c r="N834">
        <f t="shared" si="89"/>
        <v>35.162023994089992</v>
      </c>
      <c r="O834">
        <f t="shared" si="90"/>
        <v>1.2299003485653996</v>
      </c>
    </row>
    <row r="835" spans="6:15" x14ac:dyDescent="0.45">
      <c r="F835">
        <v>833</v>
      </c>
      <c r="G835">
        <v>28.8</v>
      </c>
      <c r="H835">
        <f t="shared" ref="H835:H898" si="92">IF(G835&lt;0,0,G835)</f>
        <v>28.8</v>
      </c>
      <c r="I835">
        <f t="shared" si="91"/>
        <v>8.0000000000000002E-3</v>
      </c>
      <c r="J835">
        <v>11.08</v>
      </c>
      <c r="K835">
        <f t="shared" ref="K835:K898" si="93">IF(J835&lt;0,0,J835)</f>
        <v>11.08</v>
      </c>
      <c r="L835">
        <f t="shared" ref="L835:L898" si="94">(1/$B$5)*K835+((3.4798*$B$6)+0.9585)</f>
        <v>39.097899999999996</v>
      </c>
      <c r="M835">
        <f t="shared" ref="M835:M898" si="95">L835*1000</f>
        <v>39097.899999999994</v>
      </c>
      <c r="N835">
        <f t="shared" ref="N835:N898" si="96">M835*0.0009478171</f>
        <v>37.057658194089996</v>
      </c>
      <c r="O835">
        <f t="shared" ref="O835:O898" si="97">(M835*453.59237)/(18489*0.74*1000)</f>
        <v>1.2962060072989345</v>
      </c>
    </row>
    <row r="836" spans="6:15" x14ac:dyDescent="0.45">
      <c r="F836">
        <v>834</v>
      </c>
      <c r="G836">
        <v>28.9</v>
      </c>
      <c r="H836">
        <f t="shared" si="92"/>
        <v>28.9</v>
      </c>
      <c r="I836">
        <f t="shared" si="91"/>
        <v>8.0277777777777778E-3</v>
      </c>
      <c r="J836">
        <v>4.84</v>
      </c>
      <c r="K836">
        <f t="shared" si="93"/>
        <v>4.84</v>
      </c>
      <c r="L836">
        <f t="shared" si="94"/>
        <v>23.497900000000001</v>
      </c>
      <c r="M836">
        <f t="shared" si="95"/>
        <v>23497.9</v>
      </c>
      <c r="N836">
        <f t="shared" si="96"/>
        <v>22.271711434090001</v>
      </c>
      <c r="O836">
        <f t="shared" si="97"/>
        <v>0.77902186917736338</v>
      </c>
    </row>
    <row r="837" spans="6:15" x14ac:dyDescent="0.45">
      <c r="F837">
        <v>835</v>
      </c>
      <c r="G837">
        <v>28.9</v>
      </c>
      <c r="H837">
        <f t="shared" si="92"/>
        <v>28.9</v>
      </c>
      <c r="I837">
        <f t="shared" si="91"/>
        <v>8.0277777777777778E-3</v>
      </c>
      <c r="J837">
        <v>3.39</v>
      </c>
      <c r="K837">
        <f t="shared" si="93"/>
        <v>3.39</v>
      </c>
      <c r="L837">
        <f t="shared" si="94"/>
        <v>19.872900000000001</v>
      </c>
      <c r="M837">
        <f t="shared" si="95"/>
        <v>19872.900000000001</v>
      </c>
      <c r="N837">
        <f t="shared" si="96"/>
        <v>18.835874446590001</v>
      </c>
      <c r="O837">
        <f t="shared" si="97"/>
        <v>0.65884286272283166</v>
      </c>
    </row>
    <row r="838" spans="6:15" x14ac:dyDescent="0.45">
      <c r="F838">
        <v>836</v>
      </c>
      <c r="G838">
        <v>29.1</v>
      </c>
      <c r="H838">
        <f t="shared" si="92"/>
        <v>29.1</v>
      </c>
      <c r="I838">
        <f t="shared" si="91"/>
        <v>8.083333333333333E-3</v>
      </c>
      <c r="J838">
        <v>7.59</v>
      </c>
      <c r="K838">
        <f t="shared" si="93"/>
        <v>7.59</v>
      </c>
      <c r="L838">
        <f t="shared" si="94"/>
        <v>30.372900000000001</v>
      </c>
      <c r="M838">
        <f t="shared" si="95"/>
        <v>30372.9</v>
      </c>
      <c r="N838">
        <f t="shared" si="96"/>
        <v>28.787953996590002</v>
      </c>
      <c r="O838">
        <f t="shared" si="97"/>
        <v>1.0069475710738891</v>
      </c>
    </row>
    <row r="839" spans="6:15" x14ac:dyDescent="0.45">
      <c r="F839">
        <v>837</v>
      </c>
      <c r="G839">
        <v>29.1</v>
      </c>
      <c r="H839">
        <f t="shared" si="92"/>
        <v>29.1</v>
      </c>
      <c r="I839">
        <f t="shared" si="91"/>
        <v>8.083333333333333E-3</v>
      </c>
      <c r="J839">
        <v>2.95</v>
      </c>
      <c r="K839">
        <f t="shared" si="93"/>
        <v>2.95</v>
      </c>
      <c r="L839">
        <f t="shared" si="94"/>
        <v>18.7729</v>
      </c>
      <c r="M839">
        <f t="shared" si="95"/>
        <v>18772.900000000001</v>
      </c>
      <c r="N839">
        <f t="shared" si="96"/>
        <v>17.793275636590003</v>
      </c>
      <c r="O839">
        <f t="shared" si="97"/>
        <v>0.6223747504193875</v>
      </c>
    </row>
    <row r="840" spans="6:15" x14ac:dyDescent="0.45">
      <c r="F840">
        <v>838</v>
      </c>
      <c r="G840">
        <v>28.2</v>
      </c>
      <c r="H840">
        <f t="shared" si="92"/>
        <v>28.2</v>
      </c>
      <c r="I840">
        <f t="shared" si="91"/>
        <v>7.8333333333333328E-3</v>
      </c>
      <c r="J840">
        <v>0.02</v>
      </c>
      <c r="K840">
        <f t="shared" si="93"/>
        <v>0.02</v>
      </c>
      <c r="L840">
        <f t="shared" si="94"/>
        <v>11.447900000000001</v>
      </c>
      <c r="M840">
        <f t="shared" si="95"/>
        <v>11447.900000000001</v>
      </c>
      <c r="N840">
        <f t="shared" si="96"/>
        <v>10.850515379090002</v>
      </c>
      <c r="O840">
        <f t="shared" si="97"/>
        <v>0.37953027530781641</v>
      </c>
    </row>
    <row r="841" spans="6:15" x14ac:dyDescent="0.45">
      <c r="F841">
        <v>839</v>
      </c>
      <c r="G841">
        <v>27.7</v>
      </c>
      <c r="H841">
        <f t="shared" si="92"/>
        <v>27.7</v>
      </c>
      <c r="I841">
        <f t="shared" si="91"/>
        <v>7.6944444444444439E-3</v>
      </c>
      <c r="J841">
        <v>-0.42</v>
      </c>
      <c r="K841">
        <f t="shared" si="93"/>
        <v>0</v>
      </c>
      <c r="L841">
        <f t="shared" si="94"/>
        <v>11.3979</v>
      </c>
      <c r="M841">
        <f t="shared" si="95"/>
        <v>11397.9</v>
      </c>
      <c r="N841">
        <f t="shared" si="96"/>
        <v>10.80312452409</v>
      </c>
      <c r="O841">
        <f t="shared" si="97"/>
        <v>0.377872633839478</v>
      </c>
    </row>
    <row r="842" spans="6:15" x14ac:dyDescent="0.45">
      <c r="F842">
        <v>840</v>
      </c>
      <c r="G842">
        <v>27</v>
      </c>
      <c r="H842">
        <f t="shared" si="92"/>
        <v>27</v>
      </c>
      <c r="I842">
        <f t="shared" si="91"/>
        <v>7.4999999999999997E-3</v>
      </c>
      <c r="J842">
        <v>-0.49</v>
      </c>
      <c r="K842">
        <f t="shared" si="93"/>
        <v>0</v>
      </c>
      <c r="L842">
        <f t="shared" si="94"/>
        <v>11.3979</v>
      </c>
      <c r="M842">
        <f t="shared" si="95"/>
        <v>11397.9</v>
      </c>
      <c r="N842">
        <f t="shared" si="96"/>
        <v>10.80312452409</v>
      </c>
      <c r="O842">
        <f t="shared" si="97"/>
        <v>0.377872633839478</v>
      </c>
    </row>
    <row r="843" spans="6:15" x14ac:dyDescent="0.45">
      <c r="F843">
        <v>841</v>
      </c>
      <c r="G843">
        <v>25.9</v>
      </c>
      <c r="H843">
        <f t="shared" si="92"/>
        <v>25.9</v>
      </c>
      <c r="I843">
        <f t="shared" si="91"/>
        <v>7.1944444444444443E-3</v>
      </c>
      <c r="J843">
        <v>-0.47</v>
      </c>
      <c r="K843">
        <f t="shared" si="93"/>
        <v>0</v>
      </c>
      <c r="L843">
        <f t="shared" si="94"/>
        <v>11.3979</v>
      </c>
      <c r="M843">
        <f t="shared" si="95"/>
        <v>11397.9</v>
      </c>
      <c r="N843">
        <f t="shared" si="96"/>
        <v>10.80312452409</v>
      </c>
      <c r="O843">
        <f t="shared" si="97"/>
        <v>0.377872633839478</v>
      </c>
    </row>
    <row r="844" spans="6:15" x14ac:dyDescent="0.45">
      <c r="F844">
        <v>842</v>
      </c>
      <c r="G844">
        <v>25.4</v>
      </c>
      <c r="H844">
        <f t="shared" si="92"/>
        <v>25.4</v>
      </c>
      <c r="I844">
        <f t="shared" si="91"/>
        <v>7.0555555555555554E-3</v>
      </c>
      <c r="J844">
        <v>-0.39</v>
      </c>
      <c r="K844">
        <f t="shared" si="93"/>
        <v>0</v>
      </c>
      <c r="L844">
        <f t="shared" si="94"/>
        <v>11.3979</v>
      </c>
      <c r="M844">
        <f t="shared" si="95"/>
        <v>11397.9</v>
      </c>
      <c r="N844">
        <f t="shared" si="96"/>
        <v>10.80312452409</v>
      </c>
      <c r="O844">
        <f t="shared" si="97"/>
        <v>0.377872633839478</v>
      </c>
    </row>
    <row r="845" spans="6:15" x14ac:dyDescent="0.45">
      <c r="F845">
        <v>843</v>
      </c>
      <c r="G845">
        <v>24.9</v>
      </c>
      <c r="H845">
        <f t="shared" si="92"/>
        <v>24.9</v>
      </c>
      <c r="I845">
        <f t="shared" si="91"/>
        <v>6.9166666666666664E-3</v>
      </c>
      <c r="J845">
        <v>-0.31</v>
      </c>
      <c r="K845">
        <f t="shared" si="93"/>
        <v>0</v>
      </c>
      <c r="L845">
        <f t="shared" si="94"/>
        <v>11.3979</v>
      </c>
      <c r="M845">
        <f t="shared" si="95"/>
        <v>11397.9</v>
      </c>
      <c r="N845">
        <f t="shared" si="96"/>
        <v>10.80312452409</v>
      </c>
      <c r="O845">
        <f t="shared" si="97"/>
        <v>0.377872633839478</v>
      </c>
    </row>
    <row r="846" spans="6:15" x14ac:dyDescent="0.45">
      <c r="F846">
        <v>844</v>
      </c>
      <c r="G846">
        <v>24.7</v>
      </c>
      <c r="H846">
        <f t="shared" si="92"/>
        <v>24.7</v>
      </c>
      <c r="I846">
        <f t="shared" si="91"/>
        <v>6.8611111111111112E-3</v>
      </c>
      <c r="J846">
        <v>6.04</v>
      </c>
      <c r="K846">
        <f t="shared" si="93"/>
        <v>6.04</v>
      </c>
      <c r="L846">
        <f t="shared" si="94"/>
        <v>26.497900000000001</v>
      </c>
      <c r="M846">
        <f t="shared" si="95"/>
        <v>26497.9</v>
      </c>
      <c r="N846">
        <f t="shared" si="96"/>
        <v>25.115162734090003</v>
      </c>
      <c r="O846">
        <f t="shared" si="97"/>
        <v>0.8784803572776656</v>
      </c>
    </row>
    <row r="847" spans="6:15" x14ac:dyDescent="0.45">
      <c r="F847">
        <v>845</v>
      </c>
      <c r="G847">
        <v>25</v>
      </c>
      <c r="H847">
        <f t="shared" si="92"/>
        <v>25</v>
      </c>
      <c r="I847">
        <f t="shared" si="91"/>
        <v>6.9444444444444441E-3</v>
      </c>
      <c r="J847">
        <v>6.4</v>
      </c>
      <c r="K847">
        <f t="shared" si="93"/>
        <v>6.4</v>
      </c>
      <c r="L847">
        <f t="shared" si="94"/>
        <v>27.3979</v>
      </c>
      <c r="M847">
        <f t="shared" si="95"/>
        <v>27397.9</v>
      </c>
      <c r="N847">
        <f t="shared" si="96"/>
        <v>25.968198124090001</v>
      </c>
      <c r="O847">
        <f t="shared" si="97"/>
        <v>0.90831790370775622</v>
      </c>
    </row>
    <row r="848" spans="6:15" x14ac:dyDescent="0.45">
      <c r="F848">
        <v>846</v>
      </c>
      <c r="G848">
        <v>25.6</v>
      </c>
      <c r="H848">
        <f t="shared" si="92"/>
        <v>25.6</v>
      </c>
      <c r="I848">
        <f t="shared" si="91"/>
        <v>7.1111111111111115E-3</v>
      </c>
      <c r="J848">
        <v>9.5</v>
      </c>
      <c r="K848">
        <f t="shared" si="93"/>
        <v>9.5</v>
      </c>
      <c r="L848">
        <f t="shared" si="94"/>
        <v>35.1479</v>
      </c>
      <c r="M848">
        <f t="shared" si="95"/>
        <v>35147.9</v>
      </c>
      <c r="N848">
        <f t="shared" si="96"/>
        <v>33.313780649089999</v>
      </c>
      <c r="O848">
        <f t="shared" si="97"/>
        <v>1.1652523313002034</v>
      </c>
    </row>
    <row r="849" spans="6:15" x14ac:dyDescent="0.45">
      <c r="F849">
        <v>847</v>
      </c>
      <c r="G849">
        <v>26.1</v>
      </c>
      <c r="H849">
        <f t="shared" si="92"/>
        <v>26.1</v>
      </c>
      <c r="I849">
        <f t="shared" si="91"/>
        <v>7.2500000000000004E-3</v>
      </c>
      <c r="J849">
        <v>9.4499999999999993</v>
      </c>
      <c r="K849">
        <f t="shared" si="93"/>
        <v>9.4499999999999993</v>
      </c>
      <c r="L849">
        <f t="shared" si="94"/>
        <v>35.0229</v>
      </c>
      <c r="M849">
        <f t="shared" si="95"/>
        <v>35022.9</v>
      </c>
      <c r="N849">
        <f t="shared" si="96"/>
        <v>33.195303511590005</v>
      </c>
      <c r="O849">
        <f t="shared" si="97"/>
        <v>1.1611082276293576</v>
      </c>
    </row>
    <row r="850" spans="6:15" x14ac:dyDescent="0.45">
      <c r="F850">
        <v>848</v>
      </c>
      <c r="G850">
        <v>26.5</v>
      </c>
      <c r="H850">
        <f t="shared" si="92"/>
        <v>26.5</v>
      </c>
      <c r="I850">
        <f t="shared" si="91"/>
        <v>7.3611111111111108E-3</v>
      </c>
      <c r="J850">
        <v>6.75</v>
      </c>
      <c r="K850">
        <f t="shared" si="93"/>
        <v>6.75</v>
      </c>
      <c r="L850">
        <f t="shared" si="94"/>
        <v>28.2729</v>
      </c>
      <c r="M850">
        <f t="shared" si="95"/>
        <v>28272.9</v>
      </c>
      <c r="N850">
        <f t="shared" si="96"/>
        <v>26.797538086590002</v>
      </c>
      <c r="O850">
        <f t="shared" si="97"/>
        <v>0.93732662940367772</v>
      </c>
    </row>
    <row r="851" spans="6:15" x14ac:dyDescent="0.45">
      <c r="F851">
        <v>849</v>
      </c>
      <c r="G851">
        <v>27.1</v>
      </c>
      <c r="H851">
        <f t="shared" si="92"/>
        <v>27.1</v>
      </c>
      <c r="I851">
        <f t="shared" si="91"/>
        <v>7.5277777777777782E-3</v>
      </c>
      <c r="J851">
        <v>9.33</v>
      </c>
      <c r="K851">
        <f t="shared" si="93"/>
        <v>9.33</v>
      </c>
      <c r="L851">
        <f t="shared" si="94"/>
        <v>34.722899999999996</v>
      </c>
      <c r="M851">
        <f t="shared" si="95"/>
        <v>34722.899999999994</v>
      </c>
      <c r="N851">
        <f t="shared" si="96"/>
        <v>32.910958381589992</v>
      </c>
      <c r="O851">
        <f t="shared" si="97"/>
        <v>1.151162378819327</v>
      </c>
    </row>
    <row r="852" spans="6:15" x14ac:dyDescent="0.45">
      <c r="F852">
        <v>850</v>
      </c>
      <c r="G852">
        <v>27.6</v>
      </c>
      <c r="H852">
        <f t="shared" si="92"/>
        <v>27.6</v>
      </c>
      <c r="I852">
        <f t="shared" si="91"/>
        <v>7.6666666666666671E-3</v>
      </c>
      <c r="J852">
        <v>9.19</v>
      </c>
      <c r="K852">
        <f t="shared" si="93"/>
        <v>9.19</v>
      </c>
      <c r="L852">
        <f t="shared" si="94"/>
        <v>34.372900000000001</v>
      </c>
      <c r="M852">
        <f t="shared" si="95"/>
        <v>34372.9</v>
      </c>
      <c r="N852">
        <f t="shared" si="96"/>
        <v>32.579222396590005</v>
      </c>
      <c r="O852">
        <f t="shared" si="97"/>
        <v>1.1395588885409587</v>
      </c>
    </row>
    <row r="853" spans="6:15" x14ac:dyDescent="0.45">
      <c r="F853">
        <v>851</v>
      </c>
      <c r="G853">
        <v>28.1</v>
      </c>
      <c r="H853">
        <f t="shared" si="92"/>
        <v>28.1</v>
      </c>
      <c r="I853">
        <f t="shared" si="91"/>
        <v>7.805555555555556E-3</v>
      </c>
      <c r="J853">
        <v>10.34</v>
      </c>
      <c r="K853">
        <f t="shared" si="93"/>
        <v>10.34</v>
      </c>
      <c r="L853">
        <f t="shared" si="94"/>
        <v>37.247900000000001</v>
      </c>
      <c r="M853">
        <f t="shared" si="95"/>
        <v>37247.9</v>
      </c>
      <c r="N853">
        <f t="shared" si="96"/>
        <v>35.304196559090002</v>
      </c>
      <c r="O853">
        <f t="shared" si="97"/>
        <v>1.234873272970415</v>
      </c>
    </row>
    <row r="854" spans="6:15" x14ac:dyDescent="0.45">
      <c r="F854">
        <v>852</v>
      </c>
      <c r="G854">
        <v>28.6</v>
      </c>
      <c r="H854">
        <f t="shared" si="92"/>
        <v>28.6</v>
      </c>
      <c r="I854">
        <f t="shared" si="91"/>
        <v>7.9444444444444449E-3</v>
      </c>
      <c r="J854">
        <v>10.58</v>
      </c>
      <c r="K854">
        <f t="shared" si="93"/>
        <v>10.58</v>
      </c>
      <c r="L854">
        <f t="shared" si="94"/>
        <v>37.847899999999996</v>
      </c>
      <c r="M854">
        <f t="shared" si="95"/>
        <v>37847.899999999994</v>
      </c>
      <c r="N854">
        <f t="shared" si="96"/>
        <v>35.872886819089999</v>
      </c>
      <c r="O854">
        <f t="shared" si="97"/>
        <v>1.2547649705904751</v>
      </c>
    </row>
    <row r="855" spans="6:15" x14ac:dyDescent="0.45">
      <c r="F855">
        <v>853</v>
      </c>
      <c r="G855">
        <v>29.3</v>
      </c>
      <c r="H855">
        <f t="shared" si="92"/>
        <v>29.3</v>
      </c>
      <c r="I855">
        <f t="shared" si="91"/>
        <v>8.1388888888888882E-3</v>
      </c>
      <c r="J855">
        <v>12.85</v>
      </c>
      <c r="K855">
        <f t="shared" si="93"/>
        <v>12.85</v>
      </c>
      <c r="L855">
        <f t="shared" si="94"/>
        <v>43.5229</v>
      </c>
      <c r="M855">
        <f t="shared" si="95"/>
        <v>43522.9</v>
      </c>
      <c r="N855">
        <f t="shared" si="96"/>
        <v>41.251748861590002</v>
      </c>
      <c r="O855">
        <f t="shared" si="97"/>
        <v>1.4429072772468801</v>
      </c>
    </row>
    <row r="856" spans="6:15" x14ac:dyDescent="0.45">
      <c r="F856">
        <v>854</v>
      </c>
      <c r="G856">
        <v>29.5</v>
      </c>
      <c r="H856">
        <f t="shared" si="92"/>
        <v>29.5</v>
      </c>
      <c r="I856">
        <f t="shared" si="91"/>
        <v>8.1944444444444452E-3</v>
      </c>
      <c r="J856">
        <v>9.2799999999999994</v>
      </c>
      <c r="K856">
        <f t="shared" si="93"/>
        <v>9.2799999999999994</v>
      </c>
      <c r="L856">
        <f t="shared" si="94"/>
        <v>34.597899999999996</v>
      </c>
      <c r="M856">
        <f t="shared" si="95"/>
        <v>34597.899999999994</v>
      </c>
      <c r="N856">
        <f t="shared" si="96"/>
        <v>32.792481244089998</v>
      </c>
      <c r="O856">
        <f t="shared" si="97"/>
        <v>1.1470182751484812</v>
      </c>
    </row>
    <row r="857" spans="6:15" x14ac:dyDescent="0.45">
      <c r="F857">
        <v>855</v>
      </c>
      <c r="G857">
        <v>29.3</v>
      </c>
      <c r="H857">
        <f t="shared" si="92"/>
        <v>29.3</v>
      </c>
      <c r="I857">
        <f t="shared" si="91"/>
        <v>8.1388888888888882E-3</v>
      </c>
      <c r="J857">
        <v>1.78</v>
      </c>
      <c r="K857">
        <f t="shared" si="93"/>
        <v>1.78</v>
      </c>
      <c r="L857">
        <f t="shared" si="94"/>
        <v>15.847899999999999</v>
      </c>
      <c r="M857">
        <f t="shared" si="95"/>
        <v>15847.9</v>
      </c>
      <c r="N857">
        <f t="shared" si="96"/>
        <v>15.020910619089999</v>
      </c>
      <c r="O857">
        <f t="shared" si="97"/>
        <v>0.52540272452159287</v>
      </c>
    </row>
    <row r="858" spans="6:15" x14ac:dyDescent="0.45">
      <c r="F858">
        <v>856</v>
      </c>
      <c r="G858">
        <v>29.2</v>
      </c>
      <c r="H858">
        <f t="shared" si="92"/>
        <v>29.2</v>
      </c>
      <c r="I858">
        <f t="shared" si="91"/>
        <v>8.1111111111111106E-3</v>
      </c>
      <c r="J858">
        <v>3.34</v>
      </c>
      <c r="K858">
        <f t="shared" si="93"/>
        <v>3.34</v>
      </c>
      <c r="L858">
        <f t="shared" si="94"/>
        <v>19.747900000000001</v>
      </c>
      <c r="M858">
        <f t="shared" si="95"/>
        <v>19747.900000000001</v>
      </c>
      <c r="N858">
        <f t="shared" si="96"/>
        <v>18.717397309090003</v>
      </c>
      <c r="O858">
        <f t="shared" si="97"/>
        <v>0.65469875905198571</v>
      </c>
    </row>
    <row r="859" spans="6:15" x14ac:dyDescent="0.45">
      <c r="F859">
        <v>857</v>
      </c>
      <c r="G859">
        <v>28.9</v>
      </c>
      <c r="H859">
        <f t="shared" si="92"/>
        <v>28.9</v>
      </c>
      <c r="I859">
        <f t="shared" si="91"/>
        <v>8.0277777777777778E-3</v>
      </c>
      <c r="J859">
        <v>0.69</v>
      </c>
      <c r="K859">
        <f t="shared" si="93"/>
        <v>0.69</v>
      </c>
      <c r="L859">
        <f t="shared" si="94"/>
        <v>13.1229</v>
      </c>
      <c r="M859">
        <f t="shared" si="95"/>
        <v>13122.9</v>
      </c>
      <c r="N859">
        <f t="shared" si="96"/>
        <v>12.43810902159</v>
      </c>
      <c r="O859">
        <f t="shared" si="97"/>
        <v>0.43506126449715171</v>
      </c>
    </row>
    <row r="860" spans="6:15" x14ac:dyDescent="0.45">
      <c r="F860">
        <v>858</v>
      </c>
      <c r="G860">
        <v>28.5</v>
      </c>
      <c r="H860">
        <f t="shared" si="92"/>
        <v>28.5</v>
      </c>
      <c r="I860">
        <f t="shared" si="91"/>
        <v>7.9166666666666673E-3</v>
      </c>
      <c r="J860">
        <v>0.03</v>
      </c>
      <c r="K860">
        <f t="shared" si="93"/>
        <v>0.03</v>
      </c>
      <c r="L860">
        <f t="shared" si="94"/>
        <v>11.472899999999999</v>
      </c>
      <c r="M860">
        <f t="shared" si="95"/>
        <v>11472.9</v>
      </c>
      <c r="N860">
        <f t="shared" si="96"/>
        <v>10.87421080659</v>
      </c>
      <c r="O860">
        <f t="shared" si="97"/>
        <v>0.38035909604198553</v>
      </c>
    </row>
    <row r="861" spans="6:15" x14ac:dyDescent="0.45">
      <c r="F861">
        <v>859</v>
      </c>
      <c r="G861">
        <v>28.2</v>
      </c>
      <c r="H861">
        <f t="shared" si="92"/>
        <v>28.2</v>
      </c>
      <c r="I861">
        <f t="shared" si="91"/>
        <v>7.8333333333333328E-3</v>
      </c>
      <c r="J861">
        <v>2.2400000000000002</v>
      </c>
      <c r="K861">
        <f t="shared" si="93"/>
        <v>2.2400000000000002</v>
      </c>
      <c r="L861">
        <f t="shared" si="94"/>
        <v>16.997900000000001</v>
      </c>
      <c r="M861">
        <f t="shared" si="95"/>
        <v>16997.900000000001</v>
      </c>
      <c r="N861">
        <f t="shared" si="96"/>
        <v>16.11090028409</v>
      </c>
      <c r="O861">
        <f t="shared" si="97"/>
        <v>0.56352847829337538</v>
      </c>
    </row>
    <row r="862" spans="6:15" x14ac:dyDescent="0.45">
      <c r="F862">
        <v>860</v>
      </c>
      <c r="G862">
        <v>28</v>
      </c>
      <c r="H862">
        <f t="shared" si="92"/>
        <v>28</v>
      </c>
      <c r="I862">
        <f t="shared" si="91"/>
        <v>7.7777777777777776E-3</v>
      </c>
      <c r="J862">
        <v>2.5499999999999998</v>
      </c>
      <c r="K862">
        <f t="shared" si="93"/>
        <v>2.5499999999999998</v>
      </c>
      <c r="L862">
        <f t="shared" si="94"/>
        <v>17.7729</v>
      </c>
      <c r="M862">
        <f t="shared" si="95"/>
        <v>17772.900000000001</v>
      </c>
      <c r="N862">
        <f t="shared" si="96"/>
        <v>16.845458536590002</v>
      </c>
      <c r="O862">
        <f t="shared" si="97"/>
        <v>0.58922192105262006</v>
      </c>
    </row>
    <row r="863" spans="6:15" x14ac:dyDescent="0.45">
      <c r="F863">
        <v>861</v>
      </c>
      <c r="G863">
        <v>27.9</v>
      </c>
      <c r="H863">
        <f t="shared" si="92"/>
        <v>27.9</v>
      </c>
      <c r="I863">
        <f t="shared" si="91"/>
        <v>7.7499999999999999E-3</v>
      </c>
      <c r="J863">
        <v>1.97</v>
      </c>
      <c r="K863">
        <f t="shared" si="93"/>
        <v>1.97</v>
      </c>
      <c r="L863">
        <f t="shared" si="94"/>
        <v>16.322900000000001</v>
      </c>
      <c r="M863">
        <f t="shared" si="95"/>
        <v>16322.900000000001</v>
      </c>
      <c r="N863">
        <f t="shared" si="96"/>
        <v>15.471123741590002</v>
      </c>
      <c r="O863">
        <f t="shared" si="97"/>
        <v>0.54115031847080741</v>
      </c>
    </row>
    <row r="864" spans="6:15" x14ac:dyDescent="0.45">
      <c r="F864">
        <v>862</v>
      </c>
      <c r="G864">
        <v>27.6</v>
      </c>
      <c r="H864">
        <f t="shared" si="92"/>
        <v>27.6</v>
      </c>
      <c r="I864">
        <f t="shared" si="91"/>
        <v>7.6666666666666671E-3</v>
      </c>
      <c r="J864">
        <v>-0.52</v>
      </c>
      <c r="K864">
        <f t="shared" si="93"/>
        <v>0</v>
      </c>
      <c r="L864">
        <f t="shared" si="94"/>
        <v>11.3979</v>
      </c>
      <c r="M864">
        <f t="shared" si="95"/>
        <v>11397.9</v>
      </c>
      <c r="N864">
        <f t="shared" si="96"/>
        <v>10.80312452409</v>
      </c>
      <c r="O864">
        <f t="shared" si="97"/>
        <v>0.377872633839478</v>
      </c>
    </row>
    <row r="865" spans="6:15" x14ac:dyDescent="0.45">
      <c r="F865">
        <v>863</v>
      </c>
      <c r="G865">
        <v>27.2</v>
      </c>
      <c r="H865">
        <f t="shared" si="92"/>
        <v>27.2</v>
      </c>
      <c r="I865">
        <f t="shared" si="91"/>
        <v>7.5555555555555549E-3</v>
      </c>
      <c r="J865">
        <v>-0.19</v>
      </c>
      <c r="K865">
        <f t="shared" si="93"/>
        <v>0</v>
      </c>
      <c r="L865">
        <f t="shared" si="94"/>
        <v>11.3979</v>
      </c>
      <c r="M865">
        <f t="shared" si="95"/>
        <v>11397.9</v>
      </c>
      <c r="N865">
        <f t="shared" si="96"/>
        <v>10.80312452409</v>
      </c>
      <c r="O865">
        <f t="shared" si="97"/>
        <v>0.377872633839478</v>
      </c>
    </row>
    <row r="866" spans="6:15" x14ac:dyDescent="0.45">
      <c r="F866">
        <v>864</v>
      </c>
      <c r="G866">
        <v>26.7</v>
      </c>
      <c r="H866">
        <f t="shared" si="92"/>
        <v>26.7</v>
      </c>
      <c r="I866">
        <f t="shared" si="91"/>
        <v>7.4166666666666669E-3</v>
      </c>
      <c r="J866">
        <v>-0.08</v>
      </c>
      <c r="K866">
        <f t="shared" si="93"/>
        <v>0</v>
      </c>
      <c r="L866">
        <f t="shared" si="94"/>
        <v>11.3979</v>
      </c>
      <c r="M866">
        <f t="shared" si="95"/>
        <v>11397.9</v>
      </c>
      <c r="N866">
        <f t="shared" si="96"/>
        <v>10.80312452409</v>
      </c>
      <c r="O866">
        <f t="shared" si="97"/>
        <v>0.377872633839478</v>
      </c>
    </row>
    <row r="867" spans="6:15" x14ac:dyDescent="0.45">
      <c r="F867">
        <v>865</v>
      </c>
      <c r="G867">
        <v>26.7</v>
      </c>
      <c r="H867">
        <f t="shared" si="92"/>
        <v>26.7</v>
      </c>
      <c r="I867">
        <f t="shared" si="91"/>
        <v>7.4166666666666669E-3</v>
      </c>
      <c r="J867">
        <v>4.2699999999999996</v>
      </c>
      <c r="K867">
        <f t="shared" si="93"/>
        <v>4.2699999999999996</v>
      </c>
      <c r="L867">
        <f t="shared" si="94"/>
        <v>22.072899999999997</v>
      </c>
      <c r="M867">
        <f t="shared" si="95"/>
        <v>22072.899999999998</v>
      </c>
      <c r="N867">
        <f t="shared" si="96"/>
        <v>20.92107206659</v>
      </c>
      <c r="O867">
        <f t="shared" si="97"/>
        <v>0.73177908732971975</v>
      </c>
    </row>
    <row r="868" spans="6:15" x14ac:dyDescent="0.45">
      <c r="F868">
        <v>866</v>
      </c>
      <c r="G868">
        <v>27.1</v>
      </c>
      <c r="H868">
        <f t="shared" si="92"/>
        <v>27.1</v>
      </c>
      <c r="I868">
        <f t="shared" si="91"/>
        <v>7.5277777777777782E-3</v>
      </c>
      <c r="J868">
        <v>11.81</v>
      </c>
      <c r="K868">
        <f t="shared" si="93"/>
        <v>11.81</v>
      </c>
      <c r="L868">
        <f t="shared" si="94"/>
        <v>40.922899999999998</v>
      </c>
      <c r="M868">
        <f t="shared" si="95"/>
        <v>40922.9</v>
      </c>
      <c r="N868">
        <f t="shared" si="96"/>
        <v>38.787424401590002</v>
      </c>
      <c r="O868">
        <f t="shared" si="97"/>
        <v>1.3567099208932851</v>
      </c>
    </row>
    <row r="869" spans="6:15" x14ac:dyDescent="0.45">
      <c r="F869">
        <v>867</v>
      </c>
      <c r="G869">
        <v>27.8</v>
      </c>
      <c r="H869">
        <f t="shared" si="92"/>
        <v>27.8</v>
      </c>
      <c r="I869">
        <f t="shared" si="91"/>
        <v>7.7222222222222223E-3</v>
      </c>
      <c r="J869">
        <v>10.029999999999999</v>
      </c>
      <c r="K869">
        <f t="shared" si="93"/>
        <v>10.029999999999999</v>
      </c>
      <c r="L869">
        <f t="shared" si="94"/>
        <v>36.472899999999996</v>
      </c>
      <c r="M869">
        <f t="shared" si="95"/>
        <v>36472.899999999994</v>
      </c>
      <c r="N869">
        <f t="shared" si="96"/>
        <v>34.569638306589994</v>
      </c>
      <c r="O869">
        <f t="shared" si="97"/>
        <v>1.20917983021117</v>
      </c>
    </row>
    <row r="870" spans="6:15" x14ac:dyDescent="0.45">
      <c r="F870">
        <v>868</v>
      </c>
      <c r="G870">
        <v>28</v>
      </c>
      <c r="H870">
        <f t="shared" si="92"/>
        <v>28</v>
      </c>
      <c r="I870">
        <f t="shared" si="91"/>
        <v>7.7777777777777776E-3</v>
      </c>
      <c r="J870">
        <v>2.37</v>
      </c>
      <c r="K870">
        <f t="shared" si="93"/>
        <v>2.37</v>
      </c>
      <c r="L870">
        <f t="shared" si="94"/>
        <v>17.322900000000001</v>
      </c>
      <c r="M870">
        <f t="shared" si="95"/>
        <v>17322.900000000001</v>
      </c>
      <c r="N870">
        <f t="shared" si="96"/>
        <v>16.41894084159</v>
      </c>
      <c r="O870">
        <f t="shared" si="97"/>
        <v>0.57430314783757486</v>
      </c>
    </row>
    <row r="871" spans="6:15" x14ac:dyDescent="0.45">
      <c r="F871">
        <v>869</v>
      </c>
      <c r="G871">
        <v>27.8</v>
      </c>
      <c r="H871">
        <f t="shared" si="92"/>
        <v>27.8</v>
      </c>
      <c r="I871">
        <f t="shared" si="91"/>
        <v>7.7222222222222223E-3</v>
      </c>
      <c r="J871">
        <v>1.41</v>
      </c>
      <c r="K871">
        <f t="shared" si="93"/>
        <v>1.41</v>
      </c>
      <c r="L871">
        <f t="shared" si="94"/>
        <v>14.9229</v>
      </c>
      <c r="M871">
        <f t="shared" si="95"/>
        <v>14922.9</v>
      </c>
      <c r="N871">
        <f t="shared" si="96"/>
        <v>14.144179801590001</v>
      </c>
      <c r="O871">
        <f t="shared" si="97"/>
        <v>0.49473635735733301</v>
      </c>
    </row>
    <row r="872" spans="6:15" x14ac:dyDescent="0.45">
      <c r="F872">
        <v>870</v>
      </c>
      <c r="G872">
        <v>27.9</v>
      </c>
      <c r="H872">
        <f t="shared" si="92"/>
        <v>27.9</v>
      </c>
      <c r="I872">
        <f t="shared" si="91"/>
        <v>7.7499999999999999E-3</v>
      </c>
      <c r="J872">
        <v>6.15</v>
      </c>
      <c r="K872">
        <f t="shared" si="93"/>
        <v>6.15</v>
      </c>
      <c r="L872">
        <f t="shared" si="94"/>
        <v>26.7729</v>
      </c>
      <c r="M872">
        <f t="shared" si="95"/>
        <v>26772.9</v>
      </c>
      <c r="N872">
        <f t="shared" si="96"/>
        <v>25.375812436590003</v>
      </c>
      <c r="O872">
        <f t="shared" si="97"/>
        <v>0.88759738535352661</v>
      </c>
    </row>
    <row r="873" spans="6:15" x14ac:dyDescent="0.45">
      <c r="F873">
        <v>871</v>
      </c>
      <c r="G873">
        <v>28.1</v>
      </c>
      <c r="H873">
        <f t="shared" si="92"/>
        <v>28.1</v>
      </c>
      <c r="I873">
        <f t="shared" si="91"/>
        <v>7.805555555555556E-3</v>
      </c>
      <c r="J873">
        <v>3.93</v>
      </c>
      <c r="K873">
        <f t="shared" si="93"/>
        <v>3.93</v>
      </c>
      <c r="L873">
        <f t="shared" si="94"/>
        <v>21.222900000000003</v>
      </c>
      <c r="M873">
        <f t="shared" si="95"/>
        <v>21222.9</v>
      </c>
      <c r="N873">
        <f t="shared" si="96"/>
        <v>20.115427531590001</v>
      </c>
      <c r="O873">
        <f t="shared" si="97"/>
        <v>0.7035991823679677</v>
      </c>
    </row>
    <row r="874" spans="6:15" x14ac:dyDescent="0.45">
      <c r="F874">
        <v>872</v>
      </c>
      <c r="G874">
        <v>28.1</v>
      </c>
      <c r="H874">
        <f t="shared" si="92"/>
        <v>28.1</v>
      </c>
      <c r="I874">
        <f t="shared" si="91"/>
        <v>7.805555555555556E-3</v>
      </c>
      <c r="J874">
        <v>2.72</v>
      </c>
      <c r="K874">
        <f t="shared" si="93"/>
        <v>2.72</v>
      </c>
      <c r="L874">
        <f t="shared" si="94"/>
        <v>18.197900000000001</v>
      </c>
      <c r="M874">
        <f t="shared" si="95"/>
        <v>18197.900000000001</v>
      </c>
      <c r="N874">
        <f t="shared" si="96"/>
        <v>17.248280804090001</v>
      </c>
      <c r="O874">
        <f t="shared" si="97"/>
        <v>0.60331187353349625</v>
      </c>
    </row>
    <row r="875" spans="6:15" x14ac:dyDescent="0.45">
      <c r="F875">
        <v>873</v>
      </c>
      <c r="G875">
        <v>27.8</v>
      </c>
      <c r="H875">
        <f t="shared" si="92"/>
        <v>27.8</v>
      </c>
      <c r="I875">
        <f t="shared" si="91"/>
        <v>7.7222222222222223E-3</v>
      </c>
      <c r="J875">
        <v>0.49</v>
      </c>
      <c r="K875">
        <f t="shared" si="93"/>
        <v>0.49</v>
      </c>
      <c r="L875">
        <f t="shared" si="94"/>
        <v>12.6229</v>
      </c>
      <c r="M875">
        <f t="shared" si="95"/>
        <v>12622.9</v>
      </c>
      <c r="N875">
        <f t="shared" si="96"/>
        <v>11.964200471590001</v>
      </c>
      <c r="O875">
        <f t="shared" si="97"/>
        <v>0.41848484981376799</v>
      </c>
    </row>
    <row r="876" spans="6:15" x14ac:dyDescent="0.45">
      <c r="F876">
        <v>874</v>
      </c>
      <c r="G876">
        <v>27.4</v>
      </c>
      <c r="H876">
        <f t="shared" si="92"/>
        <v>27.4</v>
      </c>
      <c r="I876">
        <f t="shared" si="91"/>
        <v>7.611111111111111E-3</v>
      </c>
      <c r="J876">
        <v>-0.85</v>
      </c>
      <c r="K876">
        <f t="shared" si="93"/>
        <v>0</v>
      </c>
      <c r="L876">
        <f t="shared" si="94"/>
        <v>11.3979</v>
      </c>
      <c r="M876">
        <f t="shared" si="95"/>
        <v>11397.9</v>
      </c>
      <c r="N876">
        <f t="shared" si="96"/>
        <v>10.80312452409</v>
      </c>
      <c r="O876">
        <f t="shared" si="97"/>
        <v>0.377872633839478</v>
      </c>
    </row>
    <row r="877" spans="6:15" x14ac:dyDescent="0.45">
      <c r="F877">
        <v>875</v>
      </c>
      <c r="G877">
        <v>27.1</v>
      </c>
      <c r="H877">
        <f t="shared" si="92"/>
        <v>27.1</v>
      </c>
      <c r="I877">
        <f t="shared" si="91"/>
        <v>7.5277777777777782E-3</v>
      </c>
      <c r="J877">
        <v>1.34</v>
      </c>
      <c r="K877">
        <f t="shared" si="93"/>
        <v>1.34</v>
      </c>
      <c r="L877">
        <f t="shared" si="94"/>
        <v>14.7479</v>
      </c>
      <c r="M877">
        <f t="shared" si="95"/>
        <v>14747.9</v>
      </c>
      <c r="N877">
        <f t="shared" si="96"/>
        <v>13.97831180909</v>
      </c>
      <c r="O877">
        <f t="shared" si="97"/>
        <v>0.48893461221814866</v>
      </c>
    </row>
    <row r="878" spans="6:15" x14ac:dyDescent="0.45">
      <c r="F878">
        <v>876</v>
      </c>
      <c r="G878">
        <v>26.8</v>
      </c>
      <c r="H878">
        <f t="shared" si="92"/>
        <v>26.8</v>
      </c>
      <c r="I878">
        <f t="shared" si="91"/>
        <v>7.4444444444444445E-3</v>
      </c>
      <c r="J878">
        <v>0.86</v>
      </c>
      <c r="K878">
        <f t="shared" si="93"/>
        <v>0.86</v>
      </c>
      <c r="L878">
        <f t="shared" si="94"/>
        <v>13.5479</v>
      </c>
      <c r="M878">
        <f t="shared" si="95"/>
        <v>13547.9</v>
      </c>
      <c r="N878">
        <f t="shared" si="96"/>
        <v>12.840931289089999</v>
      </c>
      <c r="O878">
        <f t="shared" si="97"/>
        <v>0.44915121697802785</v>
      </c>
    </row>
    <row r="879" spans="6:15" x14ac:dyDescent="0.45">
      <c r="F879">
        <v>877</v>
      </c>
      <c r="G879">
        <v>26.6</v>
      </c>
      <c r="H879">
        <f t="shared" si="92"/>
        <v>26.6</v>
      </c>
      <c r="I879">
        <f t="shared" si="91"/>
        <v>7.3888888888888893E-3</v>
      </c>
      <c r="J879">
        <v>1.37</v>
      </c>
      <c r="K879">
        <f t="shared" si="93"/>
        <v>1.37</v>
      </c>
      <c r="L879">
        <f t="shared" si="94"/>
        <v>14.822900000000001</v>
      </c>
      <c r="M879">
        <f t="shared" si="95"/>
        <v>14822.900000000001</v>
      </c>
      <c r="N879">
        <f t="shared" si="96"/>
        <v>14.049398091590001</v>
      </c>
      <c r="O879">
        <f t="shared" si="97"/>
        <v>0.4914210744206563</v>
      </c>
    </row>
    <row r="880" spans="6:15" x14ac:dyDescent="0.45">
      <c r="F880">
        <v>878</v>
      </c>
      <c r="G880">
        <v>26.5</v>
      </c>
      <c r="H880">
        <f t="shared" si="92"/>
        <v>26.5</v>
      </c>
      <c r="I880">
        <f t="shared" si="91"/>
        <v>7.3611111111111108E-3</v>
      </c>
      <c r="J880">
        <v>3.38</v>
      </c>
      <c r="K880">
        <f t="shared" si="93"/>
        <v>3.38</v>
      </c>
      <c r="L880">
        <f t="shared" si="94"/>
        <v>19.847899999999999</v>
      </c>
      <c r="M880">
        <f t="shared" si="95"/>
        <v>19847.899999999998</v>
      </c>
      <c r="N880">
        <f t="shared" si="96"/>
        <v>18.812179019089999</v>
      </c>
      <c r="O880">
        <f t="shared" si="97"/>
        <v>0.65801404198866231</v>
      </c>
    </row>
    <row r="881" spans="6:15" x14ac:dyDescent="0.45">
      <c r="F881">
        <v>879</v>
      </c>
      <c r="G881">
        <v>26.5</v>
      </c>
      <c r="H881">
        <f t="shared" si="92"/>
        <v>26.5</v>
      </c>
      <c r="I881">
        <f t="shared" si="91"/>
        <v>7.3611111111111108E-3</v>
      </c>
      <c r="J881">
        <v>3.47</v>
      </c>
      <c r="K881">
        <f t="shared" si="93"/>
        <v>3.47</v>
      </c>
      <c r="L881">
        <f t="shared" si="94"/>
        <v>20.072900000000001</v>
      </c>
      <c r="M881">
        <f t="shared" si="95"/>
        <v>20072.900000000001</v>
      </c>
      <c r="N881">
        <f t="shared" si="96"/>
        <v>19.025437866590003</v>
      </c>
      <c r="O881">
        <f t="shared" si="97"/>
        <v>0.66547342859618508</v>
      </c>
    </row>
    <row r="882" spans="6:15" x14ac:dyDescent="0.45">
      <c r="F882">
        <v>880</v>
      </c>
      <c r="G882">
        <v>26.4</v>
      </c>
      <c r="H882">
        <f t="shared" si="92"/>
        <v>26.4</v>
      </c>
      <c r="I882">
        <f t="shared" si="91"/>
        <v>7.3333333333333332E-3</v>
      </c>
      <c r="J882">
        <v>1.98</v>
      </c>
      <c r="K882">
        <f t="shared" si="93"/>
        <v>1.98</v>
      </c>
      <c r="L882">
        <f t="shared" si="94"/>
        <v>16.347899999999999</v>
      </c>
      <c r="M882">
        <f t="shared" si="95"/>
        <v>16347.9</v>
      </c>
      <c r="N882">
        <f t="shared" si="96"/>
        <v>15.49481916909</v>
      </c>
      <c r="O882">
        <f t="shared" si="97"/>
        <v>0.54197913920497653</v>
      </c>
    </row>
    <row r="883" spans="6:15" x14ac:dyDescent="0.45">
      <c r="F883">
        <v>881</v>
      </c>
      <c r="G883">
        <v>26.3</v>
      </c>
      <c r="H883">
        <f t="shared" si="92"/>
        <v>26.3</v>
      </c>
      <c r="I883">
        <f t="shared" si="91"/>
        <v>7.3055555555555556E-3</v>
      </c>
      <c r="J883">
        <v>1.06</v>
      </c>
      <c r="K883">
        <f t="shared" si="93"/>
        <v>1.06</v>
      </c>
      <c r="L883">
        <f t="shared" si="94"/>
        <v>14.0479</v>
      </c>
      <c r="M883">
        <f t="shared" si="95"/>
        <v>14047.9</v>
      </c>
      <c r="N883">
        <f t="shared" si="96"/>
        <v>13.31483983909</v>
      </c>
      <c r="O883">
        <f t="shared" si="97"/>
        <v>0.46572763166141151</v>
      </c>
    </row>
    <row r="884" spans="6:15" x14ac:dyDescent="0.45">
      <c r="F884">
        <v>882</v>
      </c>
      <c r="G884">
        <v>26.1</v>
      </c>
      <c r="H884">
        <f t="shared" si="92"/>
        <v>26.1</v>
      </c>
      <c r="I884">
        <f t="shared" si="91"/>
        <v>7.2500000000000004E-3</v>
      </c>
      <c r="J884">
        <v>2.3199999999999998</v>
      </c>
      <c r="K884">
        <f t="shared" si="93"/>
        <v>2.3199999999999998</v>
      </c>
      <c r="L884">
        <f t="shared" si="94"/>
        <v>17.197900000000001</v>
      </c>
      <c r="M884">
        <f t="shared" si="95"/>
        <v>17197.900000000001</v>
      </c>
      <c r="N884">
        <f t="shared" si="96"/>
        <v>16.300463704090003</v>
      </c>
      <c r="O884">
        <f t="shared" si="97"/>
        <v>0.5701590441667288</v>
      </c>
    </row>
    <row r="885" spans="6:15" x14ac:dyDescent="0.45">
      <c r="F885">
        <v>883</v>
      </c>
      <c r="G885">
        <v>26</v>
      </c>
      <c r="H885">
        <f t="shared" si="92"/>
        <v>26</v>
      </c>
      <c r="I885">
        <f t="shared" si="91"/>
        <v>7.2222222222222219E-3</v>
      </c>
      <c r="J885">
        <v>2</v>
      </c>
      <c r="K885">
        <f t="shared" si="93"/>
        <v>2</v>
      </c>
      <c r="L885">
        <f t="shared" si="94"/>
        <v>16.3979</v>
      </c>
      <c r="M885">
        <f t="shared" si="95"/>
        <v>16397.900000000001</v>
      </c>
      <c r="N885">
        <f t="shared" si="96"/>
        <v>15.542210024090002</v>
      </c>
      <c r="O885">
        <f t="shared" si="97"/>
        <v>0.543636780673315</v>
      </c>
    </row>
    <row r="886" spans="6:15" x14ac:dyDescent="0.45">
      <c r="F886">
        <v>884</v>
      </c>
      <c r="G886">
        <v>25.8</v>
      </c>
      <c r="H886">
        <f t="shared" si="92"/>
        <v>25.8</v>
      </c>
      <c r="I886">
        <f t="shared" si="91"/>
        <v>7.1666666666666667E-3</v>
      </c>
      <c r="J886">
        <v>0.41</v>
      </c>
      <c r="K886">
        <f t="shared" si="93"/>
        <v>0.41</v>
      </c>
      <c r="L886">
        <f t="shared" si="94"/>
        <v>12.4229</v>
      </c>
      <c r="M886">
        <f t="shared" si="95"/>
        <v>12422.9</v>
      </c>
      <c r="N886">
        <f t="shared" si="96"/>
        <v>11.77463705159</v>
      </c>
      <c r="O886">
        <f t="shared" si="97"/>
        <v>0.41185428394041457</v>
      </c>
    </row>
    <row r="887" spans="6:15" x14ac:dyDescent="0.45">
      <c r="F887">
        <v>885</v>
      </c>
      <c r="G887">
        <v>25.7</v>
      </c>
      <c r="H887">
        <f t="shared" si="92"/>
        <v>25.7</v>
      </c>
      <c r="I887">
        <f t="shared" si="91"/>
        <v>7.1388888888888891E-3</v>
      </c>
      <c r="J887">
        <v>2.76</v>
      </c>
      <c r="K887">
        <f t="shared" si="93"/>
        <v>2.76</v>
      </c>
      <c r="L887">
        <f t="shared" si="94"/>
        <v>18.297899999999998</v>
      </c>
      <c r="M887">
        <f t="shared" si="95"/>
        <v>18297.899999999998</v>
      </c>
      <c r="N887">
        <f t="shared" si="96"/>
        <v>17.343062514089997</v>
      </c>
      <c r="O887">
        <f t="shared" si="97"/>
        <v>0.60662715647017285</v>
      </c>
    </row>
    <row r="888" spans="6:15" x14ac:dyDescent="0.45">
      <c r="F888">
        <v>886</v>
      </c>
      <c r="G888">
        <v>25.9</v>
      </c>
      <c r="H888">
        <f t="shared" si="92"/>
        <v>25.9</v>
      </c>
      <c r="I888">
        <f t="shared" si="91"/>
        <v>7.1944444444444443E-3</v>
      </c>
      <c r="J888">
        <v>5.99</v>
      </c>
      <c r="K888">
        <f t="shared" si="93"/>
        <v>5.99</v>
      </c>
      <c r="L888">
        <f t="shared" si="94"/>
        <v>26.372900000000001</v>
      </c>
      <c r="M888">
        <f t="shared" si="95"/>
        <v>26372.9</v>
      </c>
      <c r="N888">
        <f t="shared" si="96"/>
        <v>24.996685596590002</v>
      </c>
      <c r="O888">
        <f t="shared" si="97"/>
        <v>0.87433625360681966</v>
      </c>
    </row>
    <row r="889" spans="6:15" x14ac:dyDescent="0.45">
      <c r="F889">
        <v>887</v>
      </c>
      <c r="G889">
        <v>26</v>
      </c>
      <c r="H889">
        <f t="shared" si="92"/>
        <v>26</v>
      </c>
      <c r="I889">
        <f t="shared" si="91"/>
        <v>7.2222222222222219E-3</v>
      </c>
      <c r="J889">
        <v>3.02</v>
      </c>
      <c r="K889">
        <f t="shared" si="93"/>
        <v>3.02</v>
      </c>
      <c r="L889">
        <f t="shared" si="94"/>
        <v>18.947900000000001</v>
      </c>
      <c r="M889">
        <f t="shared" si="95"/>
        <v>18947.900000000001</v>
      </c>
      <c r="N889">
        <f t="shared" si="96"/>
        <v>17.959143629090001</v>
      </c>
      <c r="O889">
        <f t="shared" si="97"/>
        <v>0.6281764955585718</v>
      </c>
    </row>
    <row r="890" spans="6:15" x14ac:dyDescent="0.45">
      <c r="F890">
        <v>888</v>
      </c>
      <c r="G890">
        <v>25.8</v>
      </c>
      <c r="H890">
        <f t="shared" si="92"/>
        <v>25.8</v>
      </c>
      <c r="I890">
        <f t="shared" si="91"/>
        <v>7.1666666666666667E-3</v>
      </c>
      <c r="J890">
        <v>0.78</v>
      </c>
      <c r="K890">
        <f t="shared" si="93"/>
        <v>0.78</v>
      </c>
      <c r="L890">
        <f t="shared" si="94"/>
        <v>13.347899999999999</v>
      </c>
      <c r="M890">
        <f t="shared" si="95"/>
        <v>13347.9</v>
      </c>
      <c r="N890">
        <f t="shared" si="96"/>
        <v>12.65136786909</v>
      </c>
      <c r="O890">
        <f t="shared" si="97"/>
        <v>0.44252065110467437</v>
      </c>
    </row>
    <row r="891" spans="6:15" x14ac:dyDescent="0.45">
      <c r="F891">
        <v>889</v>
      </c>
      <c r="G891">
        <v>24.3</v>
      </c>
      <c r="H891">
        <f t="shared" si="92"/>
        <v>24.3</v>
      </c>
      <c r="I891">
        <f t="shared" si="91"/>
        <v>6.7499999999999999E-3</v>
      </c>
      <c r="J891">
        <v>-0.4</v>
      </c>
      <c r="K891">
        <f t="shared" si="93"/>
        <v>0</v>
      </c>
      <c r="L891">
        <f t="shared" si="94"/>
        <v>11.3979</v>
      </c>
      <c r="M891">
        <f t="shared" si="95"/>
        <v>11397.9</v>
      </c>
      <c r="N891">
        <f t="shared" si="96"/>
        <v>10.80312452409</v>
      </c>
      <c r="O891">
        <f t="shared" si="97"/>
        <v>0.377872633839478</v>
      </c>
    </row>
    <row r="892" spans="6:15" x14ac:dyDescent="0.45">
      <c r="F892">
        <v>890</v>
      </c>
      <c r="G892">
        <v>23.2</v>
      </c>
      <c r="H892">
        <f t="shared" si="92"/>
        <v>23.2</v>
      </c>
      <c r="I892">
        <f t="shared" si="91"/>
        <v>6.4444444444444445E-3</v>
      </c>
      <c r="J892">
        <v>-1.31</v>
      </c>
      <c r="K892">
        <f t="shared" si="93"/>
        <v>0</v>
      </c>
      <c r="L892">
        <f t="shared" si="94"/>
        <v>11.3979</v>
      </c>
      <c r="M892">
        <f t="shared" si="95"/>
        <v>11397.9</v>
      </c>
      <c r="N892">
        <f t="shared" si="96"/>
        <v>10.80312452409</v>
      </c>
      <c r="O892">
        <f t="shared" si="97"/>
        <v>0.377872633839478</v>
      </c>
    </row>
    <row r="893" spans="6:15" x14ac:dyDescent="0.45">
      <c r="F893">
        <v>891</v>
      </c>
      <c r="G893">
        <v>22.1</v>
      </c>
      <c r="H893">
        <f t="shared" si="92"/>
        <v>22.1</v>
      </c>
      <c r="I893">
        <f t="shared" si="91"/>
        <v>6.138888888888889E-3</v>
      </c>
      <c r="J893">
        <v>-1.05</v>
      </c>
      <c r="K893">
        <f t="shared" si="93"/>
        <v>0</v>
      </c>
      <c r="L893">
        <f t="shared" si="94"/>
        <v>11.3979</v>
      </c>
      <c r="M893">
        <f t="shared" si="95"/>
        <v>11397.9</v>
      </c>
      <c r="N893">
        <f t="shared" si="96"/>
        <v>10.80312452409</v>
      </c>
      <c r="O893">
        <f t="shared" si="97"/>
        <v>0.377872633839478</v>
      </c>
    </row>
    <row r="894" spans="6:15" x14ac:dyDescent="0.45">
      <c r="F894">
        <v>892</v>
      </c>
      <c r="G894">
        <v>21.6</v>
      </c>
      <c r="H894">
        <f t="shared" si="92"/>
        <v>21.6</v>
      </c>
      <c r="I894">
        <f t="shared" si="91"/>
        <v>6.0000000000000001E-3</v>
      </c>
      <c r="J894">
        <v>-0.44</v>
      </c>
      <c r="K894">
        <f t="shared" si="93"/>
        <v>0</v>
      </c>
      <c r="L894">
        <f t="shared" si="94"/>
        <v>11.3979</v>
      </c>
      <c r="M894">
        <f t="shared" si="95"/>
        <v>11397.9</v>
      </c>
      <c r="N894">
        <f t="shared" si="96"/>
        <v>10.80312452409</v>
      </c>
      <c r="O894">
        <f t="shared" si="97"/>
        <v>0.377872633839478</v>
      </c>
    </row>
    <row r="895" spans="6:15" x14ac:dyDescent="0.45">
      <c r="F895">
        <v>893</v>
      </c>
      <c r="G895">
        <v>21.6</v>
      </c>
      <c r="H895">
        <f t="shared" si="92"/>
        <v>21.6</v>
      </c>
      <c r="I895">
        <f t="shared" si="91"/>
        <v>6.0000000000000001E-3</v>
      </c>
      <c r="J895">
        <v>2.29</v>
      </c>
      <c r="K895">
        <f t="shared" si="93"/>
        <v>2.29</v>
      </c>
      <c r="L895">
        <f t="shared" si="94"/>
        <v>17.122900000000001</v>
      </c>
      <c r="M895">
        <f t="shared" si="95"/>
        <v>17122.900000000001</v>
      </c>
      <c r="N895">
        <f t="shared" si="96"/>
        <v>16.229377421590002</v>
      </c>
      <c r="O895">
        <f t="shared" si="97"/>
        <v>0.56767258196422132</v>
      </c>
    </row>
    <row r="896" spans="6:15" x14ac:dyDescent="0.45">
      <c r="F896">
        <v>894</v>
      </c>
      <c r="G896">
        <v>21.6</v>
      </c>
      <c r="H896">
        <f t="shared" si="92"/>
        <v>21.6</v>
      </c>
      <c r="I896">
        <f t="shared" si="91"/>
        <v>6.0000000000000001E-3</v>
      </c>
      <c r="J896">
        <v>5.12</v>
      </c>
      <c r="K896">
        <f t="shared" si="93"/>
        <v>5.12</v>
      </c>
      <c r="L896">
        <f t="shared" si="94"/>
        <v>24.197900000000001</v>
      </c>
      <c r="M896">
        <f t="shared" si="95"/>
        <v>24197.9</v>
      </c>
      <c r="N896">
        <f t="shared" si="96"/>
        <v>22.935183404090001</v>
      </c>
      <c r="O896">
        <f t="shared" si="97"/>
        <v>0.80222884973410047</v>
      </c>
    </row>
    <row r="897" spans="6:15" x14ac:dyDescent="0.45">
      <c r="F897">
        <v>895</v>
      </c>
      <c r="G897">
        <v>22.5</v>
      </c>
      <c r="H897">
        <f t="shared" si="92"/>
        <v>22.5</v>
      </c>
      <c r="I897">
        <f t="shared" si="91"/>
        <v>6.2500000000000003E-3</v>
      </c>
      <c r="J897">
        <v>13.24</v>
      </c>
      <c r="K897">
        <f t="shared" si="93"/>
        <v>13.24</v>
      </c>
      <c r="L897">
        <f t="shared" si="94"/>
        <v>44.497900000000001</v>
      </c>
      <c r="M897">
        <f t="shared" si="95"/>
        <v>44497.9</v>
      </c>
      <c r="N897">
        <f t="shared" si="96"/>
        <v>42.175870534090002</v>
      </c>
      <c r="O897">
        <f t="shared" si="97"/>
        <v>1.4752312858794783</v>
      </c>
    </row>
    <row r="898" spans="6:15" x14ac:dyDescent="0.45">
      <c r="F898">
        <v>896</v>
      </c>
      <c r="G898">
        <v>23.8</v>
      </c>
      <c r="H898">
        <f t="shared" si="92"/>
        <v>23.8</v>
      </c>
      <c r="I898">
        <f t="shared" ref="I898:I961" si="98">H898*(1/3600)</f>
        <v>6.611111111111111E-3</v>
      </c>
      <c r="J898">
        <v>10.83</v>
      </c>
      <c r="K898">
        <f t="shared" si="93"/>
        <v>10.83</v>
      </c>
      <c r="L898">
        <f t="shared" si="94"/>
        <v>38.472899999999996</v>
      </c>
      <c r="M898">
        <f t="shared" si="95"/>
        <v>38472.899999999994</v>
      </c>
      <c r="N898">
        <f t="shared" si="96"/>
        <v>36.465272506589997</v>
      </c>
      <c r="O898">
        <f t="shared" si="97"/>
        <v>1.2754854889447047</v>
      </c>
    </row>
    <row r="899" spans="6:15" x14ac:dyDescent="0.45">
      <c r="F899">
        <v>897</v>
      </c>
      <c r="G899">
        <v>24.3</v>
      </c>
      <c r="H899">
        <f t="shared" ref="H899:H962" si="99">IF(G899&lt;0,0,G899)</f>
        <v>24.3</v>
      </c>
      <c r="I899">
        <f t="shared" si="98"/>
        <v>6.7499999999999999E-3</v>
      </c>
      <c r="J899">
        <v>8.24</v>
      </c>
      <c r="K899">
        <f t="shared" ref="K899:K962" si="100">IF(J899&lt;0,0,J899)</f>
        <v>8.24</v>
      </c>
      <c r="L899">
        <f t="shared" ref="L899:L962" si="101">(1/$B$5)*K899+((3.4798*$B$6)+0.9585)</f>
        <v>31.997900000000001</v>
      </c>
      <c r="M899">
        <f t="shared" ref="M899:M962" si="102">L899*1000</f>
        <v>31997.9</v>
      </c>
      <c r="N899">
        <f t="shared" ref="N899:N962" si="103">M899*0.0009478171</f>
        <v>30.328156784090002</v>
      </c>
      <c r="O899">
        <f t="shared" ref="O899:O962" si="104">(M899*453.59237)/(18489*0.74*1000)</f>
        <v>1.0608209187948863</v>
      </c>
    </row>
    <row r="900" spans="6:15" x14ac:dyDescent="0.45">
      <c r="F900">
        <v>898</v>
      </c>
      <c r="G900">
        <v>24.3</v>
      </c>
      <c r="H900">
        <f t="shared" si="99"/>
        <v>24.3</v>
      </c>
      <c r="I900">
        <f t="shared" si="98"/>
        <v>6.7499999999999999E-3</v>
      </c>
      <c r="J900">
        <v>6.4</v>
      </c>
      <c r="K900">
        <f t="shared" si="100"/>
        <v>6.4</v>
      </c>
      <c r="L900">
        <f t="shared" si="101"/>
        <v>27.3979</v>
      </c>
      <c r="M900">
        <f t="shared" si="102"/>
        <v>27397.9</v>
      </c>
      <c r="N900">
        <f t="shared" si="103"/>
        <v>25.968198124090001</v>
      </c>
      <c r="O900">
        <f t="shared" si="104"/>
        <v>0.90831790370775622</v>
      </c>
    </row>
    <row r="901" spans="6:15" x14ac:dyDescent="0.45">
      <c r="F901">
        <v>899</v>
      </c>
      <c r="G901">
        <v>24.6</v>
      </c>
      <c r="H901">
        <f t="shared" si="99"/>
        <v>24.6</v>
      </c>
      <c r="I901">
        <f t="shared" si="98"/>
        <v>6.8333333333333336E-3</v>
      </c>
      <c r="J901">
        <v>7.98</v>
      </c>
      <c r="K901">
        <f t="shared" si="100"/>
        <v>7.98</v>
      </c>
      <c r="L901">
        <f t="shared" si="101"/>
        <v>31.347900000000003</v>
      </c>
      <c r="M901">
        <f t="shared" si="102"/>
        <v>31347.9</v>
      </c>
      <c r="N901">
        <f t="shared" si="103"/>
        <v>29.712075669090002</v>
      </c>
      <c r="O901">
        <f t="shared" si="104"/>
        <v>1.0392715797064873</v>
      </c>
    </row>
    <row r="902" spans="6:15" x14ac:dyDescent="0.45">
      <c r="F902">
        <v>900</v>
      </c>
      <c r="G902">
        <v>25.1</v>
      </c>
      <c r="H902">
        <f t="shared" si="99"/>
        <v>25.1</v>
      </c>
      <c r="I902">
        <f t="shared" si="98"/>
        <v>6.9722222222222225E-3</v>
      </c>
      <c r="J902">
        <v>8.6</v>
      </c>
      <c r="K902">
        <f t="shared" si="100"/>
        <v>8.6</v>
      </c>
      <c r="L902">
        <f t="shared" si="101"/>
        <v>32.8979</v>
      </c>
      <c r="M902">
        <f t="shared" si="102"/>
        <v>32897.9</v>
      </c>
      <c r="N902">
        <f t="shared" si="103"/>
        <v>31.181192174090004</v>
      </c>
      <c r="O902">
        <f t="shared" si="104"/>
        <v>1.0906584652249769</v>
      </c>
    </row>
    <row r="903" spans="6:15" x14ac:dyDescent="0.45">
      <c r="F903">
        <v>901</v>
      </c>
      <c r="G903">
        <v>25.3</v>
      </c>
      <c r="H903">
        <f t="shared" si="99"/>
        <v>25.3</v>
      </c>
      <c r="I903">
        <f t="shared" si="98"/>
        <v>7.0277777777777778E-3</v>
      </c>
      <c r="J903">
        <v>7.21</v>
      </c>
      <c r="K903">
        <f t="shared" si="100"/>
        <v>7.21</v>
      </c>
      <c r="L903">
        <f t="shared" si="101"/>
        <v>29.422899999999998</v>
      </c>
      <c r="M903">
        <f t="shared" si="102"/>
        <v>29422.899999999998</v>
      </c>
      <c r="N903">
        <f t="shared" si="103"/>
        <v>27.88752775159</v>
      </c>
      <c r="O903">
        <f t="shared" si="104"/>
        <v>0.97545238317546012</v>
      </c>
    </row>
    <row r="904" spans="6:15" x14ac:dyDescent="0.45">
      <c r="F904">
        <v>902</v>
      </c>
      <c r="G904">
        <v>25.4</v>
      </c>
      <c r="H904">
        <f t="shared" si="99"/>
        <v>25.4</v>
      </c>
      <c r="I904">
        <f t="shared" si="98"/>
        <v>7.0555555555555554E-3</v>
      </c>
      <c r="J904">
        <v>5.85</v>
      </c>
      <c r="K904">
        <f t="shared" si="100"/>
        <v>5.85</v>
      </c>
      <c r="L904">
        <f t="shared" si="101"/>
        <v>26.0229</v>
      </c>
      <c r="M904">
        <f t="shared" si="102"/>
        <v>26022.9</v>
      </c>
      <c r="N904">
        <f t="shared" si="103"/>
        <v>24.664949611590004</v>
      </c>
      <c r="O904">
        <f t="shared" si="104"/>
        <v>0.86273276332845095</v>
      </c>
    </row>
    <row r="905" spans="6:15" x14ac:dyDescent="0.45">
      <c r="F905">
        <v>903</v>
      </c>
      <c r="G905">
        <v>25.3</v>
      </c>
      <c r="H905">
        <f t="shared" si="99"/>
        <v>25.3</v>
      </c>
      <c r="I905">
        <f t="shared" si="98"/>
        <v>7.0277777777777778E-3</v>
      </c>
      <c r="J905">
        <v>5.05</v>
      </c>
      <c r="K905">
        <f t="shared" si="100"/>
        <v>5.05</v>
      </c>
      <c r="L905">
        <f t="shared" si="101"/>
        <v>24.0229</v>
      </c>
      <c r="M905">
        <f t="shared" si="102"/>
        <v>24022.9</v>
      </c>
      <c r="N905">
        <f t="shared" si="103"/>
        <v>22.769315411590004</v>
      </c>
      <c r="O905">
        <f t="shared" si="104"/>
        <v>0.79642710459491628</v>
      </c>
    </row>
    <row r="906" spans="6:15" x14ac:dyDescent="0.45">
      <c r="F906">
        <v>904</v>
      </c>
      <c r="G906">
        <v>25.6</v>
      </c>
      <c r="H906">
        <f t="shared" si="99"/>
        <v>25.6</v>
      </c>
      <c r="I906">
        <f t="shared" si="98"/>
        <v>7.1111111111111115E-3</v>
      </c>
      <c r="J906">
        <v>7.27</v>
      </c>
      <c r="K906">
        <f t="shared" si="100"/>
        <v>7.27</v>
      </c>
      <c r="L906">
        <f t="shared" si="101"/>
        <v>29.572899999999997</v>
      </c>
      <c r="M906">
        <f t="shared" si="102"/>
        <v>29572.899999999998</v>
      </c>
      <c r="N906">
        <f t="shared" si="103"/>
        <v>28.029700316589999</v>
      </c>
      <c r="O906">
        <f t="shared" si="104"/>
        <v>0.98042530758047519</v>
      </c>
    </row>
    <row r="907" spans="6:15" x14ac:dyDescent="0.45">
      <c r="F907">
        <v>905</v>
      </c>
      <c r="G907">
        <v>25.5</v>
      </c>
      <c r="H907">
        <f t="shared" si="99"/>
        <v>25.5</v>
      </c>
      <c r="I907">
        <f t="shared" si="98"/>
        <v>7.083333333333333E-3</v>
      </c>
      <c r="J907">
        <v>4.74</v>
      </c>
      <c r="K907">
        <f t="shared" si="100"/>
        <v>4.74</v>
      </c>
      <c r="L907">
        <f t="shared" si="101"/>
        <v>23.247900000000001</v>
      </c>
      <c r="M907">
        <f t="shared" si="102"/>
        <v>23247.9</v>
      </c>
      <c r="N907">
        <f t="shared" si="103"/>
        <v>22.034757159090002</v>
      </c>
      <c r="O907">
        <f t="shared" si="104"/>
        <v>0.7707336618356716</v>
      </c>
    </row>
    <row r="908" spans="6:15" x14ac:dyDescent="0.45">
      <c r="F908">
        <v>906</v>
      </c>
      <c r="G908">
        <v>25.2</v>
      </c>
      <c r="H908">
        <f t="shared" si="99"/>
        <v>25.2</v>
      </c>
      <c r="I908">
        <f t="shared" si="98"/>
        <v>7.0000000000000001E-3</v>
      </c>
      <c r="J908">
        <v>0.97</v>
      </c>
      <c r="K908">
        <f t="shared" si="100"/>
        <v>0.97</v>
      </c>
      <c r="L908">
        <f t="shared" si="101"/>
        <v>13.822900000000001</v>
      </c>
      <c r="M908">
        <f t="shared" si="102"/>
        <v>13822.900000000001</v>
      </c>
      <c r="N908">
        <f t="shared" si="103"/>
        <v>13.101580991590001</v>
      </c>
      <c r="O908">
        <f t="shared" si="104"/>
        <v>0.45826824505388897</v>
      </c>
    </row>
    <row r="909" spans="6:15" x14ac:dyDescent="0.45">
      <c r="F909">
        <v>907</v>
      </c>
      <c r="G909">
        <v>24.8</v>
      </c>
      <c r="H909">
        <f t="shared" si="99"/>
        <v>24.8</v>
      </c>
      <c r="I909">
        <f t="shared" si="98"/>
        <v>6.8888888888888888E-3</v>
      </c>
      <c r="J909">
        <v>0.9</v>
      </c>
      <c r="K909">
        <f t="shared" si="100"/>
        <v>0.9</v>
      </c>
      <c r="L909">
        <f t="shared" si="101"/>
        <v>13.6479</v>
      </c>
      <c r="M909">
        <f t="shared" si="102"/>
        <v>13647.9</v>
      </c>
      <c r="N909">
        <f t="shared" si="103"/>
        <v>12.935712999090001</v>
      </c>
      <c r="O909">
        <f t="shared" si="104"/>
        <v>0.45246649991470456</v>
      </c>
    </row>
    <row r="910" spans="6:15" x14ac:dyDescent="0.45">
      <c r="F910">
        <v>908</v>
      </c>
      <c r="G910">
        <v>24.7</v>
      </c>
      <c r="H910">
        <f t="shared" si="99"/>
        <v>24.7</v>
      </c>
      <c r="I910">
        <f t="shared" si="98"/>
        <v>6.8611111111111112E-3</v>
      </c>
      <c r="J910">
        <v>4.32</v>
      </c>
      <c r="K910">
        <f t="shared" si="100"/>
        <v>4.32</v>
      </c>
      <c r="L910">
        <f t="shared" si="101"/>
        <v>22.197900000000001</v>
      </c>
      <c r="M910">
        <f t="shared" si="102"/>
        <v>22197.9</v>
      </c>
      <c r="N910">
        <f t="shared" si="103"/>
        <v>21.039549204090001</v>
      </c>
      <c r="O910">
        <f t="shared" si="104"/>
        <v>0.73592319100056569</v>
      </c>
    </row>
    <row r="911" spans="6:15" x14ac:dyDescent="0.45">
      <c r="F911">
        <v>909</v>
      </c>
      <c r="G911">
        <v>24.7</v>
      </c>
      <c r="H911">
        <f t="shared" si="99"/>
        <v>24.7</v>
      </c>
      <c r="I911">
        <f t="shared" si="98"/>
        <v>6.8611111111111112E-3</v>
      </c>
      <c r="J911">
        <v>3.7</v>
      </c>
      <c r="K911">
        <f t="shared" si="100"/>
        <v>3.7</v>
      </c>
      <c r="L911">
        <f t="shared" si="101"/>
        <v>20.6479</v>
      </c>
      <c r="M911">
        <f t="shared" si="102"/>
        <v>20647.900000000001</v>
      </c>
      <c r="N911">
        <f t="shared" si="103"/>
        <v>19.570432699090002</v>
      </c>
      <c r="O911">
        <f t="shared" si="104"/>
        <v>0.68453630548207633</v>
      </c>
    </row>
    <row r="912" spans="6:15" x14ac:dyDescent="0.45">
      <c r="F912">
        <v>910</v>
      </c>
      <c r="G912">
        <v>24.5</v>
      </c>
      <c r="H912">
        <f t="shared" si="99"/>
        <v>24.5</v>
      </c>
      <c r="I912">
        <f t="shared" si="98"/>
        <v>6.8055555555555551E-3</v>
      </c>
      <c r="J912">
        <v>4.4800000000000004</v>
      </c>
      <c r="K912">
        <f t="shared" si="100"/>
        <v>4.4800000000000004</v>
      </c>
      <c r="L912">
        <f t="shared" si="101"/>
        <v>22.597900000000003</v>
      </c>
      <c r="M912">
        <f t="shared" si="102"/>
        <v>22597.9</v>
      </c>
      <c r="N912">
        <f t="shared" si="103"/>
        <v>21.418676044090002</v>
      </c>
      <c r="O912">
        <f t="shared" si="104"/>
        <v>0.74918432274727276</v>
      </c>
    </row>
    <row r="913" spans="6:15" x14ac:dyDescent="0.45">
      <c r="F913">
        <v>911</v>
      </c>
      <c r="G913">
        <v>24.4</v>
      </c>
      <c r="H913">
        <f t="shared" si="99"/>
        <v>24.4</v>
      </c>
      <c r="I913">
        <f t="shared" si="98"/>
        <v>6.7777777777777775E-3</v>
      </c>
      <c r="J913">
        <v>2.34</v>
      </c>
      <c r="K913">
        <f t="shared" si="100"/>
        <v>2.34</v>
      </c>
      <c r="L913">
        <f t="shared" si="101"/>
        <v>17.247900000000001</v>
      </c>
      <c r="M913">
        <f t="shared" si="102"/>
        <v>17247.900000000001</v>
      </c>
      <c r="N913">
        <f t="shared" si="103"/>
        <v>16.347854559090003</v>
      </c>
      <c r="O913">
        <f t="shared" si="104"/>
        <v>0.57181668563506727</v>
      </c>
    </row>
    <row r="914" spans="6:15" x14ac:dyDescent="0.45">
      <c r="F914">
        <v>912</v>
      </c>
      <c r="G914">
        <v>24.5</v>
      </c>
      <c r="H914">
        <f t="shared" si="99"/>
        <v>24.5</v>
      </c>
      <c r="I914">
        <f t="shared" si="98"/>
        <v>6.8055555555555551E-3</v>
      </c>
      <c r="J914">
        <v>3.23</v>
      </c>
      <c r="K914">
        <f t="shared" si="100"/>
        <v>3.23</v>
      </c>
      <c r="L914">
        <f t="shared" si="101"/>
        <v>19.472899999999999</v>
      </c>
      <c r="M914">
        <f t="shared" si="102"/>
        <v>19472.899999999998</v>
      </c>
      <c r="N914">
        <f t="shared" si="103"/>
        <v>18.45674760659</v>
      </c>
      <c r="O914">
        <f t="shared" si="104"/>
        <v>0.64558173097612448</v>
      </c>
    </row>
    <row r="915" spans="6:15" x14ac:dyDescent="0.45">
      <c r="F915">
        <v>913</v>
      </c>
      <c r="G915">
        <v>24.7</v>
      </c>
      <c r="H915">
        <f t="shared" si="99"/>
        <v>24.7</v>
      </c>
      <c r="I915">
        <f t="shared" si="98"/>
        <v>6.8611111111111112E-3</v>
      </c>
      <c r="J915">
        <v>9.01</v>
      </c>
      <c r="K915">
        <f t="shared" si="100"/>
        <v>9.01</v>
      </c>
      <c r="L915">
        <f t="shared" si="101"/>
        <v>33.922899999999998</v>
      </c>
      <c r="M915">
        <f t="shared" si="102"/>
        <v>33922.9</v>
      </c>
      <c r="N915">
        <f t="shared" si="103"/>
        <v>32.152704701590004</v>
      </c>
      <c r="O915">
        <f t="shared" si="104"/>
        <v>1.1246401153259133</v>
      </c>
    </row>
    <row r="916" spans="6:15" x14ac:dyDescent="0.45">
      <c r="F916">
        <v>914</v>
      </c>
      <c r="G916">
        <v>25.1</v>
      </c>
      <c r="H916">
        <f t="shared" si="99"/>
        <v>25.1</v>
      </c>
      <c r="I916">
        <f t="shared" si="98"/>
        <v>6.9722222222222225E-3</v>
      </c>
      <c r="J916">
        <v>9.4600000000000009</v>
      </c>
      <c r="K916">
        <f t="shared" si="100"/>
        <v>9.4600000000000009</v>
      </c>
      <c r="L916">
        <f t="shared" si="101"/>
        <v>35.047899999999998</v>
      </c>
      <c r="M916">
        <f t="shared" si="102"/>
        <v>35047.9</v>
      </c>
      <c r="N916">
        <f t="shared" si="103"/>
        <v>33.21899893909</v>
      </c>
      <c r="O916">
        <f t="shared" si="104"/>
        <v>1.1619370483635267</v>
      </c>
    </row>
    <row r="917" spans="6:15" x14ac:dyDescent="0.45">
      <c r="F917">
        <v>915</v>
      </c>
      <c r="G917">
        <v>25.1</v>
      </c>
      <c r="H917">
        <f t="shared" si="99"/>
        <v>25.1</v>
      </c>
      <c r="I917">
        <f t="shared" si="98"/>
        <v>6.9722222222222225E-3</v>
      </c>
      <c r="J917">
        <v>3.53</v>
      </c>
      <c r="K917">
        <f t="shared" si="100"/>
        <v>3.53</v>
      </c>
      <c r="L917">
        <f t="shared" si="101"/>
        <v>20.222899999999999</v>
      </c>
      <c r="M917">
        <f t="shared" si="102"/>
        <v>20222.899999999998</v>
      </c>
      <c r="N917">
        <f t="shared" si="103"/>
        <v>19.167610431589999</v>
      </c>
      <c r="O917">
        <f t="shared" si="104"/>
        <v>0.67044635300120003</v>
      </c>
    </row>
    <row r="918" spans="6:15" x14ac:dyDescent="0.45">
      <c r="F918">
        <v>916</v>
      </c>
      <c r="G918">
        <v>24.8</v>
      </c>
      <c r="H918">
        <f t="shared" si="99"/>
        <v>24.8</v>
      </c>
      <c r="I918">
        <f t="shared" si="98"/>
        <v>6.8888888888888888E-3</v>
      </c>
      <c r="J918">
        <v>3.82</v>
      </c>
      <c r="K918">
        <f t="shared" si="100"/>
        <v>3.82</v>
      </c>
      <c r="L918">
        <f t="shared" si="101"/>
        <v>20.947899999999997</v>
      </c>
      <c r="M918">
        <f t="shared" si="102"/>
        <v>20947.899999999998</v>
      </c>
      <c r="N918">
        <f t="shared" si="103"/>
        <v>19.854777829089997</v>
      </c>
      <c r="O918">
        <f t="shared" si="104"/>
        <v>0.69448215429210647</v>
      </c>
    </row>
    <row r="919" spans="6:15" x14ac:dyDescent="0.45">
      <c r="F919">
        <v>917</v>
      </c>
      <c r="G919">
        <v>24.6</v>
      </c>
      <c r="H919">
        <f t="shared" si="99"/>
        <v>24.6</v>
      </c>
      <c r="I919">
        <f t="shared" si="98"/>
        <v>6.8333333333333336E-3</v>
      </c>
      <c r="J919">
        <v>-0.85</v>
      </c>
      <c r="K919">
        <f t="shared" si="100"/>
        <v>0</v>
      </c>
      <c r="L919">
        <f t="shared" si="101"/>
        <v>11.3979</v>
      </c>
      <c r="M919">
        <f t="shared" si="102"/>
        <v>11397.9</v>
      </c>
      <c r="N919">
        <f t="shared" si="103"/>
        <v>10.80312452409</v>
      </c>
      <c r="O919">
        <f t="shared" si="104"/>
        <v>0.377872633839478</v>
      </c>
    </row>
    <row r="920" spans="6:15" x14ac:dyDescent="0.45">
      <c r="F920">
        <v>918</v>
      </c>
      <c r="G920">
        <v>24.1</v>
      </c>
      <c r="H920">
        <f t="shared" si="99"/>
        <v>24.1</v>
      </c>
      <c r="I920">
        <f t="shared" si="98"/>
        <v>6.6944444444444447E-3</v>
      </c>
      <c r="J920">
        <v>-0.18</v>
      </c>
      <c r="K920">
        <f t="shared" si="100"/>
        <v>0</v>
      </c>
      <c r="L920">
        <f t="shared" si="101"/>
        <v>11.3979</v>
      </c>
      <c r="M920">
        <f t="shared" si="102"/>
        <v>11397.9</v>
      </c>
      <c r="N920">
        <f t="shared" si="103"/>
        <v>10.80312452409</v>
      </c>
      <c r="O920">
        <f t="shared" si="104"/>
        <v>0.377872633839478</v>
      </c>
    </row>
    <row r="921" spans="6:15" x14ac:dyDescent="0.45">
      <c r="F921">
        <v>919</v>
      </c>
      <c r="G921">
        <v>24.7</v>
      </c>
      <c r="H921">
        <f t="shared" si="99"/>
        <v>24.7</v>
      </c>
      <c r="I921">
        <f t="shared" si="98"/>
        <v>6.8611111111111112E-3</v>
      </c>
      <c r="J921">
        <v>12.46</v>
      </c>
      <c r="K921">
        <f t="shared" si="100"/>
        <v>12.46</v>
      </c>
      <c r="L921">
        <f t="shared" si="101"/>
        <v>42.547899999999998</v>
      </c>
      <c r="M921">
        <f t="shared" si="102"/>
        <v>42547.9</v>
      </c>
      <c r="N921">
        <f t="shared" si="103"/>
        <v>40.327627189090002</v>
      </c>
      <c r="O921">
        <f t="shared" si="104"/>
        <v>1.4105832686142818</v>
      </c>
    </row>
    <row r="922" spans="6:15" x14ac:dyDescent="0.45">
      <c r="F922">
        <v>920</v>
      </c>
      <c r="G922">
        <v>25.5</v>
      </c>
      <c r="H922">
        <f t="shared" si="99"/>
        <v>25.5</v>
      </c>
      <c r="I922">
        <f t="shared" si="98"/>
        <v>7.083333333333333E-3</v>
      </c>
      <c r="J922">
        <v>12.45</v>
      </c>
      <c r="K922">
        <f t="shared" si="100"/>
        <v>12.45</v>
      </c>
      <c r="L922">
        <f t="shared" si="101"/>
        <v>42.5229</v>
      </c>
      <c r="M922">
        <f t="shared" si="102"/>
        <v>42522.9</v>
      </c>
      <c r="N922">
        <f t="shared" si="103"/>
        <v>40.30393176159</v>
      </c>
      <c r="O922">
        <f t="shared" si="104"/>
        <v>1.4097544478801129</v>
      </c>
    </row>
    <row r="923" spans="6:15" x14ac:dyDescent="0.45">
      <c r="F923">
        <v>921</v>
      </c>
      <c r="G923">
        <v>25.8</v>
      </c>
      <c r="H923">
        <f t="shared" si="99"/>
        <v>25.8</v>
      </c>
      <c r="I923">
        <f t="shared" si="98"/>
        <v>7.1666666666666667E-3</v>
      </c>
      <c r="J923">
        <v>5.1100000000000003</v>
      </c>
      <c r="K923">
        <f t="shared" si="100"/>
        <v>5.1100000000000003</v>
      </c>
      <c r="L923">
        <f t="shared" si="101"/>
        <v>24.172899999999998</v>
      </c>
      <c r="M923">
        <f t="shared" si="102"/>
        <v>24172.899999999998</v>
      </c>
      <c r="N923">
        <f t="shared" si="103"/>
        <v>22.911487976589999</v>
      </c>
      <c r="O923">
        <f t="shared" si="104"/>
        <v>0.80140002899993124</v>
      </c>
    </row>
    <row r="924" spans="6:15" x14ac:dyDescent="0.45">
      <c r="F924">
        <v>922</v>
      </c>
      <c r="G924">
        <v>24.9</v>
      </c>
      <c r="H924">
        <f t="shared" si="99"/>
        <v>24.9</v>
      </c>
      <c r="I924">
        <f t="shared" si="98"/>
        <v>6.9166666666666664E-3</v>
      </c>
      <c r="J924">
        <v>-1.56</v>
      </c>
      <c r="K924">
        <f t="shared" si="100"/>
        <v>0</v>
      </c>
      <c r="L924">
        <f t="shared" si="101"/>
        <v>11.3979</v>
      </c>
      <c r="M924">
        <f t="shared" si="102"/>
        <v>11397.9</v>
      </c>
      <c r="N924">
        <f t="shared" si="103"/>
        <v>10.80312452409</v>
      </c>
      <c r="O924">
        <f t="shared" si="104"/>
        <v>0.377872633839478</v>
      </c>
    </row>
    <row r="925" spans="6:15" x14ac:dyDescent="0.45">
      <c r="F925">
        <v>923</v>
      </c>
      <c r="G925">
        <v>23.7</v>
      </c>
      <c r="H925">
        <f t="shared" si="99"/>
        <v>23.7</v>
      </c>
      <c r="I925">
        <f t="shared" si="98"/>
        <v>6.5833333333333334E-3</v>
      </c>
      <c r="J925">
        <v>-0.69</v>
      </c>
      <c r="K925">
        <f t="shared" si="100"/>
        <v>0</v>
      </c>
      <c r="L925">
        <f t="shared" si="101"/>
        <v>11.3979</v>
      </c>
      <c r="M925">
        <f t="shared" si="102"/>
        <v>11397.9</v>
      </c>
      <c r="N925">
        <f t="shared" si="103"/>
        <v>10.80312452409</v>
      </c>
      <c r="O925">
        <f t="shared" si="104"/>
        <v>0.377872633839478</v>
      </c>
    </row>
    <row r="926" spans="6:15" x14ac:dyDescent="0.45">
      <c r="F926">
        <v>924</v>
      </c>
      <c r="G926">
        <v>21.7</v>
      </c>
      <c r="H926">
        <f t="shared" si="99"/>
        <v>21.7</v>
      </c>
      <c r="I926">
        <f t="shared" si="98"/>
        <v>6.0277777777777777E-3</v>
      </c>
      <c r="J926">
        <v>-0.81</v>
      </c>
      <c r="K926">
        <f t="shared" si="100"/>
        <v>0</v>
      </c>
      <c r="L926">
        <f t="shared" si="101"/>
        <v>11.3979</v>
      </c>
      <c r="M926">
        <f t="shared" si="102"/>
        <v>11397.9</v>
      </c>
      <c r="N926">
        <f t="shared" si="103"/>
        <v>10.80312452409</v>
      </c>
      <c r="O926">
        <f t="shared" si="104"/>
        <v>0.377872633839478</v>
      </c>
    </row>
    <row r="927" spans="6:15" x14ac:dyDescent="0.45">
      <c r="F927">
        <v>925</v>
      </c>
      <c r="G927">
        <v>19.399999999999999</v>
      </c>
      <c r="H927">
        <f t="shared" si="99"/>
        <v>19.399999999999999</v>
      </c>
      <c r="I927">
        <f t="shared" si="98"/>
        <v>5.3888888888888884E-3</v>
      </c>
      <c r="J927">
        <v>-0.45</v>
      </c>
      <c r="K927">
        <f t="shared" si="100"/>
        <v>0</v>
      </c>
      <c r="L927">
        <f t="shared" si="101"/>
        <v>11.3979</v>
      </c>
      <c r="M927">
        <f t="shared" si="102"/>
        <v>11397.9</v>
      </c>
      <c r="N927">
        <f t="shared" si="103"/>
        <v>10.80312452409</v>
      </c>
      <c r="O927">
        <f t="shared" si="104"/>
        <v>0.377872633839478</v>
      </c>
    </row>
    <row r="928" spans="6:15" x14ac:dyDescent="0.45">
      <c r="F928">
        <v>926</v>
      </c>
      <c r="G928">
        <v>16.600000000000001</v>
      </c>
      <c r="H928">
        <f t="shared" si="99"/>
        <v>16.600000000000001</v>
      </c>
      <c r="I928">
        <f t="shared" si="98"/>
        <v>4.6111111111111118E-3</v>
      </c>
      <c r="J928">
        <v>-0.43</v>
      </c>
      <c r="K928">
        <f t="shared" si="100"/>
        <v>0</v>
      </c>
      <c r="L928">
        <f t="shared" si="101"/>
        <v>11.3979</v>
      </c>
      <c r="M928">
        <f t="shared" si="102"/>
        <v>11397.9</v>
      </c>
      <c r="N928">
        <f t="shared" si="103"/>
        <v>10.80312452409</v>
      </c>
      <c r="O928">
        <f t="shared" si="104"/>
        <v>0.377872633839478</v>
      </c>
    </row>
    <row r="929" spans="6:15" x14ac:dyDescent="0.45">
      <c r="F929">
        <v>927</v>
      </c>
      <c r="G929">
        <v>13.2</v>
      </c>
      <c r="H929">
        <f t="shared" si="99"/>
        <v>13.2</v>
      </c>
      <c r="I929">
        <f t="shared" si="98"/>
        <v>3.6666666666666666E-3</v>
      </c>
      <c r="J929">
        <v>-0.42</v>
      </c>
      <c r="K929">
        <f t="shared" si="100"/>
        <v>0</v>
      </c>
      <c r="L929">
        <f t="shared" si="101"/>
        <v>11.3979</v>
      </c>
      <c r="M929">
        <f t="shared" si="102"/>
        <v>11397.9</v>
      </c>
      <c r="N929">
        <f t="shared" si="103"/>
        <v>10.80312452409</v>
      </c>
      <c r="O929">
        <f t="shared" si="104"/>
        <v>0.377872633839478</v>
      </c>
    </row>
    <row r="930" spans="6:15" x14ac:dyDescent="0.45">
      <c r="F930">
        <v>928</v>
      </c>
      <c r="G930">
        <v>9.4</v>
      </c>
      <c r="H930">
        <f t="shared" si="99"/>
        <v>9.4</v>
      </c>
      <c r="I930">
        <f t="shared" si="98"/>
        <v>2.6111111111111114E-3</v>
      </c>
      <c r="J930">
        <v>-0.4</v>
      </c>
      <c r="K930">
        <f t="shared" si="100"/>
        <v>0</v>
      </c>
      <c r="L930">
        <f t="shared" si="101"/>
        <v>11.3979</v>
      </c>
      <c r="M930">
        <f t="shared" si="102"/>
        <v>11397.9</v>
      </c>
      <c r="N930">
        <f t="shared" si="103"/>
        <v>10.80312452409</v>
      </c>
      <c r="O930">
        <f t="shared" si="104"/>
        <v>0.377872633839478</v>
      </c>
    </row>
    <row r="931" spans="6:15" x14ac:dyDescent="0.45">
      <c r="F931">
        <v>929</v>
      </c>
      <c r="G931">
        <v>6.1</v>
      </c>
      <c r="H931">
        <f t="shared" si="99"/>
        <v>6.1</v>
      </c>
      <c r="I931">
        <f t="shared" si="98"/>
        <v>1.6944444444444444E-3</v>
      </c>
      <c r="J931">
        <v>0.49</v>
      </c>
      <c r="K931">
        <f t="shared" si="100"/>
        <v>0.49</v>
      </c>
      <c r="L931">
        <f t="shared" si="101"/>
        <v>12.6229</v>
      </c>
      <c r="M931">
        <f t="shared" si="102"/>
        <v>12622.9</v>
      </c>
      <c r="N931">
        <f t="shared" si="103"/>
        <v>11.964200471590001</v>
      </c>
      <c r="O931">
        <f t="shared" si="104"/>
        <v>0.41848484981376799</v>
      </c>
    </row>
    <row r="932" spans="6:15" x14ac:dyDescent="0.45">
      <c r="F932">
        <v>930</v>
      </c>
      <c r="G932">
        <v>2.9</v>
      </c>
      <c r="H932">
        <f t="shared" si="99"/>
        <v>2.9</v>
      </c>
      <c r="I932">
        <f t="shared" si="98"/>
        <v>8.0555555555555556E-4</v>
      </c>
      <c r="J932">
        <v>0.67</v>
      </c>
      <c r="K932">
        <f t="shared" si="100"/>
        <v>0.67</v>
      </c>
      <c r="L932">
        <f t="shared" si="101"/>
        <v>13.072900000000001</v>
      </c>
      <c r="M932">
        <f t="shared" si="102"/>
        <v>13072.900000000001</v>
      </c>
      <c r="N932">
        <f t="shared" si="103"/>
        <v>12.390718166590002</v>
      </c>
      <c r="O932">
        <f t="shared" si="104"/>
        <v>0.43340362302881336</v>
      </c>
    </row>
    <row r="933" spans="6:15" x14ac:dyDescent="0.45">
      <c r="F933">
        <v>931</v>
      </c>
      <c r="G933">
        <v>1</v>
      </c>
      <c r="H933">
        <f t="shared" si="99"/>
        <v>1</v>
      </c>
      <c r="I933">
        <f t="shared" si="98"/>
        <v>2.7777777777777778E-4</v>
      </c>
      <c r="J933">
        <v>1.1000000000000001</v>
      </c>
      <c r="K933">
        <f t="shared" si="100"/>
        <v>1.1000000000000001</v>
      </c>
      <c r="L933">
        <f t="shared" si="101"/>
        <v>14.1479</v>
      </c>
      <c r="M933">
        <f t="shared" si="102"/>
        <v>14147.9</v>
      </c>
      <c r="N933">
        <f t="shared" si="103"/>
        <v>13.40962154909</v>
      </c>
      <c r="O933">
        <f t="shared" si="104"/>
        <v>0.46904291459808828</v>
      </c>
    </row>
    <row r="934" spans="6:15" x14ac:dyDescent="0.45">
      <c r="F934">
        <v>932</v>
      </c>
      <c r="G934">
        <v>0</v>
      </c>
      <c r="H934">
        <f t="shared" si="99"/>
        <v>0</v>
      </c>
      <c r="I934">
        <f t="shared" si="98"/>
        <v>0</v>
      </c>
      <c r="J934">
        <v>1.1200000000000001</v>
      </c>
      <c r="K934">
        <f t="shared" si="100"/>
        <v>1.1200000000000001</v>
      </c>
      <c r="L934">
        <f t="shared" si="101"/>
        <v>14.197900000000001</v>
      </c>
      <c r="M934">
        <f t="shared" si="102"/>
        <v>14197.900000000001</v>
      </c>
      <c r="N934">
        <f t="shared" si="103"/>
        <v>13.457012404090001</v>
      </c>
      <c r="O934">
        <f t="shared" si="104"/>
        <v>0.47070055606642675</v>
      </c>
    </row>
    <row r="935" spans="6:15" x14ac:dyDescent="0.45">
      <c r="F935">
        <v>933</v>
      </c>
      <c r="G935">
        <v>0</v>
      </c>
      <c r="H935">
        <f t="shared" si="99"/>
        <v>0</v>
      </c>
      <c r="I935">
        <f t="shared" si="98"/>
        <v>0</v>
      </c>
      <c r="J935">
        <v>0.87</v>
      </c>
      <c r="K935">
        <f t="shared" si="100"/>
        <v>0.87</v>
      </c>
      <c r="L935">
        <f t="shared" si="101"/>
        <v>13.572900000000001</v>
      </c>
      <c r="M935">
        <f t="shared" si="102"/>
        <v>13572.900000000001</v>
      </c>
      <c r="N935">
        <f t="shared" si="103"/>
        <v>12.864626716590001</v>
      </c>
      <c r="O935">
        <f t="shared" si="104"/>
        <v>0.44998003771219708</v>
      </c>
    </row>
    <row r="936" spans="6:15" x14ac:dyDescent="0.45">
      <c r="F936">
        <v>934</v>
      </c>
      <c r="G936">
        <v>0.3</v>
      </c>
      <c r="H936">
        <f t="shared" si="99"/>
        <v>0.3</v>
      </c>
      <c r="I936">
        <f t="shared" si="98"/>
        <v>8.3333333333333331E-5</v>
      </c>
      <c r="J936">
        <v>1.35</v>
      </c>
      <c r="K936">
        <f t="shared" si="100"/>
        <v>1.35</v>
      </c>
      <c r="L936">
        <f t="shared" si="101"/>
        <v>14.7729</v>
      </c>
      <c r="M936">
        <f t="shared" si="102"/>
        <v>14772.9</v>
      </c>
      <c r="N936">
        <f t="shared" si="103"/>
        <v>14.00200723659</v>
      </c>
      <c r="O936">
        <f t="shared" si="104"/>
        <v>0.48976343295231789</v>
      </c>
    </row>
    <row r="937" spans="6:15" x14ac:dyDescent="0.45">
      <c r="F937">
        <v>935</v>
      </c>
      <c r="G937">
        <v>2</v>
      </c>
      <c r="H937">
        <f t="shared" si="99"/>
        <v>2</v>
      </c>
      <c r="I937">
        <f t="shared" si="98"/>
        <v>5.5555555555555556E-4</v>
      </c>
      <c r="J937">
        <v>5.16</v>
      </c>
      <c r="K937">
        <f t="shared" si="100"/>
        <v>5.16</v>
      </c>
      <c r="L937">
        <f t="shared" si="101"/>
        <v>24.297899999999998</v>
      </c>
      <c r="M937">
        <f t="shared" si="102"/>
        <v>24297.899999999998</v>
      </c>
      <c r="N937">
        <f t="shared" si="103"/>
        <v>23.02996511409</v>
      </c>
      <c r="O937">
        <f t="shared" si="104"/>
        <v>0.80554413267077718</v>
      </c>
    </row>
    <row r="938" spans="6:15" x14ac:dyDescent="0.45">
      <c r="F938">
        <v>936</v>
      </c>
      <c r="G938">
        <v>6</v>
      </c>
      <c r="H938">
        <f t="shared" si="99"/>
        <v>6</v>
      </c>
      <c r="I938">
        <f t="shared" si="98"/>
        <v>1.6666666666666666E-3</v>
      </c>
      <c r="J938">
        <v>9.0500000000000007</v>
      </c>
      <c r="K938">
        <f t="shared" si="100"/>
        <v>9.0500000000000007</v>
      </c>
      <c r="L938">
        <f t="shared" si="101"/>
        <v>34.0229</v>
      </c>
      <c r="M938">
        <f t="shared" si="102"/>
        <v>34022.9</v>
      </c>
      <c r="N938">
        <f t="shared" si="103"/>
        <v>32.247486411590003</v>
      </c>
      <c r="O938">
        <f t="shared" si="104"/>
        <v>1.1279553982625901</v>
      </c>
    </row>
    <row r="939" spans="6:15" x14ac:dyDescent="0.45">
      <c r="F939">
        <v>937</v>
      </c>
      <c r="G939">
        <v>8.6999999999999993</v>
      </c>
      <c r="H939">
        <f t="shared" si="99"/>
        <v>8.6999999999999993</v>
      </c>
      <c r="I939">
        <f t="shared" si="98"/>
        <v>2.4166666666666664E-3</v>
      </c>
      <c r="J939">
        <v>13.08</v>
      </c>
      <c r="K939">
        <f t="shared" si="100"/>
        <v>13.08</v>
      </c>
      <c r="L939">
        <f t="shared" si="101"/>
        <v>44.097900000000003</v>
      </c>
      <c r="M939">
        <f t="shared" si="102"/>
        <v>44097.9</v>
      </c>
      <c r="N939">
        <f t="shared" si="103"/>
        <v>41.796743694090004</v>
      </c>
      <c r="O939">
        <f t="shared" si="104"/>
        <v>1.4619701541327714</v>
      </c>
    </row>
    <row r="940" spans="6:15" x14ac:dyDescent="0.45">
      <c r="F940">
        <v>938</v>
      </c>
      <c r="G940">
        <v>12.1</v>
      </c>
      <c r="H940">
        <f t="shared" si="99"/>
        <v>12.1</v>
      </c>
      <c r="I940">
        <f t="shared" si="98"/>
        <v>3.3611111111111112E-3</v>
      </c>
      <c r="J940">
        <v>16.5</v>
      </c>
      <c r="K940">
        <f t="shared" si="100"/>
        <v>16.5</v>
      </c>
      <c r="L940">
        <f t="shared" si="101"/>
        <v>52.6479</v>
      </c>
      <c r="M940">
        <f t="shared" si="102"/>
        <v>52647.9</v>
      </c>
      <c r="N940">
        <f t="shared" si="103"/>
        <v>49.900579899090005</v>
      </c>
      <c r="O940">
        <f t="shared" si="104"/>
        <v>1.7454268452186328</v>
      </c>
    </row>
    <row r="941" spans="6:15" x14ac:dyDescent="0.45">
      <c r="F941">
        <v>939</v>
      </c>
      <c r="G941">
        <v>15.4</v>
      </c>
      <c r="H941">
        <f t="shared" si="99"/>
        <v>15.4</v>
      </c>
      <c r="I941">
        <f t="shared" si="98"/>
        <v>4.2777777777777779E-3</v>
      </c>
      <c r="J941">
        <v>21.35</v>
      </c>
      <c r="K941">
        <f t="shared" si="100"/>
        <v>21.35</v>
      </c>
      <c r="L941">
        <f t="shared" si="101"/>
        <v>64.772899999999993</v>
      </c>
      <c r="M941">
        <f t="shared" si="102"/>
        <v>64772.899999999994</v>
      </c>
      <c r="N941">
        <f t="shared" si="103"/>
        <v>61.392862236589998</v>
      </c>
      <c r="O941">
        <f t="shared" si="104"/>
        <v>2.1474049012906868</v>
      </c>
    </row>
    <row r="942" spans="6:15" x14ac:dyDescent="0.45">
      <c r="F942">
        <v>940</v>
      </c>
      <c r="G942">
        <v>17.5</v>
      </c>
      <c r="H942">
        <f t="shared" si="99"/>
        <v>17.5</v>
      </c>
      <c r="I942">
        <f t="shared" si="98"/>
        <v>4.8611111111111112E-3</v>
      </c>
      <c r="J942">
        <v>14.23</v>
      </c>
      <c r="K942">
        <f t="shared" si="100"/>
        <v>14.23</v>
      </c>
      <c r="L942">
        <f t="shared" si="101"/>
        <v>46.972900000000003</v>
      </c>
      <c r="M942">
        <f t="shared" si="102"/>
        <v>46972.9</v>
      </c>
      <c r="N942">
        <f t="shared" si="103"/>
        <v>44.521717856590001</v>
      </c>
      <c r="O942">
        <f t="shared" si="104"/>
        <v>1.5572845385622276</v>
      </c>
    </row>
    <row r="943" spans="6:15" x14ac:dyDescent="0.45">
      <c r="F943">
        <v>941</v>
      </c>
      <c r="G943">
        <v>18.600000000000001</v>
      </c>
      <c r="H943">
        <f t="shared" si="99"/>
        <v>18.600000000000001</v>
      </c>
      <c r="I943">
        <f t="shared" si="98"/>
        <v>5.1666666666666666E-3</v>
      </c>
      <c r="J943">
        <v>10.17</v>
      </c>
      <c r="K943">
        <f t="shared" si="100"/>
        <v>10.17</v>
      </c>
      <c r="L943">
        <f t="shared" si="101"/>
        <v>36.822900000000004</v>
      </c>
      <c r="M943">
        <f t="shared" si="102"/>
        <v>36822.9</v>
      </c>
      <c r="N943">
        <f t="shared" si="103"/>
        <v>34.901374291590002</v>
      </c>
      <c r="O943">
        <f t="shared" si="104"/>
        <v>1.2207833204895389</v>
      </c>
    </row>
    <row r="944" spans="6:15" x14ac:dyDescent="0.45">
      <c r="F944">
        <v>942</v>
      </c>
      <c r="G944">
        <v>19.899999999999999</v>
      </c>
      <c r="H944">
        <f t="shared" si="99"/>
        <v>19.899999999999999</v>
      </c>
      <c r="I944">
        <f t="shared" si="98"/>
        <v>5.5277777777777773E-3</v>
      </c>
      <c r="J944">
        <v>12.89</v>
      </c>
      <c r="K944">
        <f t="shared" si="100"/>
        <v>12.89</v>
      </c>
      <c r="L944">
        <f t="shared" si="101"/>
        <v>43.622900000000001</v>
      </c>
      <c r="M944">
        <f t="shared" si="102"/>
        <v>43622.9</v>
      </c>
      <c r="N944">
        <f t="shared" si="103"/>
        <v>41.346530571590002</v>
      </c>
      <c r="O944">
        <f t="shared" si="104"/>
        <v>1.446222560183557</v>
      </c>
    </row>
    <row r="945" spans="6:15" x14ac:dyDescent="0.45">
      <c r="F945">
        <v>943</v>
      </c>
      <c r="G945">
        <v>21.3</v>
      </c>
      <c r="H945">
        <f t="shared" si="99"/>
        <v>21.3</v>
      </c>
      <c r="I945">
        <f t="shared" si="98"/>
        <v>5.9166666666666664E-3</v>
      </c>
      <c r="J945">
        <v>12.96</v>
      </c>
      <c r="K945">
        <f t="shared" si="100"/>
        <v>12.96</v>
      </c>
      <c r="L945">
        <f t="shared" si="101"/>
        <v>43.797900000000006</v>
      </c>
      <c r="M945">
        <f t="shared" si="102"/>
        <v>43797.900000000009</v>
      </c>
      <c r="N945">
        <f t="shared" si="103"/>
        <v>41.512398564090013</v>
      </c>
      <c r="O945">
        <f t="shared" si="104"/>
        <v>1.4520243053227415</v>
      </c>
    </row>
    <row r="946" spans="6:15" x14ac:dyDescent="0.45">
      <c r="F946">
        <v>944</v>
      </c>
      <c r="G946">
        <v>22.2</v>
      </c>
      <c r="H946">
        <f t="shared" si="99"/>
        <v>22.2</v>
      </c>
      <c r="I946">
        <f t="shared" si="98"/>
        <v>6.1666666666666667E-3</v>
      </c>
      <c r="J946">
        <v>11.29</v>
      </c>
      <c r="K946">
        <f t="shared" si="100"/>
        <v>11.29</v>
      </c>
      <c r="L946">
        <f t="shared" si="101"/>
        <v>39.622900000000001</v>
      </c>
      <c r="M946">
        <f t="shared" si="102"/>
        <v>39622.9</v>
      </c>
      <c r="N946">
        <f t="shared" si="103"/>
        <v>37.555262171590002</v>
      </c>
      <c r="O946">
        <f t="shared" si="104"/>
        <v>1.3136112427164877</v>
      </c>
    </row>
    <row r="947" spans="6:15" x14ac:dyDescent="0.45">
      <c r="F947">
        <v>945</v>
      </c>
      <c r="G947">
        <v>23.1</v>
      </c>
      <c r="H947">
        <f t="shared" si="99"/>
        <v>23.1</v>
      </c>
      <c r="I947">
        <f t="shared" si="98"/>
        <v>6.4166666666666669E-3</v>
      </c>
      <c r="J947">
        <v>15.89</v>
      </c>
      <c r="K947">
        <f t="shared" si="100"/>
        <v>15.89</v>
      </c>
      <c r="L947">
        <f t="shared" si="101"/>
        <v>51.122900000000001</v>
      </c>
      <c r="M947">
        <f t="shared" si="102"/>
        <v>51122.9</v>
      </c>
      <c r="N947">
        <f t="shared" si="103"/>
        <v>48.455158821590004</v>
      </c>
      <c r="O947">
        <f t="shared" si="104"/>
        <v>1.6948687804343123</v>
      </c>
    </row>
    <row r="948" spans="6:15" x14ac:dyDescent="0.45">
      <c r="F948">
        <v>946</v>
      </c>
      <c r="G948">
        <v>24.6</v>
      </c>
      <c r="H948">
        <f t="shared" si="99"/>
        <v>24.6</v>
      </c>
      <c r="I948">
        <f t="shared" si="98"/>
        <v>6.8333333333333336E-3</v>
      </c>
      <c r="J948">
        <v>16.809999999999999</v>
      </c>
      <c r="K948">
        <f t="shared" si="100"/>
        <v>16.809999999999999</v>
      </c>
      <c r="L948">
        <f t="shared" si="101"/>
        <v>53.422899999999998</v>
      </c>
      <c r="M948">
        <f t="shared" si="102"/>
        <v>53422.9</v>
      </c>
      <c r="N948">
        <f t="shared" si="103"/>
        <v>50.635138151590006</v>
      </c>
      <c r="O948">
        <f t="shared" si="104"/>
        <v>1.7711202879778776</v>
      </c>
    </row>
    <row r="949" spans="6:15" x14ac:dyDescent="0.45">
      <c r="F949">
        <v>947</v>
      </c>
      <c r="G949">
        <v>26.3</v>
      </c>
      <c r="H949">
        <f t="shared" si="99"/>
        <v>26.3</v>
      </c>
      <c r="I949">
        <f t="shared" si="98"/>
        <v>7.3055555555555556E-3</v>
      </c>
      <c r="J949">
        <v>17.82</v>
      </c>
      <c r="K949">
        <f t="shared" si="100"/>
        <v>17.82</v>
      </c>
      <c r="L949">
        <f t="shared" si="101"/>
        <v>55.947899999999997</v>
      </c>
      <c r="M949">
        <f t="shared" si="102"/>
        <v>55947.899999999994</v>
      </c>
      <c r="N949">
        <f t="shared" si="103"/>
        <v>53.028376329089994</v>
      </c>
      <c r="O949">
        <f t="shared" si="104"/>
        <v>1.8548311821289647</v>
      </c>
    </row>
    <row r="950" spans="6:15" x14ac:dyDescent="0.45">
      <c r="F950">
        <v>948</v>
      </c>
      <c r="G950">
        <v>27.3</v>
      </c>
      <c r="H950">
        <f t="shared" si="99"/>
        <v>27.3</v>
      </c>
      <c r="I950">
        <f t="shared" si="98"/>
        <v>7.5833333333333334E-3</v>
      </c>
      <c r="J950">
        <v>13.11</v>
      </c>
      <c r="K950">
        <f t="shared" si="100"/>
        <v>13.11</v>
      </c>
      <c r="L950">
        <f t="shared" si="101"/>
        <v>44.172899999999998</v>
      </c>
      <c r="M950">
        <f t="shared" si="102"/>
        <v>44172.9</v>
      </c>
      <c r="N950">
        <f t="shared" si="103"/>
        <v>41.867829976590002</v>
      </c>
      <c r="O950">
        <f t="shared" si="104"/>
        <v>1.464456616335279</v>
      </c>
    </row>
    <row r="951" spans="6:15" x14ac:dyDescent="0.45">
      <c r="F951">
        <v>949</v>
      </c>
      <c r="G951">
        <v>28</v>
      </c>
      <c r="H951">
        <f t="shared" si="99"/>
        <v>28</v>
      </c>
      <c r="I951">
        <f t="shared" si="98"/>
        <v>7.7777777777777776E-3</v>
      </c>
      <c r="J951">
        <v>10.63</v>
      </c>
      <c r="K951">
        <f t="shared" si="100"/>
        <v>10.63</v>
      </c>
      <c r="L951">
        <f t="shared" si="101"/>
        <v>37.972900000000003</v>
      </c>
      <c r="M951">
        <f t="shared" si="102"/>
        <v>37972.9</v>
      </c>
      <c r="N951">
        <f t="shared" si="103"/>
        <v>35.99136395659</v>
      </c>
      <c r="O951">
        <f t="shared" si="104"/>
        <v>1.2589090742613214</v>
      </c>
    </row>
    <row r="952" spans="6:15" x14ac:dyDescent="0.45">
      <c r="F952">
        <v>950</v>
      </c>
      <c r="G952">
        <v>28.4</v>
      </c>
      <c r="H952">
        <f t="shared" si="99"/>
        <v>28.4</v>
      </c>
      <c r="I952">
        <f t="shared" si="98"/>
        <v>7.888888888888888E-3</v>
      </c>
      <c r="J952">
        <v>10.01</v>
      </c>
      <c r="K952">
        <f t="shared" si="100"/>
        <v>10.01</v>
      </c>
      <c r="L952">
        <f t="shared" si="101"/>
        <v>36.422899999999998</v>
      </c>
      <c r="M952">
        <f t="shared" si="102"/>
        <v>36422.9</v>
      </c>
      <c r="N952">
        <f t="shared" si="103"/>
        <v>34.522247451590005</v>
      </c>
      <c r="O952">
        <f t="shared" si="104"/>
        <v>1.207522188742832</v>
      </c>
    </row>
    <row r="953" spans="6:15" x14ac:dyDescent="0.45">
      <c r="F953">
        <v>951</v>
      </c>
      <c r="G953">
        <v>28.8</v>
      </c>
      <c r="H953">
        <f t="shared" si="99"/>
        <v>28.8</v>
      </c>
      <c r="I953">
        <f t="shared" si="98"/>
        <v>8.0000000000000002E-3</v>
      </c>
      <c r="J953">
        <v>7.82</v>
      </c>
      <c r="K953">
        <f t="shared" si="100"/>
        <v>7.82</v>
      </c>
      <c r="L953">
        <f t="shared" si="101"/>
        <v>30.947900000000001</v>
      </c>
      <c r="M953">
        <f t="shared" si="102"/>
        <v>30947.9</v>
      </c>
      <c r="N953">
        <f t="shared" si="103"/>
        <v>29.332948829090004</v>
      </c>
      <c r="O953">
        <f t="shared" si="104"/>
        <v>1.0260104479597805</v>
      </c>
    </row>
    <row r="954" spans="6:15" x14ac:dyDescent="0.45">
      <c r="F954">
        <v>952</v>
      </c>
      <c r="G954">
        <v>28.8</v>
      </c>
      <c r="H954">
        <f t="shared" si="99"/>
        <v>28.8</v>
      </c>
      <c r="I954">
        <f t="shared" si="98"/>
        <v>8.0000000000000002E-3</v>
      </c>
      <c r="J954">
        <v>3.71</v>
      </c>
      <c r="K954">
        <f t="shared" si="100"/>
        <v>3.71</v>
      </c>
      <c r="L954">
        <f t="shared" si="101"/>
        <v>20.672899999999998</v>
      </c>
      <c r="M954">
        <f t="shared" si="102"/>
        <v>20672.899999999998</v>
      </c>
      <c r="N954">
        <f t="shared" si="103"/>
        <v>19.59412812659</v>
      </c>
      <c r="O954">
        <f t="shared" si="104"/>
        <v>0.68536512621624546</v>
      </c>
    </row>
    <row r="955" spans="6:15" x14ac:dyDescent="0.45">
      <c r="F955">
        <v>953</v>
      </c>
      <c r="G955">
        <v>28.5</v>
      </c>
      <c r="H955">
        <f t="shared" si="99"/>
        <v>28.5</v>
      </c>
      <c r="I955">
        <f t="shared" si="98"/>
        <v>7.9166666666666673E-3</v>
      </c>
      <c r="J955">
        <v>0.16</v>
      </c>
      <c r="K955">
        <f t="shared" si="100"/>
        <v>0.16</v>
      </c>
      <c r="L955">
        <f t="shared" si="101"/>
        <v>11.7979</v>
      </c>
      <c r="M955">
        <f t="shared" si="102"/>
        <v>11797.9</v>
      </c>
      <c r="N955">
        <f t="shared" si="103"/>
        <v>11.18225136409</v>
      </c>
      <c r="O955">
        <f t="shared" si="104"/>
        <v>0.39113376558618496</v>
      </c>
    </row>
    <row r="956" spans="6:15" x14ac:dyDescent="0.45">
      <c r="F956">
        <v>954</v>
      </c>
      <c r="G956">
        <v>27.9</v>
      </c>
      <c r="H956">
        <f t="shared" si="99"/>
        <v>27.9</v>
      </c>
      <c r="I956">
        <f t="shared" si="98"/>
        <v>7.7499999999999999E-3</v>
      </c>
      <c r="J956">
        <v>-0.19</v>
      </c>
      <c r="K956">
        <f t="shared" si="100"/>
        <v>0</v>
      </c>
      <c r="L956">
        <f t="shared" si="101"/>
        <v>11.3979</v>
      </c>
      <c r="M956">
        <f t="shared" si="102"/>
        <v>11397.9</v>
      </c>
      <c r="N956">
        <f t="shared" si="103"/>
        <v>10.80312452409</v>
      </c>
      <c r="O956">
        <f t="shared" si="104"/>
        <v>0.377872633839478</v>
      </c>
    </row>
    <row r="957" spans="6:15" x14ac:dyDescent="0.45">
      <c r="F957">
        <v>955</v>
      </c>
      <c r="G957">
        <v>27.5</v>
      </c>
      <c r="H957">
        <f t="shared" si="99"/>
        <v>27.5</v>
      </c>
      <c r="I957">
        <f t="shared" si="98"/>
        <v>7.6388888888888886E-3</v>
      </c>
      <c r="J957">
        <v>-0.26</v>
      </c>
      <c r="K957">
        <f t="shared" si="100"/>
        <v>0</v>
      </c>
      <c r="L957">
        <f t="shared" si="101"/>
        <v>11.3979</v>
      </c>
      <c r="M957">
        <f t="shared" si="102"/>
        <v>11397.9</v>
      </c>
      <c r="N957">
        <f t="shared" si="103"/>
        <v>10.80312452409</v>
      </c>
      <c r="O957">
        <f t="shared" si="104"/>
        <v>0.377872633839478</v>
      </c>
    </row>
    <row r="958" spans="6:15" x14ac:dyDescent="0.45">
      <c r="F958">
        <v>956</v>
      </c>
      <c r="G958">
        <v>27.2</v>
      </c>
      <c r="H958">
        <f t="shared" si="99"/>
        <v>27.2</v>
      </c>
      <c r="I958">
        <f t="shared" si="98"/>
        <v>7.5555555555555549E-3</v>
      </c>
      <c r="J958">
        <v>1.17</v>
      </c>
      <c r="K958">
        <f t="shared" si="100"/>
        <v>1.17</v>
      </c>
      <c r="L958">
        <f t="shared" si="101"/>
        <v>14.322900000000001</v>
      </c>
      <c r="M958">
        <f t="shared" si="102"/>
        <v>14322.900000000001</v>
      </c>
      <c r="N958">
        <f t="shared" si="103"/>
        <v>13.575489541590002</v>
      </c>
      <c r="O958">
        <f t="shared" si="104"/>
        <v>0.47484465973727263</v>
      </c>
    </row>
    <row r="959" spans="6:15" x14ac:dyDescent="0.45">
      <c r="F959">
        <v>957</v>
      </c>
      <c r="G959">
        <v>26.9</v>
      </c>
      <c r="H959">
        <f t="shared" si="99"/>
        <v>26.9</v>
      </c>
      <c r="I959">
        <f t="shared" si="98"/>
        <v>7.4722222222222221E-3</v>
      </c>
      <c r="J959">
        <v>-0.28000000000000003</v>
      </c>
      <c r="K959">
        <f t="shared" si="100"/>
        <v>0</v>
      </c>
      <c r="L959">
        <f t="shared" si="101"/>
        <v>11.3979</v>
      </c>
      <c r="M959">
        <f t="shared" si="102"/>
        <v>11397.9</v>
      </c>
      <c r="N959">
        <f t="shared" si="103"/>
        <v>10.80312452409</v>
      </c>
      <c r="O959">
        <f t="shared" si="104"/>
        <v>0.377872633839478</v>
      </c>
    </row>
    <row r="960" spans="6:15" x14ac:dyDescent="0.45">
      <c r="F960">
        <v>958</v>
      </c>
      <c r="G960">
        <v>26.4</v>
      </c>
      <c r="H960">
        <f t="shared" si="99"/>
        <v>26.4</v>
      </c>
      <c r="I960">
        <f t="shared" si="98"/>
        <v>7.3333333333333332E-3</v>
      </c>
      <c r="J960">
        <v>0.4</v>
      </c>
      <c r="K960">
        <f t="shared" si="100"/>
        <v>0.4</v>
      </c>
      <c r="L960">
        <f t="shared" si="101"/>
        <v>12.3979</v>
      </c>
      <c r="M960">
        <f t="shared" si="102"/>
        <v>12397.9</v>
      </c>
      <c r="N960">
        <f t="shared" si="103"/>
        <v>11.75094162409</v>
      </c>
      <c r="O960">
        <f t="shared" si="104"/>
        <v>0.41102546320624539</v>
      </c>
    </row>
    <row r="961" spans="6:15" x14ac:dyDescent="0.45">
      <c r="F961">
        <v>959</v>
      </c>
      <c r="G961">
        <v>26.1</v>
      </c>
      <c r="H961">
        <f t="shared" si="99"/>
        <v>26.1</v>
      </c>
      <c r="I961">
        <f t="shared" si="98"/>
        <v>7.2500000000000004E-3</v>
      </c>
      <c r="J961">
        <v>-0.72</v>
      </c>
      <c r="K961">
        <f t="shared" si="100"/>
        <v>0</v>
      </c>
      <c r="L961">
        <f t="shared" si="101"/>
        <v>11.3979</v>
      </c>
      <c r="M961">
        <f t="shared" si="102"/>
        <v>11397.9</v>
      </c>
      <c r="N961">
        <f t="shared" si="103"/>
        <v>10.80312452409</v>
      </c>
      <c r="O961">
        <f t="shared" si="104"/>
        <v>0.377872633839478</v>
      </c>
    </row>
    <row r="962" spans="6:15" x14ac:dyDescent="0.45">
      <c r="F962">
        <v>960</v>
      </c>
      <c r="G962">
        <v>25.7</v>
      </c>
      <c r="H962">
        <f t="shared" si="99"/>
        <v>25.7</v>
      </c>
      <c r="I962">
        <f t="shared" ref="I962:I1025" si="105">H962*(1/3600)</f>
        <v>7.1388888888888891E-3</v>
      </c>
      <c r="J962">
        <v>-0.28999999999999998</v>
      </c>
      <c r="K962">
        <f t="shared" si="100"/>
        <v>0</v>
      </c>
      <c r="L962">
        <f t="shared" si="101"/>
        <v>11.3979</v>
      </c>
      <c r="M962">
        <f t="shared" si="102"/>
        <v>11397.9</v>
      </c>
      <c r="N962">
        <f t="shared" si="103"/>
        <v>10.80312452409</v>
      </c>
      <c r="O962">
        <f t="shared" si="104"/>
        <v>0.377872633839478</v>
      </c>
    </row>
    <row r="963" spans="6:15" x14ac:dyDescent="0.45">
      <c r="F963">
        <v>961</v>
      </c>
      <c r="G963">
        <v>25.2</v>
      </c>
      <c r="H963">
        <f t="shared" ref="H963:H1026" si="106">IF(G963&lt;0,0,G963)</f>
        <v>25.2</v>
      </c>
      <c r="I963">
        <f t="shared" si="105"/>
        <v>7.0000000000000001E-3</v>
      </c>
      <c r="J963">
        <v>-0.18</v>
      </c>
      <c r="K963">
        <f t="shared" ref="K963:K1026" si="107">IF(J963&lt;0,0,J963)</f>
        <v>0</v>
      </c>
      <c r="L963">
        <f t="shared" ref="L963:L1026" si="108">(1/$B$5)*K963+((3.4798*$B$6)+0.9585)</f>
        <v>11.3979</v>
      </c>
      <c r="M963">
        <f t="shared" ref="M963:M1026" si="109">L963*1000</f>
        <v>11397.9</v>
      </c>
      <c r="N963">
        <f t="shared" ref="N963:N1026" si="110">M963*0.0009478171</f>
        <v>10.80312452409</v>
      </c>
      <c r="O963">
        <f t="shared" ref="O963:O1026" si="111">(M963*453.59237)/(18489*0.74*1000)</f>
        <v>0.377872633839478</v>
      </c>
    </row>
    <row r="964" spans="6:15" x14ac:dyDescent="0.45">
      <c r="F964">
        <v>962</v>
      </c>
      <c r="G964">
        <v>23.7</v>
      </c>
      <c r="H964">
        <f t="shared" si="106"/>
        <v>23.7</v>
      </c>
      <c r="I964">
        <f t="shared" si="105"/>
        <v>6.5833333333333334E-3</v>
      </c>
      <c r="J964">
        <v>-1.82</v>
      </c>
      <c r="K964">
        <f t="shared" si="107"/>
        <v>0</v>
      </c>
      <c r="L964">
        <f t="shared" si="108"/>
        <v>11.3979</v>
      </c>
      <c r="M964">
        <f t="shared" si="109"/>
        <v>11397.9</v>
      </c>
      <c r="N964">
        <f t="shared" si="110"/>
        <v>10.80312452409</v>
      </c>
      <c r="O964">
        <f t="shared" si="111"/>
        <v>0.377872633839478</v>
      </c>
    </row>
    <row r="965" spans="6:15" x14ac:dyDescent="0.45">
      <c r="F965">
        <v>963</v>
      </c>
      <c r="G965">
        <v>22.5</v>
      </c>
      <c r="H965">
        <f t="shared" si="106"/>
        <v>22.5</v>
      </c>
      <c r="I965">
        <f t="shared" si="105"/>
        <v>6.2500000000000003E-3</v>
      </c>
      <c r="J965">
        <v>-1.18</v>
      </c>
      <c r="K965">
        <f t="shared" si="107"/>
        <v>0</v>
      </c>
      <c r="L965">
        <f t="shared" si="108"/>
        <v>11.3979</v>
      </c>
      <c r="M965">
        <f t="shared" si="109"/>
        <v>11397.9</v>
      </c>
      <c r="N965">
        <f t="shared" si="110"/>
        <v>10.80312452409</v>
      </c>
      <c r="O965">
        <f t="shared" si="111"/>
        <v>0.377872633839478</v>
      </c>
    </row>
    <row r="966" spans="6:15" x14ac:dyDescent="0.45">
      <c r="F966">
        <v>964</v>
      </c>
      <c r="G966">
        <v>21.9</v>
      </c>
      <c r="H966">
        <f t="shared" si="106"/>
        <v>21.9</v>
      </c>
      <c r="I966">
        <f t="shared" si="105"/>
        <v>6.083333333333333E-3</v>
      </c>
      <c r="J966">
        <v>-1.22</v>
      </c>
      <c r="K966">
        <f t="shared" si="107"/>
        <v>0</v>
      </c>
      <c r="L966">
        <f t="shared" si="108"/>
        <v>11.3979</v>
      </c>
      <c r="M966">
        <f t="shared" si="109"/>
        <v>11397.9</v>
      </c>
      <c r="N966">
        <f t="shared" si="110"/>
        <v>10.80312452409</v>
      </c>
      <c r="O966">
        <f t="shared" si="111"/>
        <v>0.377872633839478</v>
      </c>
    </row>
    <row r="967" spans="6:15" x14ac:dyDescent="0.45">
      <c r="F967">
        <v>965</v>
      </c>
      <c r="G967">
        <v>21.8</v>
      </c>
      <c r="H967">
        <f t="shared" si="106"/>
        <v>21.8</v>
      </c>
      <c r="I967">
        <f t="shared" si="105"/>
        <v>6.0555555555555553E-3</v>
      </c>
      <c r="J967">
        <v>4.9000000000000004</v>
      </c>
      <c r="K967">
        <f t="shared" si="107"/>
        <v>4.9000000000000004</v>
      </c>
      <c r="L967">
        <f t="shared" si="108"/>
        <v>23.6479</v>
      </c>
      <c r="M967">
        <f t="shared" si="109"/>
        <v>23647.9</v>
      </c>
      <c r="N967">
        <f t="shared" si="110"/>
        <v>22.413883999090004</v>
      </c>
      <c r="O967">
        <f t="shared" si="111"/>
        <v>0.78399479358237856</v>
      </c>
    </row>
    <row r="968" spans="6:15" x14ac:dyDescent="0.45">
      <c r="F968">
        <v>966</v>
      </c>
      <c r="G968">
        <v>22</v>
      </c>
      <c r="H968">
        <f t="shared" si="106"/>
        <v>22</v>
      </c>
      <c r="I968">
        <f t="shared" si="105"/>
        <v>6.1111111111111114E-3</v>
      </c>
      <c r="J968">
        <v>4.79</v>
      </c>
      <c r="K968">
        <f t="shared" si="107"/>
        <v>4.79</v>
      </c>
      <c r="L968">
        <f t="shared" si="108"/>
        <v>23.372900000000001</v>
      </c>
      <c r="M968">
        <f t="shared" si="109"/>
        <v>23372.9</v>
      </c>
      <c r="N968">
        <f t="shared" si="110"/>
        <v>22.153234296590004</v>
      </c>
      <c r="O968">
        <f t="shared" si="111"/>
        <v>0.77487776550651755</v>
      </c>
    </row>
    <row r="969" spans="6:15" x14ac:dyDescent="0.45">
      <c r="F969">
        <v>967</v>
      </c>
      <c r="G969">
        <v>22.6</v>
      </c>
      <c r="H969">
        <f t="shared" si="106"/>
        <v>22.6</v>
      </c>
      <c r="I969">
        <f t="shared" si="105"/>
        <v>6.277777777777778E-3</v>
      </c>
      <c r="J969">
        <v>12.51</v>
      </c>
      <c r="K969">
        <f t="shared" si="107"/>
        <v>12.51</v>
      </c>
      <c r="L969">
        <f t="shared" si="108"/>
        <v>42.672899999999998</v>
      </c>
      <c r="M969">
        <f t="shared" si="109"/>
        <v>42672.9</v>
      </c>
      <c r="N969">
        <f t="shared" si="110"/>
        <v>40.446104326590003</v>
      </c>
      <c r="O969">
        <f t="shared" si="111"/>
        <v>1.4147273722851279</v>
      </c>
    </row>
    <row r="970" spans="6:15" x14ac:dyDescent="0.45">
      <c r="F970">
        <v>968</v>
      </c>
      <c r="G970">
        <v>23</v>
      </c>
      <c r="H970">
        <f t="shared" si="106"/>
        <v>23</v>
      </c>
      <c r="I970">
        <f t="shared" si="105"/>
        <v>6.3888888888888893E-3</v>
      </c>
      <c r="J970">
        <v>7.58</v>
      </c>
      <c r="K970">
        <f t="shared" si="107"/>
        <v>7.58</v>
      </c>
      <c r="L970">
        <f t="shared" si="108"/>
        <v>30.347899999999999</v>
      </c>
      <c r="M970">
        <f t="shared" si="109"/>
        <v>30347.899999999998</v>
      </c>
      <c r="N970">
        <f t="shared" si="110"/>
        <v>28.76425856909</v>
      </c>
      <c r="O970">
        <f t="shared" si="111"/>
        <v>1.0061187503397198</v>
      </c>
    </row>
    <row r="971" spans="6:15" x14ac:dyDescent="0.45">
      <c r="F971">
        <v>969</v>
      </c>
      <c r="G971">
        <v>23</v>
      </c>
      <c r="H971">
        <f t="shared" si="106"/>
        <v>23</v>
      </c>
      <c r="I971">
        <f t="shared" si="105"/>
        <v>6.3888888888888893E-3</v>
      </c>
      <c r="J971">
        <v>4.16</v>
      </c>
      <c r="K971">
        <f t="shared" si="107"/>
        <v>4.16</v>
      </c>
      <c r="L971">
        <f t="shared" si="108"/>
        <v>21.797899999999998</v>
      </c>
      <c r="M971">
        <f t="shared" si="109"/>
        <v>21797.899999999998</v>
      </c>
      <c r="N971">
        <f t="shared" si="110"/>
        <v>20.66042236409</v>
      </c>
      <c r="O971">
        <f t="shared" si="111"/>
        <v>0.72266205925385874</v>
      </c>
    </row>
    <row r="972" spans="6:15" x14ac:dyDescent="0.45">
      <c r="F972">
        <v>970</v>
      </c>
      <c r="G972">
        <v>23</v>
      </c>
      <c r="H972">
        <f t="shared" si="106"/>
        <v>23</v>
      </c>
      <c r="I972">
        <f t="shared" si="105"/>
        <v>6.3888888888888893E-3</v>
      </c>
      <c r="J972">
        <v>3.54</v>
      </c>
      <c r="K972">
        <f t="shared" si="107"/>
        <v>3.54</v>
      </c>
      <c r="L972">
        <f t="shared" si="108"/>
        <v>20.247900000000001</v>
      </c>
      <c r="M972">
        <f t="shared" si="109"/>
        <v>20247.900000000001</v>
      </c>
      <c r="N972">
        <f t="shared" si="110"/>
        <v>19.191305859090001</v>
      </c>
      <c r="O972">
        <f t="shared" si="111"/>
        <v>0.67127517373536949</v>
      </c>
    </row>
    <row r="973" spans="6:15" x14ac:dyDescent="0.45">
      <c r="F973">
        <v>971</v>
      </c>
      <c r="G973">
        <v>23.1</v>
      </c>
      <c r="H973">
        <f t="shared" si="106"/>
        <v>23.1</v>
      </c>
      <c r="I973">
        <f t="shared" si="105"/>
        <v>6.4166666666666669E-3</v>
      </c>
      <c r="J973">
        <v>2.39</v>
      </c>
      <c r="K973">
        <f t="shared" si="107"/>
        <v>2.39</v>
      </c>
      <c r="L973">
        <f t="shared" si="108"/>
        <v>17.372900000000001</v>
      </c>
      <c r="M973">
        <f t="shared" si="109"/>
        <v>17372.900000000001</v>
      </c>
      <c r="N973">
        <f t="shared" si="110"/>
        <v>16.46633169659</v>
      </c>
      <c r="O973">
        <f t="shared" si="111"/>
        <v>0.57596078930591321</v>
      </c>
    </row>
    <row r="974" spans="6:15" x14ac:dyDescent="0.45">
      <c r="F974">
        <v>972</v>
      </c>
      <c r="G974">
        <v>23</v>
      </c>
      <c r="H974">
        <f t="shared" si="106"/>
        <v>23</v>
      </c>
      <c r="I974">
        <f t="shared" si="105"/>
        <v>6.3888888888888893E-3</v>
      </c>
      <c r="J974">
        <v>2.5299999999999998</v>
      </c>
      <c r="K974">
        <f t="shared" si="107"/>
        <v>2.5299999999999998</v>
      </c>
      <c r="L974">
        <f t="shared" si="108"/>
        <v>17.722899999999999</v>
      </c>
      <c r="M974">
        <f t="shared" si="109"/>
        <v>17722.899999999998</v>
      </c>
      <c r="N974">
        <f t="shared" si="110"/>
        <v>16.798067681589998</v>
      </c>
      <c r="O974">
        <f t="shared" si="111"/>
        <v>0.58756427958428159</v>
      </c>
    </row>
    <row r="975" spans="6:15" x14ac:dyDescent="0.45">
      <c r="F975">
        <v>973</v>
      </c>
      <c r="G975">
        <v>22.9</v>
      </c>
      <c r="H975">
        <f t="shared" si="106"/>
        <v>22.9</v>
      </c>
      <c r="I975">
        <f t="shared" si="105"/>
        <v>6.3611111111111108E-3</v>
      </c>
      <c r="J975">
        <v>2.33</v>
      </c>
      <c r="K975">
        <f t="shared" si="107"/>
        <v>2.33</v>
      </c>
      <c r="L975">
        <f t="shared" si="108"/>
        <v>17.222899999999999</v>
      </c>
      <c r="M975">
        <f t="shared" si="109"/>
        <v>17222.899999999998</v>
      </c>
      <c r="N975">
        <f t="shared" si="110"/>
        <v>16.324159131589997</v>
      </c>
      <c r="O975">
        <f t="shared" si="111"/>
        <v>0.57098786490089792</v>
      </c>
    </row>
    <row r="976" spans="6:15" x14ac:dyDescent="0.45">
      <c r="F976">
        <v>974</v>
      </c>
      <c r="G976">
        <v>22.9</v>
      </c>
      <c r="H976">
        <f t="shared" si="106"/>
        <v>22.9</v>
      </c>
      <c r="I976">
        <f t="shared" si="105"/>
        <v>6.3611111111111108E-3</v>
      </c>
      <c r="J976">
        <v>6.04</v>
      </c>
      <c r="K976">
        <f t="shared" si="107"/>
        <v>6.04</v>
      </c>
      <c r="L976">
        <f t="shared" si="108"/>
        <v>26.497900000000001</v>
      </c>
      <c r="M976">
        <f t="shared" si="109"/>
        <v>26497.9</v>
      </c>
      <c r="N976">
        <f t="shared" si="110"/>
        <v>25.115162734090003</v>
      </c>
      <c r="O976">
        <f t="shared" si="111"/>
        <v>0.8784803572776656</v>
      </c>
    </row>
    <row r="977" spans="6:15" x14ac:dyDescent="0.45">
      <c r="F977">
        <v>975</v>
      </c>
      <c r="G977">
        <v>23.5</v>
      </c>
      <c r="H977">
        <f t="shared" si="106"/>
        <v>23.5</v>
      </c>
      <c r="I977">
        <f t="shared" si="105"/>
        <v>6.5277777777777782E-3</v>
      </c>
      <c r="J977">
        <v>10.93</v>
      </c>
      <c r="K977">
        <f t="shared" si="107"/>
        <v>10.93</v>
      </c>
      <c r="L977">
        <f t="shared" si="108"/>
        <v>38.722899999999996</v>
      </c>
      <c r="M977">
        <f t="shared" si="109"/>
        <v>38722.899999999994</v>
      </c>
      <c r="N977">
        <f t="shared" si="110"/>
        <v>36.702226781589992</v>
      </c>
      <c r="O977">
        <f t="shared" si="111"/>
        <v>1.2837736962863966</v>
      </c>
    </row>
    <row r="978" spans="6:15" x14ac:dyDescent="0.45">
      <c r="F978">
        <v>976</v>
      </c>
      <c r="G978">
        <v>24.2</v>
      </c>
      <c r="H978">
        <f t="shared" si="106"/>
        <v>24.2</v>
      </c>
      <c r="I978">
        <f t="shared" si="105"/>
        <v>6.7222222222222223E-3</v>
      </c>
      <c r="J978">
        <v>12.56</v>
      </c>
      <c r="K978">
        <f t="shared" si="107"/>
        <v>12.56</v>
      </c>
      <c r="L978">
        <f t="shared" si="108"/>
        <v>42.797899999999998</v>
      </c>
      <c r="M978">
        <f t="shared" si="109"/>
        <v>42797.9</v>
      </c>
      <c r="N978">
        <f t="shared" si="110"/>
        <v>40.564581464090004</v>
      </c>
      <c r="O978">
        <f t="shared" si="111"/>
        <v>1.418871475955974</v>
      </c>
    </row>
    <row r="979" spans="6:15" x14ac:dyDescent="0.45">
      <c r="F979">
        <v>977</v>
      </c>
      <c r="G979">
        <v>24.7</v>
      </c>
      <c r="H979">
        <f t="shared" si="106"/>
        <v>24.7</v>
      </c>
      <c r="I979">
        <f t="shared" si="105"/>
        <v>6.8611111111111112E-3</v>
      </c>
      <c r="J979">
        <v>6.7</v>
      </c>
      <c r="K979">
        <f t="shared" si="107"/>
        <v>6.7</v>
      </c>
      <c r="L979">
        <f t="shared" si="108"/>
        <v>28.1479</v>
      </c>
      <c r="M979">
        <f t="shared" si="109"/>
        <v>28147.9</v>
      </c>
      <c r="N979">
        <f t="shared" si="110"/>
        <v>26.679060949090001</v>
      </c>
      <c r="O979">
        <f t="shared" si="111"/>
        <v>0.93318252573283167</v>
      </c>
    </row>
    <row r="980" spans="6:15" x14ac:dyDescent="0.45">
      <c r="F980">
        <v>978</v>
      </c>
      <c r="G980">
        <v>24.9</v>
      </c>
      <c r="H980">
        <f t="shared" si="106"/>
        <v>24.9</v>
      </c>
      <c r="I980">
        <f t="shared" si="105"/>
        <v>6.9166666666666664E-3</v>
      </c>
      <c r="J980">
        <v>6.08</v>
      </c>
      <c r="K980">
        <f t="shared" si="107"/>
        <v>6.08</v>
      </c>
      <c r="L980">
        <f t="shared" si="108"/>
        <v>26.597899999999999</v>
      </c>
      <c r="M980">
        <f t="shared" si="109"/>
        <v>26597.899999999998</v>
      </c>
      <c r="N980">
        <f t="shared" si="110"/>
        <v>25.209944444089999</v>
      </c>
      <c r="O980">
        <f t="shared" si="111"/>
        <v>0.8817956402143422</v>
      </c>
    </row>
    <row r="981" spans="6:15" x14ac:dyDescent="0.45">
      <c r="F981">
        <v>979</v>
      </c>
      <c r="G981">
        <v>25.2</v>
      </c>
      <c r="H981">
        <f t="shared" si="106"/>
        <v>25.2</v>
      </c>
      <c r="I981">
        <f t="shared" si="105"/>
        <v>7.0000000000000001E-3</v>
      </c>
      <c r="J981">
        <v>6.55</v>
      </c>
      <c r="K981">
        <f t="shared" si="107"/>
        <v>6.55</v>
      </c>
      <c r="L981">
        <f t="shared" si="108"/>
        <v>27.7729</v>
      </c>
      <c r="M981">
        <f t="shared" si="109"/>
        <v>27772.9</v>
      </c>
      <c r="N981">
        <f t="shared" si="110"/>
        <v>26.323629536590001</v>
      </c>
      <c r="O981">
        <f t="shared" si="111"/>
        <v>0.92075021472029395</v>
      </c>
    </row>
    <row r="982" spans="6:15" x14ac:dyDescent="0.45">
      <c r="F982">
        <v>980</v>
      </c>
      <c r="G982">
        <v>25.4</v>
      </c>
      <c r="H982">
        <f t="shared" si="106"/>
        <v>25.4</v>
      </c>
      <c r="I982">
        <f t="shared" si="105"/>
        <v>7.0555555555555554E-3</v>
      </c>
      <c r="J982">
        <v>7.44</v>
      </c>
      <c r="K982">
        <f t="shared" si="107"/>
        <v>7.44</v>
      </c>
      <c r="L982">
        <f t="shared" si="108"/>
        <v>29.997900000000001</v>
      </c>
      <c r="M982">
        <f t="shared" si="109"/>
        <v>29997.9</v>
      </c>
      <c r="N982">
        <f t="shared" si="110"/>
        <v>28.432522584090002</v>
      </c>
      <c r="O982">
        <f t="shared" si="111"/>
        <v>0.99451526006135138</v>
      </c>
    </row>
    <row r="983" spans="6:15" x14ac:dyDescent="0.45">
      <c r="F983">
        <v>981</v>
      </c>
      <c r="G983">
        <v>25.7</v>
      </c>
      <c r="H983">
        <f t="shared" si="106"/>
        <v>25.7</v>
      </c>
      <c r="I983">
        <f t="shared" si="105"/>
        <v>7.1388888888888891E-3</v>
      </c>
      <c r="J983">
        <v>5.79</v>
      </c>
      <c r="K983">
        <f t="shared" si="107"/>
        <v>5.79</v>
      </c>
      <c r="L983">
        <f t="shared" si="108"/>
        <v>25.872900000000001</v>
      </c>
      <c r="M983">
        <f t="shared" si="109"/>
        <v>25872.9</v>
      </c>
      <c r="N983">
        <f t="shared" si="110"/>
        <v>24.522777046590001</v>
      </c>
      <c r="O983">
        <f t="shared" si="111"/>
        <v>0.85775983892343588</v>
      </c>
    </row>
    <row r="984" spans="6:15" x14ac:dyDescent="0.45">
      <c r="F984">
        <v>982</v>
      </c>
      <c r="G984">
        <v>25.7</v>
      </c>
      <c r="H984">
        <f t="shared" si="106"/>
        <v>25.7</v>
      </c>
      <c r="I984">
        <f t="shared" si="105"/>
        <v>7.1388888888888891E-3</v>
      </c>
      <c r="J984">
        <v>4.3</v>
      </c>
      <c r="K984">
        <f t="shared" si="107"/>
        <v>4.3</v>
      </c>
      <c r="L984">
        <f t="shared" si="108"/>
        <v>22.1479</v>
      </c>
      <c r="M984">
        <f t="shared" si="109"/>
        <v>22147.9</v>
      </c>
      <c r="N984">
        <f t="shared" si="110"/>
        <v>20.992158349090001</v>
      </c>
      <c r="O984">
        <f t="shared" si="111"/>
        <v>0.73426554953222734</v>
      </c>
    </row>
    <row r="985" spans="6:15" x14ac:dyDescent="0.45">
      <c r="F985">
        <v>983</v>
      </c>
      <c r="G985">
        <v>25.2</v>
      </c>
      <c r="H985">
        <f t="shared" si="106"/>
        <v>25.2</v>
      </c>
      <c r="I985">
        <f t="shared" si="105"/>
        <v>7.0000000000000001E-3</v>
      </c>
      <c r="J985">
        <v>-1.45</v>
      </c>
      <c r="K985">
        <f t="shared" si="107"/>
        <v>0</v>
      </c>
      <c r="L985">
        <f t="shared" si="108"/>
        <v>11.3979</v>
      </c>
      <c r="M985">
        <f t="shared" si="109"/>
        <v>11397.9</v>
      </c>
      <c r="N985">
        <f t="shared" si="110"/>
        <v>10.80312452409</v>
      </c>
      <c r="O985">
        <f t="shared" si="111"/>
        <v>0.377872633839478</v>
      </c>
    </row>
    <row r="986" spans="6:15" x14ac:dyDescent="0.45">
      <c r="F986">
        <v>984</v>
      </c>
      <c r="G986">
        <v>24.4</v>
      </c>
      <c r="H986">
        <f t="shared" si="106"/>
        <v>24.4</v>
      </c>
      <c r="I986">
        <f t="shared" si="105"/>
        <v>6.7777777777777775E-3</v>
      </c>
      <c r="J986">
        <v>-0.87</v>
      </c>
      <c r="K986">
        <f t="shared" si="107"/>
        <v>0</v>
      </c>
      <c r="L986">
        <f t="shared" si="108"/>
        <v>11.3979</v>
      </c>
      <c r="M986">
        <f t="shared" si="109"/>
        <v>11397.9</v>
      </c>
      <c r="N986">
        <f t="shared" si="110"/>
        <v>10.80312452409</v>
      </c>
      <c r="O986">
        <f t="shared" si="111"/>
        <v>0.377872633839478</v>
      </c>
    </row>
    <row r="987" spans="6:15" x14ac:dyDescent="0.45">
      <c r="F987">
        <v>985</v>
      </c>
      <c r="G987">
        <v>23.7</v>
      </c>
      <c r="H987">
        <f t="shared" si="106"/>
        <v>23.7</v>
      </c>
      <c r="I987">
        <f t="shared" si="105"/>
        <v>6.5833333333333334E-3</v>
      </c>
      <c r="J987">
        <v>-0.43</v>
      </c>
      <c r="K987">
        <f t="shared" si="107"/>
        <v>0</v>
      </c>
      <c r="L987">
        <f t="shared" si="108"/>
        <v>11.3979</v>
      </c>
      <c r="M987">
        <f t="shared" si="109"/>
        <v>11397.9</v>
      </c>
      <c r="N987">
        <f t="shared" si="110"/>
        <v>10.80312452409</v>
      </c>
      <c r="O987">
        <f t="shared" si="111"/>
        <v>0.377872633839478</v>
      </c>
    </row>
    <row r="988" spans="6:15" x14ac:dyDescent="0.45">
      <c r="F988">
        <v>986</v>
      </c>
      <c r="G988">
        <v>23.2</v>
      </c>
      <c r="H988">
        <f t="shared" si="106"/>
        <v>23.2</v>
      </c>
      <c r="I988">
        <f t="shared" si="105"/>
        <v>6.4444444444444445E-3</v>
      </c>
      <c r="J988">
        <v>0.45</v>
      </c>
      <c r="K988">
        <f t="shared" si="107"/>
        <v>0.45</v>
      </c>
      <c r="L988">
        <f t="shared" si="108"/>
        <v>12.5229</v>
      </c>
      <c r="M988">
        <f t="shared" si="109"/>
        <v>12522.9</v>
      </c>
      <c r="N988">
        <f t="shared" si="110"/>
        <v>11.86941876159</v>
      </c>
      <c r="O988">
        <f t="shared" si="111"/>
        <v>0.41516956687709128</v>
      </c>
    </row>
    <row r="989" spans="6:15" x14ac:dyDescent="0.45">
      <c r="F989">
        <v>987</v>
      </c>
      <c r="G989">
        <v>22.8</v>
      </c>
      <c r="H989">
        <f t="shared" si="106"/>
        <v>22.8</v>
      </c>
      <c r="I989">
        <f t="shared" si="105"/>
        <v>6.3333333333333332E-3</v>
      </c>
      <c r="J989">
        <v>-1.32</v>
      </c>
      <c r="K989">
        <f t="shared" si="107"/>
        <v>0</v>
      </c>
      <c r="L989">
        <f t="shared" si="108"/>
        <v>11.3979</v>
      </c>
      <c r="M989">
        <f t="shared" si="109"/>
        <v>11397.9</v>
      </c>
      <c r="N989">
        <f t="shared" si="110"/>
        <v>10.80312452409</v>
      </c>
      <c r="O989">
        <f t="shared" si="111"/>
        <v>0.377872633839478</v>
      </c>
    </row>
    <row r="990" spans="6:15" x14ac:dyDescent="0.45">
      <c r="F990">
        <v>988</v>
      </c>
      <c r="G990">
        <v>22.3</v>
      </c>
      <c r="H990">
        <f t="shared" si="106"/>
        <v>22.3</v>
      </c>
      <c r="I990">
        <f t="shared" si="105"/>
        <v>6.1944444444444443E-3</v>
      </c>
      <c r="J990">
        <v>1.02</v>
      </c>
      <c r="K990">
        <f t="shared" si="107"/>
        <v>1.02</v>
      </c>
      <c r="L990">
        <f t="shared" si="108"/>
        <v>13.947900000000001</v>
      </c>
      <c r="M990">
        <f t="shared" si="109"/>
        <v>13947.900000000001</v>
      </c>
      <c r="N990">
        <f t="shared" si="110"/>
        <v>13.220058129090003</v>
      </c>
      <c r="O990">
        <f t="shared" si="111"/>
        <v>0.46241234872473486</v>
      </c>
    </row>
    <row r="991" spans="6:15" x14ac:dyDescent="0.45">
      <c r="F991">
        <v>989</v>
      </c>
      <c r="G991">
        <v>22</v>
      </c>
      <c r="H991">
        <f t="shared" si="106"/>
        <v>22</v>
      </c>
      <c r="I991">
        <f t="shared" si="105"/>
        <v>6.1111111111111114E-3</v>
      </c>
      <c r="J991">
        <v>1.22</v>
      </c>
      <c r="K991">
        <f t="shared" si="107"/>
        <v>1.22</v>
      </c>
      <c r="L991">
        <f t="shared" si="108"/>
        <v>14.447900000000001</v>
      </c>
      <c r="M991">
        <f t="shared" si="109"/>
        <v>14447.900000000001</v>
      </c>
      <c r="N991">
        <f t="shared" si="110"/>
        <v>13.693966679090002</v>
      </c>
      <c r="O991">
        <f t="shared" si="111"/>
        <v>0.47898876340811852</v>
      </c>
    </row>
    <row r="992" spans="6:15" x14ac:dyDescent="0.45">
      <c r="F992">
        <v>990</v>
      </c>
      <c r="G992">
        <v>21.4</v>
      </c>
      <c r="H992">
        <f t="shared" si="106"/>
        <v>21.4</v>
      </c>
      <c r="I992">
        <f t="shared" si="105"/>
        <v>5.944444444444444E-3</v>
      </c>
      <c r="J992">
        <v>-0.6</v>
      </c>
      <c r="K992">
        <f t="shared" si="107"/>
        <v>0</v>
      </c>
      <c r="L992">
        <f t="shared" si="108"/>
        <v>11.3979</v>
      </c>
      <c r="M992">
        <f t="shared" si="109"/>
        <v>11397.9</v>
      </c>
      <c r="N992">
        <f t="shared" si="110"/>
        <v>10.80312452409</v>
      </c>
      <c r="O992">
        <f t="shared" si="111"/>
        <v>0.377872633839478</v>
      </c>
    </row>
    <row r="993" spans="6:15" x14ac:dyDescent="0.45">
      <c r="F993">
        <v>991</v>
      </c>
      <c r="G993">
        <v>20</v>
      </c>
      <c r="H993">
        <f t="shared" si="106"/>
        <v>20</v>
      </c>
      <c r="I993">
        <f t="shared" si="105"/>
        <v>5.5555555555555558E-3</v>
      </c>
      <c r="J993">
        <v>-0.59</v>
      </c>
      <c r="K993">
        <f t="shared" si="107"/>
        <v>0</v>
      </c>
      <c r="L993">
        <f t="shared" si="108"/>
        <v>11.3979</v>
      </c>
      <c r="M993">
        <f t="shared" si="109"/>
        <v>11397.9</v>
      </c>
      <c r="N993">
        <f t="shared" si="110"/>
        <v>10.80312452409</v>
      </c>
      <c r="O993">
        <f t="shared" si="111"/>
        <v>0.377872633839478</v>
      </c>
    </row>
    <row r="994" spans="6:15" x14ac:dyDescent="0.45">
      <c r="F994">
        <v>992</v>
      </c>
      <c r="G994">
        <v>17</v>
      </c>
      <c r="H994">
        <f t="shared" si="106"/>
        <v>17</v>
      </c>
      <c r="I994">
        <f t="shared" si="105"/>
        <v>4.7222222222222223E-3</v>
      </c>
      <c r="J994">
        <v>-0.38</v>
      </c>
      <c r="K994">
        <f t="shared" si="107"/>
        <v>0</v>
      </c>
      <c r="L994">
        <f t="shared" si="108"/>
        <v>11.3979</v>
      </c>
      <c r="M994">
        <f t="shared" si="109"/>
        <v>11397.9</v>
      </c>
      <c r="N994">
        <f t="shared" si="110"/>
        <v>10.80312452409</v>
      </c>
      <c r="O994">
        <f t="shared" si="111"/>
        <v>0.377872633839478</v>
      </c>
    </row>
    <row r="995" spans="6:15" x14ac:dyDescent="0.45">
      <c r="F995">
        <v>993</v>
      </c>
      <c r="G995">
        <v>13.6</v>
      </c>
      <c r="H995">
        <f t="shared" si="106"/>
        <v>13.6</v>
      </c>
      <c r="I995">
        <f t="shared" si="105"/>
        <v>3.7777777777777775E-3</v>
      </c>
      <c r="J995">
        <v>-0.2</v>
      </c>
      <c r="K995">
        <f t="shared" si="107"/>
        <v>0</v>
      </c>
      <c r="L995">
        <f t="shared" si="108"/>
        <v>11.3979</v>
      </c>
      <c r="M995">
        <f t="shared" si="109"/>
        <v>11397.9</v>
      </c>
      <c r="N995">
        <f t="shared" si="110"/>
        <v>10.80312452409</v>
      </c>
      <c r="O995">
        <f t="shared" si="111"/>
        <v>0.377872633839478</v>
      </c>
    </row>
    <row r="996" spans="6:15" x14ac:dyDescent="0.45">
      <c r="F996">
        <v>994</v>
      </c>
      <c r="G996">
        <v>10.199999999999999</v>
      </c>
      <c r="H996">
        <f t="shared" si="106"/>
        <v>10.199999999999999</v>
      </c>
      <c r="I996">
        <f t="shared" si="105"/>
        <v>2.8333333333333331E-3</v>
      </c>
      <c r="J996">
        <v>-0.32</v>
      </c>
      <c r="K996">
        <f t="shared" si="107"/>
        <v>0</v>
      </c>
      <c r="L996">
        <f t="shared" si="108"/>
        <v>11.3979</v>
      </c>
      <c r="M996">
        <f t="shared" si="109"/>
        <v>11397.9</v>
      </c>
      <c r="N996">
        <f t="shared" si="110"/>
        <v>10.80312452409</v>
      </c>
      <c r="O996">
        <f t="shared" si="111"/>
        <v>0.377872633839478</v>
      </c>
    </row>
    <row r="997" spans="6:15" x14ac:dyDescent="0.45">
      <c r="F997">
        <v>995</v>
      </c>
      <c r="G997">
        <v>6.9</v>
      </c>
      <c r="H997">
        <f t="shared" si="106"/>
        <v>6.9</v>
      </c>
      <c r="I997">
        <f t="shared" si="105"/>
        <v>1.9166666666666668E-3</v>
      </c>
      <c r="J997">
        <v>0.12</v>
      </c>
      <c r="K997">
        <f t="shared" si="107"/>
        <v>0.12</v>
      </c>
      <c r="L997">
        <f t="shared" si="108"/>
        <v>11.697900000000001</v>
      </c>
      <c r="M997">
        <f t="shared" si="109"/>
        <v>11697.900000000001</v>
      </c>
      <c r="N997">
        <f t="shared" si="110"/>
        <v>11.087469654090002</v>
      </c>
      <c r="O997">
        <f t="shared" si="111"/>
        <v>0.38781848264950819</v>
      </c>
    </row>
    <row r="998" spans="6:15" x14ac:dyDescent="0.45">
      <c r="F998">
        <v>996</v>
      </c>
      <c r="G998">
        <v>3.4</v>
      </c>
      <c r="H998">
        <f t="shared" si="106"/>
        <v>3.4</v>
      </c>
      <c r="I998">
        <f t="shared" si="105"/>
        <v>9.4444444444444437E-4</v>
      </c>
      <c r="J998">
        <v>0.53</v>
      </c>
      <c r="K998">
        <f t="shared" si="107"/>
        <v>0.53</v>
      </c>
      <c r="L998">
        <f t="shared" si="108"/>
        <v>12.722899999999999</v>
      </c>
      <c r="M998">
        <f t="shared" si="109"/>
        <v>12722.9</v>
      </c>
      <c r="N998">
        <f t="shared" si="110"/>
        <v>12.05898218159</v>
      </c>
      <c r="O998">
        <f t="shared" si="111"/>
        <v>0.42180013275044481</v>
      </c>
    </row>
    <row r="999" spans="6:15" x14ac:dyDescent="0.45">
      <c r="F999">
        <v>997</v>
      </c>
      <c r="G999">
        <v>0.9</v>
      </c>
      <c r="H999">
        <f t="shared" si="106"/>
        <v>0.9</v>
      </c>
      <c r="I999">
        <f t="shared" si="105"/>
        <v>2.5000000000000001E-4</v>
      </c>
      <c r="J999">
        <v>0.93</v>
      </c>
      <c r="K999">
        <f t="shared" si="107"/>
        <v>0.93</v>
      </c>
      <c r="L999">
        <f t="shared" si="108"/>
        <v>13.722899999999999</v>
      </c>
      <c r="M999">
        <f t="shared" si="109"/>
        <v>13722.9</v>
      </c>
      <c r="N999">
        <f t="shared" si="110"/>
        <v>13.00679928159</v>
      </c>
      <c r="O999">
        <f t="shared" si="111"/>
        <v>0.45495296211721209</v>
      </c>
    </row>
    <row r="1000" spans="6:15" x14ac:dyDescent="0.45">
      <c r="F1000">
        <v>998</v>
      </c>
      <c r="G1000">
        <v>-0.1</v>
      </c>
      <c r="H1000">
        <f t="shared" si="106"/>
        <v>0</v>
      </c>
      <c r="I1000">
        <f t="shared" si="105"/>
        <v>0</v>
      </c>
      <c r="J1000">
        <v>1.21</v>
      </c>
      <c r="K1000">
        <f t="shared" si="107"/>
        <v>1.21</v>
      </c>
      <c r="L1000">
        <f t="shared" si="108"/>
        <v>14.4229</v>
      </c>
      <c r="M1000">
        <f t="shared" si="109"/>
        <v>14422.9</v>
      </c>
      <c r="N1000">
        <f t="shared" si="110"/>
        <v>13.67027125159</v>
      </c>
      <c r="O1000">
        <f t="shared" si="111"/>
        <v>0.47815994267394929</v>
      </c>
    </row>
    <row r="1001" spans="6:15" x14ac:dyDescent="0.45">
      <c r="F1001">
        <v>999</v>
      </c>
      <c r="G1001">
        <v>0</v>
      </c>
      <c r="H1001">
        <f t="shared" si="106"/>
        <v>0</v>
      </c>
      <c r="I1001">
        <f t="shared" si="105"/>
        <v>0</v>
      </c>
      <c r="J1001">
        <v>0.81</v>
      </c>
      <c r="K1001">
        <f t="shared" si="107"/>
        <v>0.81</v>
      </c>
      <c r="L1001">
        <f t="shared" si="108"/>
        <v>13.4229</v>
      </c>
      <c r="M1001">
        <f t="shared" si="109"/>
        <v>13422.9</v>
      </c>
      <c r="N1001">
        <f t="shared" si="110"/>
        <v>12.72245415159</v>
      </c>
      <c r="O1001">
        <f t="shared" si="111"/>
        <v>0.44500711330718196</v>
      </c>
    </row>
    <row r="1002" spans="6:15" x14ac:dyDescent="0.45">
      <c r="F1002">
        <v>1000</v>
      </c>
      <c r="G1002">
        <v>0</v>
      </c>
      <c r="H1002">
        <f t="shared" si="106"/>
        <v>0</v>
      </c>
      <c r="I1002">
        <f t="shared" si="105"/>
        <v>0</v>
      </c>
      <c r="J1002">
        <v>0.97</v>
      </c>
      <c r="K1002">
        <f t="shared" si="107"/>
        <v>0.97</v>
      </c>
      <c r="L1002">
        <f t="shared" si="108"/>
        <v>13.822900000000001</v>
      </c>
      <c r="M1002">
        <f t="shared" si="109"/>
        <v>13822.900000000001</v>
      </c>
      <c r="N1002">
        <f t="shared" si="110"/>
        <v>13.101580991590001</v>
      </c>
      <c r="O1002">
        <f t="shared" si="111"/>
        <v>0.45826824505388897</v>
      </c>
    </row>
    <row r="1003" spans="6:15" x14ac:dyDescent="0.45">
      <c r="F1003">
        <v>1001</v>
      </c>
      <c r="G1003">
        <v>0</v>
      </c>
      <c r="H1003">
        <f t="shared" si="106"/>
        <v>0</v>
      </c>
      <c r="I1003">
        <f t="shared" si="105"/>
        <v>0</v>
      </c>
      <c r="J1003">
        <v>0.7</v>
      </c>
      <c r="K1003">
        <f t="shared" si="107"/>
        <v>0.7</v>
      </c>
      <c r="L1003">
        <f t="shared" si="108"/>
        <v>13.1479</v>
      </c>
      <c r="M1003">
        <f t="shared" si="109"/>
        <v>13147.9</v>
      </c>
      <c r="N1003">
        <f t="shared" si="110"/>
        <v>12.46180444909</v>
      </c>
      <c r="O1003">
        <f t="shared" si="111"/>
        <v>0.43589008523132089</v>
      </c>
    </row>
    <row r="1004" spans="6:15" x14ac:dyDescent="0.45">
      <c r="F1004">
        <v>1002</v>
      </c>
      <c r="G1004">
        <v>0</v>
      </c>
      <c r="H1004">
        <f t="shared" si="106"/>
        <v>0</v>
      </c>
      <c r="I1004">
        <f t="shared" si="105"/>
        <v>0</v>
      </c>
      <c r="J1004">
        <v>0.97</v>
      </c>
      <c r="K1004">
        <f t="shared" si="107"/>
        <v>0.97</v>
      </c>
      <c r="L1004">
        <f t="shared" si="108"/>
        <v>13.822900000000001</v>
      </c>
      <c r="M1004">
        <f t="shared" si="109"/>
        <v>13822.900000000001</v>
      </c>
      <c r="N1004">
        <f t="shared" si="110"/>
        <v>13.101580991590001</v>
      </c>
      <c r="O1004">
        <f t="shared" si="111"/>
        <v>0.45826824505388897</v>
      </c>
    </row>
    <row r="1005" spans="6:15" x14ac:dyDescent="0.45">
      <c r="F1005">
        <v>1003</v>
      </c>
      <c r="G1005">
        <v>0</v>
      </c>
      <c r="H1005">
        <f t="shared" si="106"/>
        <v>0</v>
      </c>
      <c r="I1005">
        <f t="shared" si="105"/>
        <v>0</v>
      </c>
      <c r="J1005">
        <v>0.75</v>
      </c>
      <c r="K1005">
        <f t="shared" si="107"/>
        <v>0.75</v>
      </c>
      <c r="L1005">
        <f t="shared" si="108"/>
        <v>13.2729</v>
      </c>
      <c r="M1005">
        <f t="shared" si="109"/>
        <v>13272.9</v>
      </c>
      <c r="N1005">
        <f t="shared" si="110"/>
        <v>12.580281586590001</v>
      </c>
      <c r="O1005">
        <f t="shared" si="111"/>
        <v>0.44003418890216683</v>
      </c>
    </row>
    <row r="1006" spans="6:15" x14ac:dyDescent="0.45">
      <c r="F1006">
        <v>1004</v>
      </c>
      <c r="G1006">
        <v>0</v>
      </c>
      <c r="H1006">
        <f t="shared" si="106"/>
        <v>0</v>
      </c>
      <c r="I1006">
        <f t="shared" si="105"/>
        <v>0</v>
      </c>
      <c r="J1006">
        <v>0.79</v>
      </c>
      <c r="K1006">
        <f t="shared" si="107"/>
        <v>0.79</v>
      </c>
      <c r="L1006">
        <f t="shared" si="108"/>
        <v>13.3729</v>
      </c>
      <c r="M1006">
        <f t="shared" si="109"/>
        <v>13372.9</v>
      </c>
      <c r="N1006">
        <f t="shared" si="110"/>
        <v>12.67506329659</v>
      </c>
      <c r="O1006">
        <f t="shared" si="111"/>
        <v>0.44334947183884355</v>
      </c>
    </row>
    <row r="1007" spans="6:15" x14ac:dyDescent="0.45">
      <c r="F1007">
        <v>1005</v>
      </c>
      <c r="G1007">
        <v>0</v>
      </c>
      <c r="H1007">
        <f t="shared" si="106"/>
        <v>0</v>
      </c>
      <c r="I1007">
        <f t="shared" si="105"/>
        <v>0</v>
      </c>
      <c r="J1007">
        <v>1.02</v>
      </c>
      <c r="K1007">
        <f t="shared" si="107"/>
        <v>1.02</v>
      </c>
      <c r="L1007">
        <f t="shared" si="108"/>
        <v>13.947900000000001</v>
      </c>
      <c r="M1007">
        <f t="shared" si="109"/>
        <v>13947.900000000001</v>
      </c>
      <c r="N1007">
        <f t="shared" si="110"/>
        <v>13.220058129090003</v>
      </c>
      <c r="O1007">
        <f t="shared" si="111"/>
        <v>0.46241234872473486</v>
      </c>
    </row>
    <row r="1008" spans="6:15" x14ac:dyDescent="0.45">
      <c r="F1008">
        <v>1006</v>
      </c>
      <c r="G1008">
        <v>0</v>
      </c>
      <c r="H1008">
        <f t="shared" si="106"/>
        <v>0</v>
      </c>
      <c r="I1008">
        <f t="shared" si="105"/>
        <v>0</v>
      </c>
      <c r="J1008">
        <v>0.96</v>
      </c>
      <c r="K1008">
        <f t="shared" si="107"/>
        <v>0.96</v>
      </c>
      <c r="L1008">
        <f t="shared" si="108"/>
        <v>13.7979</v>
      </c>
      <c r="M1008">
        <f t="shared" si="109"/>
        <v>13797.9</v>
      </c>
      <c r="N1008">
        <f t="shared" si="110"/>
        <v>13.07788556409</v>
      </c>
      <c r="O1008">
        <f t="shared" si="111"/>
        <v>0.45743942431971973</v>
      </c>
    </row>
    <row r="1009" spans="6:15" x14ac:dyDescent="0.45">
      <c r="F1009">
        <v>1007</v>
      </c>
      <c r="G1009">
        <v>0</v>
      </c>
      <c r="H1009">
        <f t="shared" si="106"/>
        <v>0</v>
      </c>
      <c r="I1009">
        <f t="shared" si="105"/>
        <v>0</v>
      </c>
      <c r="J1009">
        <v>0.91</v>
      </c>
      <c r="K1009">
        <f t="shared" si="107"/>
        <v>0.91</v>
      </c>
      <c r="L1009">
        <f t="shared" si="108"/>
        <v>13.6729</v>
      </c>
      <c r="M1009">
        <f t="shared" si="109"/>
        <v>13672.9</v>
      </c>
      <c r="N1009">
        <f t="shared" si="110"/>
        <v>12.95940842659</v>
      </c>
      <c r="O1009">
        <f t="shared" si="111"/>
        <v>0.45329532064887373</v>
      </c>
    </row>
    <row r="1010" spans="6:15" x14ac:dyDescent="0.45">
      <c r="F1010">
        <v>1008</v>
      </c>
      <c r="G1010">
        <v>0</v>
      </c>
      <c r="H1010">
        <f t="shared" si="106"/>
        <v>0</v>
      </c>
      <c r="I1010">
        <f t="shared" si="105"/>
        <v>0</v>
      </c>
      <c r="J1010">
        <v>0.61</v>
      </c>
      <c r="K1010">
        <f t="shared" si="107"/>
        <v>0.61</v>
      </c>
      <c r="L1010">
        <f t="shared" si="108"/>
        <v>12.9229</v>
      </c>
      <c r="M1010">
        <f t="shared" si="109"/>
        <v>12922.9</v>
      </c>
      <c r="N1010">
        <f t="shared" si="110"/>
        <v>12.248545601589999</v>
      </c>
      <c r="O1010">
        <f t="shared" si="111"/>
        <v>0.42843069862379823</v>
      </c>
    </row>
    <row r="1011" spans="6:15" x14ac:dyDescent="0.45">
      <c r="F1011">
        <v>1009</v>
      </c>
      <c r="G1011">
        <v>0</v>
      </c>
      <c r="H1011">
        <f t="shared" si="106"/>
        <v>0</v>
      </c>
      <c r="I1011">
        <f t="shared" si="105"/>
        <v>0</v>
      </c>
      <c r="J1011">
        <v>1.18</v>
      </c>
      <c r="K1011">
        <f t="shared" si="107"/>
        <v>1.18</v>
      </c>
      <c r="L1011">
        <f t="shared" si="108"/>
        <v>14.347899999999999</v>
      </c>
      <c r="M1011">
        <f t="shared" si="109"/>
        <v>14347.9</v>
      </c>
      <c r="N1011">
        <f t="shared" si="110"/>
        <v>13.59918496909</v>
      </c>
      <c r="O1011">
        <f t="shared" si="111"/>
        <v>0.47567348047144176</v>
      </c>
    </row>
    <row r="1012" spans="6:15" x14ac:dyDescent="0.45">
      <c r="F1012">
        <v>1010</v>
      </c>
      <c r="G1012">
        <v>0</v>
      </c>
      <c r="H1012">
        <f t="shared" si="106"/>
        <v>0</v>
      </c>
      <c r="I1012">
        <f t="shared" si="105"/>
        <v>0</v>
      </c>
      <c r="J1012">
        <v>0.85</v>
      </c>
      <c r="K1012">
        <f t="shared" si="107"/>
        <v>0.85</v>
      </c>
      <c r="L1012">
        <f t="shared" si="108"/>
        <v>13.5229</v>
      </c>
      <c r="M1012">
        <f t="shared" si="109"/>
        <v>13522.9</v>
      </c>
      <c r="N1012">
        <f t="shared" si="110"/>
        <v>12.81723586159</v>
      </c>
      <c r="O1012">
        <f t="shared" si="111"/>
        <v>0.44832239624385867</v>
      </c>
    </row>
    <row r="1013" spans="6:15" x14ac:dyDescent="0.45">
      <c r="F1013">
        <v>1011</v>
      </c>
      <c r="G1013">
        <v>0</v>
      </c>
      <c r="H1013">
        <f t="shared" si="106"/>
        <v>0</v>
      </c>
      <c r="I1013">
        <f t="shared" si="105"/>
        <v>0</v>
      </c>
      <c r="J1013">
        <v>0.77</v>
      </c>
      <c r="K1013">
        <f t="shared" si="107"/>
        <v>0.77</v>
      </c>
      <c r="L1013">
        <f t="shared" si="108"/>
        <v>13.322900000000001</v>
      </c>
      <c r="M1013">
        <f t="shared" si="109"/>
        <v>13322.900000000001</v>
      </c>
      <c r="N1013">
        <f t="shared" si="110"/>
        <v>12.627672441590002</v>
      </c>
      <c r="O1013">
        <f t="shared" si="111"/>
        <v>0.44169183037050525</v>
      </c>
    </row>
    <row r="1014" spans="6:15" x14ac:dyDescent="0.45">
      <c r="F1014">
        <v>1012</v>
      </c>
      <c r="G1014">
        <v>0</v>
      </c>
      <c r="H1014">
        <f t="shared" si="106"/>
        <v>0</v>
      </c>
      <c r="I1014">
        <f t="shared" si="105"/>
        <v>0</v>
      </c>
      <c r="J1014">
        <v>0.68</v>
      </c>
      <c r="K1014">
        <f t="shared" si="107"/>
        <v>0.68</v>
      </c>
      <c r="L1014">
        <f t="shared" si="108"/>
        <v>13.097899999999999</v>
      </c>
      <c r="M1014">
        <f t="shared" si="109"/>
        <v>13097.9</v>
      </c>
      <c r="N1014">
        <f t="shared" si="110"/>
        <v>12.41441359409</v>
      </c>
      <c r="O1014">
        <f t="shared" si="111"/>
        <v>0.43423244376298253</v>
      </c>
    </row>
    <row r="1015" spans="6:15" x14ac:dyDescent="0.45">
      <c r="F1015">
        <v>1013</v>
      </c>
      <c r="G1015">
        <v>0</v>
      </c>
      <c r="H1015">
        <f t="shared" si="106"/>
        <v>0</v>
      </c>
      <c r="I1015">
        <f t="shared" si="105"/>
        <v>0</v>
      </c>
      <c r="J1015">
        <v>0.5</v>
      </c>
      <c r="K1015">
        <f t="shared" si="107"/>
        <v>0.5</v>
      </c>
      <c r="L1015">
        <f t="shared" si="108"/>
        <v>12.6479</v>
      </c>
      <c r="M1015">
        <f t="shared" si="109"/>
        <v>12647.9</v>
      </c>
      <c r="N1015">
        <f t="shared" si="110"/>
        <v>11.987895899090001</v>
      </c>
      <c r="O1015">
        <f t="shared" si="111"/>
        <v>0.41931367054793717</v>
      </c>
    </row>
    <row r="1016" spans="6:15" x14ac:dyDescent="0.45">
      <c r="F1016">
        <v>1014</v>
      </c>
      <c r="G1016">
        <v>0</v>
      </c>
      <c r="H1016">
        <f t="shared" si="106"/>
        <v>0</v>
      </c>
      <c r="I1016">
        <f t="shared" si="105"/>
        <v>0</v>
      </c>
      <c r="J1016">
        <v>0.47</v>
      </c>
      <c r="K1016">
        <f t="shared" si="107"/>
        <v>0.47</v>
      </c>
      <c r="L1016">
        <f t="shared" si="108"/>
        <v>12.572900000000001</v>
      </c>
      <c r="M1016">
        <f t="shared" si="109"/>
        <v>12572.900000000001</v>
      </c>
      <c r="N1016">
        <f t="shared" si="110"/>
        <v>11.916809616590001</v>
      </c>
      <c r="O1016">
        <f t="shared" si="111"/>
        <v>0.41682720834542969</v>
      </c>
    </row>
    <row r="1017" spans="6:15" x14ac:dyDescent="0.45">
      <c r="F1017">
        <v>1015</v>
      </c>
      <c r="G1017">
        <v>0</v>
      </c>
      <c r="H1017">
        <f t="shared" si="106"/>
        <v>0</v>
      </c>
      <c r="I1017">
        <f t="shared" si="105"/>
        <v>0</v>
      </c>
      <c r="J1017">
        <v>0.65</v>
      </c>
      <c r="K1017">
        <f t="shared" si="107"/>
        <v>0.65</v>
      </c>
      <c r="L1017">
        <f t="shared" si="108"/>
        <v>13.0229</v>
      </c>
      <c r="M1017">
        <f t="shared" si="109"/>
        <v>13022.9</v>
      </c>
      <c r="N1017">
        <f t="shared" si="110"/>
        <v>12.34332731159</v>
      </c>
      <c r="O1017">
        <f t="shared" si="111"/>
        <v>0.43174598156047495</v>
      </c>
    </row>
    <row r="1018" spans="6:15" x14ac:dyDescent="0.45">
      <c r="F1018">
        <v>1016</v>
      </c>
      <c r="G1018">
        <v>0</v>
      </c>
      <c r="H1018">
        <f t="shared" si="106"/>
        <v>0</v>
      </c>
      <c r="I1018">
        <f t="shared" si="105"/>
        <v>0</v>
      </c>
      <c r="J1018">
        <v>0.48</v>
      </c>
      <c r="K1018">
        <f t="shared" si="107"/>
        <v>0.48</v>
      </c>
      <c r="L1018">
        <f t="shared" si="108"/>
        <v>12.597899999999999</v>
      </c>
      <c r="M1018">
        <f t="shared" si="109"/>
        <v>12597.9</v>
      </c>
      <c r="N1018">
        <f t="shared" si="110"/>
        <v>11.940505044090001</v>
      </c>
      <c r="O1018">
        <f t="shared" si="111"/>
        <v>0.41765602907959881</v>
      </c>
    </row>
    <row r="1019" spans="6:15" x14ac:dyDescent="0.45">
      <c r="F1019">
        <v>1017</v>
      </c>
      <c r="G1019">
        <v>0</v>
      </c>
      <c r="H1019">
        <f t="shared" si="106"/>
        <v>0</v>
      </c>
      <c r="I1019">
        <f t="shared" si="105"/>
        <v>0</v>
      </c>
      <c r="J1019">
        <v>0.7</v>
      </c>
      <c r="K1019">
        <f t="shared" si="107"/>
        <v>0.7</v>
      </c>
      <c r="L1019">
        <f t="shared" si="108"/>
        <v>13.1479</v>
      </c>
      <c r="M1019">
        <f t="shared" si="109"/>
        <v>13147.9</v>
      </c>
      <c r="N1019">
        <f t="shared" si="110"/>
        <v>12.46180444909</v>
      </c>
      <c r="O1019">
        <f t="shared" si="111"/>
        <v>0.43589008523132089</v>
      </c>
    </row>
    <row r="1020" spans="6:15" x14ac:dyDescent="0.45">
      <c r="F1020">
        <v>1018</v>
      </c>
      <c r="G1020">
        <v>0</v>
      </c>
      <c r="H1020">
        <f t="shared" si="106"/>
        <v>0</v>
      </c>
      <c r="I1020">
        <f t="shared" si="105"/>
        <v>0</v>
      </c>
      <c r="J1020">
        <v>0.94</v>
      </c>
      <c r="K1020">
        <f t="shared" si="107"/>
        <v>0.94</v>
      </c>
      <c r="L1020">
        <f t="shared" si="108"/>
        <v>13.7479</v>
      </c>
      <c r="M1020">
        <f t="shared" si="109"/>
        <v>13747.9</v>
      </c>
      <c r="N1020">
        <f t="shared" si="110"/>
        <v>13.03049470909</v>
      </c>
      <c r="O1020">
        <f t="shared" si="111"/>
        <v>0.45578178285138127</v>
      </c>
    </row>
    <row r="1021" spans="6:15" x14ac:dyDescent="0.45">
      <c r="F1021">
        <v>1019</v>
      </c>
      <c r="G1021">
        <v>0</v>
      </c>
      <c r="H1021">
        <f t="shared" si="106"/>
        <v>0</v>
      </c>
      <c r="I1021">
        <f t="shared" si="105"/>
        <v>0</v>
      </c>
      <c r="J1021">
        <v>1</v>
      </c>
      <c r="K1021">
        <f t="shared" si="107"/>
        <v>1</v>
      </c>
      <c r="L1021">
        <f t="shared" si="108"/>
        <v>13.8979</v>
      </c>
      <c r="M1021">
        <f t="shared" si="109"/>
        <v>13897.9</v>
      </c>
      <c r="N1021">
        <f t="shared" si="110"/>
        <v>13.172667274089999</v>
      </c>
      <c r="O1021">
        <f t="shared" si="111"/>
        <v>0.46075470725639645</v>
      </c>
    </row>
    <row r="1022" spans="6:15" x14ac:dyDescent="0.45">
      <c r="F1022">
        <v>1020</v>
      </c>
      <c r="G1022">
        <v>0</v>
      </c>
      <c r="H1022">
        <f t="shared" si="106"/>
        <v>0</v>
      </c>
      <c r="I1022">
        <f t="shared" si="105"/>
        <v>0</v>
      </c>
      <c r="J1022">
        <v>0.62</v>
      </c>
      <c r="K1022">
        <f t="shared" si="107"/>
        <v>0.62</v>
      </c>
      <c r="L1022">
        <f t="shared" si="108"/>
        <v>12.947900000000001</v>
      </c>
      <c r="M1022">
        <f t="shared" si="109"/>
        <v>12947.900000000001</v>
      </c>
      <c r="N1022">
        <f t="shared" si="110"/>
        <v>12.272241029090003</v>
      </c>
      <c r="O1022">
        <f t="shared" si="111"/>
        <v>0.42925951935796747</v>
      </c>
    </row>
    <row r="1023" spans="6:15" x14ac:dyDescent="0.45">
      <c r="F1023">
        <v>1021</v>
      </c>
      <c r="G1023">
        <v>0</v>
      </c>
      <c r="H1023">
        <f t="shared" si="106"/>
        <v>0</v>
      </c>
      <c r="I1023">
        <f t="shared" si="105"/>
        <v>0</v>
      </c>
      <c r="J1023">
        <v>0.76</v>
      </c>
      <c r="K1023">
        <f t="shared" si="107"/>
        <v>0.76</v>
      </c>
      <c r="L1023">
        <f t="shared" si="108"/>
        <v>13.2979</v>
      </c>
      <c r="M1023">
        <f t="shared" si="109"/>
        <v>13297.9</v>
      </c>
      <c r="N1023">
        <f t="shared" si="110"/>
        <v>12.603977014090001</v>
      </c>
      <c r="O1023">
        <f t="shared" si="111"/>
        <v>0.44086300963633601</v>
      </c>
    </row>
    <row r="1024" spans="6:15" x14ac:dyDescent="0.45">
      <c r="F1024">
        <v>1022</v>
      </c>
      <c r="G1024">
        <v>0</v>
      </c>
      <c r="H1024">
        <f t="shared" si="106"/>
        <v>0</v>
      </c>
      <c r="I1024">
        <f t="shared" si="105"/>
        <v>0</v>
      </c>
      <c r="J1024">
        <v>0.97</v>
      </c>
      <c r="K1024">
        <f t="shared" si="107"/>
        <v>0.97</v>
      </c>
      <c r="L1024">
        <f t="shared" si="108"/>
        <v>13.822900000000001</v>
      </c>
      <c r="M1024">
        <f t="shared" si="109"/>
        <v>13822.900000000001</v>
      </c>
      <c r="N1024">
        <f t="shared" si="110"/>
        <v>13.101580991590001</v>
      </c>
      <c r="O1024">
        <f t="shared" si="111"/>
        <v>0.45826824505388897</v>
      </c>
    </row>
    <row r="1025" spans="6:15" x14ac:dyDescent="0.45">
      <c r="F1025">
        <v>1023</v>
      </c>
      <c r="G1025">
        <v>0</v>
      </c>
      <c r="H1025">
        <f t="shared" si="106"/>
        <v>0</v>
      </c>
      <c r="I1025">
        <f t="shared" si="105"/>
        <v>0</v>
      </c>
      <c r="J1025">
        <v>0.64</v>
      </c>
      <c r="K1025">
        <f t="shared" si="107"/>
        <v>0.64</v>
      </c>
      <c r="L1025">
        <f t="shared" si="108"/>
        <v>12.9979</v>
      </c>
      <c r="M1025">
        <f t="shared" si="109"/>
        <v>12997.9</v>
      </c>
      <c r="N1025">
        <f t="shared" si="110"/>
        <v>12.319631884090001</v>
      </c>
      <c r="O1025">
        <f t="shared" si="111"/>
        <v>0.43091716082630577</v>
      </c>
    </row>
    <row r="1026" spans="6:15" x14ac:dyDescent="0.45">
      <c r="F1026">
        <v>1024</v>
      </c>
      <c r="G1026">
        <v>0</v>
      </c>
      <c r="H1026">
        <f t="shared" si="106"/>
        <v>0</v>
      </c>
      <c r="I1026">
        <f t="shared" ref="I1026:I1089" si="112">H1026*(1/3600)</f>
        <v>0</v>
      </c>
      <c r="J1026">
        <v>0.63</v>
      </c>
      <c r="K1026">
        <f t="shared" si="107"/>
        <v>0.63</v>
      </c>
      <c r="L1026">
        <f t="shared" si="108"/>
        <v>12.972899999999999</v>
      </c>
      <c r="M1026">
        <f t="shared" si="109"/>
        <v>12972.9</v>
      </c>
      <c r="N1026">
        <f t="shared" si="110"/>
        <v>12.295936456590001</v>
      </c>
      <c r="O1026">
        <f t="shared" si="111"/>
        <v>0.43008834009213659</v>
      </c>
    </row>
    <row r="1027" spans="6:15" x14ac:dyDescent="0.45">
      <c r="F1027">
        <v>1025</v>
      </c>
      <c r="G1027">
        <v>0</v>
      </c>
      <c r="H1027">
        <f t="shared" ref="H1027:H1090" si="113">IF(G1027&lt;0,0,G1027)</f>
        <v>0</v>
      </c>
      <c r="I1027">
        <f t="shared" si="112"/>
        <v>0</v>
      </c>
      <c r="J1027">
        <v>0.99</v>
      </c>
      <c r="K1027">
        <f t="shared" ref="K1027:K1090" si="114">IF(J1027&lt;0,0,J1027)</f>
        <v>0.99</v>
      </c>
      <c r="L1027">
        <f t="shared" ref="L1027:L1090" si="115">(1/$B$5)*K1027+((3.4798*$B$6)+0.9585)</f>
        <v>13.8729</v>
      </c>
      <c r="M1027">
        <f t="shared" ref="M1027:M1090" si="116">L1027*1000</f>
        <v>13872.9</v>
      </c>
      <c r="N1027">
        <f t="shared" ref="N1027:N1090" si="117">M1027*0.0009478171</f>
        <v>13.148971846589999</v>
      </c>
      <c r="O1027">
        <f t="shared" ref="O1027:O1090" si="118">(M1027*453.59237)/(18489*0.74*1000)</f>
        <v>0.45992588652222727</v>
      </c>
    </row>
    <row r="1028" spans="6:15" x14ac:dyDescent="0.45">
      <c r="F1028">
        <v>1026</v>
      </c>
      <c r="G1028">
        <v>0</v>
      </c>
      <c r="H1028">
        <f t="shared" si="113"/>
        <v>0</v>
      </c>
      <c r="I1028">
        <f t="shared" si="112"/>
        <v>0</v>
      </c>
      <c r="J1028">
        <v>0.61</v>
      </c>
      <c r="K1028">
        <f t="shared" si="114"/>
        <v>0.61</v>
      </c>
      <c r="L1028">
        <f t="shared" si="115"/>
        <v>12.9229</v>
      </c>
      <c r="M1028">
        <f t="shared" si="116"/>
        <v>12922.9</v>
      </c>
      <c r="N1028">
        <f t="shared" si="117"/>
        <v>12.248545601589999</v>
      </c>
      <c r="O1028">
        <f t="shared" si="118"/>
        <v>0.42843069862379823</v>
      </c>
    </row>
    <row r="1029" spans="6:15" x14ac:dyDescent="0.45">
      <c r="F1029">
        <v>1027</v>
      </c>
      <c r="G1029">
        <v>0.1</v>
      </c>
      <c r="H1029">
        <f t="shared" si="113"/>
        <v>0.1</v>
      </c>
      <c r="I1029">
        <f t="shared" si="112"/>
        <v>2.7777777777777779E-5</v>
      </c>
      <c r="J1029">
        <v>0.98</v>
      </c>
      <c r="K1029">
        <f t="shared" si="114"/>
        <v>0.98</v>
      </c>
      <c r="L1029">
        <f t="shared" si="115"/>
        <v>13.847899999999999</v>
      </c>
      <c r="M1029">
        <f t="shared" si="116"/>
        <v>13847.9</v>
      </c>
      <c r="N1029">
        <f t="shared" si="117"/>
        <v>13.12527641909</v>
      </c>
      <c r="O1029">
        <f t="shared" si="118"/>
        <v>0.45909706578805809</v>
      </c>
    </row>
    <row r="1030" spans="6:15" x14ac:dyDescent="0.45">
      <c r="F1030">
        <v>1028</v>
      </c>
      <c r="G1030">
        <v>1.1000000000000001</v>
      </c>
      <c r="H1030">
        <f t="shared" si="113"/>
        <v>1.1000000000000001</v>
      </c>
      <c r="I1030">
        <f t="shared" si="112"/>
        <v>3.055555555555556E-4</v>
      </c>
      <c r="J1030">
        <v>1.26</v>
      </c>
      <c r="K1030">
        <f t="shared" si="114"/>
        <v>1.26</v>
      </c>
      <c r="L1030">
        <f t="shared" si="115"/>
        <v>14.5479</v>
      </c>
      <c r="M1030">
        <f t="shared" si="116"/>
        <v>14547.9</v>
      </c>
      <c r="N1030">
        <f t="shared" si="117"/>
        <v>13.788748389089999</v>
      </c>
      <c r="O1030">
        <f t="shared" si="118"/>
        <v>0.48230404634479523</v>
      </c>
    </row>
    <row r="1031" spans="6:15" x14ac:dyDescent="0.45">
      <c r="F1031">
        <v>1029</v>
      </c>
      <c r="G1031">
        <v>3.9</v>
      </c>
      <c r="H1031">
        <f t="shared" si="113"/>
        <v>3.9</v>
      </c>
      <c r="I1031">
        <f t="shared" si="112"/>
        <v>1.0833333333333333E-3</v>
      </c>
      <c r="J1031">
        <v>6.86</v>
      </c>
      <c r="K1031">
        <f t="shared" si="114"/>
        <v>6.86</v>
      </c>
      <c r="L1031">
        <f t="shared" si="115"/>
        <v>28.547900000000002</v>
      </c>
      <c r="M1031">
        <f t="shared" si="116"/>
        <v>28547.9</v>
      </c>
      <c r="N1031">
        <f t="shared" si="117"/>
        <v>27.058187789090002</v>
      </c>
      <c r="O1031">
        <f t="shared" si="118"/>
        <v>0.94644365747953874</v>
      </c>
    </row>
    <row r="1032" spans="6:15" x14ac:dyDescent="0.45">
      <c r="F1032">
        <v>1030</v>
      </c>
      <c r="G1032">
        <v>7.2</v>
      </c>
      <c r="H1032">
        <f t="shared" si="113"/>
        <v>7.2</v>
      </c>
      <c r="I1032">
        <f t="shared" si="112"/>
        <v>2E-3</v>
      </c>
      <c r="J1032">
        <v>12.93</v>
      </c>
      <c r="K1032">
        <f t="shared" si="114"/>
        <v>12.93</v>
      </c>
      <c r="L1032">
        <f t="shared" si="115"/>
        <v>43.722900000000003</v>
      </c>
      <c r="M1032">
        <f t="shared" si="116"/>
        <v>43722.9</v>
      </c>
      <c r="N1032">
        <f t="shared" si="117"/>
        <v>41.441312281590001</v>
      </c>
      <c r="O1032">
        <f t="shared" si="118"/>
        <v>1.4495378431202339</v>
      </c>
    </row>
    <row r="1033" spans="6:15" x14ac:dyDescent="0.45">
      <c r="F1033">
        <v>1031</v>
      </c>
      <c r="G1033">
        <v>10.8</v>
      </c>
      <c r="H1033">
        <f t="shared" si="113"/>
        <v>10.8</v>
      </c>
      <c r="I1033">
        <f t="shared" si="112"/>
        <v>3.0000000000000001E-3</v>
      </c>
      <c r="J1033">
        <v>21.72</v>
      </c>
      <c r="K1033">
        <f t="shared" si="114"/>
        <v>21.72</v>
      </c>
      <c r="L1033">
        <f t="shared" si="115"/>
        <v>65.697900000000004</v>
      </c>
      <c r="M1033">
        <f t="shared" si="116"/>
        <v>65697.900000000009</v>
      </c>
      <c r="N1033">
        <f t="shared" si="117"/>
        <v>62.269593054090009</v>
      </c>
      <c r="O1033">
        <f t="shared" si="118"/>
        <v>2.1780712684549473</v>
      </c>
    </row>
    <row r="1034" spans="6:15" x14ac:dyDescent="0.45">
      <c r="F1034">
        <v>1032</v>
      </c>
      <c r="G1034">
        <v>14.3</v>
      </c>
      <c r="H1034">
        <f t="shared" si="113"/>
        <v>14.3</v>
      </c>
      <c r="I1034">
        <f t="shared" si="112"/>
        <v>3.9722222222222225E-3</v>
      </c>
      <c r="J1034">
        <v>18.64</v>
      </c>
      <c r="K1034">
        <f t="shared" si="114"/>
        <v>18.64</v>
      </c>
      <c r="L1034">
        <f t="shared" si="115"/>
        <v>57.997900000000001</v>
      </c>
      <c r="M1034">
        <f t="shared" si="116"/>
        <v>57997.9</v>
      </c>
      <c r="N1034">
        <f t="shared" si="117"/>
        <v>54.971401384090001</v>
      </c>
      <c r="O1034">
        <f t="shared" si="118"/>
        <v>1.9227944823308381</v>
      </c>
    </row>
    <row r="1035" spans="6:15" x14ac:dyDescent="0.45">
      <c r="F1035">
        <v>1033</v>
      </c>
      <c r="G1035">
        <v>16.7</v>
      </c>
      <c r="H1035">
        <f t="shared" si="113"/>
        <v>16.7</v>
      </c>
      <c r="I1035">
        <f t="shared" si="112"/>
        <v>4.6388888888888886E-3</v>
      </c>
      <c r="J1035">
        <v>21.27</v>
      </c>
      <c r="K1035">
        <f t="shared" si="114"/>
        <v>21.27</v>
      </c>
      <c r="L1035">
        <f t="shared" si="115"/>
        <v>64.572900000000004</v>
      </c>
      <c r="M1035">
        <f t="shared" si="116"/>
        <v>64572.9</v>
      </c>
      <c r="N1035">
        <f t="shared" si="117"/>
        <v>61.203298816590006</v>
      </c>
      <c r="O1035">
        <f t="shared" si="118"/>
        <v>2.1407743354173339</v>
      </c>
    </row>
    <row r="1036" spans="6:15" x14ac:dyDescent="0.45">
      <c r="F1036">
        <v>1034</v>
      </c>
      <c r="G1036">
        <v>18.2</v>
      </c>
      <c r="H1036">
        <f t="shared" si="113"/>
        <v>18.2</v>
      </c>
      <c r="I1036">
        <f t="shared" si="112"/>
        <v>5.0555555555555553E-3</v>
      </c>
      <c r="J1036">
        <v>12.68</v>
      </c>
      <c r="K1036">
        <f t="shared" si="114"/>
        <v>12.68</v>
      </c>
      <c r="L1036">
        <f t="shared" si="115"/>
        <v>43.097899999999996</v>
      </c>
      <c r="M1036">
        <f t="shared" si="116"/>
        <v>43097.899999999994</v>
      </c>
      <c r="N1036">
        <f t="shared" si="117"/>
        <v>40.848926594089995</v>
      </c>
      <c r="O1036">
        <f t="shared" si="118"/>
        <v>1.4288173247660039</v>
      </c>
    </row>
    <row r="1037" spans="6:15" x14ac:dyDescent="0.45">
      <c r="F1037">
        <v>1035</v>
      </c>
      <c r="G1037">
        <v>20</v>
      </c>
      <c r="H1037">
        <f t="shared" si="113"/>
        <v>20</v>
      </c>
      <c r="I1037">
        <f t="shared" si="112"/>
        <v>5.5555555555555558E-3</v>
      </c>
      <c r="J1037">
        <v>17.920000000000002</v>
      </c>
      <c r="K1037">
        <f t="shared" si="114"/>
        <v>17.920000000000002</v>
      </c>
      <c r="L1037">
        <f t="shared" si="115"/>
        <v>56.197900000000004</v>
      </c>
      <c r="M1037">
        <f t="shared" si="116"/>
        <v>56197.9</v>
      </c>
      <c r="N1037">
        <f t="shared" si="117"/>
        <v>53.265330604090003</v>
      </c>
      <c r="O1037">
        <f t="shared" si="118"/>
        <v>1.863119389470657</v>
      </c>
    </row>
    <row r="1038" spans="6:15" x14ac:dyDescent="0.45">
      <c r="F1038">
        <v>1036</v>
      </c>
      <c r="G1038">
        <v>21.9</v>
      </c>
      <c r="H1038">
        <f t="shared" si="113"/>
        <v>21.9</v>
      </c>
      <c r="I1038">
        <f t="shared" si="112"/>
        <v>6.083333333333333E-3</v>
      </c>
      <c r="J1038">
        <v>16.41</v>
      </c>
      <c r="K1038">
        <f t="shared" si="114"/>
        <v>16.41</v>
      </c>
      <c r="L1038">
        <f t="shared" si="115"/>
        <v>52.422899999999998</v>
      </c>
      <c r="M1038">
        <f t="shared" si="116"/>
        <v>52422.9</v>
      </c>
      <c r="N1038">
        <f t="shared" si="117"/>
        <v>49.687321051590004</v>
      </c>
      <c r="O1038">
        <f t="shared" si="118"/>
        <v>1.73796745861111</v>
      </c>
    </row>
    <row r="1039" spans="6:15" x14ac:dyDescent="0.45">
      <c r="F1039">
        <v>1037</v>
      </c>
      <c r="G1039">
        <v>23.2</v>
      </c>
      <c r="H1039">
        <f t="shared" si="113"/>
        <v>23.2</v>
      </c>
      <c r="I1039">
        <f t="shared" si="112"/>
        <v>6.4444444444444445E-3</v>
      </c>
      <c r="J1039">
        <v>14.69</v>
      </c>
      <c r="K1039">
        <f t="shared" si="114"/>
        <v>14.69</v>
      </c>
      <c r="L1039">
        <f t="shared" si="115"/>
        <v>48.122900000000001</v>
      </c>
      <c r="M1039">
        <f t="shared" si="116"/>
        <v>48122.9</v>
      </c>
      <c r="N1039">
        <f t="shared" si="117"/>
        <v>45.611707521590006</v>
      </c>
      <c r="O1039">
        <f t="shared" si="118"/>
        <v>1.5954102923340103</v>
      </c>
    </row>
    <row r="1040" spans="6:15" x14ac:dyDescent="0.45">
      <c r="F1040">
        <v>1038</v>
      </c>
      <c r="G1040">
        <v>23.9</v>
      </c>
      <c r="H1040">
        <f t="shared" si="113"/>
        <v>23.9</v>
      </c>
      <c r="I1040">
        <f t="shared" si="112"/>
        <v>6.6388888888888886E-3</v>
      </c>
      <c r="J1040">
        <v>10.1</v>
      </c>
      <c r="K1040">
        <f t="shared" si="114"/>
        <v>10.1</v>
      </c>
      <c r="L1040">
        <f t="shared" si="115"/>
        <v>36.6479</v>
      </c>
      <c r="M1040">
        <f t="shared" si="116"/>
        <v>36647.9</v>
      </c>
      <c r="N1040">
        <f t="shared" si="117"/>
        <v>34.735506299090005</v>
      </c>
      <c r="O1040">
        <f t="shared" si="118"/>
        <v>1.2149815753503546</v>
      </c>
    </row>
    <row r="1041" spans="6:15" x14ac:dyDescent="0.45">
      <c r="F1041">
        <v>1039</v>
      </c>
      <c r="G1041">
        <v>24.6</v>
      </c>
      <c r="H1041">
        <f t="shared" si="113"/>
        <v>24.6</v>
      </c>
      <c r="I1041">
        <f t="shared" si="112"/>
        <v>6.8333333333333336E-3</v>
      </c>
      <c r="J1041">
        <v>10.4</v>
      </c>
      <c r="K1041">
        <f t="shared" si="114"/>
        <v>10.4</v>
      </c>
      <c r="L1041">
        <f t="shared" si="115"/>
        <v>37.3979</v>
      </c>
      <c r="M1041">
        <f t="shared" si="116"/>
        <v>37397.9</v>
      </c>
      <c r="N1041">
        <f t="shared" si="117"/>
        <v>35.446369124090005</v>
      </c>
      <c r="O1041">
        <f t="shared" si="118"/>
        <v>1.23984619737543</v>
      </c>
    </row>
    <row r="1042" spans="6:15" x14ac:dyDescent="0.45">
      <c r="F1042">
        <v>1040</v>
      </c>
      <c r="G1042">
        <v>25.5</v>
      </c>
      <c r="H1042">
        <f t="shared" si="113"/>
        <v>25.5</v>
      </c>
      <c r="I1042">
        <f t="shared" si="112"/>
        <v>7.083333333333333E-3</v>
      </c>
      <c r="J1042">
        <v>10.9</v>
      </c>
      <c r="K1042">
        <f t="shared" si="114"/>
        <v>10.9</v>
      </c>
      <c r="L1042">
        <f t="shared" si="115"/>
        <v>38.6479</v>
      </c>
      <c r="M1042">
        <f t="shared" si="116"/>
        <v>38647.9</v>
      </c>
      <c r="N1042">
        <f t="shared" si="117"/>
        <v>36.631140499090002</v>
      </c>
      <c r="O1042">
        <f t="shared" si="118"/>
        <v>1.2812872340838894</v>
      </c>
    </row>
    <row r="1043" spans="6:15" x14ac:dyDescent="0.45">
      <c r="F1043">
        <v>1041</v>
      </c>
      <c r="G1043">
        <v>26.4</v>
      </c>
      <c r="H1043">
        <f t="shared" si="113"/>
        <v>26.4</v>
      </c>
      <c r="I1043">
        <f t="shared" si="112"/>
        <v>7.3333333333333332E-3</v>
      </c>
      <c r="J1043">
        <v>11.44</v>
      </c>
      <c r="K1043">
        <f t="shared" si="114"/>
        <v>11.44</v>
      </c>
      <c r="L1043">
        <f t="shared" si="115"/>
        <v>39.997900000000001</v>
      </c>
      <c r="M1043">
        <f t="shared" si="116"/>
        <v>39997.9</v>
      </c>
      <c r="N1043">
        <f t="shared" si="117"/>
        <v>37.910693584090005</v>
      </c>
      <c r="O1043">
        <f t="shared" si="118"/>
        <v>1.3260435537290252</v>
      </c>
    </row>
    <row r="1044" spans="6:15" x14ac:dyDescent="0.45">
      <c r="F1044">
        <v>1042</v>
      </c>
      <c r="G1044">
        <v>26.8</v>
      </c>
      <c r="H1044">
        <f t="shared" si="113"/>
        <v>26.8</v>
      </c>
      <c r="I1044">
        <f t="shared" si="112"/>
        <v>7.4444444444444445E-3</v>
      </c>
      <c r="J1044">
        <v>11.1</v>
      </c>
      <c r="K1044">
        <f t="shared" si="114"/>
        <v>11.1</v>
      </c>
      <c r="L1044">
        <f t="shared" si="115"/>
        <v>39.1479</v>
      </c>
      <c r="M1044">
        <f t="shared" si="116"/>
        <v>39147.9</v>
      </c>
      <c r="N1044">
        <f t="shared" si="117"/>
        <v>37.105049049090006</v>
      </c>
      <c r="O1044">
        <f t="shared" si="118"/>
        <v>1.297863648767273</v>
      </c>
    </row>
    <row r="1045" spans="6:15" x14ac:dyDescent="0.45">
      <c r="F1045">
        <v>1043</v>
      </c>
      <c r="G1045">
        <v>27.5</v>
      </c>
      <c r="H1045">
        <f t="shared" si="113"/>
        <v>27.5</v>
      </c>
      <c r="I1045">
        <f t="shared" si="112"/>
        <v>7.6388888888888886E-3</v>
      </c>
      <c r="J1045">
        <v>10.57</v>
      </c>
      <c r="K1045">
        <f t="shared" si="114"/>
        <v>10.57</v>
      </c>
      <c r="L1045">
        <f t="shared" si="115"/>
        <v>37.822900000000004</v>
      </c>
      <c r="M1045">
        <f t="shared" si="116"/>
        <v>37822.9</v>
      </c>
      <c r="N1045">
        <f t="shared" si="117"/>
        <v>35.849191391590004</v>
      </c>
      <c r="O1045">
        <f t="shared" si="118"/>
        <v>1.2539361498563062</v>
      </c>
    </row>
    <row r="1046" spans="6:15" x14ac:dyDescent="0.45">
      <c r="F1046">
        <v>1044</v>
      </c>
      <c r="G1046">
        <v>28</v>
      </c>
      <c r="H1046">
        <f t="shared" si="113"/>
        <v>28</v>
      </c>
      <c r="I1046">
        <f t="shared" si="112"/>
        <v>7.7777777777777776E-3</v>
      </c>
      <c r="J1046">
        <v>10</v>
      </c>
      <c r="K1046">
        <f t="shared" si="114"/>
        <v>10</v>
      </c>
      <c r="L1046">
        <f t="shared" si="115"/>
        <v>36.3979</v>
      </c>
      <c r="M1046">
        <f t="shared" si="116"/>
        <v>36397.9</v>
      </c>
      <c r="N1046">
        <f t="shared" si="117"/>
        <v>34.498552024090003</v>
      </c>
      <c r="O1046">
        <f t="shared" si="118"/>
        <v>1.2066933680086627</v>
      </c>
    </row>
    <row r="1047" spans="6:15" x14ac:dyDescent="0.45">
      <c r="F1047">
        <v>1045</v>
      </c>
      <c r="G1047">
        <v>28.3</v>
      </c>
      <c r="H1047">
        <f t="shared" si="113"/>
        <v>28.3</v>
      </c>
      <c r="I1047">
        <f t="shared" si="112"/>
        <v>7.8611111111111121E-3</v>
      </c>
      <c r="J1047">
        <v>8.11</v>
      </c>
      <c r="K1047">
        <f t="shared" si="114"/>
        <v>8.11</v>
      </c>
      <c r="L1047">
        <f t="shared" si="115"/>
        <v>31.672899999999998</v>
      </c>
      <c r="M1047">
        <f t="shared" si="116"/>
        <v>31672.899999999998</v>
      </c>
      <c r="N1047">
        <f t="shared" si="117"/>
        <v>30.020116226589998</v>
      </c>
      <c r="O1047">
        <f t="shared" si="118"/>
        <v>1.0500462492506866</v>
      </c>
    </row>
    <row r="1048" spans="6:15" x14ac:dyDescent="0.45">
      <c r="F1048">
        <v>1046</v>
      </c>
      <c r="G1048">
        <v>28.3</v>
      </c>
      <c r="H1048">
        <f t="shared" si="113"/>
        <v>28.3</v>
      </c>
      <c r="I1048">
        <f t="shared" si="112"/>
        <v>7.8611111111111121E-3</v>
      </c>
      <c r="J1048">
        <v>2.73</v>
      </c>
      <c r="K1048">
        <f t="shared" si="114"/>
        <v>2.73</v>
      </c>
      <c r="L1048">
        <f t="shared" si="115"/>
        <v>18.222899999999999</v>
      </c>
      <c r="M1048">
        <f t="shared" si="116"/>
        <v>18222.899999999998</v>
      </c>
      <c r="N1048">
        <f t="shared" si="117"/>
        <v>17.271976231589999</v>
      </c>
      <c r="O1048">
        <f t="shared" si="118"/>
        <v>0.60414069426766537</v>
      </c>
    </row>
    <row r="1049" spans="6:15" x14ac:dyDescent="0.45">
      <c r="F1049">
        <v>1047</v>
      </c>
      <c r="G1049">
        <v>27.9</v>
      </c>
      <c r="H1049">
        <f t="shared" si="113"/>
        <v>27.9</v>
      </c>
      <c r="I1049">
        <f t="shared" si="112"/>
        <v>7.7499999999999999E-3</v>
      </c>
      <c r="J1049">
        <v>-0.1</v>
      </c>
      <c r="K1049">
        <f t="shared" si="114"/>
        <v>0</v>
      </c>
      <c r="L1049">
        <f t="shared" si="115"/>
        <v>11.3979</v>
      </c>
      <c r="M1049">
        <f t="shared" si="116"/>
        <v>11397.9</v>
      </c>
      <c r="N1049">
        <f t="shared" si="117"/>
        <v>10.80312452409</v>
      </c>
      <c r="O1049">
        <f t="shared" si="118"/>
        <v>0.377872633839478</v>
      </c>
    </row>
    <row r="1050" spans="6:15" x14ac:dyDescent="0.45">
      <c r="F1050">
        <v>1048</v>
      </c>
      <c r="G1050">
        <v>27.5</v>
      </c>
      <c r="H1050">
        <f t="shared" si="113"/>
        <v>27.5</v>
      </c>
      <c r="I1050">
        <f t="shared" si="112"/>
        <v>7.6388888888888886E-3</v>
      </c>
      <c r="J1050">
        <v>-0.25</v>
      </c>
      <c r="K1050">
        <f t="shared" si="114"/>
        <v>0</v>
      </c>
      <c r="L1050">
        <f t="shared" si="115"/>
        <v>11.3979</v>
      </c>
      <c r="M1050">
        <f t="shared" si="116"/>
        <v>11397.9</v>
      </c>
      <c r="N1050">
        <f t="shared" si="117"/>
        <v>10.80312452409</v>
      </c>
      <c r="O1050">
        <f t="shared" si="118"/>
        <v>0.377872633839478</v>
      </c>
    </row>
    <row r="1051" spans="6:15" x14ac:dyDescent="0.45">
      <c r="F1051">
        <v>1049</v>
      </c>
      <c r="G1051">
        <v>27.1</v>
      </c>
      <c r="H1051">
        <f t="shared" si="113"/>
        <v>27.1</v>
      </c>
      <c r="I1051">
        <f t="shared" si="112"/>
        <v>7.5277777777777782E-3</v>
      </c>
      <c r="J1051">
        <v>-0.16</v>
      </c>
      <c r="K1051">
        <f t="shared" si="114"/>
        <v>0</v>
      </c>
      <c r="L1051">
        <f t="shared" si="115"/>
        <v>11.3979</v>
      </c>
      <c r="M1051">
        <f t="shared" si="116"/>
        <v>11397.9</v>
      </c>
      <c r="N1051">
        <f t="shared" si="117"/>
        <v>10.80312452409</v>
      </c>
      <c r="O1051">
        <f t="shared" si="118"/>
        <v>0.377872633839478</v>
      </c>
    </row>
    <row r="1052" spans="6:15" x14ac:dyDescent="0.45">
      <c r="F1052">
        <v>1050</v>
      </c>
      <c r="G1052">
        <v>26</v>
      </c>
      <c r="H1052">
        <f t="shared" si="113"/>
        <v>26</v>
      </c>
      <c r="I1052">
        <f t="shared" si="112"/>
        <v>7.2222222222222219E-3</v>
      </c>
      <c r="J1052">
        <v>-0.22</v>
      </c>
      <c r="K1052">
        <f t="shared" si="114"/>
        <v>0</v>
      </c>
      <c r="L1052">
        <f t="shared" si="115"/>
        <v>11.3979</v>
      </c>
      <c r="M1052">
        <f t="shared" si="116"/>
        <v>11397.9</v>
      </c>
      <c r="N1052">
        <f t="shared" si="117"/>
        <v>10.80312452409</v>
      </c>
      <c r="O1052">
        <f t="shared" si="118"/>
        <v>0.377872633839478</v>
      </c>
    </row>
    <row r="1053" spans="6:15" x14ac:dyDescent="0.45">
      <c r="F1053">
        <v>1051</v>
      </c>
      <c r="G1053">
        <v>24.2</v>
      </c>
      <c r="H1053">
        <f t="shared" si="113"/>
        <v>24.2</v>
      </c>
      <c r="I1053">
        <f t="shared" si="112"/>
        <v>6.7222222222222223E-3</v>
      </c>
      <c r="J1053">
        <v>-0.06</v>
      </c>
      <c r="K1053">
        <f t="shared" si="114"/>
        <v>0</v>
      </c>
      <c r="L1053">
        <f t="shared" si="115"/>
        <v>11.3979</v>
      </c>
      <c r="M1053">
        <f t="shared" si="116"/>
        <v>11397.9</v>
      </c>
      <c r="N1053">
        <f t="shared" si="117"/>
        <v>10.80312452409</v>
      </c>
      <c r="O1053">
        <f t="shared" si="118"/>
        <v>0.377872633839478</v>
      </c>
    </row>
    <row r="1054" spans="6:15" x14ac:dyDescent="0.45">
      <c r="F1054">
        <v>1052</v>
      </c>
      <c r="G1054">
        <v>22.1</v>
      </c>
      <c r="H1054">
        <f t="shared" si="113"/>
        <v>22.1</v>
      </c>
      <c r="I1054">
        <f t="shared" si="112"/>
        <v>6.138888888888889E-3</v>
      </c>
      <c r="J1054">
        <v>-1.1399999999999999</v>
      </c>
      <c r="K1054">
        <f t="shared" si="114"/>
        <v>0</v>
      </c>
      <c r="L1054">
        <f t="shared" si="115"/>
        <v>11.3979</v>
      </c>
      <c r="M1054">
        <f t="shared" si="116"/>
        <v>11397.9</v>
      </c>
      <c r="N1054">
        <f t="shared" si="117"/>
        <v>10.80312452409</v>
      </c>
      <c r="O1054">
        <f t="shared" si="118"/>
        <v>0.377872633839478</v>
      </c>
    </row>
    <row r="1055" spans="6:15" x14ac:dyDescent="0.45">
      <c r="F1055">
        <v>1053</v>
      </c>
      <c r="G1055">
        <v>21.5</v>
      </c>
      <c r="H1055">
        <f t="shared" si="113"/>
        <v>21.5</v>
      </c>
      <c r="I1055">
        <f t="shared" si="112"/>
        <v>5.9722222222222225E-3</v>
      </c>
      <c r="J1055">
        <v>-0.74</v>
      </c>
      <c r="K1055">
        <f t="shared" si="114"/>
        <v>0</v>
      </c>
      <c r="L1055">
        <f t="shared" si="115"/>
        <v>11.3979</v>
      </c>
      <c r="M1055">
        <f t="shared" si="116"/>
        <v>11397.9</v>
      </c>
      <c r="N1055">
        <f t="shared" si="117"/>
        <v>10.80312452409</v>
      </c>
      <c r="O1055">
        <f t="shared" si="118"/>
        <v>0.377872633839478</v>
      </c>
    </row>
    <row r="1056" spans="6:15" x14ac:dyDescent="0.45">
      <c r="F1056">
        <v>1054</v>
      </c>
      <c r="G1056">
        <v>20.100000000000001</v>
      </c>
      <c r="H1056">
        <f t="shared" si="113"/>
        <v>20.100000000000001</v>
      </c>
      <c r="I1056">
        <f t="shared" si="112"/>
        <v>5.5833333333333334E-3</v>
      </c>
      <c r="J1056">
        <v>-0.36</v>
      </c>
      <c r="K1056">
        <f t="shared" si="114"/>
        <v>0</v>
      </c>
      <c r="L1056">
        <f t="shared" si="115"/>
        <v>11.3979</v>
      </c>
      <c r="M1056">
        <f t="shared" si="116"/>
        <v>11397.9</v>
      </c>
      <c r="N1056">
        <f t="shared" si="117"/>
        <v>10.80312452409</v>
      </c>
      <c r="O1056">
        <f t="shared" si="118"/>
        <v>0.377872633839478</v>
      </c>
    </row>
    <row r="1057" spans="6:15" x14ac:dyDescent="0.45">
      <c r="F1057">
        <v>1055</v>
      </c>
      <c r="G1057">
        <v>17.5</v>
      </c>
      <c r="H1057">
        <f t="shared" si="113"/>
        <v>17.5</v>
      </c>
      <c r="I1057">
        <f t="shared" si="112"/>
        <v>4.8611111111111112E-3</v>
      </c>
      <c r="J1057">
        <v>-0.26</v>
      </c>
      <c r="K1057">
        <f t="shared" si="114"/>
        <v>0</v>
      </c>
      <c r="L1057">
        <f t="shared" si="115"/>
        <v>11.3979</v>
      </c>
      <c r="M1057">
        <f t="shared" si="116"/>
        <v>11397.9</v>
      </c>
      <c r="N1057">
        <f t="shared" si="117"/>
        <v>10.80312452409</v>
      </c>
      <c r="O1057">
        <f t="shared" si="118"/>
        <v>0.377872633839478</v>
      </c>
    </row>
    <row r="1058" spans="6:15" x14ac:dyDescent="0.45">
      <c r="F1058">
        <v>1056</v>
      </c>
      <c r="G1058">
        <v>14.5</v>
      </c>
      <c r="H1058">
        <f t="shared" si="113"/>
        <v>14.5</v>
      </c>
      <c r="I1058">
        <f t="shared" si="112"/>
        <v>4.0277777777777777E-3</v>
      </c>
      <c r="J1058">
        <v>0.11</v>
      </c>
      <c r="K1058">
        <f t="shared" si="114"/>
        <v>0.11</v>
      </c>
      <c r="L1058">
        <f t="shared" si="115"/>
        <v>11.6729</v>
      </c>
      <c r="M1058">
        <f t="shared" si="116"/>
        <v>11672.9</v>
      </c>
      <c r="N1058">
        <f t="shared" si="117"/>
        <v>11.063774226590001</v>
      </c>
      <c r="O1058">
        <f t="shared" si="118"/>
        <v>0.38698966191533896</v>
      </c>
    </row>
    <row r="1059" spans="6:15" x14ac:dyDescent="0.45">
      <c r="F1059">
        <v>1057</v>
      </c>
      <c r="G1059">
        <v>11.9</v>
      </c>
      <c r="H1059">
        <f t="shared" si="113"/>
        <v>11.9</v>
      </c>
      <c r="I1059">
        <f t="shared" si="112"/>
        <v>3.3055555555555555E-3</v>
      </c>
      <c r="J1059">
        <v>-0.37</v>
      </c>
      <c r="K1059">
        <f t="shared" si="114"/>
        <v>0</v>
      </c>
      <c r="L1059">
        <f t="shared" si="115"/>
        <v>11.3979</v>
      </c>
      <c r="M1059">
        <f t="shared" si="116"/>
        <v>11397.9</v>
      </c>
      <c r="N1059">
        <f t="shared" si="117"/>
        <v>10.80312452409</v>
      </c>
      <c r="O1059">
        <f t="shared" si="118"/>
        <v>0.377872633839478</v>
      </c>
    </row>
    <row r="1060" spans="6:15" x14ac:dyDescent="0.45">
      <c r="F1060">
        <v>1058</v>
      </c>
      <c r="G1060">
        <v>10.9</v>
      </c>
      <c r="H1060">
        <f t="shared" si="113"/>
        <v>10.9</v>
      </c>
      <c r="I1060">
        <f t="shared" si="112"/>
        <v>3.0277777777777777E-3</v>
      </c>
      <c r="J1060">
        <v>-0.14000000000000001</v>
      </c>
      <c r="K1060">
        <f t="shared" si="114"/>
        <v>0</v>
      </c>
      <c r="L1060">
        <f t="shared" si="115"/>
        <v>11.3979</v>
      </c>
      <c r="M1060">
        <f t="shared" si="116"/>
        <v>11397.9</v>
      </c>
      <c r="N1060">
        <f t="shared" si="117"/>
        <v>10.80312452409</v>
      </c>
      <c r="O1060">
        <f t="shared" si="118"/>
        <v>0.377872633839478</v>
      </c>
    </row>
    <row r="1061" spans="6:15" x14ac:dyDescent="0.45">
      <c r="F1061">
        <v>1059</v>
      </c>
      <c r="G1061">
        <v>10.3</v>
      </c>
      <c r="H1061">
        <f t="shared" si="113"/>
        <v>10.3</v>
      </c>
      <c r="I1061">
        <f t="shared" si="112"/>
        <v>2.8611111111111111E-3</v>
      </c>
      <c r="J1061">
        <v>0.23</v>
      </c>
      <c r="K1061">
        <f t="shared" si="114"/>
        <v>0.23</v>
      </c>
      <c r="L1061">
        <f t="shared" si="115"/>
        <v>11.972899999999999</v>
      </c>
      <c r="M1061">
        <f t="shared" si="116"/>
        <v>11972.9</v>
      </c>
      <c r="N1061">
        <f t="shared" si="117"/>
        <v>11.348119356590001</v>
      </c>
      <c r="O1061">
        <f t="shared" si="118"/>
        <v>0.3969355107253692</v>
      </c>
    </row>
    <row r="1062" spans="6:15" x14ac:dyDescent="0.45">
      <c r="F1062">
        <v>1060</v>
      </c>
      <c r="G1062">
        <v>10</v>
      </c>
      <c r="H1062">
        <f t="shared" si="113"/>
        <v>10</v>
      </c>
      <c r="I1062">
        <f t="shared" si="112"/>
        <v>2.7777777777777779E-3</v>
      </c>
      <c r="J1062">
        <v>7.0000000000000007E-2</v>
      </c>
      <c r="K1062">
        <f t="shared" si="114"/>
        <v>7.0000000000000007E-2</v>
      </c>
      <c r="L1062">
        <f t="shared" si="115"/>
        <v>11.572900000000001</v>
      </c>
      <c r="M1062">
        <f t="shared" si="116"/>
        <v>11572.900000000001</v>
      </c>
      <c r="N1062">
        <f t="shared" si="117"/>
        <v>10.968992516590001</v>
      </c>
      <c r="O1062">
        <f t="shared" si="118"/>
        <v>0.3836743789786623</v>
      </c>
    </row>
    <row r="1063" spans="6:15" x14ac:dyDescent="0.45">
      <c r="F1063">
        <v>1061</v>
      </c>
      <c r="G1063">
        <v>9.6</v>
      </c>
      <c r="H1063">
        <f t="shared" si="113"/>
        <v>9.6</v>
      </c>
      <c r="I1063">
        <f t="shared" si="112"/>
        <v>2.6666666666666666E-3</v>
      </c>
      <c r="J1063">
        <v>0.22</v>
      </c>
      <c r="K1063">
        <f t="shared" si="114"/>
        <v>0.22</v>
      </c>
      <c r="L1063">
        <f t="shared" si="115"/>
        <v>11.947900000000001</v>
      </c>
      <c r="M1063">
        <f t="shared" si="116"/>
        <v>11947.900000000001</v>
      </c>
      <c r="N1063">
        <f t="shared" si="117"/>
        <v>11.324423929090003</v>
      </c>
      <c r="O1063">
        <f t="shared" si="118"/>
        <v>0.39610668999120008</v>
      </c>
    </row>
    <row r="1064" spans="6:15" x14ac:dyDescent="0.45">
      <c r="F1064">
        <v>1062</v>
      </c>
      <c r="G1064">
        <v>9.3000000000000007</v>
      </c>
      <c r="H1064">
        <f t="shared" si="113"/>
        <v>9.3000000000000007</v>
      </c>
      <c r="I1064">
        <f t="shared" si="112"/>
        <v>2.5833333333333333E-3</v>
      </c>
      <c r="J1064">
        <v>-0.05</v>
      </c>
      <c r="K1064">
        <f t="shared" si="114"/>
        <v>0</v>
      </c>
      <c r="L1064">
        <f t="shared" si="115"/>
        <v>11.3979</v>
      </c>
      <c r="M1064">
        <f t="shared" si="116"/>
        <v>11397.9</v>
      </c>
      <c r="N1064">
        <f t="shared" si="117"/>
        <v>10.80312452409</v>
      </c>
      <c r="O1064">
        <f t="shared" si="118"/>
        <v>0.377872633839478</v>
      </c>
    </row>
    <row r="1065" spans="6:15" x14ac:dyDescent="0.45">
      <c r="F1065">
        <v>1063</v>
      </c>
      <c r="G1065">
        <v>9.1</v>
      </c>
      <c r="H1065">
        <f t="shared" si="113"/>
        <v>9.1</v>
      </c>
      <c r="I1065">
        <f t="shared" si="112"/>
        <v>2.5277777777777777E-3</v>
      </c>
      <c r="J1065">
        <v>0.47</v>
      </c>
      <c r="K1065">
        <f t="shared" si="114"/>
        <v>0.47</v>
      </c>
      <c r="L1065">
        <f t="shared" si="115"/>
        <v>12.572900000000001</v>
      </c>
      <c r="M1065">
        <f t="shared" si="116"/>
        <v>12572.900000000001</v>
      </c>
      <c r="N1065">
        <f t="shared" si="117"/>
        <v>11.916809616590001</v>
      </c>
      <c r="O1065">
        <f t="shared" si="118"/>
        <v>0.41682720834542969</v>
      </c>
    </row>
    <row r="1066" spans="6:15" x14ac:dyDescent="0.45">
      <c r="F1066">
        <v>1064</v>
      </c>
      <c r="G1066">
        <v>9</v>
      </c>
      <c r="H1066">
        <f t="shared" si="113"/>
        <v>9</v>
      </c>
      <c r="I1066">
        <f t="shared" si="112"/>
        <v>2.5000000000000001E-3</v>
      </c>
      <c r="J1066">
        <v>1.06</v>
      </c>
      <c r="K1066">
        <f t="shared" si="114"/>
        <v>1.06</v>
      </c>
      <c r="L1066">
        <f t="shared" si="115"/>
        <v>14.0479</v>
      </c>
      <c r="M1066">
        <f t="shared" si="116"/>
        <v>14047.9</v>
      </c>
      <c r="N1066">
        <f t="shared" si="117"/>
        <v>13.31483983909</v>
      </c>
      <c r="O1066">
        <f t="shared" si="118"/>
        <v>0.46572763166141151</v>
      </c>
    </row>
    <row r="1067" spans="6:15" x14ac:dyDescent="0.45">
      <c r="F1067">
        <v>1065</v>
      </c>
      <c r="G1067">
        <v>9.1999999999999993</v>
      </c>
      <c r="H1067">
        <f t="shared" si="113"/>
        <v>9.1999999999999993</v>
      </c>
      <c r="I1067">
        <f t="shared" si="112"/>
        <v>2.5555555555555553E-3</v>
      </c>
      <c r="J1067">
        <v>1.68</v>
      </c>
      <c r="K1067">
        <f t="shared" si="114"/>
        <v>1.68</v>
      </c>
      <c r="L1067">
        <f t="shared" si="115"/>
        <v>15.597899999999999</v>
      </c>
      <c r="M1067">
        <f t="shared" si="116"/>
        <v>15597.9</v>
      </c>
      <c r="N1067">
        <f t="shared" si="117"/>
        <v>14.783956344090001</v>
      </c>
      <c r="O1067">
        <f t="shared" si="118"/>
        <v>0.51711451717990098</v>
      </c>
    </row>
    <row r="1068" spans="6:15" x14ac:dyDescent="0.45">
      <c r="F1068">
        <v>1066</v>
      </c>
      <c r="G1068">
        <v>9.4</v>
      </c>
      <c r="H1068">
        <f t="shared" si="113"/>
        <v>9.4</v>
      </c>
      <c r="I1068">
        <f t="shared" si="112"/>
        <v>2.6111111111111114E-3</v>
      </c>
      <c r="J1068">
        <v>1.84</v>
      </c>
      <c r="K1068">
        <f t="shared" si="114"/>
        <v>1.84</v>
      </c>
      <c r="L1068">
        <f t="shared" si="115"/>
        <v>15.997900000000001</v>
      </c>
      <c r="M1068">
        <f t="shared" si="116"/>
        <v>15997.900000000001</v>
      </c>
      <c r="N1068">
        <f t="shared" si="117"/>
        <v>15.163083184090002</v>
      </c>
      <c r="O1068">
        <f t="shared" si="118"/>
        <v>0.53037564892660805</v>
      </c>
    </row>
    <row r="1069" spans="6:15" x14ac:dyDescent="0.45">
      <c r="F1069">
        <v>1067</v>
      </c>
      <c r="G1069">
        <v>9.1</v>
      </c>
      <c r="H1069">
        <f t="shared" si="113"/>
        <v>9.1</v>
      </c>
      <c r="I1069">
        <f t="shared" si="112"/>
        <v>2.5277777777777777E-3</v>
      </c>
      <c r="J1069">
        <v>0.24</v>
      </c>
      <c r="K1069">
        <f t="shared" si="114"/>
        <v>0.24</v>
      </c>
      <c r="L1069">
        <f t="shared" si="115"/>
        <v>11.9979</v>
      </c>
      <c r="M1069">
        <f t="shared" si="116"/>
        <v>11997.9</v>
      </c>
      <c r="N1069">
        <f t="shared" si="117"/>
        <v>11.371814784090001</v>
      </c>
      <c r="O1069">
        <f t="shared" si="118"/>
        <v>0.39776433145953838</v>
      </c>
    </row>
    <row r="1070" spans="6:15" x14ac:dyDescent="0.45">
      <c r="F1070">
        <v>1068</v>
      </c>
      <c r="G1070">
        <v>8.4</v>
      </c>
      <c r="H1070">
        <f t="shared" si="113"/>
        <v>8.4</v>
      </c>
      <c r="I1070">
        <f t="shared" si="112"/>
        <v>2.3333333333333335E-3</v>
      </c>
      <c r="J1070">
        <v>0.12</v>
      </c>
      <c r="K1070">
        <f t="shared" si="114"/>
        <v>0.12</v>
      </c>
      <c r="L1070">
        <f t="shared" si="115"/>
        <v>11.697900000000001</v>
      </c>
      <c r="M1070">
        <f t="shared" si="116"/>
        <v>11697.900000000001</v>
      </c>
      <c r="N1070">
        <f t="shared" si="117"/>
        <v>11.087469654090002</v>
      </c>
      <c r="O1070">
        <f t="shared" si="118"/>
        <v>0.38781848264950819</v>
      </c>
    </row>
    <row r="1071" spans="6:15" x14ac:dyDescent="0.45">
      <c r="F1071">
        <v>1069</v>
      </c>
      <c r="G1071">
        <v>7.8</v>
      </c>
      <c r="H1071">
        <f t="shared" si="113"/>
        <v>7.8</v>
      </c>
      <c r="I1071">
        <f t="shared" si="112"/>
        <v>2.1666666666666666E-3</v>
      </c>
      <c r="J1071">
        <v>0.12</v>
      </c>
      <c r="K1071">
        <f t="shared" si="114"/>
        <v>0.12</v>
      </c>
      <c r="L1071">
        <f t="shared" si="115"/>
        <v>11.697900000000001</v>
      </c>
      <c r="M1071">
        <f t="shared" si="116"/>
        <v>11697.900000000001</v>
      </c>
      <c r="N1071">
        <f t="shared" si="117"/>
        <v>11.087469654090002</v>
      </c>
      <c r="O1071">
        <f t="shared" si="118"/>
        <v>0.38781848264950819</v>
      </c>
    </row>
    <row r="1072" spans="6:15" x14ac:dyDescent="0.45">
      <c r="F1072">
        <v>1070</v>
      </c>
      <c r="G1072">
        <v>6.5</v>
      </c>
      <c r="H1072">
        <f t="shared" si="113"/>
        <v>6.5</v>
      </c>
      <c r="I1072">
        <f t="shared" si="112"/>
        <v>1.8055555555555555E-3</v>
      </c>
      <c r="J1072">
        <v>0.63</v>
      </c>
      <c r="K1072">
        <f t="shared" si="114"/>
        <v>0.63</v>
      </c>
      <c r="L1072">
        <f t="shared" si="115"/>
        <v>12.972899999999999</v>
      </c>
      <c r="M1072">
        <f t="shared" si="116"/>
        <v>12972.9</v>
      </c>
      <c r="N1072">
        <f t="shared" si="117"/>
        <v>12.295936456590001</v>
      </c>
      <c r="O1072">
        <f t="shared" si="118"/>
        <v>0.43008834009213659</v>
      </c>
    </row>
    <row r="1073" spans="6:15" x14ac:dyDescent="0.45">
      <c r="F1073">
        <v>1071</v>
      </c>
      <c r="G1073">
        <v>4.8</v>
      </c>
      <c r="H1073">
        <f t="shared" si="113"/>
        <v>4.8</v>
      </c>
      <c r="I1073">
        <f t="shared" si="112"/>
        <v>1.3333333333333333E-3</v>
      </c>
      <c r="J1073">
        <v>0.48</v>
      </c>
      <c r="K1073">
        <f t="shared" si="114"/>
        <v>0.48</v>
      </c>
      <c r="L1073">
        <f t="shared" si="115"/>
        <v>12.597899999999999</v>
      </c>
      <c r="M1073">
        <f t="shared" si="116"/>
        <v>12597.9</v>
      </c>
      <c r="N1073">
        <f t="shared" si="117"/>
        <v>11.940505044090001</v>
      </c>
      <c r="O1073">
        <f t="shared" si="118"/>
        <v>0.41765602907959881</v>
      </c>
    </row>
    <row r="1074" spans="6:15" x14ac:dyDescent="0.45">
      <c r="F1074">
        <v>1072</v>
      </c>
      <c r="G1074">
        <v>3.4</v>
      </c>
      <c r="H1074">
        <f t="shared" si="113"/>
        <v>3.4</v>
      </c>
      <c r="I1074">
        <f t="shared" si="112"/>
        <v>9.4444444444444437E-4</v>
      </c>
      <c r="J1074">
        <v>0.46</v>
      </c>
      <c r="K1074">
        <f t="shared" si="114"/>
        <v>0.46</v>
      </c>
      <c r="L1074">
        <f t="shared" si="115"/>
        <v>12.5479</v>
      </c>
      <c r="M1074">
        <f t="shared" si="116"/>
        <v>12547.9</v>
      </c>
      <c r="N1074">
        <f t="shared" si="117"/>
        <v>11.893114189089999</v>
      </c>
      <c r="O1074">
        <f t="shared" si="118"/>
        <v>0.41599838761126046</v>
      </c>
    </row>
    <row r="1075" spans="6:15" x14ac:dyDescent="0.45">
      <c r="F1075">
        <v>1073</v>
      </c>
      <c r="G1075">
        <v>2.2999999999999998</v>
      </c>
      <c r="H1075">
        <f t="shared" si="113"/>
        <v>2.2999999999999998</v>
      </c>
      <c r="I1075">
        <f t="shared" si="112"/>
        <v>6.3888888888888882E-4</v>
      </c>
      <c r="J1075">
        <v>1.07</v>
      </c>
      <c r="K1075">
        <f t="shared" si="114"/>
        <v>1.07</v>
      </c>
      <c r="L1075">
        <f t="shared" si="115"/>
        <v>14.072900000000001</v>
      </c>
      <c r="M1075">
        <f t="shared" si="116"/>
        <v>14072.900000000001</v>
      </c>
      <c r="N1075">
        <f t="shared" si="117"/>
        <v>13.338535266590002</v>
      </c>
      <c r="O1075">
        <f t="shared" si="118"/>
        <v>0.46655645239558075</v>
      </c>
    </row>
    <row r="1076" spans="6:15" x14ac:dyDescent="0.45">
      <c r="F1076">
        <v>1074</v>
      </c>
      <c r="G1076">
        <v>1.1000000000000001</v>
      </c>
      <c r="H1076">
        <f t="shared" si="113"/>
        <v>1.1000000000000001</v>
      </c>
      <c r="I1076">
        <f t="shared" si="112"/>
        <v>3.055555555555556E-4</v>
      </c>
      <c r="J1076">
        <v>0.9</v>
      </c>
      <c r="K1076">
        <f t="shared" si="114"/>
        <v>0.9</v>
      </c>
      <c r="L1076">
        <f t="shared" si="115"/>
        <v>13.6479</v>
      </c>
      <c r="M1076">
        <f t="shared" si="116"/>
        <v>13647.9</v>
      </c>
      <c r="N1076">
        <f t="shared" si="117"/>
        <v>12.935712999090001</v>
      </c>
      <c r="O1076">
        <f t="shared" si="118"/>
        <v>0.45246649991470456</v>
      </c>
    </row>
    <row r="1077" spans="6:15" x14ac:dyDescent="0.45">
      <c r="F1077">
        <v>1075</v>
      </c>
      <c r="G1077">
        <v>-0.1</v>
      </c>
      <c r="H1077">
        <f t="shared" si="113"/>
        <v>0</v>
      </c>
      <c r="I1077">
        <f t="shared" si="112"/>
        <v>0</v>
      </c>
      <c r="J1077">
        <v>1.24</v>
      </c>
      <c r="K1077">
        <f t="shared" si="114"/>
        <v>1.24</v>
      </c>
      <c r="L1077">
        <f t="shared" si="115"/>
        <v>14.4979</v>
      </c>
      <c r="M1077">
        <f t="shared" si="116"/>
        <v>14497.9</v>
      </c>
      <c r="N1077">
        <f t="shared" si="117"/>
        <v>13.74135753409</v>
      </c>
      <c r="O1077">
        <f t="shared" si="118"/>
        <v>0.48064640487645688</v>
      </c>
    </row>
    <row r="1078" spans="6:15" x14ac:dyDescent="0.45">
      <c r="F1078">
        <v>1076</v>
      </c>
      <c r="G1078">
        <v>0</v>
      </c>
      <c r="H1078">
        <f t="shared" si="113"/>
        <v>0</v>
      </c>
      <c r="I1078">
        <f t="shared" si="112"/>
        <v>0</v>
      </c>
      <c r="J1078">
        <v>0.73</v>
      </c>
      <c r="K1078">
        <f t="shared" si="114"/>
        <v>0.73</v>
      </c>
      <c r="L1078">
        <f t="shared" si="115"/>
        <v>13.222899999999999</v>
      </c>
      <c r="M1078">
        <f t="shared" si="116"/>
        <v>13222.9</v>
      </c>
      <c r="N1078">
        <f t="shared" si="117"/>
        <v>12.532890731589999</v>
      </c>
      <c r="O1078">
        <f t="shared" si="118"/>
        <v>0.43837654743382842</v>
      </c>
    </row>
    <row r="1079" spans="6:15" x14ac:dyDescent="0.45">
      <c r="F1079">
        <v>1077</v>
      </c>
      <c r="G1079">
        <v>0.9</v>
      </c>
      <c r="H1079">
        <f t="shared" si="113"/>
        <v>0.9</v>
      </c>
      <c r="I1079">
        <f t="shared" si="112"/>
        <v>2.5000000000000001E-4</v>
      </c>
      <c r="J1079">
        <v>0.91</v>
      </c>
      <c r="K1079">
        <f t="shared" si="114"/>
        <v>0.91</v>
      </c>
      <c r="L1079">
        <f t="shared" si="115"/>
        <v>13.6729</v>
      </c>
      <c r="M1079">
        <f t="shared" si="116"/>
        <v>13672.9</v>
      </c>
      <c r="N1079">
        <f t="shared" si="117"/>
        <v>12.95940842659</v>
      </c>
      <c r="O1079">
        <f t="shared" si="118"/>
        <v>0.45329532064887373</v>
      </c>
    </row>
    <row r="1080" spans="6:15" x14ac:dyDescent="0.45">
      <c r="F1080">
        <v>1078</v>
      </c>
      <c r="G1080">
        <v>2.2999999999999998</v>
      </c>
      <c r="H1080">
        <f t="shared" si="113"/>
        <v>2.2999999999999998</v>
      </c>
      <c r="I1080">
        <f t="shared" si="112"/>
        <v>6.3888888888888882E-4</v>
      </c>
      <c r="J1080">
        <v>3.75</v>
      </c>
      <c r="K1080">
        <f t="shared" si="114"/>
        <v>3.75</v>
      </c>
      <c r="L1080">
        <f t="shared" si="115"/>
        <v>20.7729</v>
      </c>
      <c r="M1080">
        <f t="shared" si="116"/>
        <v>20772.900000000001</v>
      </c>
      <c r="N1080">
        <f t="shared" si="117"/>
        <v>19.688909836590003</v>
      </c>
      <c r="O1080">
        <f t="shared" si="118"/>
        <v>0.68868040915292228</v>
      </c>
    </row>
    <row r="1081" spans="6:15" x14ac:dyDescent="0.45">
      <c r="F1081">
        <v>1079</v>
      </c>
      <c r="G1081">
        <v>4.9000000000000004</v>
      </c>
      <c r="H1081">
        <f t="shared" si="113"/>
        <v>4.9000000000000004</v>
      </c>
      <c r="I1081">
        <f t="shared" si="112"/>
        <v>1.3611111111111111E-3</v>
      </c>
      <c r="J1081">
        <v>7.23</v>
      </c>
      <c r="K1081">
        <f t="shared" si="114"/>
        <v>7.23</v>
      </c>
      <c r="L1081">
        <f t="shared" si="115"/>
        <v>29.472900000000003</v>
      </c>
      <c r="M1081">
        <f t="shared" si="116"/>
        <v>29472.9</v>
      </c>
      <c r="N1081">
        <f t="shared" si="117"/>
        <v>27.934918606590003</v>
      </c>
      <c r="O1081">
        <f t="shared" si="118"/>
        <v>0.97711002464379848</v>
      </c>
    </row>
    <row r="1082" spans="6:15" x14ac:dyDescent="0.45">
      <c r="F1082">
        <v>1080</v>
      </c>
      <c r="G1082">
        <v>7.5</v>
      </c>
      <c r="H1082">
        <f t="shared" si="113"/>
        <v>7.5</v>
      </c>
      <c r="I1082">
        <f t="shared" si="112"/>
        <v>2.0833333333333333E-3</v>
      </c>
      <c r="J1082">
        <v>15.41</v>
      </c>
      <c r="K1082">
        <f t="shared" si="114"/>
        <v>15.41</v>
      </c>
      <c r="L1082">
        <f t="shared" si="115"/>
        <v>49.922899999999998</v>
      </c>
      <c r="M1082">
        <f t="shared" si="116"/>
        <v>49922.9</v>
      </c>
      <c r="N1082">
        <f t="shared" si="117"/>
        <v>47.317778301590003</v>
      </c>
      <c r="O1082">
        <f t="shared" si="118"/>
        <v>1.6550853851941916</v>
      </c>
    </row>
    <row r="1083" spans="6:15" x14ac:dyDescent="0.45">
      <c r="F1083">
        <v>1081</v>
      </c>
      <c r="G1083">
        <v>10.8</v>
      </c>
      <c r="H1083">
        <f t="shared" si="113"/>
        <v>10.8</v>
      </c>
      <c r="I1083">
        <f t="shared" si="112"/>
        <v>3.0000000000000001E-3</v>
      </c>
      <c r="J1083">
        <v>21.54</v>
      </c>
      <c r="K1083">
        <f t="shared" si="114"/>
        <v>21.54</v>
      </c>
      <c r="L1083">
        <f t="shared" si="115"/>
        <v>65.247899999999987</v>
      </c>
      <c r="M1083">
        <f t="shared" si="116"/>
        <v>65247.899999999987</v>
      </c>
      <c r="N1083">
        <f t="shared" si="117"/>
        <v>61.843075359089987</v>
      </c>
      <c r="O1083">
        <f t="shared" si="118"/>
        <v>2.1631524952399013</v>
      </c>
    </row>
    <row r="1084" spans="6:15" x14ac:dyDescent="0.45">
      <c r="F1084">
        <v>1082</v>
      </c>
      <c r="G1084">
        <v>13.5</v>
      </c>
      <c r="H1084">
        <f t="shared" si="113"/>
        <v>13.5</v>
      </c>
      <c r="I1084">
        <f t="shared" si="112"/>
        <v>3.7499999999999999E-3</v>
      </c>
      <c r="J1084">
        <v>11.45</v>
      </c>
      <c r="K1084">
        <f t="shared" si="114"/>
        <v>11.45</v>
      </c>
      <c r="L1084">
        <f t="shared" si="115"/>
        <v>40.0229</v>
      </c>
      <c r="M1084">
        <f t="shared" si="116"/>
        <v>40022.9</v>
      </c>
      <c r="N1084">
        <f t="shared" si="117"/>
        <v>37.93438901159</v>
      </c>
      <c r="O1084">
        <f t="shared" si="118"/>
        <v>1.3268723744631945</v>
      </c>
    </row>
    <row r="1085" spans="6:15" x14ac:dyDescent="0.45">
      <c r="F1085">
        <v>1083</v>
      </c>
      <c r="G1085">
        <v>14.2</v>
      </c>
      <c r="H1085">
        <f t="shared" si="113"/>
        <v>14.2</v>
      </c>
      <c r="I1085">
        <f t="shared" si="112"/>
        <v>3.944444444444444E-3</v>
      </c>
      <c r="J1085">
        <v>3.74</v>
      </c>
      <c r="K1085">
        <f t="shared" si="114"/>
        <v>3.74</v>
      </c>
      <c r="L1085">
        <f t="shared" si="115"/>
        <v>20.747900000000001</v>
      </c>
      <c r="M1085">
        <f t="shared" si="116"/>
        <v>20747.900000000001</v>
      </c>
      <c r="N1085">
        <f t="shared" si="117"/>
        <v>19.665214409090002</v>
      </c>
      <c r="O1085">
        <f t="shared" si="118"/>
        <v>0.68785158841875305</v>
      </c>
    </row>
    <row r="1086" spans="6:15" x14ac:dyDescent="0.45">
      <c r="F1086">
        <v>1084</v>
      </c>
      <c r="G1086">
        <v>14.6</v>
      </c>
      <c r="H1086">
        <f t="shared" si="113"/>
        <v>14.6</v>
      </c>
      <c r="I1086">
        <f t="shared" si="112"/>
        <v>4.0555555555555553E-3</v>
      </c>
      <c r="J1086">
        <v>5.56</v>
      </c>
      <c r="K1086">
        <f t="shared" si="114"/>
        <v>5.56</v>
      </c>
      <c r="L1086">
        <f t="shared" si="115"/>
        <v>25.297899999999998</v>
      </c>
      <c r="M1086">
        <f t="shared" si="116"/>
        <v>25297.899999999998</v>
      </c>
      <c r="N1086">
        <f t="shared" si="117"/>
        <v>23.977782214089999</v>
      </c>
      <c r="O1086">
        <f t="shared" si="118"/>
        <v>0.83869696203754451</v>
      </c>
    </row>
    <row r="1087" spans="6:15" x14ac:dyDescent="0.45">
      <c r="F1087">
        <v>1085</v>
      </c>
      <c r="G1087">
        <v>16.100000000000001</v>
      </c>
      <c r="H1087">
        <f t="shared" si="113"/>
        <v>16.100000000000001</v>
      </c>
      <c r="I1087">
        <f t="shared" si="112"/>
        <v>4.4722222222222229E-3</v>
      </c>
      <c r="J1087">
        <v>15.15</v>
      </c>
      <c r="K1087">
        <f t="shared" si="114"/>
        <v>15.15</v>
      </c>
      <c r="L1087">
        <f t="shared" si="115"/>
        <v>49.2729</v>
      </c>
      <c r="M1087">
        <f t="shared" si="116"/>
        <v>49272.9</v>
      </c>
      <c r="N1087">
        <f t="shared" si="117"/>
        <v>46.701697186590003</v>
      </c>
      <c r="O1087">
        <f t="shared" si="118"/>
        <v>1.6335360461057926</v>
      </c>
    </row>
    <row r="1088" spans="6:15" x14ac:dyDescent="0.45">
      <c r="F1088">
        <v>1086</v>
      </c>
      <c r="G1088">
        <v>18.5</v>
      </c>
      <c r="H1088">
        <f t="shared" si="113"/>
        <v>18.5</v>
      </c>
      <c r="I1088">
        <f t="shared" si="112"/>
        <v>5.138888888888889E-3</v>
      </c>
      <c r="J1088">
        <v>19.47</v>
      </c>
      <c r="K1088">
        <f t="shared" si="114"/>
        <v>19.47</v>
      </c>
      <c r="L1088">
        <f t="shared" si="115"/>
        <v>60.072899999999997</v>
      </c>
      <c r="M1088">
        <f t="shared" si="116"/>
        <v>60072.899999999994</v>
      </c>
      <c r="N1088">
        <f t="shared" si="117"/>
        <v>56.938121866589995</v>
      </c>
      <c r="O1088">
        <f t="shared" si="118"/>
        <v>1.9915866032668803</v>
      </c>
    </row>
    <row r="1089" spans="6:15" x14ac:dyDescent="0.45">
      <c r="F1089">
        <v>1087</v>
      </c>
      <c r="G1089">
        <v>20.2</v>
      </c>
      <c r="H1089">
        <f t="shared" si="113"/>
        <v>20.2</v>
      </c>
      <c r="I1089">
        <f t="shared" si="112"/>
        <v>5.611111111111111E-3</v>
      </c>
      <c r="J1089">
        <v>14.1</v>
      </c>
      <c r="K1089">
        <f t="shared" si="114"/>
        <v>14.1</v>
      </c>
      <c r="L1089">
        <f t="shared" si="115"/>
        <v>46.6479</v>
      </c>
      <c r="M1089">
        <f t="shared" si="116"/>
        <v>46647.9</v>
      </c>
      <c r="N1089">
        <f t="shared" si="117"/>
        <v>44.213677299090001</v>
      </c>
      <c r="O1089">
        <f t="shared" si="118"/>
        <v>1.5465098690180283</v>
      </c>
    </row>
    <row r="1090" spans="6:15" x14ac:dyDescent="0.45">
      <c r="F1090">
        <v>1088</v>
      </c>
      <c r="G1090">
        <v>20.9</v>
      </c>
      <c r="H1090">
        <f t="shared" si="113"/>
        <v>20.9</v>
      </c>
      <c r="I1090">
        <f t="shared" ref="I1090:I1153" si="119">H1090*(1/3600)</f>
        <v>5.8055555555555551E-3</v>
      </c>
      <c r="J1090">
        <v>9.83</v>
      </c>
      <c r="K1090">
        <f t="shared" si="114"/>
        <v>9.83</v>
      </c>
      <c r="L1090">
        <f t="shared" si="115"/>
        <v>35.972899999999996</v>
      </c>
      <c r="M1090">
        <f t="shared" si="116"/>
        <v>35972.899999999994</v>
      </c>
      <c r="N1090">
        <f t="shared" si="117"/>
        <v>34.095729756589996</v>
      </c>
      <c r="O1090">
        <f t="shared" si="118"/>
        <v>1.1926034155277863</v>
      </c>
    </row>
    <row r="1091" spans="6:15" x14ac:dyDescent="0.45">
      <c r="F1091">
        <v>1089</v>
      </c>
      <c r="G1091">
        <v>21.1</v>
      </c>
      <c r="H1091">
        <f t="shared" ref="H1091:H1154" si="120">IF(G1091&lt;0,0,G1091)</f>
        <v>21.1</v>
      </c>
      <c r="I1091">
        <f t="shared" si="119"/>
        <v>5.8611111111111112E-3</v>
      </c>
      <c r="J1091">
        <v>6.63</v>
      </c>
      <c r="K1091">
        <f t="shared" ref="K1091:K1154" si="121">IF(J1091&lt;0,0,J1091)</f>
        <v>6.63</v>
      </c>
      <c r="L1091">
        <f t="shared" ref="L1091:L1154" si="122">(1/$B$5)*K1091+((3.4798*$B$6)+0.9585)</f>
        <v>27.972899999999999</v>
      </c>
      <c r="M1091">
        <f t="shared" ref="M1091:M1154" si="123">L1091*1000</f>
        <v>27972.899999999998</v>
      </c>
      <c r="N1091">
        <f t="shared" ref="N1091:N1154" si="124">M1091*0.0009478171</f>
        <v>26.51319295659</v>
      </c>
      <c r="O1091">
        <f t="shared" ref="O1091:O1154" si="125">(M1091*453.59237)/(18489*0.74*1000)</f>
        <v>0.92738078059364726</v>
      </c>
    </row>
    <row r="1092" spans="6:15" x14ac:dyDescent="0.45">
      <c r="F1092">
        <v>1090</v>
      </c>
      <c r="G1092">
        <v>21.3</v>
      </c>
      <c r="H1092">
        <f t="shared" si="120"/>
        <v>21.3</v>
      </c>
      <c r="I1092">
        <f t="shared" si="119"/>
        <v>5.9166666666666664E-3</v>
      </c>
      <c r="J1092">
        <v>4.2</v>
      </c>
      <c r="K1092">
        <f t="shared" si="121"/>
        <v>4.2</v>
      </c>
      <c r="L1092">
        <f t="shared" si="122"/>
        <v>21.8979</v>
      </c>
      <c r="M1092">
        <f t="shared" si="123"/>
        <v>21897.9</v>
      </c>
      <c r="N1092">
        <f t="shared" si="124"/>
        <v>20.755204074090003</v>
      </c>
      <c r="O1092">
        <f t="shared" si="125"/>
        <v>0.72597734219053556</v>
      </c>
    </row>
    <row r="1093" spans="6:15" x14ac:dyDescent="0.45">
      <c r="F1093">
        <v>1091</v>
      </c>
      <c r="G1093">
        <v>21.5</v>
      </c>
      <c r="H1093">
        <f t="shared" si="120"/>
        <v>21.5</v>
      </c>
      <c r="I1093">
        <f t="shared" si="119"/>
        <v>5.9722222222222225E-3</v>
      </c>
      <c r="J1093">
        <v>6.66</v>
      </c>
      <c r="K1093">
        <f t="shared" si="121"/>
        <v>6.66</v>
      </c>
      <c r="L1093">
        <f t="shared" si="122"/>
        <v>28.047899999999998</v>
      </c>
      <c r="M1093">
        <f t="shared" si="123"/>
        <v>28047.899999999998</v>
      </c>
      <c r="N1093">
        <f t="shared" si="124"/>
        <v>26.584279239089998</v>
      </c>
      <c r="O1093">
        <f t="shared" si="125"/>
        <v>0.92986724279615485</v>
      </c>
    </row>
    <row r="1094" spans="6:15" x14ac:dyDescent="0.45">
      <c r="F1094">
        <v>1092</v>
      </c>
      <c r="G1094">
        <v>22</v>
      </c>
      <c r="H1094">
        <f t="shared" si="120"/>
        <v>22</v>
      </c>
      <c r="I1094">
        <f t="shared" si="119"/>
        <v>6.1111111111111114E-3</v>
      </c>
      <c r="J1094">
        <v>8.26</v>
      </c>
      <c r="K1094">
        <f t="shared" si="121"/>
        <v>8.26</v>
      </c>
      <c r="L1094">
        <f t="shared" si="122"/>
        <v>32.047899999999998</v>
      </c>
      <c r="M1094">
        <f t="shared" si="123"/>
        <v>32047.899999999998</v>
      </c>
      <c r="N1094">
        <f t="shared" si="124"/>
        <v>30.375547639089998</v>
      </c>
      <c r="O1094">
        <f t="shared" si="125"/>
        <v>1.0624785602632245</v>
      </c>
    </row>
    <row r="1095" spans="6:15" x14ac:dyDescent="0.45">
      <c r="F1095">
        <v>1093</v>
      </c>
      <c r="G1095">
        <v>22.8</v>
      </c>
      <c r="H1095">
        <f t="shared" si="120"/>
        <v>22.8</v>
      </c>
      <c r="I1095">
        <f t="shared" si="119"/>
        <v>6.3333333333333332E-3</v>
      </c>
      <c r="J1095">
        <v>9.4700000000000006</v>
      </c>
      <c r="K1095">
        <f t="shared" si="121"/>
        <v>9.4700000000000006</v>
      </c>
      <c r="L1095">
        <f t="shared" si="122"/>
        <v>35.072900000000004</v>
      </c>
      <c r="M1095">
        <f t="shared" si="123"/>
        <v>35072.9</v>
      </c>
      <c r="N1095">
        <f t="shared" si="124"/>
        <v>33.242694366590001</v>
      </c>
      <c r="O1095">
        <f t="shared" si="125"/>
        <v>1.1627658690976959</v>
      </c>
    </row>
    <row r="1096" spans="6:15" x14ac:dyDescent="0.45">
      <c r="F1096">
        <v>1094</v>
      </c>
      <c r="G1096">
        <v>23.3</v>
      </c>
      <c r="H1096">
        <f t="shared" si="120"/>
        <v>23.3</v>
      </c>
      <c r="I1096">
        <f t="shared" si="119"/>
        <v>6.4722222222222221E-3</v>
      </c>
      <c r="J1096">
        <v>5.21</v>
      </c>
      <c r="K1096">
        <f t="shared" si="121"/>
        <v>5.21</v>
      </c>
      <c r="L1096">
        <f t="shared" si="122"/>
        <v>24.422899999999998</v>
      </c>
      <c r="M1096">
        <f t="shared" si="123"/>
        <v>24422.899999999998</v>
      </c>
      <c r="N1096">
        <f t="shared" si="124"/>
        <v>23.148442251589998</v>
      </c>
      <c r="O1096">
        <f t="shared" si="125"/>
        <v>0.80968823634162301</v>
      </c>
    </row>
    <row r="1097" spans="6:15" x14ac:dyDescent="0.45">
      <c r="F1097">
        <v>1095</v>
      </c>
      <c r="G1097">
        <v>23.8</v>
      </c>
      <c r="H1097">
        <f t="shared" si="120"/>
        <v>23.8</v>
      </c>
      <c r="I1097">
        <f t="shared" si="119"/>
        <v>6.611111111111111E-3</v>
      </c>
      <c r="J1097">
        <v>12.55</v>
      </c>
      <c r="K1097">
        <f t="shared" si="121"/>
        <v>12.55</v>
      </c>
      <c r="L1097">
        <f t="shared" si="122"/>
        <v>42.7729</v>
      </c>
      <c r="M1097">
        <f t="shared" si="123"/>
        <v>42772.9</v>
      </c>
      <c r="N1097">
        <f t="shared" si="124"/>
        <v>40.540886036590003</v>
      </c>
      <c r="O1097">
        <f t="shared" si="125"/>
        <v>1.4180426552218046</v>
      </c>
    </row>
    <row r="1098" spans="6:15" x14ac:dyDescent="0.45">
      <c r="F1098">
        <v>1096</v>
      </c>
      <c r="G1098">
        <v>24.5</v>
      </c>
      <c r="H1098">
        <f t="shared" si="120"/>
        <v>24.5</v>
      </c>
      <c r="I1098">
        <f t="shared" si="119"/>
        <v>6.8055555555555551E-3</v>
      </c>
      <c r="J1098">
        <v>15.26</v>
      </c>
      <c r="K1098">
        <f t="shared" si="121"/>
        <v>15.26</v>
      </c>
      <c r="L1098">
        <f t="shared" si="122"/>
        <v>49.547899999999998</v>
      </c>
      <c r="M1098">
        <f t="shared" si="123"/>
        <v>49547.9</v>
      </c>
      <c r="N1098">
        <f t="shared" si="124"/>
        <v>46.96234688909</v>
      </c>
      <c r="O1098">
        <f t="shared" si="125"/>
        <v>1.6426530741816538</v>
      </c>
    </row>
    <row r="1099" spans="6:15" x14ac:dyDescent="0.45">
      <c r="F1099">
        <v>1097</v>
      </c>
      <c r="G1099">
        <v>24.9</v>
      </c>
      <c r="H1099">
        <f t="shared" si="120"/>
        <v>24.9</v>
      </c>
      <c r="I1099">
        <f t="shared" si="119"/>
        <v>6.9166666666666664E-3</v>
      </c>
      <c r="J1099">
        <v>8.4499999999999993</v>
      </c>
      <c r="K1099">
        <f t="shared" si="121"/>
        <v>8.4499999999999993</v>
      </c>
      <c r="L1099">
        <f t="shared" si="122"/>
        <v>32.5229</v>
      </c>
      <c r="M1099">
        <f t="shared" si="123"/>
        <v>32522.9</v>
      </c>
      <c r="N1099">
        <f t="shared" si="124"/>
        <v>30.825760761590001</v>
      </c>
      <c r="O1099">
        <f t="shared" si="125"/>
        <v>1.0782261542124389</v>
      </c>
    </row>
    <row r="1100" spans="6:15" x14ac:dyDescent="0.45">
      <c r="F1100">
        <v>1098</v>
      </c>
      <c r="G1100">
        <v>25.1</v>
      </c>
      <c r="H1100">
        <f t="shared" si="120"/>
        <v>25.1</v>
      </c>
      <c r="I1100">
        <f t="shared" si="119"/>
        <v>6.9722222222222225E-3</v>
      </c>
      <c r="J1100">
        <v>4.8</v>
      </c>
      <c r="K1100">
        <f t="shared" si="121"/>
        <v>4.8</v>
      </c>
      <c r="L1100">
        <f t="shared" si="122"/>
        <v>23.3979</v>
      </c>
      <c r="M1100">
        <f t="shared" si="123"/>
        <v>23397.9</v>
      </c>
      <c r="N1100">
        <f t="shared" si="124"/>
        <v>22.176929724090002</v>
      </c>
      <c r="O1100">
        <f t="shared" si="125"/>
        <v>0.77570658624068667</v>
      </c>
    </row>
    <row r="1101" spans="6:15" x14ac:dyDescent="0.45">
      <c r="F1101">
        <v>1099</v>
      </c>
      <c r="G1101">
        <v>24.9</v>
      </c>
      <c r="H1101">
        <f t="shared" si="120"/>
        <v>24.9</v>
      </c>
      <c r="I1101">
        <f t="shared" si="119"/>
        <v>6.9166666666666664E-3</v>
      </c>
      <c r="J1101">
        <v>3.3</v>
      </c>
      <c r="K1101">
        <f t="shared" si="121"/>
        <v>3.3</v>
      </c>
      <c r="L1101">
        <f t="shared" si="122"/>
        <v>19.6479</v>
      </c>
      <c r="M1101">
        <f t="shared" si="123"/>
        <v>19647.900000000001</v>
      </c>
      <c r="N1101">
        <f t="shared" si="124"/>
        <v>18.62261559909</v>
      </c>
      <c r="O1101">
        <f t="shared" si="125"/>
        <v>0.651383476115309</v>
      </c>
    </row>
    <row r="1102" spans="6:15" x14ac:dyDescent="0.45">
      <c r="F1102">
        <v>1100</v>
      </c>
      <c r="G1102">
        <v>25</v>
      </c>
      <c r="H1102">
        <f t="shared" si="120"/>
        <v>25</v>
      </c>
      <c r="I1102">
        <f t="shared" si="119"/>
        <v>6.9444444444444441E-3</v>
      </c>
      <c r="J1102">
        <v>7.72</v>
      </c>
      <c r="K1102">
        <f t="shared" si="121"/>
        <v>7.72</v>
      </c>
      <c r="L1102">
        <f t="shared" si="122"/>
        <v>30.697900000000001</v>
      </c>
      <c r="M1102">
        <f t="shared" si="123"/>
        <v>30697.9</v>
      </c>
      <c r="N1102">
        <f t="shared" si="124"/>
        <v>29.095994554090002</v>
      </c>
      <c r="O1102">
        <f t="shared" si="125"/>
        <v>1.0177222406180886</v>
      </c>
    </row>
    <row r="1103" spans="6:15" x14ac:dyDescent="0.45">
      <c r="F1103">
        <v>1101</v>
      </c>
      <c r="G1103">
        <v>25.6</v>
      </c>
      <c r="H1103">
        <f t="shared" si="120"/>
        <v>25.6</v>
      </c>
      <c r="I1103">
        <f t="shared" si="119"/>
        <v>7.1111111111111115E-3</v>
      </c>
      <c r="J1103">
        <v>8.4600000000000009</v>
      </c>
      <c r="K1103">
        <f t="shared" si="121"/>
        <v>8.4600000000000009</v>
      </c>
      <c r="L1103">
        <f t="shared" si="122"/>
        <v>32.547899999999998</v>
      </c>
      <c r="M1103">
        <f t="shared" si="123"/>
        <v>32547.899999999998</v>
      </c>
      <c r="N1103">
        <f t="shared" si="124"/>
        <v>30.849456189089999</v>
      </c>
      <c r="O1103">
        <f t="shared" si="125"/>
        <v>1.0790549749466081</v>
      </c>
    </row>
    <row r="1104" spans="6:15" x14ac:dyDescent="0.45">
      <c r="F1104">
        <v>1102</v>
      </c>
      <c r="G1104">
        <v>25.8</v>
      </c>
      <c r="H1104">
        <f t="shared" si="120"/>
        <v>25.8</v>
      </c>
      <c r="I1104">
        <f t="shared" si="119"/>
        <v>7.1666666666666667E-3</v>
      </c>
      <c r="J1104">
        <v>6.57</v>
      </c>
      <c r="K1104">
        <f t="shared" si="121"/>
        <v>6.57</v>
      </c>
      <c r="L1104">
        <f t="shared" si="122"/>
        <v>27.822900000000001</v>
      </c>
      <c r="M1104">
        <f t="shared" si="123"/>
        <v>27822.9</v>
      </c>
      <c r="N1104">
        <f t="shared" si="124"/>
        <v>26.371020391590001</v>
      </c>
      <c r="O1104">
        <f t="shared" si="125"/>
        <v>0.9224078561886323</v>
      </c>
    </row>
    <row r="1105" spans="6:15" x14ac:dyDescent="0.45">
      <c r="F1105">
        <v>1103</v>
      </c>
      <c r="G1105">
        <v>26</v>
      </c>
      <c r="H1105">
        <f t="shared" si="120"/>
        <v>26</v>
      </c>
      <c r="I1105">
        <f t="shared" si="119"/>
        <v>7.2222222222222219E-3</v>
      </c>
      <c r="J1105">
        <v>8.2899999999999991</v>
      </c>
      <c r="K1105">
        <f t="shared" si="121"/>
        <v>8.2899999999999991</v>
      </c>
      <c r="L1105">
        <f t="shared" si="122"/>
        <v>32.122900000000001</v>
      </c>
      <c r="M1105">
        <f t="shared" si="123"/>
        <v>32122.9</v>
      </c>
      <c r="N1105">
        <f t="shared" si="124"/>
        <v>30.446633921590003</v>
      </c>
      <c r="O1105">
        <f t="shared" si="125"/>
        <v>1.0649650224657321</v>
      </c>
    </row>
    <row r="1106" spans="6:15" x14ac:dyDescent="0.45">
      <c r="F1106">
        <v>1104</v>
      </c>
      <c r="G1106">
        <v>26.3</v>
      </c>
      <c r="H1106">
        <f t="shared" si="120"/>
        <v>26.3</v>
      </c>
      <c r="I1106">
        <f t="shared" si="119"/>
        <v>7.3055555555555556E-3</v>
      </c>
      <c r="J1106">
        <v>8.6300000000000008</v>
      </c>
      <c r="K1106">
        <f t="shared" si="121"/>
        <v>8.6300000000000008</v>
      </c>
      <c r="L1106">
        <f t="shared" si="122"/>
        <v>32.972900000000003</v>
      </c>
      <c r="M1106">
        <f t="shared" si="123"/>
        <v>32972.9</v>
      </c>
      <c r="N1106">
        <f t="shared" si="124"/>
        <v>31.252278456590002</v>
      </c>
      <c r="O1106">
        <f t="shared" si="125"/>
        <v>1.0931449274274845</v>
      </c>
    </row>
    <row r="1107" spans="6:15" x14ac:dyDescent="0.45">
      <c r="F1107">
        <v>1105</v>
      </c>
      <c r="G1107">
        <v>26.6</v>
      </c>
      <c r="H1107">
        <f t="shared" si="120"/>
        <v>26.6</v>
      </c>
      <c r="I1107">
        <f t="shared" si="119"/>
        <v>7.3888888888888893E-3</v>
      </c>
      <c r="J1107">
        <v>8.76</v>
      </c>
      <c r="K1107">
        <f t="shared" si="121"/>
        <v>8.76</v>
      </c>
      <c r="L1107">
        <f t="shared" si="122"/>
        <v>33.297899999999998</v>
      </c>
      <c r="M1107">
        <f t="shared" si="123"/>
        <v>33297.9</v>
      </c>
      <c r="N1107">
        <f t="shared" si="124"/>
        <v>31.560319014090002</v>
      </c>
      <c r="O1107">
        <f t="shared" si="125"/>
        <v>1.1039195969716837</v>
      </c>
    </row>
    <row r="1108" spans="6:15" x14ac:dyDescent="0.45">
      <c r="F1108">
        <v>1106</v>
      </c>
      <c r="G1108">
        <v>26.8</v>
      </c>
      <c r="H1108">
        <f t="shared" si="120"/>
        <v>26.8</v>
      </c>
      <c r="I1108">
        <f t="shared" si="119"/>
        <v>7.4444444444444445E-3</v>
      </c>
      <c r="J1108">
        <v>6.04</v>
      </c>
      <c r="K1108">
        <f t="shared" si="121"/>
        <v>6.04</v>
      </c>
      <c r="L1108">
        <f t="shared" si="122"/>
        <v>26.497900000000001</v>
      </c>
      <c r="M1108">
        <f t="shared" si="123"/>
        <v>26497.9</v>
      </c>
      <c r="N1108">
        <f t="shared" si="124"/>
        <v>25.115162734090003</v>
      </c>
      <c r="O1108">
        <f t="shared" si="125"/>
        <v>0.8784803572776656</v>
      </c>
    </row>
    <row r="1109" spans="6:15" x14ac:dyDescent="0.45">
      <c r="F1109">
        <v>1107</v>
      </c>
      <c r="G1109">
        <v>27</v>
      </c>
      <c r="H1109">
        <f t="shared" si="120"/>
        <v>27</v>
      </c>
      <c r="I1109">
        <f t="shared" si="119"/>
        <v>7.4999999999999997E-3</v>
      </c>
      <c r="J1109">
        <v>7.46</v>
      </c>
      <c r="K1109">
        <f t="shared" si="121"/>
        <v>7.46</v>
      </c>
      <c r="L1109">
        <f t="shared" si="122"/>
        <v>30.047899999999998</v>
      </c>
      <c r="M1109">
        <f t="shared" si="123"/>
        <v>30047.899999999998</v>
      </c>
      <c r="N1109">
        <f t="shared" si="124"/>
        <v>28.479913439089998</v>
      </c>
      <c r="O1109">
        <f t="shared" si="125"/>
        <v>0.99617290152968963</v>
      </c>
    </row>
    <row r="1110" spans="6:15" x14ac:dyDescent="0.45">
      <c r="F1110">
        <v>1108</v>
      </c>
      <c r="G1110">
        <v>27.2</v>
      </c>
      <c r="H1110">
        <f t="shared" si="120"/>
        <v>27.2</v>
      </c>
      <c r="I1110">
        <f t="shared" si="119"/>
        <v>7.5555555555555549E-3</v>
      </c>
      <c r="J1110">
        <v>6.63</v>
      </c>
      <c r="K1110">
        <f t="shared" si="121"/>
        <v>6.63</v>
      </c>
      <c r="L1110">
        <f t="shared" si="122"/>
        <v>27.972899999999999</v>
      </c>
      <c r="M1110">
        <f t="shared" si="123"/>
        <v>27972.899999999998</v>
      </c>
      <c r="N1110">
        <f t="shared" si="124"/>
        <v>26.51319295659</v>
      </c>
      <c r="O1110">
        <f t="shared" si="125"/>
        <v>0.92738078059364726</v>
      </c>
    </row>
    <row r="1111" spans="6:15" x14ac:dyDescent="0.45">
      <c r="F1111">
        <v>1109</v>
      </c>
      <c r="G1111">
        <v>27.1</v>
      </c>
      <c r="H1111">
        <f t="shared" si="120"/>
        <v>27.1</v>
      </c>
      <c r="I1111">
        <f t="shared" si="119"/>
        <v>7.5277777777777782E-3</v>
      </c>
      <c r="J1111">
        <v>4.5599999999999996</v>
      </c>
      <c r="K1111">
        <f t="shared" si="121"/>
        <v>4.5599999999999996</v>
      </c>
      <c r="L1111">
        <f t="shared" si="122"/>
        <v>22.797899999999998</v>
      </c>
      <c r="M1111">
        <f t="shared" si="123"/>
        <v>22797.899999999998</v>
      </c>
      <c r="N1111">
        <f t="shared" si="124"/>
        <v>21.608239464089998</v>
      </c>
      <c r="O1111">
        <f t="shared" si="125"/>
        <v>0.75581488862062607</v>
      </c>
    </row>
    <row r="1112" spans="6:15" x14ac:dyDescent="0.45">
      <c r="F1112">
        <v>1110</v>
      </c>
      <c r="G1112">
        <v>27</v>
      </c>
      <c r="H1112">
        <f t="shared" si="120"/>
        <v>27</v>
      </c>
      <c r="I1112">
        <f t="shared" si="119"/>
        <v>7.4999999999999997E-3</v>
      </c>
      <c r="J1112">
        <v>3.5</v>
      </c>
      <c r="K1112">
        <f t="shared" si="121"/>
        <v>3.5</v>
      </c>
      <c r="L1112">
        <f t="shared" si="122"/>
        <v>20.1479</v>
      </c>
      <c r="M1112">
        <f t="shared" si="123"/>
        <v>20147.900000000001</v>
      </c>
      <c r="N1112">
        <f t="shared" si="124"/>
        <v>19.096524149090001</v>
      </c>
      <c r="O1112">
        <f t="shared" si="125"/>
        <v>0.66795989079869256</v>
      </c>
    </row>
    <row r="1113" spans="6:15" x14ac:dyDescent="0.45">
      <c r="F1113">
        <v>1111</v>
      </c>
      <c r="G1113">
        <v>27</v>
      </c>
      <c r="H1113">
        <f t="shared" si="120"/>
        <v>27</v>
      </c>
      <c r="I1113">
        <f t="shared" si="119"/>
        <v>7.4999999999999997E-3</v>
      </c>
      <c r="J1113">
        <v>5.87</v>
      </c>
      <c r="K1113">
        <f t="shared" si="121"/>
        <v>5.87</v>
      </c>
      <c r="L1113">
        <f t="shared" si="122"/>
        <v>26.072900000000001</v>
      </c>
      <c r="M1113">
        <f t="shared" si="123"/>
        <v>26072.9</v>
      </c>
      <c r="N1113">
        <f t="shared" si="124"/>
        <v>24.712340466590003</v>
      </c>
      <c r="O1113">
        <f t="shared" si="125"/>
        <v>0.86439040479678941</v>
      </c>
    </row>
    <row r="1114" spans="6:15" x14ac:dyDescent="0.45">
      <c r="F1114">
        <v>1112</v>
      </c>
      <c r="G1114">
        <v>26.9</v>
      </c>
      <c r="H1114">
        <f t="shared" si="120"/>
        <v>26.9</v>
      </c>
      <c r="I1114">
        <f t="shared" si="119"/>
        <v>7.4722222222222221E-3</v>
      </c>
      <c r="J1114">
        <v>4.33</v>
      </c>
      <c r="K1114">
        <f t="shared" si="121"/>
        <v>4.33</v>
      </c>
      <c r="L1114">
        <f t="shared" si="122"/>
        <v>22.222899999999999</v>
      </c>
      <c r="M1114">
        <f t="shared" si="123"/>
        <v>22222.899999999998</v>
      </c>
      <c r="N1114">
        <f t="shared" si="124"/>
        <v>21.063244631589999</v>
      </c>
      <c r="O1114">
        <f t="shared" si="125"/>
        <v>0.73675201173473481</v>
      </c>
    </row>
    <row r="1115" spans="6:15" x14ac:dyDescent="0.45">
      <c r="F1115">
        <v>1113</v>
      </c>
      <c r="G1115">
        <v>26.7</v>
      </c>
      <c r="H1115">
        <f t="shared" si="120"/>
        <v>26.7</v>
      </c>
      <c r="I1115">
        <f t="shared" si="119"/>
        <v>7.4166666666666669E-3</v>
      </c>
      <c r="J1115">
        <v>2.92</v>
      </c>
      <c r="K1115">
        <f t="shared" si="121"/>
        <v>2.92</v>
      </c>
      <c r="L1115">
        <f t="shared" si="122"/>
        <v>18.697900000000001</v>
      </c>
      <c r="M1115">
        <f t="shared" si="123"/>
        <v>18697.900000000001</v>
      </c>
      <c r="N1115">
        <f t="shared" si="124"/>
        <v>17.722189354090002</v>
      </c>
      <c r="O1115">
        <f t="shared" si="125"/>
        <v>0.61988828821687991</v>
      </c>
    </row>
    <row r="1116" spans="6:15" x14ac:dyDescent="0.45">
      <c r="F1116">
        <v>1114</v>
      </c>
      <c r="G1116">
        <v>26.4</v>
      </c>
      <c r="H1116">
        <f t="shared" si="120"/>
        <v>26.4</v>
      </c>
      <c r="I1116">
        <f t="shared" si="119"/>
        <v>7.3333333333333332E-3</v>
      </c>
      <c r="J1116">
        <v>3.81</v>
      </c>
      <c r="K1116">
        <f t="shared" si="121"/>
        <v>3.81</v>
      </c>
      <c r="L1116">
        <f t="shared" si="122"/>
        <v>20.922899999999998</v>
      </c>
      <c r="M1116">
        <f t="shared" si="123"/>
        <v>20922.899999999998</v>
      </c>
      <c r="N1116">
        <f t="shared" si="124"/>
        <v>19.831082401589999</v>
      </c>
      <c r="O1116">
        <f t="shared" si="125"/>
        <v>0.69365333355793724</v>
      </c>
    </row>
    <row r="1117" spans="6:15" x14ac:dyDescent="0.45">
      <c r="F1117">
        <v>1115</v>
      </c>
      <c r="G1117">
        <v>26.2</v>
      </c>
      <c r="H1117">
        <f t="shared" si="120"/>
        <v>26.2</v>
      </c>
      <c r="I1117">
        <f t="shared" si="119"/>
        <v>7.277777777777778E-3</v>
      </c>
      <c r="J1117">
        <v>3.98</v>
      </c>
      <c r="K1117">
        <f t="shared" si="121"/>
        <v>3.98</v>
      </c>
      <c r="L1117">
        <f t="shared" si="122"/>
        <v>21.347899999999999</v>
      </c>
      <c r="M1117">
        <f t="shared" si="123"/>
        <v>21347.899999999998</v>
      </c>
      <c r="N1117">
        <f t="shared" si="124"/>
        <v>20.233904669089998</v>
      </c>
      <c r="O1117">
        <f t="shared" si="125"/>
        <v>0.70774328603881331</v>
      </c>
    </row>
    <row r="1118" spans="6:15" x14ac:dyDescent="0.45">
      <c r="F1118">
        <v>1116</v>
      </c>
      <c r="G1118">
        <v>25.5</v>
      </c>
      <c r="H1118">
        <f t="shared" si="120"/>
        <v>25.5</v>
      </c>
      <c r="I1118">
        <f t="shared" si="119"/>
        <v>7.083333333333333E-3</v>
      </c>
      <c r="J1118">
        <v>-1.38</v>
      </c>
      <c r="K1118">
        <f t="shared" si="121"/>
        <v>0</v>
      </c>
      <c r="L1118">
        <f t="shared" si="122"/>
        <v>11.3979</v>
      </c>
      <c r="M1118">
        <f t="shared" si="123"/>
        <v>11397.9</v>
      </c>
      <c r="N1118">
        <f t="shared" si="124"/>
        <v>10.80312452409</v>
      </c>
      <c r="O1118">
        <f t="shared" si="125"/>
        <v>0.377872633839478</v>
      </c>
    </row>
    <row r="1119" spans="6:15" x14ac:dyDescent="0.45">
      <c r="F1119">
        <v>1117</v>
      </c>
      <c r="G1119">
        <v>24.6</v>
      </c>
      <c r="H1119">
        <f t="shared" si="120"/>
        <v>24.6</v>
      </c>
      <c r="I1119">
        <f t="shared" si="119"/>
        <v>6.8333333333333336E-3</v>
      </c>
      <c r="J1119">
        <v>-0.67</v>
      </c>
      <c r="K1119">
        <f t="shared" si="121"/>
        <v>0</v>
      </c>
      <c r="L1119">
        <f t="shared" si="122"/>
        <v>11.3979</v>
      </c>
      <c r="M1119">
        <f t="shared" si="123"/>
        <v>11397.9</v>
      </c>
      <c r="N1119">
        <f t="shared" si="124"/>
        <v>10.80312452409</v>
      </c>
      <c r="O1119">
        <f t="shared" si="125"/>
        <v>0.377872633839478</v>
      </c>
    </row>
    <row r="1120" spans="6:15" x14ac:dyDescent="0.45">
      <c r="F1120">
        <v>1118</v>
      </c>
      <c r="G1120">
        <v>23.2</v>
      </c>
      <c r="H1120">
        <f t="shared" si="120"/>
        <v>23.2</v>
      </c>
      <c r="I1120">
        <f t="shared" si="119"/>
        <v>6.4444444444444445E-3</v>
      </c>
      <c r="J1120">
        <v>-0.68</v>
      </c>
      <c r="K1120">
        <f t="shared" si="121"/>
        <v>0</v>
      </c>
      <c r="L1120">
        <f t="shared" si="122"/>
        <v>11.3979</v>
      </c>
      <c r="M1120">
        <f t="shared" si="123"/>
        <v>11397.9</v>
      </c>
      <c r="N1120">
        <f t="shared" si="124"/>
        <v>10.80312452409</v>
      </c>
      <c r="O1120">
        <f t="shared" si="125"/>
        <v>0.377872633839478</v>
      </c>
    </row>
    <row r="1121" spans="6:15" x14ac:dyDescent="0.45">
      <c r="F1121">
        <v>1119</v>
      </c>
      <c r="G1121">
        <v>21.6</v>
      </c>
      <c r="H1121">
        <f t="shared" si="120"/>
        <v>21.6</v>
      </c>
      <c r="I1121">
        <f t="shared" si="119"/>
        <v>6.0000000000000001E-3</v>
      </c>
      <c r="J1121">
        <v>-0.04</v>
      </c>
      <c r="K1121">
        <f t="shared" si="121"/>
        <v>0</v>
      </c>
      <c r="L1121">
        <f t="shared" si="122"/>
        <v>11.3979</v>
      </c>
      <c r="M1121">
        <f t="shared" si="123"/>
        <v>11397.9</v>
      </c>
      <c r="N1121">
        <f t="shared" si="124"/>
        <v>10.80312452409</v>
      </c>
      <c r="O1121">
        <f t="shared" si="125"/>
        <v>0.377872633839478</v>
      </c>
    </row>
    <row r="1122" spans="6:15" x14ac:dyDescent="0.45">
      <c r="F1122">
        <v>1120</v>
      </c>
      <c r="G1122">
        <v>19.8</v>
      </c>
      <c r="H1122">
        <f t="shared" si="120"/>
        <v>19.8</v>
      </c>
      <c r="I1122">
        <f t="shared" si="119"/>
        <v>5.5000000000000005E-3</v>
      </c>
      <c r="J1122">
        <v>-0.3</v>
      </c>
      <c r="K1122">
        <f t="shared" si="121"/>
        <v>0</v>
      </c>
      <c r="L1122">
        <f t="shared" si="122"/>
        <v>11.3979</v>
      </c>
      <c r="M1122">
        <f t="shared" si="123"/>
        <v>11397.9</v>
      </c>
      <c r="N1122">
        <f t="shared" si="124"/>
        <v>10.80312452409</v>
      </c>
      <c r="O1122">
        <f t="shared" si="125"/>
        <v>0.377872633839478</v>
      </c>
    </row>
    <row r="1123" spans="6:15" x14ac:dyDescent="0.45">
      <c r="F1123">
        <v>1121</v>
      </c>
      <c r="G1123">
        <v>17.3</v>
      </c>
      <c r="H1123">
        <f t="shared" si="120"/>
        <v>17.3</v>
      </c>
      <c r="I1123">
        <f t="shared" si="119"/>
        <v>4.805555555555556E-3</v>
      </c>
      <c r="J1123">
        <v>-0.19</v>
      </c>
      <c r="K1123">
        <f t="shared" si="121"/>
        <v>0</v>
      </c>
      <c r="L1123">
        <f t="shared" si="122"/>
        <v>11.3979</v>
      </c>
      <c r="M1123">
        <f t="shared" si="123"/>
        <v>11397.9</v>
      </c>
      <c r="N1123">
        <f t="shared" si="124"/>
        <v>10.80312452409</v>
      </c>
      <c r="O1123">
        <f t="shared" si="125"/>
        <v>0.377872633839478</v>
      </c>
    </row>
    <row r="1124" spans="6:15" x14ac:dyDescent="0.45">
      <c r="F1124">
        <v>1122</v>
      </c>
      <c r="G1124">
        <v>15.8</v>
      </c>
      <c r="H1124">
        <f t="shared" si="120"/>
        <v>15.8</v>
      </c>
      <c r="I1124">
        <f t="shared" si="119"/>
        <v>4.3888888888888892E-3</v>
      </c>
      <c r="J1124">
        <v>0.28000000000000003</v>
      </c>
      <c r="K1124">
        <f t="shared" si="121"/>
        <v>0.28000000000000003</v>
      </c>
      <c r="L1124">
        <f t="shared" si="122"/>
        <v>12.097899999999999</v>
      </c>
      <c r="M1124">
        <f t="shared" si="123"/>
        <v>12097.9</v>
      </c>
      <c r="N1124">
        <f t="shared" si="124"/>
        <v>11.46659649409</v>
      </c>
      <c r="O1124">
        <f t="shared" si="125"/>
        <v>0.40107961439621514</v>
      </c>
    </row>
    <row r="1125" spans="6:15" x14ac:dyDescent="0.45">
      <c r="F1125">
        <v>1123</v>
      </c>
      <c r="G1125">
        <v>13.4</v>
      </c>
      <c r="H1125">
        <f t="shared" si="120"/>
        <v>13.4</v>
      </c>
      <c r="I1125">
        <f t="shared" si="119"/>
        <v>3.7222222222222223E-3</v>
      </c>
      <c r="J1125">
        <v>-0.16</v>
      </c>
      <c r="K1125">
        <f t="shared" si="121"/>
        <v>0</v>
      </c>
      <c r="L1125">
        <f t="shared" si="122"/>
        <v>11.3979</v>
      </c>
      <c r="M1125">
        <f t="shared" si="123"/>
        <v>11397.9</v>
      </c>
      <c r="N1125">
        <f t="shared" si="124"/>
        <v>10.80312452409</v>
      </c>
      <c r="O1125">
        <f t="shared" si="125"/>
        <v>0.377872633839478</v>
      </c>
    </row>
    <row r="1126" spans="6:15" x14ac:dyDescent="0.45">
      <c r="F1126">
        <v>1124</v>
      </c>
      <c r="G1126">
        <v>10.4</v>
      </c>
      <c r="H1126">
        <f t="shared" si="120"/>
        <v>10.4</v>
      </c>
      <c r="I1126">
        <f t="shared" si="119"/>
        <v>2.8888888888888892E-3</v>
      </c>
      <c r="J1126">
        <v>-0.02</v>
      </c>
      <c r="K1126">
        <f t="shared" si="121"/>
        <v>0</v>
      </c>
      <c r="L1126">
        <f t="shared" si="122"/>
        <v>11.3979</v>
      </c>
      <c r="M1126">
        <f t="shared" si="123"/>
        <v>11397.9</v>
      </c>
      <c r="N1126">
        <f t="shared" si="124"/>
        <v>10.80312452409</v>
      </c>
      <c r="O1126">
        <f t="shared" si="125"/>
        <v>0.377872633839478</v>
      </c>
    </row>
    <row r="1127" spans="6:15" x14ac:dyDescent="0.45">
      <c r="F1127">
        <v>1125</v>
      </c>
      <c r="G1127">
        <v>7.3</v>
      </c>
      <c r="H1127">
        <f t="shared" si="120"/>
        <v>7.3</v>
      </c>
      <c r="I1127">
        <f t="shared" si="119"/>
        <v>2.0277777777777777E-3</v>
      </c>
      <c r="J1127">
        <v>0.79</v>
      </c>
      <c r="K1127">
        <f t="shared" si="121"/>
        <v>0.79</v>
      </c>
      <c r="L1127">
        <f t="shared" si="122"/>
        <v>13.3729</v>
      </c>
      <c r="M1127">
        <f t="shared" si="123"/>
        <v>13372.9</v>
      </c>
      <c r="N1127">
        <f t="shared" si="124"/>
        <v>12.67506329659</v>
      </c>
      <c r="O1127">
        <f t="shared" si="125"/>
        <v>0.44334947183884355</v>
      </c>
    </row>
    <row r="1128" spans="6:15" x14ac:dyDescent="0.45">
      <c r="F1128">
        <v>1126</v>
      </c>
      <c r="G1128">
        <v>3.5</v>
      </c>
      <c r="H1128">
        <f t="shared" si="120"/>
        <v>3.5</v>
      </c>
      <c r="I1128">
        <f t="shared" si="119"/>
        <v>9.7222222222222219E-4</v>
      </c>
      <c r="J1128">
        <v>0.71</v>
      </c>
      <c r="K1128">
        <f t="shared" si="121"/>
        <v>0.71</v>
      </c>
      <c r="L1128">
        <f t="shared" si="122"/>
        <v>13.1729</v>
      </c>
      <c r="M1128">
        <f t="shared" si="123"/>
        <v>13172.9</v>
      </c>
      <c r="N1128">
        <f t="shared" si="124"/>
        <v>12.48549987659</v>
      </c>
      <c r="O1128">
        <f t="shared" si="125"/>
        <v>0.43671890596549007</v>
      </c>
    </row>
    <row r="1129" spans="6:15" x14ac:dyDescent="0.45">
      <c r="F1129">
        <v>1127</v>
      </c>
      <c r="G1129">
        <v>0.9</v>
      </c>
      <c r="H1129">
        <f t="shared" si="120"/>
        <v>0.9</v>
      </c>
      <c r="I1129">
        <f t="shared" si="119"/>
        <v>2.5000000000000001E-4</v>
      </c>
      <c r="J1129">
        <v>1.45</v>
      </c>
      <c r="K1129">
        <f t="shared" si="121"/>
        <v>1.45</v>
      </c>
      <c r="L1129">
        <f t="shared" si="122"/>
        <v>15.0229</v>
      </c>
      <c r="M1129">
        <f t="shared" si="123"/>
        <v>15022.9</v>
      </c>
      <c r="N1129">
        <f t="shared" si="124"/>
        <v>14.23896151159</v>
      </c>
      <c r="O1129">
        <f t="shared" si="125"/>
        <v>0.49805164029400972</v>
      </c>
    </row>
    <row r="1130" spans="6:15" x14ac:dyDescent="0.45">
      <c r="F1130">
        <v>1128</v>
      </c>
      <c r="G1130">
        <v>-0.1</v>
      </c>
      <c r="H1130">
        <f t="shared" si="120"/>
        <v>0</v>
      </c>
      <c r="I1130">
        <f t="shared" si="119"/>
        <v>0</v>
      </c>
      <c r="J1130">
        <v>1.63</v>
      </c>
      <c r="K1130">
        <f t="shared" si="121"/>
        <v>1.63</v>
      </c>
      <c r="L1130">
        <f t="shared" si="122"/>
        <v>15.472899999999999</v>
      </c>
      <c r="M1130">
        <f t="shared" si="123"/>
        <v>15472.9</v>
      </c>
      <c r="N1130">
        <f t="shared" si="124"/>
        <v>14.66547920659</v>
      </c>
      <c r="O1130">
        <f t="shared" si="125"/>
        <v>0.51297041350905503</v>
      </c>
    </row>
    <row r="1131" spans="6:15" x14ac:dyDescent="0.45">
      <c r="F1131">
        <v>1129</v>
      </c>
      <c r="G1131">
        <v>0</v>
      </c>
      <c r="H1131">
        <f t="shared" si="120"/>
        <v>0</v>
      </c>
      <c r="I1131">
        <f t="shared" si="119"/>
        <v>0</v>
      </c>
      <c r="J1131">
        <v>1.27</v>
      </c>
      <c r="K1131">
        <f t="shared" si="121"/>
        <v>1.27</v>
      </c>
      <c r="L1131">
        <f t="shared" si="122"/>
        <v>14.572900000000001</v>
      </c>
      <c r="M1131">
        <f t="shared" si="123"/>
        <v>14572.900000000001</v>
      </c>
      <c r="N1131">
        <f t="shared" si="124"/>
        <v>13.812443816590001</v>
      </c>
      <c r="O1131">
        <f t="shared" si="125"/>
        <v>0.48313286707896447</v>
      </c>
    </row>
    <row r="1132" spans="6:15" x14ac:dyDescent="0.45">
      <c r="F1132">
        <v>1130</v>
      </c>
      <c r="G1132">
        <v>0</v>
      </c>
      <c r="H1132">
        <f t="shared" si="120"/>
        <v>0</v>
      </c>
      <c r="I1132">
        <f t="shared" si="119"/>
        <v>0</v>
      </c>
      <c r="J1132">
        <v>1.53</v>
      </c>
      <c r="K1132">
        <f t="shared" si="121"/>
        <v>1.53</v>
      </c>
      <c r="L1132">
        <f t="shared" si="122"/>
        <v>15.222899999999999</v>
      </c>
      <c r="M1132">
        <f t="shared" si="123"/>
        <v>15222.9</v>
      </c>
      <c r="N1132">
        <f t="shared" si="124"/>
        <v>14.428524931589999</v>
      </c>
      <c r="O1132">
        <f t="shared" si="125"/>
        <v>0.50468220616736326</v>
      </c>
    </row>
    <row r="1133" spans="6:15" x14ac:dyDescent="0.45">
      <c r="F1133">
        <v>1131</v>
      </c>
      <c r="G1133">
        <v>0</v>
      </c>
      <c r="H1133">
        <f t="shared" si="120"/>
        <v>0</v>
      </c>
      <c r="I1133">
        <f t="shared" si="119"/>
        <v>0</v>
      </c>
      <c r="J1133">
        <v>1.65</v>
      </c>
      <c r="K1133">
        <f t="shared" si="121"/>
        <v>1.65</v>
      </c>
      <c r="L1133">
        <f t="shared" si="122"/>
        <v>15.5229</v>
      </c>
      <c r="M1133">
        <f t="shared" si="123"/>
        <v>15522.9</v>
      </c>
      <c r="N1133">
        <f t="shared" si="124"/>
        <v>14.712870061589999</v>
      </c>
      <c r="O1133">
        <f t="shared" si="125"/>
        <v>0.5146280549773935</v>
      </c>
    </row>
    <row r="1134" spans="6:15" x14ac:dyDescent="0.45">
      <c r="F1134">
        <v>1132</v>
      </c>
      <c r="G1134">
        <v>0</v>
      </c>
      <c r="H1134">
        <f t="shared" si="120"/>
        <v>0</v>
      </c>
      <c r="I1134">
        <f t="shared" si="119"/>
        <v>0</v>
      </c>
      <c r="J1134">
        <v>1.08</v>
      </c>
      <c r="K1134">
        <f t="shared" si="121"/>
        <v>1.08</v>
      </c>
      <c r="L1134">
        <f t="shared" si="122"/>
        <v>14.097899999999999</v>
      </c>
      <c r="M1134">
        <f t="shared" si="123"/>
        <v>14097.9</v>
      </c>
      <c r="N1134">
        <f t="shared" si="124"/>
        <v>13.36223069409</v>
      </c>
      <c r="O1134">
        <f t="shared" si="125"/>
        <v>0.46738527312974987</v>
      </c>
    </row>
    <row r="1135" spans="6:15" x14ac:dyDescent="0.45">
      <c r="F1135">
        <v>1133</v>
      </c>
      <c r="G1135">
        <v>0</v>
      </c>
      <c r="H1135">
        <f t="shared" si="120"/>
        <v>0</v>
      </c>
      <c r="I1135">
        <f t="shared" si="119"/>
        <v>0</v>
      </c>
      <c r="J1135">
        <v>1.18</v>
      </c>
      <c r="K1135">
        <f t="shared" si="121"/>
        <v>1.18</v>
      </c>
      <c r="L1135">
        <f t="shared" si="122"/>
        <v>14.347899999999999</v>
      </c>
      <c r="M1135">
        <f t="shared" si="123"/>
        <v>14347.9</v>
      </c>
      <c r="N1135">
        <f t="shared" si="124"/>
        <v>13.59918496909</v>
      </c>
      <c r="O1135">
        <f t="shared" si="125"/>
        <v>0.47567348047144176</v>
      </c>
    </row>
    <row r="1136" spans="6:15" x14ac:dyDescent="0.45">
      <c r="F1136">
        <v>1134</v>
      </c>
      <c r="G1136">
        <v>0</v>
      </c>
      <c r="H1136">
        <f t="shared" si="120"/>
        <v>0</v>
      </c>
      <c r="I1136">
        <f t="shared" si="119"/>
        <v>0</v>
      </c>
      <c r="J1136">
        <v>1.24</v>
      </c>
      <c r="K1136">
        <f t="shared" si="121"/>
        <v>1.24</v>
      </c>
      <c r="L1136">
        <f t="shared" si="122"/>
        <v>14.4979</v>
      </c>
      <c r="M1136">
        <f t="shared" si="123"/>
        <v>14497.9</v>
      </c>
      <c r="N1136">
        <f t="shared" si="124"/>
        <v>13.74135753409</v>
      </c>
      <c r="O1136">
        <f t="shared" si="125"/>
        <v>0.48064640487645688</v>
      </c>
    </row>
    <row r="1137" spans="6:15" x14ac:dyDescent="0.45">
      <c r="F1137">
        <v>1135</v>
      </c>
      <c r="G1137">
        <v>0</v>
      </c>
      <c r="H1137">
        <f t="shared" si="120"/>
        <v>0</v>
      </c>
      <c r="I1137">
        <f t="shared" si="119"/>
        <v>0</v>
      </c>
      <c r="J1137">
        <v>1.36</v>
      </c>
      <c r="K1137">
        <f t="shared" si="121"/>
        <v>1.36</v>
      </c>
      <c r="L1137">
        <f t="shared" si="122"/>
        <v>14.7979</v>
      </c>
      <c r="M1137">
        <f t="shared" si="123"/>
        <v>14797.9</v>
      </c>
      <c r="N1137">
        <f t="shared" si="124"/>
        <v>14.02570266409</v>
      </c>
      <c r="O1137">
        <f t="shared" si="125"/>
        <v>0.49059225368648712</v>
      </c>
    </row>
    <row r="1138" spans="6:15" x14ac:dyDescent="0.45">
      <c r="F1138">
        <v>1136</v>
      </c>
      <c r="G1138">
        <v>0</v>
      </c>
      <c r="H1138">
        <f t="shared" si="120"/>
        <v>0</v>
      </c>
      <c r="I1138">
        <f t="shared" si="119"/>
        <v>0</v>
      </c>
      <c r="J1138">
        <v>0.98</v>
      </c>
      <c r="K1138">
        <f t="shared" si="121"/>
        <v>0.98</v>
      </c>
      <c r="L1138">
        <f t="shared" si="122"/>
        <v>13.847899999999999</v>
      </c>
      <c r="M1138">
        <f t="shared" si="123"/>
        <v>13847.9</v>
      </c>
      <c r="N1138">
        <f t="shared" si="124"/>
        <v>13.12527641909</v>
      </c>
      <c r="O1138">
        <f t="shared" si="125"/>
        <v>0.45909706578805809</v>
      </c>
    </row>
    <row r="1139" spans="6:15" x14ac:dyDescent="0.45">
      <c r="F1139">
        <v>1137</v>
      </c>
      <c r="G1139">
        <v>0</v>
      </c>
      <c r="H1139">
        <f t="shared" si="120"/>
        <v>0</v>
      </c>
      <c r="I1139">
        <f t="shared" si="119"/>
        <v>0</v>
      </c>
      <c r="J1139">
        <v>0.85</v>
      </c>
      <c r="K1139">
        <f t="shared" si="121"/>
        <v>0.85</v>
      </c>
      <c r="L1139">
        <f t="shared" si="122"/>
        <v>13.5229</v>
      </c>
      <c r="M1139">
        <f t="shared" si="123"/>
        <v>13522.9</v>
      </c>
      <c r="N1139">
        <f t="shared" si="124"/>
        <v>12.81723586159</v>
      </c>
      <c r="O1139">
        <f t="shared" si="125"/>
        <v>0.44832239624385867</v>
      </c>
    </row>
    <row r="1140" spans="6:15" x14ac:dyDescent="0.45">
      <c r="F1140">
        <v>1138</v>
      </c>
      <c r="G1140">
        <v>0</v>
      </c>
      <c r="H1140">
        <f t="shared" si="120"/>
        <v>0</v>
      </c>
      <c r="I1140">
        <f t="shared" si="119"/>
        <v>0</v>
      </c>
      <c r="J1140">
        <v>0.97</v>
      </c>
      <c r="K1140">
        <f t="shared" si="121"/>
        <v>0.97</v>
      </c>
      <c r="L1140">
        <f t="shared" si="122"/>
        <v>13.822900000000001</v>
      </c>
      <c r="M1140">
        <f t="shared" si="123"/>
        <v>13822.900000000001</v>
      </c>
      <c r="N1140">
        <f t="shared" si="124"/>
        <v>13.101580991590001</v>
      </c>
      <c r="O1140">
        <f t="shared" si="125"/>
        <v>0.45826824505388897</v>
      </c>
    </row>
    <row r="1141" spans="6:15" x14ac:dyDescent="0.45">
      <c r="F1141">
        <v>1139</v>
      </c>
      <c r="G1141">
        <v>0</v>
      </c>
      <c r="H1141">
        <f t="shared" si="120"/>
        <v>0</v>
      </c>
      <c r="I1141">
        <f t="shared" si="119"/>
        <v>0</v>
      </c>
      <c r="J1141">
        <v>1.4</v>
      </c>
      <c r="K1141">
        <f t="shared" si="121"/>
        <v>1.4</v>
      </c>
      <c r="L1141">
        <f t="shared" si="122"/>
        <v>14.8979</v>
      </c>
      <c r="M1141">
        <f t="shared" si="123"/>
        <v>14897.9</v>
      </c>
      <c r="N1141">
        <f t="shared" si="124"/>
        <v>14.120484374089999</v>
      </c>
      <c r="O1141">
        <f t="shared" si="125"/>
        <v>0.49390753662316383</v>
      </c>
    </row>
    <row r="1142" spans="6:15" x14ac:dyDescent="0.45">
      <c r="F1142">
        <v>1140</v>
      </c>
      <c r="G1142">
        <v>0</v>
      </c>
      <c r="H1142">
        <f t="shared" si="120"/>
        <v>0</v>
      </c>
      <c r="I1142">
        <f t="shared" si="119"/>
        <v>0</v>
      </c>
      <c r="J1142">
        <v>1.24</v>
      </c>
      <c r="K1142">
        <f t="shared" si="121"/>
        <v>1.24</v>
      </c>
      <c r="L1142">
        <f t="shared" si="122"/>
        <v>14.4979</v>
      </c>
      <c r="M1142">
        <f t="shared" si="123"/>
        <v>14497.9</v>
      </c>
      <c r="N1142">
        <f t="shared" si="124"/>
        <v>13.74135753409</v>
      </c>
      <c r="O1142">
        <f t="shared" si="125"/>
        <v>0.48064640487645688</v>
      </c>
    </row>
    <row r="1143" spans="6:15" x14ac:dyDescent="0.45">
      <c r="F1143">
        <v>1141</v>
      </c>
      <c r="G1143">
        <v>0</v>
      </c>
      <c r="H1143">
        <f t="shared" si="120"/>
        <v>0</v>
      </c>
      <c r="I1143">
        <f t="shared" si="119"/>
        <v>0</v>
      </c>
      <c r="J1143">
        <v>1.21</v>
      </c>
      <c r="K1143">
        <f t="shared" si="121"/>
        <v>1.21</v>
      </c>
      <c r="L1143">
        <f t="shared" si="122"/>
        <v>14.4229</v>
      </c>
      <c r="M1143">
        <f t="shared" si="123"/>
        <v>14422.9</v>
      </c>
      <c r="N1143">
        <f t="shared" si="124"/>
        <v>13.67027125159</v>
      </c>
      <c r="O1143">
        <f t="shared" si="125"/>
        <v>0.47815994267394929</v>
      </c>
    </row>
    <row r="1144" spans="6:15" x14ac:dyDescent="0.45">
      <c r="F1144">
        <v>1142</v>
      </c>
      <c r="G1144">
        <v>0</v>
      </c>
      <c r="H1144">
        <f t="shared" si="120"/>
        <v>0</v>
      </c>
      <c r="I1144">
        <f t="shared" si="119"/>
        <v>0</v>
      </c>
      <c r="J1144">
        <v>1.19</v>
      </c>
      <c r="K1144">
        <f t="shared" si="121"/>
        <v>1.19</v>
      </c>
      <c r="L1144">
        <f t="shared" si="122"/>
        <v>14.3729</v>
      </c>
      <c r="M1144">
        <f t="shared" si="123"/>
        <v>14372.9</v>
      </c>
      <c r="N1144">
        <f t="shared" si="124"/>
        <v>13.62288039659</v>
      </c>
      <c r="O1144">
        <f t="shared" si="125"/>
        <v>0.47650230120561093</v>
      </c>
    </row>
    <row r="1145" spans="6:15" x14ac:dyDescent="0.45">
      <c r="F1145">
        <v>1143</v>
      </c>
      <c r="G1145">
        <v>0.4</v>
      </c>
      <c r="H1145">
        <f t="shared" si="120"/>
        <v>0.4</v>
      </c>
      <c r="I1145">
        <f t="shared" si="119"/>
        <v>1.1111111111111112E-4</v>
      </c>
      <c r="J1145">
        <v>1.47</v>
      </c>
      <c r="K1145">
        <f t="shared" si="121"/>
        <v>1.47</v>
      </c>
      <c r="L1145">
        <f t="shared" si="122"/>
        <v>15.072900000000001</v>
      </c>
      <c r="M1145">
        <f t="shared" si="123"/>
        <v>15072.900000000001</v>
      </c>
      <c r="N1145">
        <f t="shared" si="124"/>
        <v>14.286352366590002</v>
      </c>
      <c r="O1145">
        <f t="shared" si="125"/>
        <v>0.49970928176234813</v>
      </c>
    </row>
    <row r="1146" spans="6:15" x14ac:dyDescent="0.45">
      <c r="F1146">
        <v>1144</v>
      </c>
      <c r="G1146">
        <v>1.9</v>
      </c>
      <c r="H1146">
        <f t="shared" si="120"/>
        <v>1.9</v>
      </c>
      <c r="I1146">
        <f t="shared" si="119"/>
        <v>5.2777777777777773E-4</v>
      </c>
      <c r="J1146">
        <v>4.03</v>
      </c>
      <c r="K1146">
        <f t="shared" si="121"/>
        <v>4.03</v>
      </c>
      <c r="L1146">
        <f t="shared" si="122"/>
        <v>21.472900000000003</v>
      </c>
      <c r="M1146">
        <f t="shared" si="123"/>
        <v>21472.9</v>
      </c>
      <c r="N1146">
        <f t="shared" si="124"/>
        <v>20.352381806590003</v>
      </c>
      <c r="O1146">
        <f t="shared" si="125"/>
        <v>0.71188738970965948</v>
      </c>
    </row>
    <row r="1147" spans="6:15" x14ac:dyDescent="0.45">
      <c r="F1147">
        <v>1145</v>
      </c>
      <c r="G1147">
        <v>5.2</v>
      </c>
      <c r="H1147">
        <f t="shared" si="120"/>
        <v>5.2</v>
      </c>
      <c r="I1147">
        <f t="shared" si="119"/>
        <v>1.4444444444444446E-3</v>
      </c>
      <c r="J1147">
        <v>9</v>
      </c>
      <c r="K1147">
        <f t="shared" si="121"/>
        <v>9</v>
      </c>
      <c r="L1147">
        <f t="shared" si="122"/>
        <v>33.8979</v>
      </c>
      <c r="M1147">
        <f t="shared" si="123"/>
        <v>33897.9</v>
      </c>
      <c r="N1147">
        <f t="shared" si="124"/>
        <v>32.129009274090002</v>
      </c>
      <c r="O1147">
        <f t="shared" si="125"/>
        <v>1.1238112945917442</v>
      </c>
    </row>
    <row r="1148" spans="6:15" x14ac:dyDescent="0.45">
      <c r="F1148">
        <v>1146</v>
      </c>
      <c r="G1148">
        <v>8.6</v>
      </c>
      <c r="H1148">
        <f t="shared" si="120"/>
        <v>8.6</v>
      </c>
      <c r="I1148">
        <f t="shared" si="119"/>
        <v>2.3888888888888887E-3</v>
      </c>
      <c r="J1148">
        <v>13.15</v>
      </c>
      <c r="K1148">
        <f t="shared" si="121"/>
        <v>13.15</v>
      </c>
      <c r="L1148">
        <f t="shared" si="122"/>
        <v>44.2729</v>
      </c>
      <c r="M1148">
        <f t="shared" si="123"/>
        <v>44272.9</v>
      </c>
      <c r="N1148">
        <f t="shared" si="124"/>
        <v>41.962611686590002</v>
      </c>
      <c r="O1148">
        <f t="shared" si="125"/>
        <v>1.4677718992719557</v>
      </c>
    </row>
    <row r="1149" spans="6:15" x14ac:dyDescent="0.45">
      <c r="F1149">
        <v>1147</v>
      </c>
      <c r="G1149">
        <v>12.3</v>
      </c>
      <c r="H1149">
        <f t="shared" si="120"/>
        <v>12.3</v>
      </c>
      <c r="I1149">
        <f t="shared" si="119"/>
        <v>3.4166666666666668E-3</v>
      </c>
      <c r="J1149">
        <v>30.79</v>
      </c>
      <c r="K1149">
        <f t="shared" si="121"/>
        <v>30.79</v>
      </c>
      <c r="L1149">
        <f t="shared" si="122"/>
        <v>88.372899999999987</v>
      </c>
      <c r="M1149">
        <f t="shared" si="123"/>
        <v>88372.9</v>
      </c>
      <c r="N1149">
        <f t="shared" si="124"/>
        <v>83.761345796589993</v>
      </c>
      <c r="O1149">
        <f t="shared" si="125"/>
        <v>2.9298116743463973</v>
      </c>
    </row>
    <row r="1150" spans="6:15" x14ac:dyDescent="0.45">
      <c r="F1150">
        <v>1148</v>
      </c>
      <c r="G1150">
        <v>16</v>
      </c>
      <c r="H1150">
        <f t="shared" si="120"/>
        <v>16</v>
      </c>
      <c r="I1150">
        <f t="shared" si="119"/>
        <v>4.4444444444444444E-3</v>
      </c>
      <c r="J1150">
        <v>25.82</v>
      </c>
      <c r="K1150">
        <f t="shared" si="121"/>
        <v>25.82</v>
      </c>
      <c r="L1150">
        <f t="shared" si="122"/>
        <v>75.947900000000004</v>
      </c>
      <c r="M1150">
        <f t="shared" si="123"/>
        <v>75947.900000000009</v>
      </c>
      <c r="N1150">
        <f t="shared" si="124"/>
        <v>71.984718329090015</v>
      </c>
      <c r="O1150">
        <f t="shared" si="125"/>
        <v>2.5178877694643127</v>
      </c>
    </row>
    <row r="1151" spans="6:15" x14ac:dyDescent="0.45">
      <c r="F1151">
        <v>1149</v>
      </c>
      <c r="G1151">
        <v>18.5</v>
      </c>
      <c r="H1151">
        <f t="shared" si="120"/>
        <v>18.5</v>
      </c>
      <c r="I1151">
        <f t="shared" si="119"/>
        <v>5.138888888888889E-3</v>
      </c>
      <c r="J1151">
        <v>29.94</v>
      </c>
      <c r="K1151">
        <f t="shared" si="121"/>
        <v>29.94</v>
      </c>
      <c r="L1151">
        <f t="shared" si="122"/>
        <v>86.247900000000016</v>
      </c>
      <c r="M1151">
        <f t="shared" si="123"/>
        <v>86247.900000000009</v>
      </c>
      <c r="N1151">
        <f t="shared" si="124"/>
        <v>81.747234459090009</v>
      </c>
      <c r="O1151">
        <f t="shared" si="125"/>
        <v>2.8593619119420173</v>
      </c>
    </row>
    <row r="1152" spans="6:15" x14ac:dyDescent="0.45">
      <c r="F1152">
        <v>1150</v>
      </c>
      <c r="G1152">
        <v>20.9</v>
      </c>
      <c r="H1152">
        <f t="shared" si="120"/>
        <v>20.9</v>
      </c>
      <c r="I1152">
        <f t="shared" si="119"/>
        <v>5.8055555555555551E-3</v>
      </c>
      <c r="J1152">
        <v>27.38</v>
      </c>
      <c r="K1152">
        <f t="shared" si="121"/>
        <v>27.38</v>
      </c>
      <c r="L1152">
        <f t="shared" si="122"/>
        <v>79.84790000000001</v>
      </c>
      <c r="M1152">
        <f t="shared" si="123"/>
        <v>79847.900000000009</v>
      </c>
      <c r="N1152">
        <f t="shared" si="124"/>
        <v>75.681205019090015</v>
      </c>
      <c r="O1152">
        <f t="shared" si="125"/>
        <v>2.6471838039947055</v>
      </c>
    </row>
    <row r="1153" spans="6:15" x14ac:dyDescent="0.45">
      <c r="F1153">
        <v>1151</v>
      </c>
      <c r="G1153">
        <v>22.7</v>
      </c>
      <c r="H1153">
        <f t="shared" si="120"/>
        <v>22.7</v>
      </c>
      <c r="I1153">
        <f t="shared" si="119"/>
        <v>6.3055555555555556E-3</v>
      </c>
      <c r="J1153">
        <v>20.13</v>
      </c>
      <c r="K1153">
        <f t="shared" si="121"/>
        <v>20.13</v>
      </c>
      <c r="L1153">
        <f t="shared" si="122"/>
        <v>61.722899999999996</v>
      </c>
      <c r="M1153">
        <f t="shared" si="123"/>
        <v>61722.899999999994</v>
      </c>
      <c r="N1153">
        <f t="shared" si="124"/>
        <v>58.502020081589997</v>
      </c>
      <c r="O1153">
        <f t="shared" si="125"/>
        <v>2.0462887717220464</v>
      </c>
    </row>
    <row r="1154" spans="6:15" x14ac:dyDescent="0.45">
      <c r="F1154">
        <v>1152</v>
      </c>
      <c r="G1154">
        <v>23.5</v>
      </c>
      <c r="H1154">
        <f t="shared" si="120"/>
        <v>23.5</v>
      </c>
      <c r="I1154">
        <f t="shared" ref="I1154:I1217" si="126">H1154*(1/3600)</f>
        <v>6.5277777777777782E-3</v>
      </c>
      <c r="J1154">
        <v>7.76</v>
      </c>
      <c r="K1154">
        <f t="shared" si="121"/>
        <v>7.76</v>
      </c>
      <c r="L1154">
        <f t="shared" si="122"/>
        <v>30.797899999999998</v>
      </c>
      <c r="M1154">
        <f t="shared" si="123"/>
        <v>30797.899999999998</v>
      </c>
      <c r="N1154">
        <f t="shared" si="124"/>
        <v>29.190776264089997</v>
      </c>
      <c r="O1154">
        <f t="shared" si="125"/>
        <v>1.0210375235547651</v>
      </c>
    </row>
    <row r="1155" spans="6:15" x14ac:dyDescent="0.45">
      <c r="F1155">
        <v>1153</v>
      </c>
      <c r="G1155">
        <v>23.4</v>
      </c>
      <c r="H1155">
        <f t="shared" ref="H1155:H1218" si="127">IF(G1155&lt;0,0,G1155)</f>
        <v>23.4</v>
      </c>
      <c r="I1155">
        <f t="shared" si="126"/>
        <v>6.4999999999999997E-3</v>
      </c>
      <c r="J1155">
        <v>1.46</v>
      </c>
      <c r="K1155">
        <f t="shared" ref="K1155:K1218" si="128">IF(J1155&lt;0,0,J1155)</f>
        <v>1.46</v>
      </c>
      <c r="L1155">
        <f t="shared" ref="L1155:L1218" si="129">(1/$B$5)*K1155+((3.4798*$B$6)+0.9585)</f>
        <v>15.0479</v>
      </c>
      <c r="M1155">
        <f t="shared" ref="M1155:M1218" si="130">L1155*1000</f>
        <v>15047.9</v>
      </c>
      <c r="N1155">
        <f t="shared" ref="N1155:N1218" si="131">M1155*0.0009478171</f>
        <v>14.26265693909</v>
      </c>
      <c r="O1155">
        <f t="shared" ref="O1155:O1218" si="132">(M1155*453.59237)/(18489*0.74*1000)</f>
        <v>0.4988804610281789</v>
      </c>
    </row>
    <row r="1156" spans="6:15" x14ac:dyDescent="0.45">
      <c r="F1156">
        <v>1154</v>
      </c>
      <c r="G1156">
        <v>22.2</v>
      </c>
      <c r="H1156">
        <f t="shared" si="127"/>
        <v>22.2</v>
      </c>
      <c r="I1156">
        <f t="shared" si="126"/>
        <v>6.1666666666666667E-3</v>
      </c>
      <c r="J1156">
        <v>-0.95</v>
      </c>
      <c r="K1156">
        <f t="shared" si="128"/>
        <v>0</v>
      </c>
      <c r="L1156">
        <f t="shared" si="129"/>
        <v>11.3979</v>
      </c>
      <c r="M1156">
        <f t="shared" si="130"/>
        <v>11397.9</v>
      </c>
      <c r="N1156">
        <f t="shared" si="131"/>
        <v>10.80312452409</v>
      </c>
      <c r="O1156">
        <f t="shared" si="132"/>
        <v>0.377872633839478</v>
      </c>
    </row>
    <row r="1157" spans="6:15" x14ac:dyDescent="0.45">
      <c r="F1157">
        <v>1155</v>
      </c>
      <c r="G1157">
        <v>19.5</v>
      </c>
      <c r="H1157">
        <f t="shared" si="127"/>
        <v>19.5</v>
      </c>
      <c r="I1157">
        <f t="shared" si="126"/>
        <v>5.4166666666666669E-3</v>
      </c>
      <c r="J1157">
        <v>-0.32</v>
      </c>
      <c r="K1157">
        <f t="shared" si="128"/>
        <v>0</v>
      </c>
      <c r="L1157">
        <f t="shared" si="129"/>
        <v>11.3979</v>
      </c>
      <c r="M1157">
        <f t="shared" si="130"/>
        <v>11397.9</v>
      </c>
      <c r="N1157">
        <f t="shared" si="131"/>
        <v>10.80312452409</v>
      </c>
      <c r="O1157">
        <f t="shared" si="132"/>
        <v>0.377872633839478</v>
      </c>
    </row>
    <row r="1158" spans="6:15" x14ac:dyDescent="0.45">
      <c r="F1158">
        <v>1156</v>
      </c>
      <c r="G1158">
        <v>16.399999999999999</v>
      </c>
      <c r="H1158">
        <f t="shared" si="127"/>
        <v>16.399999999999999</v>
      </c>
      <c r="I1158">
        <f t="shared" si="126"/>
        <v>4.5555555555555549E-3</v>
      </c>
      <c r="J1158">
        <v>-0.05</v>
      </c>
      <c r="K1158">
        <f t="shared" si="128"/>
        <v>0</v>
      </c>
      <c r="L1158">
        <f t="shared" si="129"/>
        <v>11.3979</v>
      </c>
      <c r="M1158">
        <f t="shared" si="130"/>
        <v>11397.9</v>
      </c>
      <c r="N1158">
        <f t="shared" si="131"/>
        <v>10.80312452409</v>
      </c>
      <c r="O1158">
        <f t="shared" si="132"/>
        <v>0.377872633839478</v>
      </c>
    </row>
    <row r="1159" spans="6:15" x14ac:dyDescent="0.45">
      <c r="F1159">
        <v>1157</v>
      </c>
      <c r="G1159">
        <v>12.8</v>
      </c>
      <c r="H1159">
        <f t="shared" si="127"/>
        <v>12.8</v>
      </c>
      <c r="I1159">
        <f t="shared" si="126"/>
        <v>3.5555555555555557E-3</v>
      </c>
      <c r="J1159">
        <v>0</v>
      </c>
      <c r="K1159">
        <f t="shared" si="128"/>
        <v>0</v>
      </c>
      <c r="L1159">
        <f t="shared" si="129"/>
        <v>11.3979</v>
      </c>
      <c r="M1159">
        <f t="shared" si="130"/>
        <v>11397.9</v>
      </c>
      <c r="N1159">
        <f t="shared" si="131"/>
        <v>10.80312452409</v>
      </c>
      <c r="O1159">
        <f t="shared" si="132"/>
        <v>0.377872633839478</v>
      </c>
    </row>
    <row r="1160" spans="6:15" x14ac:dyDescent="0.45">
      <c r="F1160">
        <v>1158</v>
      </c>
      <c r="G1160">
        <v>9.1</v>
      </c>
      <c r="H1160">
        <f t="shared" si="127"/>
        <v>9.1</v>
      </c>
      <c r="I1160">
        <f t="shared" si="126"/>
        <v>2.5277777777777777E-3</v>
      </c>
      <c r="J1160">
        <v>0.52</v>
      </c>
      <c r="K1160">
        <f t="shared" si="128"/>
        <v>0.52</v>
      </c>
      <c r="L1160">
        <f t="shared" si="129"/>
        <v>12.697900000000001</v>
      </c>
      <c r="M1160">
        <f t="shared" si="130"/>
        <v>12697.900000000001</v>
      </c>
      <c r="N1160">
        <f t="shared" si="131"/>
        <v>12.035286754090002</v>
      </c>
      <c r="O1160">
        <f t="shared" si="132"/>
        <v>0.42097131201627563</v>
      </c>
    </row>
    <row r="1161" spans="6:15" x14ac:dyDescent="0.45">
      <c r="F1161">
        <v>1159</v>
      </c>
      <c r="G1161">
        <v>5.6</v>
      </c>
      <c r="H1161">
        <f t="shared" si="127"/>
        <v>5.6</v>
      </c>
      <c r="I1161">
        <f t="shared" si="126"/>
        <v>1.5555555555555555E-3</v>
      </c>
      <c r="J1161">
        <v>0.95</v>
      </c>
      <c r="K1161">
        <f t="shared" si="128"/>
        <v>0.95</v>
      </c>
      <c r="L1161">
        <f t="shared" si="129"/>
        <v>13.7729</v>
      </c>
      <c r="M1161">
        <f t="shared" si="130"/>
        <v>13772.9</v>
      </c>
      <c r="N1161">
        <f t="shared" si="131"/>
        <v>13.05419013659</v>
      </c>
      <c r="O1161">
        <f t="shared" si="132"/>
        <v>0.45661060358555056</v>
      </c>
    </row>
    <row r="1162" spans="6:15" x14ac:dyDescent="0.45">
      <c r="F1162">
        <v>1160</v>
      </c>
      <c r="G1162">
        <v>2.5</v>
      </c>
      <c r="H1162">
        <f t="shared" si="127"/>
        <v>2.5</v>
      </c>
      <c r="I1162">
        <f t="shared" si="126"/>
        <v>6.9444444444444447E-4</v>
      </c>
      <c r="J1162">
        <v>1.54</v>
      </c>
      <c r="K1162">
        <f t="shared" si="128"/>
        <v>1.54</v>
      </c>
      <c r="L1162">
        <f t="shared" si="129"/>
        <v>15.2479</v>
      </c>
      <c r="M1162">
        <f t="shared" si="130"/>
        <v>15247.9</v>
      </c>
      <c r="N1162">
        <f t="shared" si="131"/>
        <v>14.452220359090001</v>
      </c>
      <c r="O1162">
        <f t="shared" si="132"/>
        <v>0.50551102690153238</v>
      </c>
    </row>
    <row r="1163" spans="6:15" x14ac:dyDescent="0.45">
      <c r="F1163">
        <v>1161</v>
      </c>
      <c r="G1163">
        <v>0.3</v>
      </c>
      <c r="H1163">
        <f t="shared" si="127"/>
        <v>0.3</v>
      </c>
      <c r="I1163">
        <f t="shared" si="126"/>
        <v>8.3333333333333331E-5</v>
      </c>
      <c r="J1163">
        <v>1.66</v>
      </c>
      <c r="K1163">
        <f t="shared" si="128"/>
        <v>1.66</v>
      </c>
      <c r="L1163">
        <f t="shared" si="129"/>
        <v>15.547899999999998</v>
      </c>
      <c r="M1163">
        <f t="shared" si="130"/>
        <v>15547.899999999998</v>
      </c>
      <c r="N1163">
        <f t="shared" si="131"/>
        <v>14.736565489089998</v>
      </c>
      <c r="O1163">
        <f t="shared" si="132"/>
        <v>0.51545687571156262</v>
      </c>
    </row>
    <row r="1164" spans="6:15" x14ac:dyDescent="0.45">
      <c r="F1164">
        <v>1162</v>
      </c>
      <c r="G1164">
        <v>-0.1</v>
      </c>
      <c r="H1164">
        <f t="shared" si="127"/>
        <v>0</v>
      </c>
      <c r="I1164">
        <f t="shared" si="126"/>
        <v>0</v>
      </c>
      <c r="J1164">
        <v>1.82</v>
      </c>
      <c r="K1164">
        <f t="shared" si="128"/>
        <v>1.82</v>
      </c>
      <c r="L1164">
        <f t="shared" si="129"/>
        <v>15.947900000000001</v>
      </c>
      <c r="M1164">
        <f t="shared" si="130"/>
        <v>15947.900000000001</v>
      </c>
      <c r="N1164">
        <f t="shared" si="131"/>
        <v>15.115692329090002</v>
      </c>
      <c r="O1164">
        <f t="shared" si="132"/>
        <v>0.52871800745826969</v>
      </c>
    </row>
    <row r="1165" spans="6:15" x14ac:dyDescent="0.45">
      <c r="F1165">
        <v>1163</v>
      </c>
      <c r="G1165">
        <v>0</v>
      </c>
      <c r="H1165">
        <f t="shared" si="127"/>
        <v>0</v>
      </c>
      <c r="I1165">
        <f t="shared" si="126"/>
        <v>0</v>
      </c>
      <c r="J1165">
        <v>1.62</v>
      </c>
      <c r="K1165">
        <f t="shared" si="128"/>
        <v>1.62</v>
      </c>
      <c r="L1165">
        <f t="shared" si="129"/>
        <v>15.447900000000001</v>
      </c>
      <c r="M1165">
        <f t="shared" si="130"/>
        <v>15447.900000000001</v>
      </c>
      <c r="N1165">
        <f t="shared" si="131"/>
        <v>14.641783779090002</v>
      </c>
      <c r="O1165">
        <f t="shared" si="132"/>
        <v>0.51214159277488591</v>
      </c>
    </row>
    <row r="1166" spans="6:15" x14ac:dyDescent="0.45">
      <c r="F1166">
        <v>1164</v>
      </c>
      <c r="G1166">
        <v>0</v>
      </c>
      <c r="H1166">
        <f t="shared" si="127"/>
        <v>0</v>
      </c>
      <c r="I1166">
        <f t="shared" si="126"/>
        <v>0</v>
      </c>
      <c r="J1166">
        <v>1.26</v>
      </c>
      <c r="K1166">
        <f t="shared" si="128"/>
        <v>1.26</v>
      </c>
      <c r="L1166">
        <f t="shared" si="129"/>
        <v>14.5479</v>
      </c>
      <c r="M1166">
        <f t="shared" si="130"/>
        <v>14547.9</v>
      </c>
      <c r="N1166">
        <f t="shared" si="131"/>
        <v>13.788748389089999</v>
      </c>
      <c r="O1166">
        <f t="shared" si="132"/>
        <v>0.48230404634479523</v>
      </c>
    </row>
    <row r="1167" spans="6:15" x14ac:dyDescent="0.45">
      <c r="F1167">
        <v>1165</v>
      </c>
      <c r="G1167">
        <v>0</v>
      </c>
      <c r="H1167">
        <f t="shared" si="127"/>
        <v>0</v>
      </c>
      <c r="I1167">
        <f t="shared" si="126"/>
        <v>0</v>
      </c>
      <c r="J1167">
        <v>1.35</v>
      </c>
      <c r="K1167">
        <f t="shared" si="128"/>
        <v>1.35</v>
      </c>
      <c r="L1167">
        <f t="shared" si="129"/>
        <v>14.7729</v>
      </c>
      <c r="M1167">
        <f t="shared" si="130"/>
        <v>14772.9</v>
      </c>
      <c r="N1167">
        <f t="shared" si="131"/>
        <v>14.00200723659</v>
      </c>
      <c r="O1167">
        <f t="shared" si="132"/>
        <v>0.48976343295231789</v>
      </c>
    </row>
    <row r="1168" spans="6:15" x14ac:dyDescent="0.45">
      <c r="F1168">
        <v>1166</v>
      </c>
      <c r="G1168">
        <v>0</v>
      </c>
      <c r="H1168">
        <f t="shared" si="127"/>
        <v>0</v>
      </c>
      <c r="I1168">
        <f t="shared" si="126"/>
        <v>0</v>
      </c>
      <c r="J1168">
        <v>1.57</v>
      </c>
      <c r="K1168">
        <f t="shared" si="128"/>
        <v>1.57</v>
      </c>
      <c r="L1168">
        <f t="shared" si="129"/>
        <v>15.322900000000001</v>
      </c>
      <c r="M1168">
        <f t="shared" si="130"/>
        <v>15322.900000000001</v>
      </c>
      <c r="N1168">
        <f t="shared" si="131"/>
        <v>14.523306641590002</v>
      </c>
      <c r="O1168">
        <f t="shared" si="132"/>
        <v>0.50799748910403997</v>
      </c>
    </row>
    <row r="1169" spans="6:15" x14ac:dyDescent="0.45">
      <c r="F1169">
        <v>1167</v>
      </c>
      <c r="G1169">
        <v>0</v>
      </c>
      <c r="H1169">
        <f t="shared" si="127"/>
        <v>0</v>
      </c>
      <c r="I1169">
        <f t="shared" si="126"/>
        <v>0</v>
      </c>
      <c r="J1169">
        <v>0.91</v>
      </c>
      <c r="K1169">
        <f t="shared" si="128"/>
        <v>0.91</v>
      </c>
      <c r="L1169">
        <f t="shared" si="129"/>
        <v>13.6729</v>
      </c>
      <c r="M1169">
        <f t="shared" si="130"/>
        <v>13672.9</v>
      </c>
      <c r="N1169">
        <f t="shared" si="131"/>
        <v>12.95940842659</v>
      </c>
      <c r="O1169">
        <f t="shared" si="132"/>
        <v>0.45329532064887373</v>
      </c>
    </row>
    <row r="1170" spans="6:15" x14ac:dyDescent="0.45">
      <c r="F1170">
        <v>1168</v>
      </c>
      <c r="G1170">
        <v>0</v>
      </c>
      <c r="H1170">
        <f t="shared" si="127"/>
        <v>0</v>
      </c>
      <c r="I1170">
        <f t="shared" si="126"/>
        <v>0</v>
      </c>
      <c r="J1170">
        <v>1.27</v>
      </c>
      <c r="K1170">
        <f t="shared" si="128"/>
        <v>1.27</v>
      </c>
      <c r="L1170">
        <f t="shared" si="129"/>
        <v>14.572900000000001</v>
      </c>
      <c r="M1170">
        <f t="shared" si="130"/>
        <v>14572.900000000001</v>
      </c>
      <c r="N1170">
        <f t="shared" si="131"/>
        <v>13.812443816590001</v>
      </c>
      <c r="O1170">
        <f t="shared" si="132"/>
        <v>0.48313286707896447</v>
      </c>
    </row>
    <row r="1171" spans="6:15" x14ac:dyDescent="0.45">
      <c r="F1171">
        <v>1169</v>
      </c>
      <c r="G1171">
        <v>0</v>
      </c>
      <c r="H1171">
        <f t="shared" si="127"/>
        <v>0</v>
      </c>
      <c r="I1171">
        <f t="shared" si="126"/>
        <v>0</v>
      </c>
      <c r="J1171">
        <v>1.51</v>
      </c>
      <c r="K1171">
        <f t="shared" si="128"/>
        <v>1.51</v>
      </c>
      <c r="L1171">
        <f t="shared" si="129"/>
        <v>15.1729</v>
      </c>
      <c r="M1171">
        <f t="shared" si="130"/>
        <v>15172.9</v>
      </c>
      <c r="N1171">
        <f t="shared" si="131"/>
        <v>14.38113407659</v>
      </c>
      <c r="O1171">
        <f t="shared" si="132"/>
        <v>0.5030245646990249</v>
      </c>
    </row>
    <row r="1172" spans="6:15" x14ac:dyDescent="0.45">
      <c r="F1172">
        <v>1170</v>
      </c>
      <c r="G1172">
        <v>0</v>
      </c>
      <c r="H1172">
        <f t="shared" si="127"/>
        <v>0</v>
      </c>
      <c r="I1172">
        <f t="shared" si="126"/>
        <v>0</v>
      </c>
      <c r="J1172">
        <v>0.92</v>
      </c>
      <c r="K1172">
        <f t="shared" si="128"/>
        <v>0.92</v>
      </c>
      <c r="L1172">
        <f t="shared" si="129"/>
        <v>13.697900000000001</v>
      </c>
      <c r="M1172">
        <f t="shared" si="130"/>
        <v>13697.900000000001</v>
      </c>
      <c r="N1172">
        <f t="shared" si="131"/>
        <v>12.983103854090002</v>
      </c>
      <c r="O1172">
        <f t="shared" si="132"/>
        <v>0.45412414138304302</v>
      </c>
    </row>
    <row r="1173" spans="6:15" x14ac:dyDescent="0.45">
      <c r="F1173">
        <v>1171</v>
      </c>
      <c r="G1173">
        <v>0</v>
      </c>
      <c r="H1173">
        <f t="shared" si="127"/>
        <v>0</v>
      </c>
      <c r="I1173">
        <f t="shared" si="126"/>
        <v>0</v>
      </c>
      <c r="J1173">
        <v>1.36</v>
      </c>
      <c r="K1173">
        <f t="shared" si="128"/>
        <v>1.36</v>
      </c>
      <c r="L1173">
        <f t="shared" si="129"/>
        <v>14.7979</v>
      </c>
      <c r="M1173">
        <f t="shared" si="130"/>
        <v>14797.9</v>
      </c>
      <c r="N1173">
        <f t="shared" si="131"/>
        <v>14.02570266409</v>
      </c>
      <c r="O1173">
        <f t="shared" si="132"/>
        <v>0.49059225368648712</v>
      </c>
    </row>
    <row r="1174" spans="6:15" x14ac:dyDescent="0.45">
      <c r="F1174">
        <v>1172</v>
      </c>
      <c r="G1174">
        <v>0</v>
      </c>
      <c r="H1174">
        <f t="shared" si="127"/>
        <v>0</v>
      </c>
      <c r="I1174">
        <f t="shared" si="126"/>
        <v>0</v>
      </c>
      <c r="J1174">
        <v>1.3</v>
      </c>
      <c r="K1174">
        <f t="shared" si="128"/>
        <v>1.3</v>
      </c>
      <c r="L1174">
        <f t="shared" si="129"/>
        <v>14.6479</v>
      </c>
      <c r="M1174">
        <f t="shared" si="130"/>
        <v>14647.9</v>
      </c>
      <c r="N1174">
        <f t="shared" si="131"/>
        <v>13.883530099090001</v>
      </c>
      <c r="O1174">
        <f t="shared" si="132"/>
        <v>0.48561932928147195</v>
      </c>
    </row>
    <row r="1175" spans="6:15" x14ac:dyDescent="0.45">
      <c r="F1175">
        <v>1173</v>
      </c>
      <c r="G1175">
        <v>1.1000000000000001</v>
      </c>
      <c r="H1175">
        <f t="shared" si="127"/>
        <v>1.1000000000000001</v>
      </c>
      <c r="I1175">
        <f t="shared" si="126"/>
        <v>3.055555555555556E-4</v>
      </c>
      <c r="J1175">
        <v>1.17</v>
      </c>
      <c r="K1175">
        <f t="shared" si="128"/>
        <v>1.17</v>
      </c>
      <c r="L1175">
        <f t="shared" si="129"/>
        <v>14.322900000000001</v>
      </c>
      <c r="M1175">
        <f t="shared" si="130"/>
        <v>14322.900000000001</v>
      </c>
      <c r="N1175">
        <f t="shared" si="131"/>
        <v>13.575489541590002</v>
      </c>
      <c r="O1175">
        <f t="shared" si="132"/>
        <v>0.47484465973727263</v>
      </c>
    </row>
    <row r="1176" spans="6:15" x14ac:dyDescent="0.45">
      <c r="F1176">
        <v>1174</v>
      </c>
      <c r="G1176">
        <v>4.2</v>
      </c>
      <c r="H1176">
        <f t="shared" si="127"/>
        <v>4.2</v>
      </c>
      <c r="I1176">
        <f t="shared" si="126"/>
        <v>1.1666666666666668E-3</v>
      </c>
      <c r="J1176">
        <v>10.45</v>
      </c>
      <c r="K1176">
        <f t="shared" si="128"/>
        <v>10.45</v>
      </c>
      <c r="L1176">
        <f t="shared" si="129"/>
        <v>37.5229</v>
      </c>
      <c r="M1176">
        <f t="shared" si="130"/>
        <v>37522.9</v>
      </c>
      <c r="N1176">
        <f t="shared" si="131"/>
        <v>35.564846261590006</v>
      </c>
      <c r="O1176">
        <f t="shared" si="132"/>
        <v>1.2439903010462761</v>
      </c>
    </row>
    <row r="1177" spans="6:15" x14ac:dyDescent="0.45">
      <c r="F1177">
        <v>1175</v>
      </c>
      <c r="G1177">
        <v>7.4</v>
      </c>
      <c r="H1177">
        <f t="shared" si="127"/>
        <v>7.4</v>
      </c>
      <c r="I1177">
        <f t="shared" si="126"/>
        <v>2.0555555555555557E-3</v>
      </c>
      <c r="J1177">
        <v>15.1</v>
      </c>
      <c r="K1177">
        <f t="shared" si="128"/>
        <v>15.1</v>
      </c>
      <c r="L1177">
        <f t="shared" si="129"/>
        <v>49.1479</v>
      </c>
      <c r="M1177">
        <f t="shared" si="130"/>
        <v>49147.9</v>
      </c>
      <c r="N1177">
        <f t="shared" si="131"/>
        <v>46.583220049090002</v>
      </c>
      <c r="O1177">
        <f t="shared" si="132"/>
        <v>1.6293919424349468</v>
      </c>
    </row>
    <row r="1178" spans="6:15" x14ac:dyDescent="0.45">
      <c r="F1178">
        <v>1176</v>
      </c>
      <c r="G1178">
        <v>9.9</v>
      </c>
      <c r="H1178">
        <f t="shared" si="127"/>
        <v>9.9</v>
      </c>
      <c r="I1178">
        <f t="shared" si="126"/>
        <v>2.7500000000000003E-3</v>
      </c>
      <c r="J1178">
        <v>16.36</v>
      </c>
      <c r="K1178">
        <f t="shared" si="128"/>
        <v>16.36</v>
      </c>
      <c r="L1178">
        <f t="shared" si="129"/>
        <v>52.297899999999998</v>
      </c>
      <c r="M1178">
        <f t="shared" si="130"/>
        <v>52297.9</v>
      </c>
      <c r="N1178">
        <f t="shared" si="131"/>
        <v>49.568843914090003</v>
      </c>
      <c r="O1178">
        <f t="shared" si="132"/>
        <v>1.7338233549402642</v>
      </c>
    </row>
    <row r="1179" spans="6:15" x14ac:dyDescent="0.45">
      <c r="F1179">
        <v>1177</v>
      </c>
      <c r="G1179">
        <v>12.1</v>
      </c>
      <c r="H1179">
        <f t="shared" si="127"/>
        <v>12.1</v>
      </c>
      <c r="I1179">
        <f t="shared" si="126"/>
        <v>3.3611111111111112E-3</v>
      </c>
      <c r="J1179">
        <v>11.7</v>
      </c>
      <c r="K1179">
        <f t="shared" si="128"/>
        <v>11.7</v>
      </c>
      <c r="L1179">
        <f t="shared" si="129"/>
        <v>40.6479</v>
      </c>
      <c r="M1179">
        <f t="shared" si="130"/>
        <v>40647.9</v>
      </c>
      <c r="N1179">
        <f t="shared" si="131"/>
        <v>38.526774699090005</v>
      </c>
      <c r="O1179">
        <f t="shared" si="132"/>
        <v>1.3475928928174241</v>
      </c>
    </row>
    <row r="1180" spans="6:15" x14ac:dyDescent="0.45">
      <c r="F1180">
        <v>1178</v>
      </c>
      <c r="G1180">
        <v>13.2</v>
      </c>
      <c r="H1180">
        <f t="shared" si="127"/>
        <v>13.2</v>
      </c>
      <c r="I1180">
        <f t="shared" si="126"/>
        <v>3.6666666666666666E-3</v>
      </c>
      <c r="J1180">
        <v>7.43</v>
      </c>
      <c r="K1180">
        <f t="shared" si="128"/>
        <v>7.43</v>
      </c>
      <c r="L1180">
        <f t="shared" si="129"/>
        <v>29.972899999999999</v>
      </c>
      <c r="M1180">
        <f t="shared" si="130"/>
        <v>29972.899999999998</v>
      </c>
      <c r="N1180">
        <f t="shared" si="131"/>
        <v>28.40882715659</v>
      </c>
      <c r="O1180">
        <f t="shared" si="132"/>
        <v>0.99368643932718204</v>
      </c>
    </row>
    <row r="1181" spans="6:15" x14ac:dyDescent="0.45">
      <c r="F1181">
        <v>1179</v>
      </c>
      <c r="G1181">
        <v>13.4</v>
      </c>
      <c r="H1181">
        <f t="shared" si="127"/>
        <v>13.4</v>
      </c>
      <c r="I1181">
        <f t="shared" si="126"/>
        <v>3.7222222222222223E-3</v>
      </c>
      <c r="J1181">
        <v>1.6</v>
      </c>
      <c r="K1181">
        <f t="shared" si="128"/>
        <v>1.6</v>
      </c>
      <c r="L1181">
        <f t="shared" si="129"/>
        <v>15.3979</v>
      </c>
      <c r="M1181">
        <f t="shared" si="130"/>
        <v>15397.9</v>
      </c>
      <c r="N1181">
        <f t="shared" si="131"/>
        <v>14.59439292409</v>
      </c>
      <c r="O1181">
        <f t="shared" si="132"/>
        <v>0.51048395130654745</v>
      </c>
    </row>
    <row r="1182" spans="6:15" x14ac:dyDescent="0.45">
      <c r="F1182">
        <v>1180</v>
      </c>
      <c r="G1182">
        <v>13.2</v>
      </c>
      <c r="H1182">
        <f t="shared" si="127"/>
        <v>13.2</v>
      </c>
      <c r="I1182">
        <f t="shared" si="126"/>
        <v>3.6666666666666666E-3</v>
      </c>
      <c r="J1182">
        <v>1.2</v>
      </c>
      <c r="K1182">
        <f t="shared" si="128"/>
        <v>1.2</v>
      </c>
      <c r="L1182">
        <f t="shared" si="129"/>
        <v>14.3979</v>
      </c>
      <c r="M1182">
        <f t="shared" si="130"/>
        <v>14397.9</v>
      </c>
      <c r="N1182">
        <f t="shared" si="131"/>
        <v>13.64657582409</v>
      </c>
      <c r="O1182">
        <f t="shared" si="132"/>
        <v>0.47733112193978011</v>
      </c>
    </row>
    <row r="1183" spans="6:15" x14ac:dyDescent="0.45">
      <c r="F1183">
        <v>1181</v>
      </c>
      <c r="G1183">
        <v>13.3</v>
      </c>
      <c r="H1183">
        <f t="shared" si="127"/>
        <v>13.3</v>
      </c>
      <c r="I1183">
        <f t="shared" si="126"/>
        <v>3.6944444444444446E-3</v>
      </c>
      <c r="J1183">
        <v>3.52</v>
      </c>
      <c r="K1183">
        <f t="shared" si="128"/>
        <v>3.52</v>
      </c>
      <c r="L1183">
        <f t="shared" si="129"/>
        <v>20.197900000000001</v>
      </c>
      <c r="M1183">
        <f t="shared" si="130"/>
        <v>20197.900000000001</v>
      </c>
      <c r="N1183">
        <f t="shared" si="131"/>
        <v>19.143915004090001</v>
      </c>
      <c r="O1183">
        <f t="shared" si="132"/>
        <v>0.66961753226703113</v>
      </c>
    </row>
    <row r="1184" spans="6:15" x14ac:dyDescent="0.45">
      <c r="F1184">
        <v>1182</v>
      </c>
      <c r="G1184">
        <v>13.4</v>
      </c>
      <c r="H1184">
        <f t="shared" si="127"/>
        <v>13.4</v>
      </c>
      <c r="I1184">
        <f t="shared" si="126"/>
        <v>3.7222222222222223E-3</v>
      </c>
      <c r="J1184">
        <v>0.94</v>
      </c>
      <c r="K1184">
        <f t="shared" si="128"/>
        <v>0.94</v>
      </c>
      <c r="L1184">
        <f t="shared" si="129"/>
        <v>13.7479</v>
      </c>
      <c r="M1184">
        <f t="shared" si="130"/>
        <v>13747.9</v>
      </c>
      <c r="N1184">
        <f t="shared" si="131"/>
        <v>13.03049470909</v>
      </c>
      <c r="O1184">
        <f t="shared" si="132"/>
        <v>0.45578178285138127</v>
      </c>
    </row>
    <row r="1185" spans="6:15" x14ac:dyDescent="0.45">
      <c r="F1185">
        <v>1183</v>
      </c>
      <c r="G1185">
        <v>13.5</v>
      </c>
      <c r="H1185">
        <f t="shared" si="127"/>
        <v>13.5</v>
      </c>
      <c r="I1185">
        <f t="shared" si="126"/>
        <v>3.7499999999999999E-3</v>
      </c>
      <c r="J1185">
        <v>3.99</v>
      </c>
      <c r="K1185">
        <f t="shared" si="128"/>
        <v>3.99</v>
      </c>
      <c r="L1185">
        <f t="shared" si="129"/>
        <v>21.372900000000001</v>
      </c>
      <c r="M1185">
        <f t="shared" si="130"/>
        <v>21372.9</v>
      </c>
      <c r="N1185">
        <f t="shared" si="131"/>
        <v>20.257600096590004</v>
      </c>
      <c r="O1185">
        <f t="shared" si="132"/>
        <v>0.70857210677298277</v>
      </c>
    </row>
    <row r="1186" spans="6:15" x14ac:dyDescent="0.45">
      <c r="F1186">
        <v>1184</v>
      </c>
      <c r="G1186">
        <v>14.2</v>
      </c>
      <c r="H1186">
        <f t="shared" si="127"/>
        <v>14.2</v>
      </c>
      <c r="I1186">
        <f t="shared" si="126"/>
        <v>3.944444444444444E-3</v>
      </c>
      <c r="J1186">
        <v>7.4</v>
      </c>
      <c r="K1186">
        <f t="shared" si="128"/>
        <v>7.4</v>
      </c>
      <c r="L1186">
        <f t="shared" si="129"/>
        <v>29.8979</v>
      </c>
      <c r="M1186">
        <f t="shared" si="130"/>
        <v>29897.9</v>
      </c>
      <c r="N1186">
        <f t="shared" si="131"/>
        <v>28.337740874090002</v>
      </c>
      <c r="O1186">
        <f t="shared" si="132"/>
        <v>0.99119997712467467</v>
      </c>
    </row>
    <row r="1187" spans="6:15" x14ac:dyDescent="0.45">
      <c r="F1187">
        <v>1185</v>
      </c>
      <c r="G1187">
        <v>16</v>
      </c>
      <c r="H1187">
        <f t="shared" si="127"/>
        <v>16</v>
      </c>
      <c r="I1187">
        <f t="shared" si="126"/>
        <v>4.4444444444444444E-3</v>
      </c>
      <c r="J1187">
        <v>15.29</v>
      </c>
      <c r="K1187">
        <f t="shared" si="128"/>
        <v>15.29</v>
      </c>
      <c r="L1187">
        <f t="shared" si="129"/>
        <v>49.622899999999994</v>
      </c>
      <c r="M1187">
        <f t="shared" si="130"/>
        <v>49622.899999999994</v>
      </c>
      <c r="N1187">
        <f t="shared" si="131"/>
        <v>47.033433171589998</v>
      </c>
      <c r="O1187">
        <f t="shared" si="132"/>
        <v>1.645139536384161</v>
      </c>
    </row>
    <row r="1188" spans="6:15" x14ac:dyDescent="0.45">
      <c r="F1188">
        <v>1186</v>
      </c>
      <c r="G1188">
        <v>17.399999999999999</v>
      </c>
      <c r="H1188">
        <f t="shared" si="127"/>
        <v>17.399999999999999</v>
      </c>
      <c r="I1188">
        <f t="shared" si="126"/>
        <v>4.8333333333333327E-3</v>
      </c>
      <c r="J1188">
        <v>7.55</v>
      </c>
      <c r="K1188">
        <f t="shared" si="128"/>
        <v>7.55</v>
      </c>
      <c r="L1188">
        <f t="shared" si="129"/>
        <v>30.2729</v>
      </c>
      <c r="M1188">
        <f t="shared" si="130"/>
        <v>30272.9</v>
      </c>
      <c r="N1188">
        <f t="shared" si="131"/>
        <v>28.693172286590002</v>
      </c>
      <c r="O1188">
        <f t="shared" si="132"/>
        <v>1.0036322881372124</v>
      </c>
    </row>
    <row r="1189" spans="6:15" x14ac:dyDescent="0.45">
      <c r="F1189">
        <v>1187</v>
      </c>
      <c r="G1189">
        <v>18.399999999999999</v>
      </c>
      <c r="H1189">
        <f t="shared" si="127"/>
        <v>18.399999999999999</v>
      </c>
      <c r="I1189">
        <f t="shared" si="126"/>
        <v>5.1111111111111105E-3</v>
      </c>
      <c r="J1189">
        <v>15.58</v>
      </c>
      <c r="K1189">
        <f t="shared" si="128"/>
        <v>15.58</v>
      </c>
      <c r="L1189">
        <f t="shared" si="129"/>
        <v>50.347900000000003</v>
      </c>
      <c r="M1189">
        <f t="shared" si="130"/>
        <v>50347.9</v>
      </c>
      <c r="N1189">
        <f t="shared" si="131"/>
        <v>47.720600569090003</v>
      </c>
      <c r="O1189">
        <f t="shared" si="132"/>
        <v>1.6691753376750678</v>
      </c>
    </row>
    <row r="1190" spans="6:15" x14ac:dyDescent="0.45">
      <c r="F1190">
        <v>1188</v>
      </c>
      <c r="G1190">
        <v>19.899999999999999</v>
      </c>
      <c r="H1190">
        <f t="shared" si="127"/>
        <v>19.899999999999999</v>
      </c>
      <c r="I1190">
        <f t="shared" si="126"/>
        <v>5.5277777777777773E-3</v>
      </c>
      <c r="J1190">
        <v>14.6</v>
      </c>
      <c r="K1190">
        <f t="shared" si="128"/>
        <v>14.6</v>
      </c>
      <c r="L1190">
        <f t="shared" si="129"/>
        <v>47.8979</v>
      </c>
      <c r="M1190">
        <f t="shared" si="130"/>
        <v>47897.9</v>
      </c>
      <c r="N1190">
        <f t="shared" si="131"/>
        <v>45.398448674090005</v>
      </c>
      <c r="O1190">
        <f t="shared" si="132"/>
        <v>1.5879509057264876</v>
      </c>
    </row>
    <row r="1191" spans="6:15" x14ac:dyDescent="0.45">
      <c r="F1191">
        <v>1189</v>
      </c>
      <c r="G1191">
        <v>21.3</v>
      </c>
      <c r="H1191">
        <f t="shared" si="127"/>
        <v>21.3</v>
      </c>
      <c r="I1191">
        <f t="shared" si="126"/>
        <v>5.9166666666666664E-3</v>
      </c>
      <c r="J1191">
        <v>13.2</v>
      </c>
      <c r="K1191">
        <f t="shared" si="128"/>
        <v>13.2</v>
      </c>
      <c r="L1191">
        <f t="shared" si="129"/>
        <v>44.3979</v>
      </c>
      <c r="M1191">
        <f t="shared" si="130"/>
        <v>44397.9</v>
      </c>
      <c r="N1191">
        <f t="shared" si="131"/>
        <v>42.081088824090003</v>
      </c>
      <c r="O1191">
        <f t="shared" si="132"/>
        <v>1.4719160029428016</v>
      </c>
    </row>
    <row r="1192" spans="6:15" x14ac:dyDescent="0.45">
      <c r="F1192">
        <v>1190</v>
      </c>
      <c r="G1192">
        <v>21.6</v>
      </c>
      <c r="H1192">
        <f t="shared" si="127"/>
        <v>21.6</v>
      </c>
      <c r="I1192">
        <f t="shared" si="126"/>
        <v>6.0000000000000001E-3</v>
      </c>
      <c r="J1192">
        <v>9.91</v>
      </c>
      <c r="K1192">
        <f t="shared" si="128"/>
        <v>9.91</v>
      </c>
      <c r="L1192">
        <f t="shared" si="129"/>
        <v>36.172899999999998</v>
      </c>
      <c r="M1192">
        <f t="shared" si="130"/>
        <v>36172.9</v>
      </c>
      <c r="N1192">
        <f t="shared" si="131"/>
        <v>34.285293176590002</v>
      </c>
      <c r="O1192">
        <f t="shared" si="132"/>
        <v>1.1992339814011399</v>
      </c>
    </row>
    <row r="1193" spans="6:15" x14ac:dyDescent="0.45">
      <c r="F1193">
        <v>1191</v>
      </c>
      <c r="G1193">
        <v>21.8</v>
      </c>
      <c r="H1193">
        <f t="shared" si="127"/>
        <v>21.8</v>
      </c>
      <c r="I1193">
        <f t="shared" si="126"/>
        <v>6.0555555555555553E-3</v>
      </c>
      <c r="J1193">
        <v>4.28</v>
      </c>
      <c r="K1193">
        <f t="shared" si="128"/>
        <v>4.28</v>
      </c>
      <c r="L1193">
        <f t="shared" si="129"/>
        <v>22.097900000000003</v>
      </c>
      <c r="M1193">
        <f t="shared" si="130"/>
        <v>22097.9</v>
      </c>
      <c r="N1193">
        <f t="shared" si="131"/>
        <v>20.944767494090001</v>
      </c>
      <c r="O1193">
        <f t="shared" si="132"/>
        <v>0.73260790806388898</v>
      </c>
    </row>
    <row r="1194" spans="6:15" x14ac:dyDescent="0.45">
      <c r="F1194">
        <v>1192</v>
      </c>
      <c r="G1194">
        <v>21.8</v>
      </c>
      <c r="H1194">
        <f t="shared" si="127"/>
        <v>21.8</v>
      </c>
      <c r="I1194">
        <f t="shared" si="126"/>
        <v>6.0555555555555553E-3</v>
      </c>
      <c r="J1194">
        <v>3.48</v>
      </c>
      <c r="K1194">
        <f t="shared" si="128"/>
        <v>3.48</v>
      </c>
      <c r="L1194">
        <f t="shared" si="129"/>
        <v>20.097899999999999</v>
      </c>
      <c r="M1194">
        <f t="shared" si="130"/>
        <v>20097.899999999998</v>
      </c>
      <c r="N1194">
        <f t="shared" si="131"/>
        <v>19.049133294089998</v>
      </c>
      <c r="O1194">
        <f t="shared" si="132"/>
        <v>0.66630224933035409</v>
      </c>
    </row>
    <row r="1195" spans="6:15" x14ac:dyDescent="0.45">
      <c r="F1195">
        <v>1193</v>
      </c>
      <c r="G1195">
        <v>21.6</v>
      </c>
      <c r="H1195">
        <f t="shared" si="127"/>
        <v>21.6</v>
      </c>
      <c r="I1195">
        <f t="shared" si="126"/>
        <v>6.0000000000000001E-3</v>
      </c>
      <c r="J1195">
        <v>-0.2</v>
      </c>
      <c r="K1195">
        <f t="shared" si="128"/>
        <v>0</v>
      </c>
      <c r="L1195">
        <f t="shared" si="129"/>
        <v>11.3979</v>
      </c>
      <c r="M1195">
        <f t="shared" si="130"/>
        <v>11397.9</v>
      </c>
      <c r="N1195">
        <f t="shared" si="131"/>
        <v>10.80312452409</v>
      </c>
      <c r="O1195">
        <f t="shared" si="132"/>
        <v>0.377872633839478</v>
      </c>
    </row>
    <row r="1196" spans="6:15" x14ac:dyDescent="0.45">
      <c r="F1196">
        <v>1194</v>
      </c>
      <c r="G1196">
        <v>21.1</v>
      </c>
      <c r="H1196">
        <f t="shared" si="127"/>
        <v>21.1</v>
      </c>
      <c r="I1196">
        <f t="shared" si="126"/>
        <v>5.8611111111111112E-3</v>
      </c>
      <c r="J1196">
        <v>0.46</v>
      </c>
      <c r="K1196">
        <f t="shared" si="128"/>
        <v>0.46</v>
      </c>
      <c r="L1196">
        <f t="shared" si="129"/>
        <v>12.5479</v>
      </c>
      <c r="M1196">
        <f t="shared" si="130"/>
        <v>12547.9</v>
      </c>
      <c r="N1196">
        <f t="shared" si="131"/>
        <v>11.893114189089999</v>
      </c>
      <c r="O1196">
        <f t="shared" si="132"/>
        <v>0.41599838761126046</v>
      </c>
    </row>
    <row r="1197" spans="6:15" x14ac:dyDescent="0.45">
      <c r="F1197">
        <v>1195</v>
      </c>
      <c r="G1197">
        <v>21.3</v>
      </c>
      <c r="H1197">
        <f t="shared" si="127"/>
        <v>21.3</v>
      </c>
      <c r="I1197">
        <f t="shared" si="126"/>
        <v>5.9166666666666664E-3</v>
      </c>
      <c r="J1197">
        <v>8.0299999999999994</v>
      </c>
      <c r="K1197">
        <f t="shared" si="128"/>
        <v>8.0299999999999994</v>
      </c>
      <c r="L1197">
        <f t="shared" si="129"/>
        <v>31.472899999999999</v>
      </c>
      <c r="M1197">
        <f t="shared" si="130"/>
        <v>31472.899999999998</v>
      </c>
      <c r="N1197">
        <f t="shared" si="131"/>
        <v>29.830552806589999</v>
      </c>
      <c r="O1197">
        <f t="shared" si="132"/>
        <v>1.0434156833773331</v>
      </c>
    </row>
    <row r="1198" spans="6:15" x14ac:dyDescent="0.45">
      <c r="F1198">
        <v>1196</v>
      </c>
      <c r="G1198">
        <v>21.7</v>
      </c>
      <c r="H1198">
        <f t="shared" si="127"/>
        <v>21.7</v>
      </c>
      <c r="I1198">
        <f t="shared" si="126"/>
        <v>6.0277777777777777E-3</v>
      </c>
      <c r="J1198">
        <v>3.7</v>
      </c>
      <c r="K1198">
        <f t="shared" si="128"/>
        <v>3.7</v>
      </c>
      <c r="L1198">
        <f t="shared" si="129"/>
        <v>20.6479</v>
      </c>
      <c r="M1198">
        <f t="shared" si="130"/>
        <v>20647.900000000001</v>
      </c>
      <c r="N1198">
        <f t="shared" si="131"/>
        <v>19.570432699090002</v>
      </c>
      <c r="O1198">
        <f t="shared" si="132"/>
        <v>0.68453630548207633</v>
      </c>
    </row>
    <row r="1199" spans="6:15" x14ac:dyDescent="0.45">
      <c r="F1199">
        <v>1197</v>
      </c>
      <c r="G1199">
        <v>22.1</v>
      </c>
      <c r="H1199">
        <f t="shared" si="127"/>
        <v>22.1</v>
      </c>
      <c r="I1199">
        <f t="shared" si="126"/>
        <v>6.138888888888889E-3</v>
      </c>
      <c r="J1199">
        <v>4.25</v>
      </c>
      <c r="K1199">
        <f t="shared" si="128"/>
        <v>4.25</v>
      </c>
      <c r="L1199">
        <f t="shared" si="129"/>
        <v>22.0229</v>
      </c>
      <c r="M1199">
        <f t="shared" si="130"/>
        <v>22022.9</v>
      </c>
      <c r="N1199">
        <f t="shared" si="131"/>
        <v>20.873681211590004</v>
      </c>
      <c r="O1199">
        <f t="shared" si="132"/>
        <v>0.7301214458613815</v>
      </c>
    </row>
    <row r="1200" spans="6:15" x14ac:dyDescent="0.45">
      <c r="F1200">
        <v>1198</v>
      </c>
      <c r="G1200">
        <v>22.1</v>
      </c>
      <c r="H1200">
        <f t="shared" si="127"/>
        <v>22.1</v>
      </c>
      <c r="I1200">
        <f t="shared" si="126"/>
        <v>6.138888888888889E-3</v>
      </c>
      <c r="J1200">
        <v>3.26</v>
      </c>
      <c r="K1200">
        <f t="shared" si="128"/>
        <v>3.26</v>
      </c>
      <c r="L1200">
        <f t="shared" si="129"/>
        <v>19.547899999999998</v>
      </c>
      <c r="M1200">
        <f t="shared" si="130"/>
        <v>19547.899999999998</v>
      </c>
      <c r="N1200">
        <f t="shared" si="131"/>
        <v>18.527833889089997</v>
      </c>
      <c r="O1200">
        <f t="shared" si="132"/>
        <v>0.64806819317863218</v>
      </c>
    </row>
    <row r="1201" spans="6:15" x14ac:dyDescent="0.45">
      <c r="F1201">
        <v>1199</v>
      </c>
      <c r="G1201">
        <v>21.9</v>
      </c>
      <c r="H1201">
        <f t="shared" si="127"/>
        <v>21.9</v>
      </c>
      <c r="I1201">
        <f t="shared" si="126"/>
        <v>6.083333333333333E-3</v>
      </c>
      <c r="J1201">
        <v>2.5</v>
      </c>
      <c r="K1201">
        <f t="shared" si="128"/>
        <v>2.5</v>
      </c>
      <c r="L1201">
        <f t="shared" si="129"/>
        <v>17.6479</v>
      </c>
      <c r="M1201">
        <f t="shared" si="130"/>
        <v>17647.900000000001</v>
      </c>
      <c r="N1201">
        <f t="shared" si="131"/>
        <v>16.72698139909</v>
      </c>
      <c r="O1201">
        <f t="shared" si="132"/>
        <v>0.58507781738177422</v>
      </c>
    </row>
    <row r="1202" spans="6:15" x14ac:dyDescent="0.45">
      <c r="F1202">
        <v>1200</v>
      </c>
      <c r="G1202">
        <v>21.6</v>
      </c>
      <c r="H1202">
        <f t="shared" si="127"/>
        <v>21.6</v>
      </c>
      <c r="I1202">
        <f t="shared" si="126"/>
        <v>6.0000000000000001E-3</v>
      </c>
      <c r="J1202">
        <v>2.0699999999999998</v>
      </c>
      <c r="K1202">
        <f t="shared" si="128"/>
        <v>2.0699999999999998</v>
      </c>
      <c r="L1202">
        <f t="shared" si="129"/>
        <v>16.572900000000001</v>
      </c>
      <c r="M1202">
        <f t="shared" si="130"/>
        <v>16572.900000000001</v>
      </c>
      <c r="N1202">
        <f t="shared" si="131"/>
        <v>15.708078016590003</v>
      </c>
      <c r="O1202">
        <f t="shared" si="132"/>
        <v>0.5494385258124993</v>
      </c>
    </row>
    <row r="1203" spans="6:15" x14ac:dyDescent="0.45">
      <c r="F1203">
        <v>1201</v>
      </c>
      <c r="G1203">
        <v>21.6</v>
      </c>
      <c r="H1203">
        <f t="shared" si="127"/>
        <v>21.6</v>
      </c>
      <c r="I1203">
        <f t="shared" si="126"/>
        <v>6.0000000000000001E-3</v>
      </c>
      <c r="J1203">
        <v>3.31</v>
      </c>
      <c r="K1203">
        <f t="shared" si="128"/>
        <v>3.31</v>
      </c>
      <c r="L1203">
        <f t="shared" si="129"/>
        <v>19.672899999999998</v>
      </c>
      <c r="M1203">
        <f t="shared" si="130"/>
        <v>19672.899999999998</v>
      </c>
      <c r="N1203">
        <f t="shared" si="131"/>
        <v>18.646311026589999</v>
      </c>
      <c r="O1203">
        <f t="shared" si="132"/>
        <v>0.65221229684947801</v>
      </c>
    </row>
    <row r="1204" spans="6:15" x14ac:dyDescent="0.45">
      <c r="F1204">
        <v>1202</v>
      </c>
      <c r="G1204">
        <v>21.3</v>
      </c>
      <c r="H1204">
        <f t="shared" si="127"/>
        <v>21.3</v>
      </c>
      <c r="I1204">
        <f t="shared" si="126"/>
        <v>5.9166666666666664E-3</v>
      </c>
      <c r="J1204">
        <v>-0.51</v>
      </c>
      <c r="K1204">
        <f t="shared" si="128"/>
        <v>0</v>
      </c>
      <c r="L1204">
        <f t="shared" si="129"/>
        <v>11.3979</v>
      </c>
      <c r="M1204">
        <f t="shared" si="130"/>
        <v>11397.9</v>
      </c>
      <c r="N1204">
        <f t="shared" si="131"/>
        <v>10.80312452409</v>
      </c>
      <c r="O1204">
        <f t="shared" si="132"/>
        <v>0.377872633839478</v>
      </c>
    </row>
    <row r="1205" spans="6:15" x14ac:dyDescent="0.45">
      <c r="F1205">
        <v>1203</v>
      </c>
      <c r="G1205">
        <v>20.399999999999999</v>
      </c>
      <c r="H1205">
        <f t="shared" si="127"/>
        <v>20.399999999999999</v>
      </c>
      <c r="I1205">
        <f t="shared" si="126"/>
        <v>5.6666666666666662E-3</v>
      </c>
      <c r="J1205">
        <v>-0.79</v>
      </c>
      <c r="K1205">
        <f t="shared" si="128"/>
        <v>0</v>
      </c>
      <c r="L1205">
        <f t="shared" si="129"/>
        <v>11.3979</v>
      </c>
      <c r="M1205">
        <f t="shared" si="130"/>
        <v>11397.9</v>
      </c>
      <c r="N1205">
        <f t="shared" si="131"/>
        <v>10.80312452409</v>
      </c>
      <c r="O1205">
        <f t="shared" si="132"/>
        <v>0.377872633839478</v>
      </c>
    </row>
    <row r="1206" spans="6:15" x14ac:dyDescent="0.45">
      <c r="F1206">
        <v>1204</v>
      </c>
      <c r="G1206">
        <v>19.7</v>
      </c>
      <c r="H1206">
        <f t="shared" si="127"/>
        <v>19.7</v>
      </c>
      <c r="I1206">
        <f t="shared" si="126"/>
        <v>5.4722222222222221E-3</v>
      </c>
      <c r="J1206">
        <v>-0.38</v>
      </c>
      <c r="K1206">
        <f t="shared" si="128"/>
        <v>0</v>
      </c>
      <c r="L1206">
        <f t="shared" si="129"/>
        <v>11.3979</v>
      </c>
      <c r="M1206">
        <f t="shared" si="130"/>
        <v>11397.9</v>
      </c>
      <c r="N1206">
        <f t="shared" si="131"/>
        <v>10.80312452409</v>
      </c>
      <c r="O1206">
        <f t="shared" si="132"/>
        <v>0.377872633839478</v>
      </c>
    </row>
    <row r="1207" spans="6:15" x14ac:dyDescent="0.45">
      <c r="F1207">
        <v>1205</v>
      </c>
      <c r="G1207">
        <v>19.5</v>
      </c>
      <c r="H1207">
        <f t="shared" si="127"/>
        <v>19.5</v>
      </c>
      <c r="I1207">
        <f t="shared" si="126"/>
        <v>5.4166666666666669E-3</v>
      </c>
      <c r="J1207">
        <v>2.37</v>
      </c>
      <c r="K1207">
        <f t="shared" si="128"/>
        <v>2.37</v>
      </c>
      <c r="L1207">
        <f t="shared" si="129"/>
        <v>17.322900000000001</v>
      </c>
      <c r="M1207">
        <f t="shared" si="130"/>
        <v>17322.900000000001</v>
      </c>
      <c r="N1207">
        <f t="shared" si="131"/>
        <v>16.41894084159</v>
      </c>
      <c r="O1207">
        <f t="shared" si="132"/>
        <v>0.57430314783757486</v>
      </c>
    </row>
    <row r="1208" spans="6:15" x14ac:dyDescent="0.45">
      <c r="F1208">
        <v>1206</v>
      </c>
      <c r="G1208">
        <v>19.7</v>
      </c>
      <c r="H1208">
        <f t="shared" si="127"/>
        <v>19.7</v>
      </c>
      <c r="I1208">
        <f t="shared" si="126"/>
        <v>5.4722222222222221E-3</v>
      </c>
      <c r="J1208">
        <v>5.37</v>
      </c>
      <c r="K1208">
        <f t="shared" si="128"/>
        <v>5.37</v>
      </c>
      <c r="L1208">
        <f t="shared" si="129"/>
        <v>24.822900000000001</v>
      </c>
      <c r="M1208">
        <f t="shared" si="130"/>
        <v>24822.9</v>
      </c>
      <c r="N1208">
        <f t="shared" si="131"/>
        <v>23.527569091590003</v>
      </c>
      <c r="O1208">
        <f t="shared" si="132"/>
        <v>0.82294936808833019</v>
      </c>
    </row>
    <row r="1209" spans="6:15" x14ac:dyDescent="0.45">
      <c r="F1209">
        <v>1207</v>
      </c>
      <c r="G1209">
        <v>19.899999999999999</v>
      </c>
      <c r="H1209">
        <f t="shared" si="127"/>
        <v>19.899999999999999</v>
      </c>
      <c r="I1209">
        <f t="shared" si="126"/>
        <v>5.5277777777777773E-3</v>
      </c>
      <c r="J1209">
        <v>3.29</v>
      </c>
      <c r="K1209">
        <f t="shared" si="128"/>
        <v>3.29</v>
      </c>
      <c r="L1209">
        <f t="shared" si="129"/>
        <v>19.622900000000001</v>
      </c>
      <c r="M1209">
        <f t="shared" si="130"/>
        <v>19622.900000000001</v>
      </c>
      <c r="N1209">
        <f t="shared" si="131"/>
        <v>18.598920171590002</v>
      </c>
      <c r="O1209">
        <f t="shared" si="132"/>
        <v>0.65055465538113977</v>
      </c>
    </row>
    <row r="1210" spans="6:15" x14ac:dyDescent="0.45">
      <c r="F1210">
        <v>1208</v>
      </c>
      <c r="G1210">
        <v>20</v>
      </c>
      <c r="H1210">
        <f t="shared" si="127"/>
        <v>20</v>
      </c>
      <c r="I1210">
        <f t="shared" si="126"/>
        <v>5.5555555555555558E-3</v>
      </c>
      <c r="J1210">
        <v>4.8499999999999996</v>
      </c>
      <c r="K1210">
        <f t="shared" si="128"/>
        <v>4.8499999999999996</v>
      </c>
      <c r="L1210">
        <f t="shared" si="129"/>
        <v>23.5229</v>
      </c>
      <c r="M1210">
        <f t="shared" si="130"/>
        <v>23522.9</v>
      </c>
      <c r="N1210">
        <f t="shared" si="131"/>
        <v>22.295406861590003</v>
      </c>
      <c r="O1210">
        <f t="shared" si="132"/>
        <v>0.77985068991153261</v>
      </c>
    </row>
    <row r="1211" spans="6:15" x14ac:dyDescent="0.45">
      <c r="F1211">
        <v>1209</v>
      </c>
      <c r="G1211">
        <v>19.5</v>
      </c>
      <c r="H1211">
        <f t="shared" si="127"/>
        <v>19.5</v>
      </c>
      <c r="I1211">
        <f t="shared" si="126"/>
        <v>5.4166666666666669E-3</v>
      </c>
      <c r="J1211">
        <v>-0.11</v>
      </c>
      <c r="K1211">
        <f t="shared" si="128"/>
        <v>0</v>
      </c>
      <c r="L1211">
        <f t="shared" si="129"/>
        <v>11.3979</v>
      </c>
      <c r="M1211">
        <f t="shared" si="130"/>
        <v>11397.9</v>
      </c>
      <c r="N1211">
        <f t="shared" si="131"/>
        <v>10.80312452409</v>
      </c>
      <c r="O1211">
        <f t="shared" si="132"/>
        <v>0.377872633839478</v>
      </c>
    </row>
    <row r="1212" spans="6:15" x14ac:dyDescent="0.45">
      <c r="F1212">
        <v>1210</v>
      </c>
      <c r="G1212">
        <v>17.2</v>
      </c>
      <c r="H1212">
        <f t="shared" si="127"/>
        <v>17.2</v>
      </c>
      <c r="I1212">
        <f t="shared" si="126"/>
        <v>4.7777777777777775E-3</v>
      </c>
      <c r="J1212">
        <v>-0.45</v>
      </c>
      <c r="K1212">
        <f t="shared" si="128"/>
        <v>0</v>
      </c>
      <c r="L1212">
        <f t="shared" si="129"/>
        <v>11.3979</v>
      </c>
      <c r="M1212">
        <f t="shared" si="130"/>
        <v>11397.9</v>
      </c>
      <c r="N1212">
        <f t="shared" si="131"/>
        <v>10.80312452409</v>
      </c>
      <c r="O1212">
        <f t="shared" si="132"/>
        <v>0.377872633839478</v>
      </c>
    </row>
    <row r="1213" spans="6:15" x14ac:dyDescent="0.45">
      <c r="F1213">
        <v>1211</v>
      </c>
      <c r="G1213">
        <v>14.8</v>
      </c>
      <c r="H1213">
        <f t="shared" si="127"/>
        <v>14.8</v>
      </c>
      <c r="I1213">
        <f t="shared" si="126"/>
        <v>4.1111111111111114E-3</v>
      </c>
      <c r="J1213">
        <v>-0.26</v>
      </c>
      <c r="K1213">
        <f t="shared" si="128"/>
        <v>0</v>
      </c>
      <c r="L1213">
        <f t="shared" si="129"/>
        <v>11.3979</v>
      </c>
      <c r="M1213">
        <f t="shared" si="130"/>
        <v>11397.9</v>
      </c>
      <c r="N1213">
        <f t="shared" si="131"/>
        <v>10.80312452409</v>
      </c>
      <c r="O1213">
        <f t="shared" si="132"/>
        <v>0.377872633839478</v>
      </c>
    </row>
    <row r="1214" spans="6:15" x14ac:dyDescent="0.45">
      <c r="F1214">
        <v>1212</v>
      </c>
      <c r="G1214">
        <v>12.2</v>
      </c>
      <c r="H1214">
        <f t="shared" si="127"/>
        <v>12.2</v>
      </c>
      <c r="I1214">
        <f t="shared" si="126"/>
        <v>3.3888888888888888E-3</v>
      </c>
      <c r="J1214">
        <v>-0.69</v>
      </c>
      <c r="K1214">
        <f t="shared" si="128"/>
        <v>0</v>
      </c>
      <c r="L1214">
        <f t="shared" si="129"/>
        <v>11.3979</v>
      </c>
      <c r="M1214">
        <f t="shared" si="130"/>
        <v>11397.9</v>
      </c>
      <c r="N1214">
        <f t="shared" si="131"/>
        <v>10.80312452409</v>
      </c>
      <c r="O1214">
        <f t="shared" si="132"/>
        <v>0.377872633839478</v>
      </c>
    </row>
    <row r="1215" spans="6:15" x14ac:dyDescent="0.45">
      <c r="F1215">
        <v>1213</v>
      </c>
      <c r="G1215">
        <v>9.8000000000000007</v>
      </c>
      <c r="H1215">
        <f t="shared" si="127"/>
        <v>9.8000000000000007</v>
      </c>
      <c r="I1215">
        <f t="shared" si="126"/>
        <v>2.7222222222222222E-3</v>
      </c>
      <c r="J1215">
        <v>-0.11</v>
      </c>
      <c r="K1215">
        <f t="shared" si="128"/>
        <v>0</v>
      </c>
      <c r="L1215">
        <f t="shared" si="129"/>
        <v>11.3979</v>
      </c>
      <c r="M1215">
        <f t="shared" si="130"/>
        <v>11397.9</v>
      </c>
      <c r="N1215">
        <f t="shared" si="131"/>
        <v>10.80312452409</v>
      </c>
      <c r="O1215">
        <f t="shared" si="132"/>
        <v>0.377872633839478</v>
      </c>
    </row>
    <row r="1216" spans="6:15" x14ac:dyDescent="0.45">
      <c r="F1216">
        <v>1214</v>
      </c>
      <c r="G1216">
        <v>7.5</v>
      </c>
      <c r="H1216">
        <f t="shared" si="127"/>
        <v>7.5</v>
      </c>
      <c r="I1216">
        <f t="shared" si="126"/>
        <v>2.0833333333333333E-3</v>
      </c>
      <c r="J1216">
        <v>0.61</v>
      </c>
      <c r="K1216">
        <f t="shared" si="128"/>
        <v>0.61</v>
      </c>
      <c r="L1216">
        <f t="shared" si="129"/>
        <v>12.9229</v>
      </c>
      <c r="M1216">
        <f t="shared" si="130"/>
        <v>12922.9</v>
      </c>
      <c r="N1216">
        <f t="shared" si="131"/>
        <v>12.248545601589999</v>
      </c>
      <c r="O1216">
        <f t="shared" si="132"/>
        <v>0.42843069862379823</v>
      </c>
    </row>
    <row r="1217" spans="6:15" x14ac:dyDescent="0.45">
      <c r="F1217">
        <v>1215</v>
      </c>
      <c r="G1217">
        <v>5.5</v>
      </c>
      <c r="H1217">
        <f t="shared" si="127"/>
        <v>5.5</v>
      </c>
      <c r="I1217">
        <f t="shared" si="126"/>
        <v>1.5277777777777779E-3</v>
      </c>
      <c r="J1217">
        <v>1.4</v>
      </c>
      <c r="K1217">
        <f t="shared" si="128"/>
        <v>1.4</v>
      </c>
      <c r="L1217">
        <f t="shared" si="129"/>
        <v>14.8979</v>
      </c>
      <c r="M1217">
        <f t="shared" si="130"/>
        <v>14897.9</v>
      </c>
      <c r="N1217">
        <f t="shared" si="131"/>
        <v>14.120484374089999</v>
      </c>
      <c r="O1217">
        <f t="shared" si="132"/>
        <v>0.49390753662316383</v>
      </c>
    </row>
    <row r="1218" spans="6:15" x14ac:dyDescent="0.45">
      <c r="F1218">
        <v>1216</v>
      </c>
      <c r="G1218">
        <v>3.4</v>
      </c>
      <c r="H1218">
        <f t="shared" si="127"/>
        <v>3.4</v>
      </c>
      <c r="I1218">
        <f t="shared" ref="I1218:I1281" si="133">H1218*(1/3600)</f>
        <v>9.4444444444444437E-4</v>
      </c>
      <c r="J1218">
        <v>0.67</v>
      </c>
      <c r="K1218">
        <f t="shared" si="128"/>
        <v>0.67</v>
      </c>
      <c r="L1218">
        <f t="shared" si="129"/>
        <v>13.072900000000001</v>
      </c>
      <c r="M1218">
        <f t="shared" si="130"/>
        <v>13072.900000000001</v>
      </c>
      <c r="N1218">
        <f t="shared" si="131"/>
        <v>12.390718166590002</v>
      </c>
      <c r="O1218">
        <f t="shared" si="132"/>
        <v>0.43340362302881336</v>
      </c>
    </row>
    <row r="1219" spans="6:15" x14ac:dyDescent="0.45">
      <c r="F1219">
        <v>1217</v>
      </c>
      <c r="G1219">
        <v>2.2000000000000002</v>
      </c>
      <c r="H1219">
        <f t="shared" ref="H1219:H1282" si="134">IF(G1219&lt;0,0,G1219)</f>
        <v>2.2000000000000002</v>
      </c>
      <c r="I1219">
        <f t="shared" si="133"/>
        <v>6.1111111111111121E-4</v>
      </c>
      <c r="J1219">
        <v>1.24</v>
      </c>
      <c r="K1219">
        <f t="shared" ref="K1219:K1282" si="135">IF(J1219&lt;0,0,J1219)</f>
        <v>1.24</v>
      </c>
      <c r="L1219">
        <f t="shared" ref="L1219:L1282" si="136">(1/$B$5)*K1219+((3.4798*$B$6)+0.9585)</f>
        <v>14.4979</v>
      </c>
      <c r="M1219">
        <f t="shared" ref="M1219:M1282" si="137">L1219*1000</f>
        <v>14497.9</v>
      </c>
      <c r="N1219">
        <f t="shared" ref="N1219:N1282" si="138">M1219*0.0009478171</f>
        <v>13.74135753409</v>
      </c>
      <c r="O1219">
        <f t="shared" ref="O1219:O1282" si="139">(M1219*453.59237)/(18489*0.74*1000)</f>
        <v>0.48064640487645688</v>
      </c>
    </row>
    <row r="1220" spans="6:15" x14ac:dyDescent="0.45">
      <c r="F1220">
        <v>1218</v>
      </c>
      <c r="G1220">
        <v>0.7</v>
      </c>
      <c r="H1220">
        <f t="shared" si="134"/>
        <v>0.7</v>
      </c>
      <c r="I1220">
        <f t="shared" si="133"/>
        <v>1.9444444444444443E-4</v>
      </c>
      <c r="J1220">
        <v>1.35</v>
      </c>
      <c r="K1220">
        <f t="shared" si="135"/>
        <v>1.35</v>
      </c>
      <c r="L1220">
        <f t="shared" si="136"/>
        <v>14.7729</v>
      </c>
      <c r="M1220">
        <f t="shared" si="137"/>
        <v>14772.9</v>
      </c>
      <c r="N1220">
        <f t="shared" si="138"/>
        <v>14.00200723659</v>
      </c>
      <c r="O1220">
        <f t="shared" si="139"/>
        <v>0.48976343295231789</v>
      </c>
    </row>
    <row r="1221" spans="6:15" x14ac:dyDescent="0.45">
      <c r="F1221">
        <v>1219</v>
      </c>
      <c r="G1221">
        <v>0</v>
      </c>
      <c r="H1221">
        <f t="shared" si="134"/>
        <v>0</v>
      </c>
      <c r="I1221">
        <f t="shared" si="133"/>
        <v>0</v>
      </c>
      <c r="J1221">
        <v>0.52</v>
      </c>
      <c r="K1221">
        <f t="shared" si="135"/>
        <v>0.52</v>
      </c>
      <c r="L1221">
        <f t="shared" si="136"/>
        <v>12.697900000000001</v>
      </c>
      <c r="M1221">
        <f t="shared" si="137"/>
        <v>12697.900000000001</v>
      </c>
      <c r="N1221">
        <f t="shared" si="138"/>
        <v>12.035286754090002</v>
      </c>
      <c r="O1221">
        <f t="shared" si="139"/>
        <v>0.42097131201627563</v>
      </c>
    </row>
    <row r="1222" spans="6:15" x14ac:dyDescent="0.45">
      <c r="F1222">
        <v>1220</v>
      </c>
      <c r="G1222">
        <v>0</v>
      </c>
      <c r="H1222">
        <f t="shared" si="134"/>
        <v>0</v>
      </c>
      <c r="I1222">
        <f t="shared" si="133"/>
        <v>0</v>
      </c>
      <c r="J1222">
        <v>0.97</v>
      </c>
      <c r="K1222">
        <f t="shared" si="135"/>
        <v>0.97</v>
      </c>
      <c r="L1222">
        <f t="shared" si="136"/>
        <v>13.822900000000001</v>
      </c>
      <c r="M1222">
        <f t="shared" si="137"/>
        <v>13822.900000000001</v>
      </c>
      <c r="N1222">
        <f t="shared" si="138"/>
        <v>13.101580991590001</v>
      </c>
      <c r="O1222">
        <f t="shared" si="139"/>
        <v>0.45826824505388897</v>
      </c>
    </row>
    <row r="1223" spans="6:15" x14ac:dyDescent="0.45">
      <c r="F1223">
        <v>1221</v>
      </c>
      <c r="G1223">
        <v>0</v>
      </c>
      <c r="H1223">
        <f t="shared" si="134"/>
        <v>0</v>
      </c>
      <c r="I1223">
        <f t="shared" si="133"/>
        <v>0</v>
      </c>
      <c r="J1223">
        <v>1.05</v>
      </c>
      <c r="K1223">
        <f t="shared" si="135"/>
        <v>1.05</v>
      </c>
      <c r="L1223">
        <f t="shared" si="136"/>
        <v>14.0229</v>
      </c>
      <c r="M1223">
        <f t="shared" si="137"/>
        <v>14022.9</v>
      </c>
      <c r="N1223">
        <f t="shared" si="138"/>
        <v>13.29114441159</v>
      </c>
      <c r="O1223">
        <f t="shared" si="139"/>
        <v>0.46489881092724233</v>
      </c>
    </row>
    <row r="1224" spans="6:15" x14ac:dyDescent="0.45">
      <c r="F1224">
        <v>1222</v>
      </c>
      <c r="G1224">
        <v>0</v>
      </c>
      <c r="H1224">
        <f t="shared" si="134"/>
        <v>0</v>
      </c>
      <c r="I1224">
        <f t="shared" si="133"/>
        <v>0</v>
      </c>
      <c r="J1224">
        <v>0.54</v>
      </c>
      <c r="K1224">
        <f t="shared" si="135"/>
        <v>0.54</v>
      </c>
      <c r="L1224">
        <f t="shared" si="136"/>
        <v>12.7479</v>
      </c>
      <c r="M1224">
        <f t="shared" si="137"/>
        <v>12747.9</v>
      </c>
      <c r="N1224">
        <f t="shared" si="138"/>
        <v>12.08267760909</v>
      </c>
      <c r="O1224">
        <f t="shared" si="139"/>
        <v>0.42262895348461399</v>
      </c>
    </row>
    <row r="1225" spans="6:15" x14ac:dyDescent="0.45">
      <c r="F1225">
        <v>1223</v>
      </c>
      <c r="G1225">
        <v>0</v>
      </c>
      <c r="H1225">
        <f t="shared" si="134"/>
        <v>0</v>
      </c>
      <c r="I1225">
        <f t="shared" si="133"/>
        <v>0</v>
      </c>
      <c r="J1225">
        <v>0.51</v>
      </c>
      <c r="K1225">
        <f t="shared" si="135"/>
        <v>0.51</v>
      </c>
      <c r="L1225">
        <f t="shared" si="136"/>
        <v>12.6729</v>
      </c>
      <c r="M1225">
        <f t="shared" si="137"/>
        <v>12672.9</v>
      </c>
      <c r="N1225">
        <f t="shared" si="138"/>
        <v>12.011591326590001</v>
      </c>
      <c r="O1225">
        <f t="shared" si="139"/>
        <v>0.42014249128210635</v>
      </c>
    </row>
    <row r="1226" spans="6:15" x14ac:dyDescent="0.45">
      <c r="F1226">
        <v>1224</v>
      </c>
      <c r="G1226">
        <v>0</v>
      </c>
      <c r="H1226">
        <f t="shared" si="134"/>
        <v>0</v>
      </c>
      <c r="I1226">
        <f t="shared" si="133"/>
        <v>0</v>
      </c>
      <c r="J1226">
        <v>0.66</v>
      </c>
      <c r="K1226">
        <f t="shared" si="135"/>
        <v>0.66</v>
      </c>
      <c r="L1226">
        <f t="shared" si="136"/>
        <v>13.0479</v>
      </c>
      <c r="M1226">
        <f t="shared" si="137"/>
        <v>13047.9</v>
      </c>
      <c r="N1226">
        <f t="shared" si="138"/>
        <v>12.36702273909</v>
      </c>
      <c r="O1226">
        <f t="shared" si="139"/>
        <v>0.43257480229464412</v>
      </c>
    </row>
    <row r="1227" spans="6:15" x14ac:dyDescent="0.45">
      <c r="F1227">
        <v>1225</v>
      </c>
      <c r="G1227">
        <v>0</v>
      </c>
      <c r="H1227">
        <f t="shared" si="134"/>
        <v>0</v>
      </c>
      <c r="I1227">
        <f t="shared" si="133"/>
        <v>0</v>
      </c>
      <c r="J1227">
        <v>0.51</v>
      </c>
      <c r="K1227">
        <f t="shared" si="135"/>
        <v>0.51</v>
      </c>
      <c r="L1227">
        <f t="shared" si="136"/>
        <v>12.6729</v>
      </c>
      <c r="M1227">
        <f t="shared" si="137"/>
        <v>12672.9</v>
      </c>
      <c r="N1227">
        <f t="shared" si="138"/>
        <v>12.011591326590001</v>
      </c>
      <c r="O1227">
        <f t="shared" si="139"/>
        <v>0.42014249128210635</v>
      </c>
    </row>
    <row r="1228" spans="6:15" x14ac:dyDescent="0.45">
      <c r="F1228">
        <v>1226</v>
      </c>
      <c r="G1228">
        <v>0.2</v>
      </c>
      <c r="H1228">
        <f t="shared" si="134"/>
        <v>0.2</v>
      </c>
      <c r="I1228">
        <f t="shared" si="133"/>
        <v>5.5555555555555558E-5</v>
      </c>
      <c r="J1228">
        <v>0.54</v>
      </c>
      <c r="K1228">
        <f t="shared" si="135"/>
        <v>0.54</v>
      </c>
      <c r="L1228">
        <f t="shared" si="136"/>
        <v>12.7479</v>
      </c>
      <c r="M1228">
        <f t="shared" si="137"/>
        <v>12747.9</v>
      </c>
      <c r="N1228">
        <f t="shared" si="138"/>
        <v>12.08267760909</v>
      </c>
      <c r="O1228">
        <f t="shared" si="139"/>
        <v>0.42262895348461399</v>
      </c>
    </row>
    <row r="1229" spans="6:15" x14ac:dyDescent="0.45">
      <c r="F1229">
        <v>1227</v>
      </c>
      <c r="G1229">
        <v>0.7</v>
      </c>
      <c r="H1229">
        <f t="shared" si="134"/>
        <v>0.7</v>
      </c>
      <c r="I1229">
        <f t="shared" si="133"/>
        <v>1.9444444444444443E-4</v>
      </c>
      <c r="J1229">
        <v>0.82</v>
      </c>
      <c r="K1229">
        <f t="shared" si="135"/>
        <v>0.82</v>
      </c>
      <c r="L1229">
        <f t="shared" si="136"/>
        <v>13.447900000000001</v>
      </c>
      <c r="M1229">
        <f t="shared" si="137"/>
        <v>13447.900000000001</v>
      </c>
      <c r="N1229">
        <f t="shared" si="138"/>
        <v>12.746149579090002</v>
      </c>
      <c r="O1229">
        <f t="shared" si="139"/>
        <v>0.44583593404135113</v>
      </c>
    </row>
    <row r="1230" spans="6:15" x14ac:dyDescent="0.45">
      <c r="F1230">
        <v>1228</v>
      </c>
      <c r="G1230">
        <v>0.9</v>
      </c>
      <c r="H1230">
        <f t="shared" si="134"/>
        <v>0.9</v>
      </c>
      <c r="I1230">
        <f t="shared" si="133"/>
        <v>2.5000000000000001E-4</v>
      </c>
      <c r="J1230">
        <v>0.53</v>
      </c>
      <c r="K1230">
        <f t="shared" si="135"/>
        <v>0.53</v>
      </c>
      <c r="L1230">
        <f t="shared" si="136"/>
        <v>12.722899999999999</v>
      </c>
      <c r="M1230">
        <f t="shared" si="137"/>
        <v>12722.9</v>
      </c>
      <c r="N1230">
        <f t="shared" si="138"/>
        <v>12.05898218159</v>
      </c>
      <c r="O1230">
        <f t="shared" si="139"/>
        <v>0.42180013275044481</v>
      </c>
    </row>
    <row r="1231" spans="6:15" x14ac:dyDescent="0.45">
      <c r="F1231">
        <v>1229</v>
      </c>
      <c r="G1231">
        <v>0.9</v>
      </c>
      <c r="H1231">
        <f t="shared" si="134"/>
        <v>0.9</v>
      </c>
      <c r="I1231">
        <f t="shared" si="133"/>
        <v>2.5000000000000001E-4</v>
      </c>
      <c r="J1231">
        <v>1.0900000000000001</v>
      </c>
      <c r="K1231">
        <f t="shared" si="135"/>
        <v>1.0900000000000001</v>
      </c>
      <c r="L1231">
        <f t="shared" si="136"/>
        <v>14.1229</v>
      </c>
      <c r="M1231">
        <f t="shared" si="137"/>
        <v>14122.9</v>
      </c>
      <c r="N1231">
        <f t="shared" si="138"/>
        <v>13.38592612159</v>
      </c>
      <c r="O1231">
        <f t="shared" si="139"/>
        <v>0.4682140938639191</v>
      </c>
    </row>
    <row r="1232" spans="6:15" x14ac:dyDescent="0.45">
      <c r="F1232">
        <v>1230</v>
      </c>
      <c r="G1232">
        <v>0.8</v>
      </c>
      <c r="H1232">
        <f t="shared" si="134"/>
        <v>0.8</v>
      </c>
      <c r="I1232">
        <f t="shared" si="133"/>
        <v>2.2222222222222223E-4</v>
      </c>
      <c r="J1232">
        <v>0.56999999999999995</v>
      </c>
      <c r="K1232">
        <f t="shared" si="135"/>
        <v>0.56999999999999995</v>
      </c>
      <c r="L1232">
        <f t="shared" si="136"/>
        <v>12.822900000000001</v>
      </c>
      <c r="M1232">
        <f t="shared" si="137"/>
        <v>12822.900000000001</v>
      </c>
      <c r="N1232">
        <f t="shared" si="138"/>
        <v>12.153763891590001</v>
      </c>
      <c r="O1232">
        <f t="shared" si="139"/>
        <v>0.42511541568712158</v>
      </c>
    </row>
    <row r="1233" spans="6:15" x14ac:dyDescent="0.45">
      <c r="F1233">
        <v>1231</v>
      </c>
      <c r="G1233">
        <v>0.8</v>
      </c>
      <c r="H1233">
        <f t="shared" si="134"/>
        <v>0.8</v>
      </c>
      <c r="I1233">
        <f t="shared" si="133"/>
        <v>2.2222222222222223E-4</v>
      </c>
      <c r="J1233">
        <v>0.94</v>
      </c>
      <c r="K1233">
        <f t="shared" si="135"/>
        <v>0.94</v>
      </c>
      <c r="L1233">
        <f t="shared" si="136"/>
        <v>13.7479</v>
      </c>
      <c r="M1233">
        <f t="shared" si="137"/>
        <v>13747.9</v>
      </c>
      <c r="N1233">
        <f t="shared" si="138"/>
        <v>13.03049470909</v>
      </c>
      <c r="O1233">
        <f t="shared" si="139"/>
        <v>0.45578178285138127</v>
      </c>
    </row>
    <row r="1234" spans="6:15" x14ac:dyDescent="0.45">
      <c r="F1234">
        <v>1232</v>
      </c>
      <c r="G1234">
        <v>1.7</v>
      </c>
      <c r="H1234">
        <f t="shared" si="134"/>
        <v>1.7</v>
      </c>
      <c r="I1234">
        <f t="shared" si="133"/>
        <v>4.7222222222222218E-4</v>
      </c>
      <c r="J1234">
        <v>1.3</v>
      </c>
      <c r="K1234">
        <f t="shared" si="135"/>
        <v>1.3</v>
      </c>
      <c r="L1234">
        <f t="shared" si="136"/>
        <v>14.6479</v>
      </c>
      <c r="M1234">
        <f t="shared" si="137"/>
        <v>14647.9</v>
      </c>
      <c r="N1234">
        <f t="shared" si="138"/>
        <v>13.883530099090001</v>
      </c>
      <c r="O1234">
        <f t="shared" si="139"/>
        <v>0.48561932928147195</v>
      </c>
    </row>
    <row r="1235" spans="6:15" x14ac:dyDescent="0.45">
      <c r="F1235">
        <v>1233</v>
      </c>
      <c r="G1235">
        <v>3</v>
      </c>
      <c r="H1235">
        <f t="shared" si="134"/>
        <v>3</v>
      </c>
      <c r="I1235">
        <f t="shared" si="133"/>
        <v>8.3333333333333328E-4</v>
      </c>
      <c r="J1235">
        <v>3.22</v>
      </c>
      <c r="K1235">
        <f t="shared" si="135"/>
        <v>3.22</v>
      </c>
      <c r="L1235">
        <f t="shared" si="136"/>
        <v>19.447900000000001</v>
      </c>
      <c r="M1235">
        <f t="shared" si="137"/>
        <v>19447.900000000001</v>
      </c>
      <c r="N1235">
        <f t="shared" si="138"/>
        <v>18.433052179090001</v>
      </c>
      <c r="O1235">
        <f t="shared" si="139"/>
        <v>0.64475291024195547</v>
      </c>
    </row>
    <row r="1236" spans="6:15" x14ac:dyDescent="0.45">
      <c r="F1236">
        <v>1234</v>
      </c>
      <c r="G1236">
        <v>4.3</v>
      </c>
      <c r="H1236">
        <f t="shared" si="134"/>
        <v>4.3</v>
      </c>
      <c r="I1236">
        <f t="shared" si="133"/>
        <v>1.1944444444444444E-3</v>
      </c>
      <c r="J1236">
        <v>2.84</v>
      </c>
      <c r="K1236">
        <f t="shared" si="135"/>
        <v>2.84</v>
      </c>
      <c r="L1236">
        <f t="shared" si="136"/>
        <v>18.497900000000001</v>
      </c>
      <c r="M1236">
        <f t="shared" si="137"/>
        <v>18497.900000000001</v>
      </c>
      <c r="N1236">
        <f t="shared" si="138"/>
        <v>17.532625934090003</v>
      </c>
      <c r="O1236">
        <f t="shared" si="139"/>
        <v>0.61325772234352649</v>
      </c>
    </row>
    <row r="1237" spans="6:15" x14ac:dyDescent="0.45">
      <c r="F1237">
        <v>1235</v>
      </c>
      <c r="G1237">
        <v>5.5</v>
      </c>
      <c r="H1237">
        <f t="shared" si="134"/>
        <v>5.5</v>
      </c>
      <c r="I1237">
        <f t="shared" si="133"/>
        <v>1.5277777777777779E-3</v>
      </c>
      <c r="J1237">
        <v>3.01</v>
      </c>
      <c r="K1237">
        <f t="shared" si="135"/>
        <v>3.01</v>
      </c>
      <c r="L1237">
        <f t="shared" si="136"/>
        <v>18.922899999999998</v>
      </c>
      <c r="M1237">
        <f t="shared" si="137"/>
        <v>18922.899999999998</v>
      </c>
      <c r="N1237">
        <f t="shared" si="138"/>
        <v>17.935448201589999</v>
      </c>
      <c r="O1237">
        <f t="shared" si="139"/>
        <v>0.62734767482440246</v>
      </c>
    </row>
    <row r="1238" spans="6:15" x14ac:dyDescent="0.45">
      <c r="F1238">
        <v>1236</v>
      </c>
      <c r="G1238">
        <v>6.4</v>
      </c>
      <c r="H1238">
        <f t="shared" si="134"/>
        <v>6.4</v>
      </c>
      <c r="I1238">
        <f t="shared" si="133"/>
        <v>1.7777777777777779E-3</v>
      </c>
      <c r="J1238">
        <v>3.08</v>
      </c>
      <c r="K1238">
        <f t="shared" si="135"/>
        <v>3.08</v>
      </c>
      <c r="L1238">
        <f t="shared" si="136"/>
        <v>19.097899999999999</v>
      </c>
      <c r="M1238">
        <f t="shared" si="137"/>
        <v>19097.899999999998</v>
      </c>
      <c r="N1238">
        <f t="shared" si="138"/>
        <v>18.10131619409</v>
      </c>
      <c r="O1238">
        <f t="shared" si="139"/>
        <v>0.63314941996358676</v>
      </c>
    </row>
    <row r="1239" spans="6:15" x14ac:dyDescent="0.45">
      <c r="F1239">
        <v>1237</v>
      </c>
      <c r="G1239">
        <v>8.1999999999999993</v>
      </c>
      <c r="H1239">
        <f t="shared" si="134"/>
        <v>8.1999999999999993</v>
      </c>
      <c r="I1239">
        <f t="shared" si="133"/>
        <v>2.2777777777777774E-3</v>
      </c>
      <c r="J1239">
        <v>7.91</v>
      </c>
      <c r="K1239">
        <f t="shared" si="135"/>
        <v>7.91</v>
      </c>
      <c r="L1239">
        <f t="shared" si="136"/>
        <v>31.172899999999998</v>
      </c>
      <c r="M1239">
        <f t="shared" si="137"/>
        <v>31172.899999999998</v>
      </c>
      <c r="N1239">
        <f t="shared" si="138"/>
        <v>29.546207676589997</v>
      </c>
      <c r="O1239">
        <f t="shared" si="139"/>
        <v>1.033469834567303</v>
      </c>
    </row>
    <row r="1240" spans="6:15" x14ac:dyDescent="0.45">
      <c r="F1240">
        <v>1238</v>
      </c>
      <c r="G1240">
        <v>9.8000000000000007</v>
      </c>
      <c r="H1240">
        <f t="shared" si="134"/>
        <v>9.8000000000000007</v>
      </c>
      <c r="I1240">
        <f t="shared" si="133"/>
        <v>2.7222222222222222E-3</v>
      </c>
      <c r="J1240">
        <v>5.0999999999999996</v>
      </c>
      <c r="K1240">
        <f t="shared" si="135"/>
        <v>5.0999999999999996</v>
      </c>
      <c r="L1240">
        <f t="shared" si="136"/>
        <v>24.1479</v>
      </c>
      <c r="M1240">
        <f t="shared" si="137"/>
        <v>24147.9</v>
      </c>
      <c r="N1240">
        <f t="shared" si="138"/>
        <v>22.887792549090001</v>
      </c>
      <c r="O1240">
        <f t="shared" si="139"/>
        <v>0.80057120826576211</v>
      </c>
    </row>
    <row r="1241" spans="6:15" x14ac:dyDescent="0.45">
      <c r="F1241">
        <v>1239</v>
      </c>
      <c r="G1241">
        <v>10.4</v>
      </c>
      <c r="H1241">
        <f t="shared" si="134"/>
        <v>10.4</v>
      </c>
      <c r="I1241">
        <f t="shared" si="133"/>
        <v>2.8888888888888892E-3</v>
      </c>
      <c r="J1241">
        <v>0.54</v>
      </c>
      <c r="K1241">
        <f t="shared" si="135"/>
        <v>0.54</v>
      </c>
      <c r="L1241">
        <f t="shared" si="136"/>
        <v>12.7479</v>
      </c>
      <c r="M1241">
        <f t="shared" si="137"/>
        <v>12747.9</v>
      </c>
      <c r="N1241">
        <f t="shared" si="138"/>
        <v>12.08267760909</v>
      </c>
      <c r="O1241">
        <f t="shared" si="139"/>
        <v>0.42262895348461399</v>
      </c>
    </row>
    <row r="1242" spans="6:15" x14ac:dyDescent="0.45">
      <c r="F1242">
        <v>1240</v>
      </c>
      <c r="G1242">
        <v>9.6999999999999993</v>
      </c>
      <c r="H1242">
        <f t="shared" si="134"/>
        <v>9.6999999999999993</v>
      </c>
      <c r="I1242">
        <f t="shared" si="133"/>
        <v>2.6944444444444442E-3</v>
      </c>
      <c r="J1242">
        <v>0.56999999999999995</v>
      </c>
      <c r="K1242">
        <f t="shared" si="135"/>
        <v>0.56999999999999995</v>
      </c>
      <c r="L1242">
        <f t="shared" si="136"/>
        <v>12.822900000000001</v>
      </c>
      <c r="M1242">
        <f t="shared" si="137"/>
        <v>12822.900000000001</v>
      </c>
      <c r="N1242">
        <f t="shared" si="138"/>
        <v>12.153763891590001</v>
      </c>
      <c r="O1242">
        <f t="shared" si="139"/>
        <v>0.42511541568712158</v>
      </c>
    </row>
    <row r="1243" spans="6:15" x14ac:dyDescent="0.45">
      <c r="F1243">
        <v>1241</v>
      </c>
      <c r="G1243">
        <v>8.4</v>
      </c>
      <c r="H1243">
        <f t="shared" si="134"/>
        <v>8.4</v>
      </c>
      <c r="I1243">
        <f t="shared" si="133"/>
        <v>2.3333333333333335E-3</v>
      </c>
      <c r="J1243">
        <v>0.11</v>
      </c>
      <c r="K1243">
        <f t="shared" si="135"/>
        <v>0.11</v>
      </c>
      <c r="L1243">
        <f t="shared" si="136"/>
        <v>11.6729</v>
      </c>
      <c r="M1243">
        <f t="shared" si="137"/>
        <v>11672.9</v>
      </c>
      <c r="N1243">
        <f t="shared" si="138"/>
        <v>11.063774226590001</v>
      </c>
      <c r="O1243">
        <f t="shared" si="139"/>
        <v>0.38698966191533896</v>
      </c>
    </row>
    <row r="1244" spans="6:15" x14ac:dyDescent="0.45">
      <c r="F1244">
        <v>1242</v>
      </c>
      <c r="G1244">
        <v>7.8</v>
      </c>
      <c r="H1244">
        <f t="shared" si="134"/>
        <v>7.8</v>
      </c>
      <c r="I1244">
        <f t="shared" si="133"/>
        <v>2.1666666666666666E-3</v>
      </c>
      <c r="J1244">
        <v>0.19</v>
      </c>
      <c r="K1244">
        <f t="shared" si="135"/>
        <v>0.19</v>
      </c>
      <c r="L1244">
        <f t="shared" si="136"/>
        <v>11.8729</v>
      </c>
      <c r="M1244">
        <f t="shared" si="137"/>
        <v>11872.9</v>
      </c>
      <c r="N1244">
        <f t="shared" si="138"/>
        <v>11.253337646589999</v>
      </c>
      <c r="O1244">
        <f t="shared" si="139"/>
        <v>0.39362022778869249</v>
      </c>
    </row>
    <row r="1245" spans="6:15" x14ac:dyDescent="0.45">
      <c r="F1245">
        <v>1243</v>
      </c>
      <c r="G1245">
        <v>9.8000000000000007</v>
      </c>
      <c r="H1245">
        <f t="shared" si="134"/>
        <v>9.8000000000000007</v>
      </c>
      <c r="I1245">
        <f t="shared" si="133"/>
        <v>2.7222222222222222E-3</v>
      </c>
      <c r="J1245">
        <v>6.31</v>
      </c>
      <c r="K1245">
        <f t="shared" si="135"/>
        <v>6.31</v>
      </c>
      <c r="L1245">
        <f t="shared" si="136"/>
        <v>27.172899999999998</v>
      </c>
      <c r="M1245">
        <f t="shared" si="137"/>
        <v>27172.899999999998</v>
      </c>
      <c r="N1245">
        <f t="shared" si="138"/>
        <v>25.754939276589997</v>
      </c>
      <c r="O1245">
        <f t="shared" si="139"/>
        <v>0.90085851710023335</v>
      </c>
    </row>
    <row r="1246" spans="6:15" x14ac:dyDescent="0.45">
      <c r="F1246">
        <v>1244</v>
      </c>
      <c r="G1246">
        <v>12</v>
      </c>
      <c r="H1246">
        <f t="shared" si="134"/>
        <v>12</v>
      </c>
      <c r="I1246">
        <f t="shared" si="133"/>
        <v>3.3333333333333331E-3</v>
      </c>
      <c r="J1246">
        <v>11.08</v>
      </c>
      <c r="K1246">
        <f t="shared" si="135"/>
        <v>11.08</v>
      </c>
      <c r="L1246">
        <f t="shared" si="136"/>
        <v>39.097899999999996</v>
      </c>
      <c r="M1246">
        <f t="shared" si="137"/>
        <v>39097.899999999994</v>
      </c>
      <c r="N1246">
        <f t="shared" si="138"/>
        <v>37.057658194089996</v>
      </c>
      <c r="O1246">
        <f t="shared" si="139"/>
        <v>1.2962060072989345</v>
      </c>
    </row>
    <row r="1247" spans="6:15" x14ac:dyDescent="0.45">
      <c r="F1247">
        <v>1245</v>
      </c>
      <c r="G1247">
        <v>15.2</v>
      </c>
      <c r="H1247">
        <f t="shared" si="134"/>
        <v>15.2</v>
      </c>
      <c r="I1247">
        <f t="shared" si="133"/>
        <v>4.2222222222222218E-3</v>
      </c>
      <c r="J1247">
        <v>20.41</v>
      </c>
      <c r="K1247">
        <f t="shared" si="135"/>
        <v>20.41</v>
      </c>
      <c r="L1247">
        <f t="shared" si="136"/>
        <v>62.422899999999998</v>
      </c>
      <c r="M1247">
        <f t="shared" si="137"/>
        <v>62422.9</v>
      </c>
      <c r="N1247">
        <f t="shared" si="138"/>
        <v>59.16549205159</v>
      </c>
      <c r="O1247">
        <f t="shared" si="139"/>
        <v>2.069495752278784</v>
      </c>
    </row>
    <row r="1248" spans="6:15" x14ac:dyDescent="0.45">
      <c r="F1248">
        <v>1246</v>
      </c>
      <c r="G1248">
        <v>18</v>
      </c>
      <c r="H1248">
        <f t="shared" si="134"/>
        <v>18</v>
      </c>
      <c r="I1248">
        <f t="shared" si="133"/>
        <v>5.0000000000000001E-3</v>
      </c>
      <c r="J1248">
        <v>20.84</v>
      </c>
      <c r="K1248">
        <f t="shared" si="135"/>
        <v>20.84</v>
      </c>
      <c r="L1248">
        <f t="shared" si="136"/>
        <v>63.497900000000001</v>
      </c>
      <c r="M1248">
        <f t="shared" si="137"/>
        <v>63497.9</v>
      </c>
      <c r="N1248">
        <f t="shared" si="138"/>
        <v>60.18439543409</v>
      </c>
      <c r="O1248">
        <f t="shared" si="139"/>
        <v>2.1051350438480587</v>
      </c>
    </row>
    <row r="1249" spans="6:15" x14ac:dyDescent="0.45">
      <c r="F1249">
        <v>1247</v>
      </c>
      <c r="G1249">
        <v>19.399999999999999</v>
      </c>
      <c r="H1249">
        <f t="shared" si="134"/>
        <v>19.399999999999999</v>
      </c>
      <c r="I1249">
        <f t="shared" si="133"/>
        <v>5.3888888888888884E-3</v>
      </c>
      <c r="J1249">
        <v>12.33</v>
      </c>
      <c r="K1249">
        <f t="shared" si="135"/>
        <v>12.33</v>
      </c>
      <c r="L1249">
        <f t="shared" si="136"/>
        <v>42.222899999999996</v>
      </c>
      <c r="M1249">
        <f t="shared" si="137"/>
        <v>42222.899999999994</v>
      </c>
      <c r="N1249">
        <f t="shared" si="138"/>
        <v>40.019586631589995</v>
      </c>
      <c r="O1249">
        <f t="shared" si="139"/>
        <v>1.3998085990700826</v>
      </c>
    </row>
    <row r="1250" spans="6:15" x14ac:dyDescent="0.45">
      <c r="F1250">
        <v>1248</v>
      </c>
      <c r="G1250">
        <v>20.8</v>
      </c>
      <c r="H1250">
        <f t="shared" si="134"/>
        <v>20.8</v>
      </c>
      <c r="I1250">
        <f t="shared" si="133"/>
        <v>5.7777777777777784E-3</v>
      </c>
      <c r="J1250">
        <v>14.58</v>
      </c>
      <c r="K1250">
        <f t="shared" si="135"/>
        <v>14.58</v>
      </c>
      <c r="L1250">
        <f t="shared" si="136"/>
        <v>47.847900000000003</v>
      </c>
      <c r="M1250">
        <f t="shared" si="137"/>
        <v>47847.9</v>
      </c>
      <c r="N1250">
        <f t="shared" si="138"/>
        <v>45.351057819090002</v>
      </c>
      <c r="O1250">
        <f t="shared" si="139"/>
        <v>1.5862932642581491</v>
      </c>
    </row>
    <row r="1251" spans="6:15" x14ac:dyDescent="0.45">
      <c r="F1251">
        <v>1249</v>
      </c>
      <c r="G1251">
        <v>22.1</v>
      </c>
      <c r="H1251">
        <f t="shared" si="134"/>
        <v>22.1</v>
      </c>
      <c r="I1251">
        <f t="shared" si="133"/>
        <v>6.138888888888889E-3</v>
      </c>
      <c r="J1251">
        <v>13.7</v>
      </c>
      <c r="K1251">
        <f t="shared" si="135"/>
        <v>13.7</v>
      </c>
      <c r="L1251">
        <f t="shared" si="136"/>
        <v>45.6479</v>
      </c>
      <c r="M1251">
        <f t="shared" si="137"/>
        <v>45647.9</v>
      </c>
      <c r="N1251">
        <f t="shared" si="138"/>
        <v>43.26586019909</v>
      </c>
      <c r="O1251">
        <f t="shared" si="139"/>
        <v>1.513357039651261</v>
      </c>
    </row>
    <row r="1252" spans="6:15" x14ac:dyDescent="0.45">
      <c r="F1252">
        <v>1250</v>
      </c>
      <c r="G1252">
        <v>22.6</v>
      </c>
      <c r="H1252">
        <f t="shared" si="134"/>
        <v>22.6</v>
      </c>
      <c r="I1252">
        <f t="shared" si="133"/>
        <v>6.277777777777778E-3</v>
      </c>
      <c r="J1252">
        <v>6.36</v>
      </c>
      <c r="K1252">
        <f t="shared" si="135"/>
        <v>6.36</v>
      </c>
      <c r="L1252">
        <f t="shared" si="136"/>
        <v>27.297899999999998</v>
      </c>
      <c r="M1252">
        <f t="shared" si="137"/>
        <v>27297.899999999998</v>
      </c>
      <c r="N1252">
        <f t="shared" si="138"/>
        <v>25.873416414089998</v>
      </c>
      <c r="O1252">
        <f t="shared" si="139"/>
        <v>0.90500262077107929</v>
      </c>
    </row>
    <row r="1253" spans="6:15" x14ac:dyDescent="0.45">
      <c r="F1253">
        <v>1251</v>
      </c>
      <c r="G1253">
        <v>23.1</v>
      </c>
      <c r="H1253">
        <f t="shared" si="134"/>
        <v>23.1</v>
      </c>
      <c r="I1253">
        <f t="shared" si="133"/>
        <v>6.4166666666666669E-3</v>
      </c>
      <c r="J1253">
        <v>16.04</v>
      </c>
      <c r="K1253">
        <f t="shared" si="135"/>
        <v>16.04</v>
      </c>
      <c r="L1253">
        <f t="shared" si="136"/>
        <v>51.497899999999994</v>
      </c>
      <c r="M1253">
        <f t="shared" si="137"/>
        <v>51497.899999999994</v>
      </c>
      <c r="N1253">
        <f t="shared" si="138"/>
        <v>48.810590234089993</v>
      </c>
      <c r="O1253">
        <f t="shared" si="139"/>
        <v>1.70730109144685</v>
      </c>
    </row>
    <row r="1254" spans="6:15" x14ac:dyDescent="0.45">
      <c r="F1254">
        <v>1252</v>
      </c>
      <c r="G1254">
        <v>23.8</v>
      </c>
      <c r="H1254">
        <f t="shared" si="134"/>
        <v>23.8</v>
      </c>
      <c r="I1254">
        <f t="shared" si="133"/>
        <v>6.611111111111111E-3</v>
      </c>
      <c r="J1254">
        <v>6.08</v>
      </c>
      <c r="K1254">
        <f t="shared" si="135"/>
        <v>6.08</v>
      </c>
      <c r="L1254">
        <f t="shared" si="136"/>
        <v>26.597899999999999</v>
      </c>
      <c r="M1254">
        <f t="shared" si="137"/>
        <v>26597.899999999998</v>
      </c>
      <c r="N1254">
        <f t="shared" si="138"/>
        <v>25.209944444089999</v>
      </c>
      <c r="O1254">
        <f t="shared" si="139"/>
        <v>0.8817956402143422</v>
      </c>
    </row>
    <row r="1255" spans="6:15" x14ac:dyDescent="0.45">
      <c r="F1255">
        <v>1253</v>
      </c>
      <c r="G1255">
        <v>24.1</v>
      </c>
      <c r="H1255">
        <f t="shared" si="134"/>
        <v>24.1</v>
      </c>
      <c r="I1255">
        <f t="shared" si="133"/>
        <v>6.6944444444444447E-3</v>
      </c>
      <c r="J1255">
        <v>3.56</v>
      </c>
      <c r="K1255">
        <f t="shared" si="135"/>
        <v>3.56</v>
      </c>
      <c r="L1255">
        <f t="shared" si="136"/>
        <v>20.297899999999998</v>
      </c>
      <c r="M1255">
        <f t="shared" si="137"/>
        <v>20297.899999999998</v>
      </c>
      <c r="N1255">
        <f t="shared" si="138"/>
        <v>19.238696714089997</v>
      </c>
      <c r="O1255">
        <f t="shared" si="139"/>
        <v>0.67293281520370762</v>
      </c>
    </row>
    <row r="1256" spans="6:15" x14ac:dyDescent="0.45">
      <c r="F1256">
        <v>1254</v>
      </c>
      <c r="G1256">
        <v>24.5</v>
      </c>
      <c r="H1256">
        <f t="shared" si="134"/>
        <v>24.5</v>
      </c>
      <c r="I1256">
        <f t="shared" si="133"/>
        <v>6.8055555555555551E-3</v>
      </c>
      <c r="J1256">
        <v>4.58</v>
      </c>
      <c r="K1256">
        <f t="shared" si="135"/>
        <v>4.58</v>
      </c>
      <c r="L1256">
        <f t="shared" si="136"/>
        <v>22.847899999999999</v>
      </c>
      <c r="M1256">
        <f t="shared" si="137"/>
        <v>22847.899999999998</v>
      </c>
      <c r="N1256">
        <f t="shared" si="138"/>
        <v>21.655630319089997</v>
      </c>
      <c r="O1256">
        <f t="shared" si="139"/>
        <v>0.75747253008896442</v>
      </c>
    </row>
    <row r="1257" spans="6:15" x14ac:dyDescent="0.45">
      <c r="F1257">
        <v>1255</v>
      </c>
      <c r="G1257">
        <v>24.5</v>
      </c>
      <c r="H1257">
        <f t="shared" si="134"/>
        <v>24.5</v>
      </c>
      <c r="I1257">
        <f t="shared" si="133"/>
        <v>6.8055555555555551E-3</v>
      </c>
      <c r="J1257">
        <v>5.24</v>
      </c>
      <c r="K1257">
        <f t="shared" si="135"/>
        <v>5.24</v>
      </c>
      <c r="L1257">
        <f t="shared" si="136"/>
        <v>24.497900000000001</v>
      </c>
      <c r="M1257">
        <f t="shared" si="137"/>
        <v>24497.9</v>
      </c>
      <c r="N1257">
        <f t="shared" si="138"/>
        <v>23.219528534090003</v>
      </c>
      <c r="O1257">
        <f t="shared" si="139"/>
        <v>0.81217469854413082</v>
      </c>
    </row>
    <row r="1258" spans="6:15" x14ac:dyDescent="0.45">
      <c r="F1258">
        <v>1256</v>
      </c>
      <c r="G1258">
        <v>24.4</v>
      </c>
      <c r="H1258">
        <f t="shared" si="134"/>
        <v>24.4</v>
      </c>
      <c r="I1258">
        <f t="shared" si="133"/>
        <v>6.7777777777777775E-3</v>
      </c>
      <c r="J1258">
        <v>6.15</v>
      </c>
      <c r="K1258">
        <f t="shared" si="135"/>
        <v>6.15</v>
      </c>
      <c r="L1258">
        <f t="shared" si="136"/>
        <v>26.7729</v>
      </c>
      <c r="M1258">
        <f t="shared" si="137"/>
        <v>26772.9</v>
      </c>
      <c r="N1258">
        <f t="shared" si="138"/>
        <v>25.375812436590003</v>
      </c>
      <c r="O1258">
        <f t="shared" si="139"/>
        <v>0.88759738535352661</v>
      </c>
    </row>
    <row r="1259" spans="6:15" x14ac:dyDescent="0.45">
      <c r="F1259">
        <v>1257</v>
      </c>
      <c r="G1259">
        <v>23.9</v>
      </c>
      <c r="H1259">
        <f t="shared" si="134"/>
        <v>23.9</v>
      </c>
      <c r="I1259">
        <f t="shared" si="133"/>
        <v>6.6388888888888886E-3</v>
      </c>
      <c r="J1259">
        <v>-1.0900000000000001</v>
      </c>
      <c r="K1259">
        <f t="shared" si="135"/>
        <v>0</v>
      </c>
      <c r="L1259">
        <f t="shared" si="136"/>
        <v>11.3979</v>
      </c>
      <c r="M1259">
        <f t="shared" si="137"/>
        <v>11397.9</v>
      </c>
      <c r="N1259">
        <f t="shared" si="138"/>
        <v>10.80312452409</v>
      </c>
      <c r="O1259">
        <f t="shared" si="139"/>
        <v>0.377872633839478</v>
      </c>
    </row>
    <row r="1260" spans="6:15" x14ac:dyDescent="0.45">
      <c r="F1260">
        <v>1258</v>
      </c>
      <c r="G1260">
        <v>23.6</v>
      </c>
      <c r="H1260">
        <f t="shared" si="134"/>
        <v>23.6</v>
      </c>
      <c r="I1260">
        <f t="shared" si="133"/>
        <v>6.5555555555555558E-3</v>
      </c>
      <c r="J1260">
        <v>0.26</v>
      </c>
      <c r="K1260">
        <f t="shared" si="135"/>
        <v>0.26</v>
      </c>
      <c r="L1260">
        <f t="shared" si="136"/>
        <v>12.0479</v>
      </c>
      <c r="M1260">
        <f t="shared" si="137"/>
        <v>12047.9</v>
      </c>
      <c r="N1260">
        <f t="shared" si="138"/>
        <v>11.41920563909</v>
      </c>
      <c r="O1260">
        <f t="shared" si="139"/>
        <v>0.39942197292787679</v>
      </c>
    </row>
    <row r="1261" spans="6:15" x14ac:dyDescent="0.45">
      <c r="F1261">
        <v>1259</v>
      </c>
      <c r="G1261">
        <v>23.7</v>
      </c>
      <c r="H1261">
        <f t="shared" si="134"/>
        <v>23.7</v>
      </c>
      <c r="I1261">
        <f t="shared" si="133"/>
        <v>6.5833333333333334E-3</v>
      </c>
      <c r="J1261">
        <v>1.81</v>
      </c>
      <c r="K1261">
        <f t="shared" si="135"/>
        <v>1.81</v>
      </c>
      <c r="L1261">
        <f t="shared" si="136"/>
        <v>15.9229</v>
      </c>
      <c r="M1261">
        <f t="shared" si="137"/>
        <v>15922.9</v>
      </c>
      <c r="N1261">
        <f t="shared" si="138"/>
        <v>15.091996901590001</v>
      </c>
      <c r="O1261">
        <f t="shared" si="139"/>
        <v>0.52788918672410035</v>
      </c>
    </row>
    <row r="1262" spans="6:15" x14ac:dyDescent="0.45">
      <c r="F1262">
        <v>1260</v>
      </c>
      <c r="G1262">
        <v>23.7</v>
      </c>
      <c r="H1262">
        <f t="shared" si="134"/>
        <v>23.7</v>
      </c>
      <c r="I1262">
        <f t="shared" si="133"/>
        <v>6.5833333333333334E-3</v>
      </c>
      <c r="J1262">
        <v>8.9499999999999993</v>
      </c>
      <c r="K1262">
        <f t="shared" si="135"/>
        <v>8.9499999999999993</v>
      </c>
      <c r="L1262">
        <f t="shared" si="136"/>
        <v>33.7729</v>
      </c>
      <c r="M1262">
        <f t="shared" si="137"/>
        <v>33772.9</v>
      </c>
      <c r="N1262">
        <f t="shared" si="138"/>
        <v>32.010532136590001</v>
      </c>
      <c r="O1262">
        <f t="shared" si="139"/>
        <v>1.1196671909208984</v>
      </c>
    </row>
    <row r="1263" spans="6:15" x14ac:dyDescent="0.45">
      <c r="F1263">
        <v>1261</v>
      </c>
      <c r="G1263">
        <v>23.6</v>
      </c>
      <c r="H1263">
        <f t="shared" si="134"/>
        <v>23.6</v>
      </c>
      <c r="I1263">
        <f t="shared" si="133"/>
        <v>6.5555555555555558E-3</v>
      </c>
      <c r="J1263">
        <v>4.29</v>
      </c>
      <c r="K1263">
        <f t="shared" si="135"/>
        <v>4.29</v>
      </c>
      <c r="L1263">
        <f t="shared" si="136"/>
        <v>22.122900000000001</v>
      </c>
      <c r="M1263">
        <f t="shared" si="137"/>
        <v>22122.9</v>
      </c>
      <c r="N1263">
        <f t="shared" si="138"/>
        <v>20.968462921590003</v>
      </c>
      <c r="O1263">
        <f t="shared" si="139"/>
        <v>0.73343672879805821</v>
      </c>
    </row>
    <row r="1264" spans="6:15" x14ac:dyDescent="0.45">
      <c r="F1264">
        <v>1262</v>
      </c>
      <c r="G1264">
        <v>23.6</v>
      </c>
      <c r="H1264">
        <f t="shared" si="134"/>
        <v>23.6</v>
      </c>
      <c r="I1264">
        <f t="shared" si="133"/>
        <v>6.5555555555555558E-3</v>
      </c>
      <c r="J1264">
        <v>3.52</v>
      </c>
      <c r="K1264">
        <f t="shared" si="135"/>
        <v>3.52</v>
      </c>
      <c r="L1264">
        <f t="shared" si="136"/>
        <v>20.197900000000001</v>
      </c>
      <c r="M1264">
        <f t="shared" si="137"/>
        <v>20197.900000000001</v>
      </c>
      <c r="N1264">
        <f t="shared" si="138"/>
        <v>19.143915004090001</v>
      </c>
      <c r="O1264">
        <f t="shared" si="139"/>
        <v>0.66961753226703113</v>
      </c>
    </row>
    <row r="1265" spans="6:15" x14ac:dyDescent="0.45">
      <c r="F1265">
        <v>1263</v>
      </c>
      <c r="G1265">
        <v>23.8</v>
      </c>
      <c r="H1265">
        <f t="shared" si="134"/>
        <v>23.8</v>
      </c>
      <c r="I1265">
        <f t="shared" si="133"/>
        <v>6.611111111111111E-3</v>
      </c>
      <c r="J1265">
        <v>9.01</v>
      </c>
      <c r="K1265">
        <f t="shared" si="135"/>
        <v>9.01</v>
      </c>
      <c r="L1265">
        <f t="shared" si="136"/>
        <v>33.922899999999998</v>
      </c>
      <c r="M1265">
        <f t="shared" si="137"/>
        <v>33922.9</v>
      </c>
      <c r="N1265">
        <f t="shared" si="138"/>
        <v>32.152704701590004</v>
      </c>
      <c r="O1265">
        <f t="shared" si="139"/>
        <v>1.1246401153259133</v>
      </c>
    </row>
    <row r="1266" spans="6:15" x14ac:dyDescent="0.45">
      <c r="F1266">
        <v>1264</v>
      </c>
      <c r="G1266">
        <v>24.1</v>
      </c>
      <c r="H1266">
        <f t="shared" si="134"/>
        <v>24.1</v>
      </c>
      <c r="I1266">
        <f t="shared" si="133"/>
        <v>6.6944444444444447E-3</v>
      </c>
      <c r="J1266">
        <v>9.9</v>
      </c>
      <c r="K1266">
        <f t="shared" si="135"/>
        <v>9.9</v>
      </c>
      <c r="L1266">
        <f t="shared" si="136"/>
        <v>36.1479</v>
      </c>
      <c r="M1266">
        <f t="shared" si="137"/>
        <v>36147.9</v>
      </c>
      <c r="N1266">
        <f t="shared" si="138"/>
        <v>34.261597749090001</v>
      </c>
      <c r="O1266">
        <f t="shared" si="139"/>
        <v>1.1984051606669708</v>
      </c>
    </row>
    <row r="1267" spans="6:15" x14ac:dyDescent="0.45">
      <c r="F1267">
        <v>1265</v>
      </c>
      <c r="G1267">
        <v>24.5</v>
      </c>
      <c r="H1267">
        <f t="shared" si="134"/>
        <v>24.5</v>
      </c>
      <c r="I1267">
        <f t="shared" si="133"/>
        <v>6.8055555555555551E-3</v>
      </c>
      <c r="J1267">
        <v>6.25</v>
      </c>
      <c r="K1267">
        <f t="shared" si="135"/>
        <v>6.25</v>
      </c>
      <c r="L1267">
        <f t="shared" si="136"/>
        <v>27.0229</v>
      </c>
      <c r="M1267">
        <f t="shared" si="137"/>
        <v>27022.9</v>
      </c>
      <c r="N1267">
        <f t="shared" si="138"/>
        <v>25.612766711590002</v>
      </c>
      <c r="O1267">
        <f t="shared" si="139"/>
        <v>0.89588559269521839</v>
      </c>
    </row>
    <row r="1268" spans="6:15" x14ac:dyDescent="0.45">
      <c r="F1268">
        <v>1266</v>
      </c>
      <c r="G1268">
        <v>24.9</v>
      </c>
      <c r="H1268">
        <f t="shared" si="134"/>
        <v>24.9</v>
      </c>
      <c r="I1268">
        <f t="shared" si="133"/>
        <v>6.9166666666666664E-3</v>
      </c>
      <c r="J1268">
        <v>10.57</v>
      </c>
      <c r="K1268">
        <f t="shared" si="135"/>
        <v>10.57</v>
      </c>
      <c r="L1268">
        <f t="shared" si="136"/>
        <v>37.822900000000004</v>
      </c>
      <c r="M1268">
        <f t="shared" si="137"/>
        <v>37822.9</v>
      </c>
      <c r="N1268">
        <f t="shared" si="138"/>
        <v>35.849191391590004</v>
      </c>
      <c r="O1268">
        <f t="shared" si="139"/>
        <v>1.2539361498563062</v>
      </c>
    </row>
    <row r="1269" spans="6:15" x14ac:dyDescent="0.45">
      <c r="F1269">
        <v>1267</v>
      </c>
      <c r="G1269">
        <v>25.1</v>
      </c>
      <c r="H1269">
        <f t="shared" si="134"/>
        <v>25.1</v>
      </c>
      <c r="I1269">
        <f t="shared" si="133"/>
        <v>6.9722222222222225E-3</v>
      </c>
      <c r="J1269">
        <v>8.8000000000000007</v>
      </c>
      <c r="K1269">
        <f t="shared" si="135"/>
        <v>8.8000000000000007</v>
      </c>
      <c r="L1269">
        <f t="shared" si="136"/>
        <v>33.3979</v>
      </c>
      <c r="M1269">
        <f t="shared" si="137"/>
        <v>33397.9</v>
      </c>
      <c r="N1269">
        <f t="shared" si="138"/>
        <v>31.655100724090001</v>
      </c>
      <c r="O1269">
        <f t="shared" si="139"/>
        <v>1.1072348799083604</v>
      </c>
    </row>
    <row r="1270" spans="6:15" x14ac:dyDescent="0.45">
      <c r="F1270">
        <v>1268</v>
      </c>
      <c r="G1270">
        <v>25.3</v>
      </c>
      <c r="H1270">
        <f t="shared" si="134"/>
        <v>25.3</v>
      </c>
      <c r="I1270">
        <f t="shared" si="133"/>
        <v>7.0277777777777778E-3</v>
      </c>
      <c r="J1270">
        <v>5.26</v>
      </c>
      <c r="K1270">
        <f t="shared" si="135"/>
        <v>5.26</v>
      </c>
      <c r="L1270">
        <f t="shared" si="136"/>
        <v>24.547899999999998</v>
      </c>
      <c r="M1270">
        <f t="shared" si="137"/>
        <v>24547.899999999998</v>
      </c>
      <c r="N1270">
        <f t="shared" si="138"/>
        <v>23.266919389089999</v>
      </c>
      <c r="O1270">
        <f t="shared" si="139"/>
        <v>0.81383234001246907</v>
      </c>
    </row>
    <row r="1271" spans="6:15" x14ac:dyDescent="0.45">
      <c r="F1271">
        <v>1269</v>
      </c>
      <c r="G1271">
        <v>25.6</v>
      </c>
      <c r="H1271">
        <f t="shared" si="134"/>
        <v>25.6</v>
      </c>
      <c r="I1271">
        <f t="shared" si="133"/>
        <v>7.1111111111111115E-3</v>
      </c>
      <c r="J1271">
        <v>9.08</v>
      </c>
      <c r="K1271">
        <f t="shared" si="135"/>
        <v>9.08</v>
      </c>
      <c r="L1271">
        <f t="shared" si="136"/>
        <v>34.097899999999996</v>
      </c>
      <c r="M1271">
        <f t="shared" si="137"/>
        <v>34097.899999999994</v>
      </c>
      <c r="N1271">
        <f t="shared" si="138"/>
        <v>32.318572694089994</v>
      </c>
      <c r="O1271">
        <f t="shared" si="139"/>
        <v>1.1304418604650974</v>
      </c>
    </row>
    <row r="1272" spans="6:15" x14ac:dyDescent="0.45">
      <c r="F1272">
        <v>1270</v>
      </c>
      <c r="G1272">
        <v>25.8</v>
      </c>
      <c r="H1272">
        <f t="shared" si="134"/>
        <v>25.8</v>
      </c>
      <c r="I1272">
        <f t="shared" si="133"/>
        <v>7.1666666666666667E-3</v>
      </c>
      <c r="J1272">
        <v>6.05</v>
      </c>
      <c r="K1272">
        <f t="shared" si="135"/>
        <v>6.05</v>
      </c>
      <c r="L1272">
        <f t="shared" si="136"/>
        <v>26.5229</v>
      </c>
      <c r="M1272">
        <f t="shared" si="137"/>
        <v>26522.9</v>
      </c>
      <c r="N1272">
        <f t="shared" si="138"/>
        <v>25.138858161590001</v>
      </c>
      <c r="O1272">
        <f t="shared" si="139"/>
        <v>0.87930917801183472</v>
      </c>
    </row>
    <row r="1273" spans="6:15" x14ac:dyDescent="0.45">
      <c r="F1273">
        <v>1271</v>
      </c>
      <c r="G1273">
        <v>26</v>
      </c>
      <c r="H1273">
        <f t="shared" si="134"/>
        <v>26</v>
      </c>
      <c r="I1273">
        <f t="shared" si="133"/>
        <v>7.2222222222222219E-3</v>
      </c>
      <c r="J1273">
        <v>6.34</v>
      </c>
      <c r="K1273">
        <f t="shared" si="135"/>
        <v>6.34</v>
      </c>
      <c r="L1273">
        <f t="shared" si="136"/>
        <v>27.247900000000001</v>
      </c>
      <c r="M1273">
        <f t="shared" si="137"/>
        <v>27247.9</v>
      </c>
      <c r="N1273">
        <f t="shared" si="138"/>
        <v>25.826025559090002</v>
      </c>
      <c r="O1273">
        <f t="shared" si="139"/>
        <v>0.90334497930274116</v>
      </c>
    </row>
    <row r="1274" spans="6:15" x14ac:dyDescent="0.45">
      <c r="F1274">
        <v>1272</v>
      </c>
      <c r="G1274">
        <v>26.3</v>
      </c>
      <c r="H1274">
        <f t="shared" si="134"/>
        <v>26.3</v>
      </c>
      <c r="I1274">
        <f t="shared" si="133"/>
        <v>7.3055555555555556E-3</v>
      </c>
      <c r="J1274">
        <v>8.4499999999999993</v>
      </c>
      <c r="K1274">
        <f t="shared" si="135"/>
        <v>8.4499999999999993</v>
      </c>
      <c r="L1274">
        <f t="shared" si="136"/>
        <v>32.5229</v>
      </c>
      <c r="M1274">
        <f t="shared" si="137"/>
        <v>32522.9</v>
      </c>
      <c r="N1274">
        <f t="shared" si="138"/>
        <v>30.825760761590001</v>
      </c>
      <c r="O1274">
        <f t="shared" si="139"/>
        <v>1.0782261542124389</v>
      </c>
    </row>
    <row r="1275" spans="6:15" x14ac:dyDescent="0.45">
      <c r="F1275">
        <v>1273</v>
      </c>
      <c r="G1275">
        <v>27.1</v>
      </c>
      <c r="H1275">
        <f t="shared" si="134"/>
        <v>27.1</v>
      </c>
      <c r="I1275">
        <f t="shared" si="133"/>
        <v>7.5277777777777782E-3</v>
      </c>
      <c r="J1275">
        <v>11.18</v>
      </c>
      <c r="K1275">
        <f t="shared" si="135"/>
        <v>11.18</v>
      </c>
      <c r="L1275">
        <f t="shared" si="136"/>
        <v>39.347899999999996</v>
      </c>
      <c r="M1275">
        <f t="shared" si="137"/>
        <v>39347.899999999994</v>
      </c>
      <c r="N1275">
        <f t="shared" si="138"/>
        <v>37.294612469089998</v>
      </c>
      <c r="O1275">
        <f t="shared" si="139"/>
        <v>1.3044942146406262</v>
      </c>
    </row>
    <row r="1276" spans="6:15" x14ac:dyDescent="0.45">
      <c r="F1276">
        <v>1274</v>
      </c>
      <c r="G1276">
        <v>27.6</v>
      </c>
      <c r="H1276">
        <f t="shared" si="134"/>
        <v>27.6</v>
      </c>
      <c r="I1276">
        <f t="shared" si="133"/>
        <v>7.6666666666666671E-3</v>
      </c>
      <c r="J1276">
        <v>10.77</v>
      </c>
      <c r="K1276">
        <f t="shared" si="135"/>
        <v>10.77</v>
      </c>
      <c r="L1276">
        <f t="shared" si="136"/>
        <v>38.322899999999997</v>
      </c>
      <c r="M1276">
        <f t="shared" si="137"/>
        <v>38322.899999999994</v>
      </c>
      <c r="N1276">
        <f t="shared" si="138"/>
        <v>36.323099941589994</v>
      </c>
      <c r="O1276">
        <f t="shared" si="139"/>
        <v>1.2705125645396897</v>
      </c>
    </row>
    <row r="1277" spans="6:15" x14ac:dyDescent="0.45">
      <c r="F1277">
        <v>1275</v>
      </c>
      <c r="G1277">
        <v>28.2</v>
      </c>
      <c r="H1277">
        <f t="shared" si="134"/>
        <v>28.2</v>
      </c>
      <c r="I1277">
        <f t="shared" si="133"/>
        <v>7.8333333333333328E-3</v>
      </c>
      <c r="J1277">
        <v>10.45</v>
      </c>
      <c r="K1277">
        <f t="shared" si="135"/>
        <v>10.45</v>
      </c>
      <c r="L1277">
        <f t="shared" si="136"/>
        <v>37.5229</v>
      </c>
      <c r="M1277">
        <f t="shared" si="137"/>
        <v>37522.9</v>
      </c>
      <c r="N1277">
        <f t="shared" si="138"/>
        <v>35.564846261590006</v>
      </c>
      <c r="O1277">
        <f t="shared" si="139"/>
        <v>1.2439903010462761</v>
      </c>
    </row>
    <row r="1278" spans="6:15" x14ac:dyDescent="0.45">
      <c r="F1278">
        <v>1276</v>
      </c>
      <c r="G1278">
        <v>28.6</v>
      </c>
      <c r="H1278">
        <f t="shared" si="134"/>
        <v>28.6</v>
      </c>
      <c r="I1278">
        <f t="shared" si="133"/>
        <v>7.9444444444444449E-3</v>
      </c>
      <c r="J1278">
        <v>7.18</v>
      </c>
      <c r="K1278">
        <f t="shared" si="135"/>
        <v>7.18</v>
      </c>
      <c r="L1278">
        <f t="shared" si="136"/>
        <v>29.347899999999999</v>
      </c>
      <c r="M1278">
        <f t="shared" si="137"/>
        <v>29347.899999999998</v>
      </c>
      <c r="N1278">
        <f t="shared" si="138"/>
        <v>27.816441469089998</v>
      </c>
      <c r="O1278">
        <f t="shared" si="139"/>
        <v>0.97296592097295254</v>
      </c>
    </row>
    <row r="1279" spans="6:15" x14ac:dyDescent="0.45">
      <c r="F1279">
        <v>1277</v>
      </c>
      <c r="G1279">
        <v>28.7</v>
      </c>
      <c r="H1279">
        <f t="shared" si="134"/>
        <v>28.7</v>
      </c>
      <c r="I1279">
        <f t="shared" si="133"/>
        <v>7.9722222222222226E-3</v>
      </c>
      <c r="J1279">
        <v>4.25</v>
      </c>
      <c r="K1279">
        <f t="shared" si="135"/>
        <v>4.25</v>
      </c>
      <c r="L1279">
        <f t="shared" si="136"/>
        <v>22.0229</v>
      </c>
      <c r="M1279">
        <f t="shared" si="137"/>
        <v>22022.9</v>
      </c>
      <c r="N1279">
        <f t="shared" si="138"/>
        <v>20.873681211590004</v>
      </c>
      <c r="O1279">
        <f t="shared" si="139"/>
        <v>0.7301214458613815</v>
      </c>
    </row>
    <row r="1280" spans="6:15" x14ac:dyDescent="0.45">
      <c r="F1280">
        <v>1278</v>
      </c>
      <c r="G1280">
        <v>28.7</v>
      </c>
      <c r="H1280">
        <f t="shared" si="134"/>
        <v>28.7</v>
      </c>
      <c r="I1280">
        <f t="shared" si="133"/>
        <v>7.9722222222222226E-3</v>
      </c>
      <c r="J1280">
        <v>3.98</v>
      </c>
      <c r="K1280">
        <f t="shared" si="135"/>
        <v>3.98</v>
      </c>
      <c r="L1280">
        <f t="shared" si="136"/>
        <v>21.347899999999999</v>
      </c>
      <c r="M1280">
        <f t="shared" si="137"/>
        <v>21347.899999999998</v>
      </c>
      <c r="N1280">
        <f t="shared" si="138"/>
        <v>20.233904669089998</v>
      </c>
      <c r="O1280">
        <f t="shared" si="139"/>
        <v>0.70774328603881331</v>
      </c>
    </row>
    <row r="1281" spans="6:15" x14ac:dyDescent="0.45">
      <c r="F1281">
        <v>1279</v>
      </c>
      <c r="G1281">
        <v>27.6</v>
      </c>
      <c r="H1281">
        <f t="shared" si="134"/>
        <v>27.6</v>
      </c>
      <c r="I1281">
        <f t="shared" si="133"/>
        <v>7.6666666666666671E-3</v>
      </c>
      <c r="J1281">
        <v>0.49</v>
      </c>
      <c r="K1281">
        <f t="shared" si="135"/>
        <v>0.49</v>
      </c>
      <c r="L1281">
        <f t="shared" si="136"/>
        <v>12.6229</v>
      </c>
      <c r="M1281">
        <f t="shared" si="137"/>
        <v>12622.9</v>
      </c>
      <c r="N1281">
        <f t="shared" si="138"/>
        <v>11.964200471590001</v>
      </c>
      <c r="O1281">
        <f t="shared" si="139"/>
        <v>0.41848484981376799</v>
      </c>
    </row>
    <row r="1282" spans="6:15" x14ac:dyDescent="0.45">
      <c r="F1282">
        <v>1280</v>
      </c>
      <c r="G1282">
        <v>24.9</v>
      </c>
      <c r="H1282">
        <f t="shared" si="134"/>
        <v>24.9</v>
      </c>
      <c r="I1282">
        <f t="shared" ref="I1282:I1345" si="140">H1282*(1/3600)</f>
        <v>6.9166666666666664E-3</v>
      </c>
      <c r="J1282">
        <v>-0.3</v>
      </c>
      <c r="K1282">
        <f t="shared" si="135"/>
        <v>0</v>
      </c>
      <c r="L1282">
        <f t="shared" si="136"/>
        <v>11.3979</v>
      </c>
      <c r="M1282">
        <f t="shared" si="137"/>
        <v>11397.9</v>
      </c>
      <c r="N1282">
        <f t="shared" si="138"/>
        <v>10.80312452409</v>
      </c>
      <c r="O1282">
        <f t="shared" si="139"/>
        <v>0.377872633839478</v>
      </c>
    </row>
    <row r="1283" spans="6:15" x14ac:dyDescent="0.45">
      <c r="F1283">
        <v>1281</v>
      </c>
      <c r="G1283">
        <v>21</v>
      </c>
      <c r="H1283">
        <f t="shared" ref="H1283:H1346" si="141">IF(G1283&lt;0,0,G1283)</f>
        <v>21</v>
      </c>
      <c r="I1283">
        <f t="shared" si="140"/>
        <v>5.8333333333333336E-3</v>
      </c>
      <c r="J1283">
        <v>-0.73</v>
      </c>
      <c r="K1283">
        <f t="shared" ref="K1283:K1346" si="142">IF(J1283&lt;0,0,J1283)</f>
        <v>0</v>
      </c>
      <c r="L1283">
        <f t="shared" ref="L1283:L1346" si="143">(1/$B$5)*K1283+((3.4798*$B$6)+0.9585)</f>
        <v>11.3979</v>
      </c>
      <c r="M1283">
        <f t="shared" ref="M1283:M1346" si="144">L1283*1000</f>
        <v>11397.9</v>
      </c>
      <c r="N1283">
        <f t="shared" ref="N1283:N1346" si="145">M1283*0.0009478171</f>
        <v>10.80312452409</v>
      </c>
      <c r="O1283">
        <f t="shared" ref="O1283:O1346" si="146">(M1283*453.59237)/(18489*0.74*1000)</f>
        <v>0.377872633839478</v>
      </c>
    </row>
    <row r="1284" spans="6:15" x14ac:dyDescent="0.45">
      <c r="F1284">
        <v>1282</v>
      </c>
      <c r="G1284">
        <v>17.399999999999999</v>
      </c>
      <c r="H1284">
        <f t="shared" si="141"/>
        <v>17.399999999999999</v>
      </c>
      <c r="I1284">
        <f t="shared" si="140"/>
        <v>4.8333333333333327E-3</v>
      </c>
      <c r="J1284">
        <v>-0.8</v>
      </c>
      <c r="K1284">
        <f t="shared" si="142"/>
        <v>0</v>
      </c>
      <c r="L1284">
        <f t="shared" si="143"/>
        <v>11.3979</v>
      </c>
      <c r="M1284">
        <f t="shared" si="144"/>
        <v>11397.9</v>
      </c>
      <c r="N1284">
        <f t="shared" si="145"/>
        <v>10.80312452409</v>
      </c>
      <c r="O1284">
        <f t="shared" si="146"/>
        <v>0.377872633839478</v>
      </c>
    </row>
    <row r="1285" spans="6:15" x14ac:dyDescent="0.45">
      <c r="F1285">
        <v>1283</v>
      </c>
      <c r="G1285">
        <v>13.9</v>
      </c>
      <c r="H1285">
        <f t="shared" si="141"/>
        <v>13.9</v>
      </c>
      <c r="I1285">
        <f t="shared" si="140"/>
        <v>3.8611111111111112E-3</v>
      </c>
      <c r="J1285">
        <v>-0.21</v>
      </c>
      <c r="K1285">
        <f t="shared" si="142"/>
        <v>0</v>
      </c>
      <c r="L1285">
        <f t="shared" si="143"/>
        <v>11.3979</v>
      </c>
      <c r="M1285">
        <f t="shared" si="144"/>
        <v>11397.9</v>
      </c>
      <c r="N1285">
        <f t="shared" si="145"/>
        <v>10.80312452409</v>
      </c>
      <c r="O1285">
        <f t="shared" si="146"/>
        <v>0.377872633839478</v>
      </c>
    </row>
    <row r="1286" spans="6:15" x14ac:dyDescent="0.45">
      <c r="F1286">
        <v>1284</v>
      </c>
      <c r="G1286">
        <v>10.4</v>
      </c>
      <c r="H1286">
        <f t="shared" si="141"/>
        <v>10.4</v>
      </c>
      <c r="I1286">
        <f t="shared" si="140"/>
        <v>2.8888888888888892E-3</v>
      </c>
      <c r="J1286">
        <v>-0.82</v>
      </c>
      <c r="K1286">
        <f t="shared" si="142"/>
        <v>0</v>
      </c>
      <c r="L1286">
        <f t="shared" si="143"/>
        <v>11.3979</v>
      </c>
      <c r="M1286">
        <f t="shared" si="144"/>
        <v>11397.9</v>
      </c>
      <c r="N1286">
        <f t="shared" si="145"/>
        <v>10.80312452409</v>
      </c>
      <c r="O1286">
        <f t="shared" si="146"/>
        <v>0.377872633839478</v>
      </c>
    </row>
    <row r="1287" spans="6:15" x14ac:dyDescent="0.45">
      <c r="F1287">
        <v>1285</v>
      </c>
      <c r="G1287">
        <v>7</v>
      </c>
      <c r="H1287">
        <f t="shared" si="141"/>
        <v>7</v>
      </c>
      <c r="I1287">
        <f t="shared" si="140"/>
        <v>1.9444444444444444E-3</v>
      </c>
      <c r="J1287">
        <v>0.08</v>
      </c>
      <c r="K1287">
        <f t="shared" si="142"/>
        <v>0.08</v>
      </c>
      <c r="L1287">
        <f t="shared" si="143"/>
        <v>11.597899999999999</v>
      </c>
      <c r="M1287">
        <f t="shared" si="144"/>
        <v>11597.9</v>
      </c>
      <c r="N1287">
        <f t="shared" si="145"/>
        <v>10.992687944089999</v>
      </c>
      <c r="O1287">
        <f t="shared" si="146"/>
        <v>0.38450319971283142</v>
      </c>
    </row>
    <row r="1288" spans="6:15" x14ac:dyDescent="0.45">
      <c r="F1288">
        <v>1286</v>
      </c>
      <c r="G1288">
        <v>3.7</v>
      </c>
      <c r="H1288">
        <f t="shared" si="141"/>
        <v>3.7</v>
      </c>
      <c r="I1288">
        <f t="shared" si="140"/>
        <v>1.0277777777777778E-3</v>
      </c>
      <c r="J1288">
        <v>0.17</v>
      </c>
      <c r="K1288">
        <f t="shared" si="142"/>
        <v>0.17</v>
      </c>
      <c r="L1288">
        <f t="shared" si="143"/>
        <v>11.822900000000001</v>
      </c>
      <c r="M1288">
        <f t="shared" si="144"/>
        <v>11822.900000000001</v>
      </c>
      <c r="N1288">
        <f t="shared" si="145"/>
        <v>11.205946791590002</v>
      </c>
      <c r="O1288">
        <f t="shared" si="146"/>
        <v>0.39196258632035419</v>
      </c>
    </row>
    <row r="1289" spans="6:15" x14ac:dyDescent="0.45">
      <c r="F1289">
        <v>1287</v>
      </c>
      <c r="G1289">
        <v>1.5</v>
      </c>
      <c r="H1289">
        <f t="shared" si="141"/>
        <v>1.5</v>
      </c>
      <c r="I1289">
        <f t="shared" si="140"/>
        <v>4.1666666666666664E-4</v>
      </c>
      <c r="J1289">
        <v>1.62</v>
      </c>
      <c r="K1289">
        <f t="shared" si="142"/>
        <v>1.62</v>
      </c>
      <c r="L1289">
        <f t="shared" si="143"/>
        <v>15.447900000000001</v>
      </c>
      <c r="M1289">
        <f t="shared" si="144"/>
        <v>15447.900000000001</v>
      </c>
      <c r="N1289">
        <f t="shared" si="145"/>
        <v>14.641783779090002</v>
      </c>
      <c r="O1289">
        <f t="shared" si="146"/>
        <v>0.51214159277488591</v>
      </c>
    </row>
    <row r="1290" spans="6:15" x14ac:dyDescent="0.45">
      <c r="F1290">
        <v>1288</v>
      </c>
      <c r="G1290">
        <v>-0.2</v>
      </c>
      <c r="H1290">
        <f t="shared" si="141"/>
        <v>0</v>
      </c>
      <c r="I1290">
        <f t="shared" si="140"/>
        <v>0</v>
      </c>
      <c r="J1290">
        <v>1.02</v>
      </c>
      <c r="K1290">
        <f t="shared" si="142"/>
        <v>1.02</v>
      </c>
      <c r="L1290">
        <f t="shared" si="143"/>
        <v>13.947900000000001</v>
      </c>
      <c r="M1290">
        <f t="shared" si="144"/>
        <v>13947.900000000001</v>
      </c>
      <c r="N1290">
        <f t="shared" si="145"/>
        <v>13.220058129090003</v>
      </c>
      <c r="O1290">
        <f t="shared" si="146"/>
        <v>0.46241234872473486</v>
      </c>
    </row>
    <row r="1291" spans="6:15" x14ac:dyDescent="0.45">
      <c r="F1291">
        <v>1289</v>
      </c>
      <c r="G1291">
        <v>0</v>
      </c>
      <c r="H1291">
        <f t="shared" si="141"/>
        <v>0</v>
      </c>
      <c r="I1291">
        <f t="shared" si="140"/>
        <v>0</v>
      </c>
      <c r="J1291">
        <v>0.98</v>
      </c>
      <c r="K1291">
        <f t="shared" si="142"/>
        <v>0.98</v>
      </c>
      <c r="L1291">
        <f t="shared" si="143"/>
        <v>13.847899999999999</v>
      </c>
      <c r="M1291">
        <f t="shared" si="144"/>
        <v>13847.9</v>
      </c>
      <c r="N1291">
        <f t="shared" si="145"/>
        <v>13.12527641909</v>
      </c>
      <c r="O1291">
        <f t="shared" si="146"/>
        <v>0.45909706578805809</v>
      </c>
    </row>
    <row r="1292" spans="6:15" x14ac:dyDescent="0.45">
      <c r="F1292">
        <v>1290</v>
      </c>
      <c r="G1292">
        <v>0</v>
      </c>
      <c r="H1292">
        <f t="shared" si="141"/>
        <v>0</v>
      </c>
      <c r="I1292">
        <f t="shared" si="140"/>
        <v>0</v>
      </c>
      <c r="J1292">
        <v>1.22</v>
      </c>
      <c r="K1292">
        <f t="shared" si="142"/>
        <v>1.22</v>
      </c>
      <c r="L1292">
        <f t="shared" si="143"/>
        <v>14.447900000000001</v>
      </c>
      <c r="M1292">
        <f t="shared" si="144"/>
        <v>14447.900000000001</v>
      </c>
      <c r="N1292">
        <f t="shared" si="145"/>
        <v>13.693966679090002</v>
      </c>
      <c r="O1292">
        <f t="shared" si="146"/>
        <v>0.47898876340811852</v>
      </c>
    </row>
    <row r="1293" spans="6:15" x14ac:dyDescent="0.45">
      <c r="F1293">
        <v>1291</v>
      </c>
      <c r="G1293">
        <v>0</v>
      </c>
      <c r="H1293">
        <f t="shared" si="141"/>
        <v>0</v>
      </c>
      <c r="I1293">
        <f t="shared" si="140"/>
        <v>0</v>
      </c>
      <c r="J1293">
        <v>0.92</v>
      </c>
      <c r="K1293">
        <f t="shared" si="142"/>
        <v>0.92</v>
      </c>
      <c r="L1293">
        <f t="shared" si="143"/>
        <v>13.697900000000001</v>
      </c>
      <c r="M1293">
        <f t="shared" si="144"/>
        <v>13697.900000000001</v>
      </c>
      <c r="N1293">
        <f t="shared" si="145"/>
        <v>12.983103854090002</v>
      </c>
      <c r="O1293">
        <f t="shared" si="146"/>
        <v>0.45412414138304302</v>
      </c>
    </row>
    <row r="1294" spans="6:15" x14ac:dyDescent="0.45">
      <c r="F1294">
        <v>1292</v>
      </c>
      <c r="G1294">
        <v>0</v>
      </c>
      <c r="H1294">
        <f t="shared" si="141"/>
        <v>0</v>
      </c>
      <c r="I1294">
        <f t="shared" si="140"/>
        <v>0</v>
      </c>
      <c r="J1294">
        <v>0.6</v>
      </c>
      <c r="K1294">
        <f t="shared" si="142"/>
        <v>0.6</v>
      </c>
      <c r="L1294">
        <f t="shared" si="143"/>
        <v>12.8979</v>
      </c>
      <c r="M1294">
        <f t="shared" si="144"/>
        <v>12897.9</v>
      </c>
      <c r="N1294">
        <f t="shared" si="145"/>
        <v>12.224850174089999</v>
      </c>
      <c r="O1294">
        <f t="shared" si="146"/>
        <v>0.42760187788962906</v>
      </c>
    </row>
    <row r="1295" spans="6:15" x14ac:dyDescent="0.45">
      <c r="F1295">
        <v>1293</v>
      </c>
      <c r="G1295">
        <v>0</v>
      </c>
      <c r="H1295">
        <f t="shared" si="141"/>
        <v>0</v>
      </c>
      <c r="I1295">
        <f t="shared" si="140"/>
        <v>0</v>
      </c>
      <c r="J1295">
        <v>0.99</v>
      </c>
      <c r="K1295">
        <f t="shared" si="142"/>
        <v>0.99</v>
      </c>
      <c r="L1295">
        <f t="shared" si="143"/>
        <v>13.8729</v>
      </c>
      <c r="M1295">
        <f t="shared" si="144"/>
        <v>13872.9</v>
      </c>
      <c r="N1295">
        <f t="shared" si="145"/>
        <v>13.148971846589999</v>
      </c>
      <c r="O1295">
        <f t="shared" si="146"/>
        <v>0.45992588652222727</v>
      </c>
    </row>
    <row r="1296" spans="6:15" x14ac:dyDescent="0.45">
      <c r="F1296">
        <v>1294</v>
      </c>
      <c r="G1296">
        <v>0</v>
      </c>
      <c r="H1296">
        <f t="shared" si="141"/>
        <v>0</v>
      </c>
      <c r="I1296">
        <f t="shared" si="140"/>
        <v>0</v>
      </c>
      <c r="J1296">
        <v>1.1599999999999999</v>
      </c>
      <c r="K1296">
        <f t="shared" si="142"/>
        <v>1.1599999999999999</v>
      </c>
      <c r="L1296">
        <f t="shared" si="143"/>
        <v>14.2979</v>
      </c>
      <c r="M1296">
        <f t="shared" si="144"/>
        <v>14297.9</v>
      </c>
      <c r="N1296">
        <f t="shared" si="145"/>
        <v>13.551794114090001</v>
      </c>
      <c r="O1296">
        <f t="shared" si="146"/>
        <v>0.4740158390031034</v>
      </c>
    </row>
    <row r="1297" spans="6:15" x14ac:dyDescent="0.45">
      <c r="F1297">
        <v>1295</v>
      </c>
      <c r="G1297">
        <v>0</v>
      </c>
      <c r="H1297">
        <f t="shared" si="141"/>
        <v>0</v>
      </c>
      <c r="I1297">
        <f t="shared" si="140"/>
        <v>0</v>
      </c>
      <c r="J1297">
        <v>0.65</v>
      </c>
      <c r="K1297">
        <f t="shared" si="142"/>
        <v>0.65</v>
      </c>
      <c r="L1297">
        <f t="shared" si="143"/>
        <v>13.0229</v>
      </c>
      <c r="M1297">
        <f t="shared" si="144"/>
        <v>13022.9</v>
      </c>
      <c r="N1297">
        <f t="shared" si="145"/>
        <v>12.34332731159</v>
      </c>
      <c r="O1297">
        <f t="shared" si="146"/>
        <v>0.43174598156047495</v>
      </c>
    </row>
    <row r="1298" spans="6:15" x14ac:dyDescent="0.45">
      <c r="F1298">
        <v>1296</v>
      </c>
      <c r="G1298">
        <v>0</v>
      </c>
      <c r="H1298">
        <f t="shared" si="141"/>
        <v>0</v>
      </c>
      <c r="I1298">
        <f t="shared" si="140"/>
        <v>0</v>
      </c>
      <c r="J1298">
        <v>0.44</v>
      </c>
      <c r="K1298">
        <f t="shared" si="142"/>
        <v>0.44</v>
      </c>
      <c r="L1298">
        <f t="shared" si="143"/>
        <v>12.4979</v>
      </c>
      <c r="M1298">
        <f t="shared" si="144"/>
        <v>12497.9</v>
      </c>
      <c r="N1298">
        <f t="shared" si="145"/>
        <v>11.84572333409</v>
      </c>
      <c r="O1298">
        <f t="shared" si="146"/>
        <v>0.4143407461429221</v>
      </c>
    </row>
    <row r="1299" spans="6:15" x14ac:dyDescent="0.45">
      <c r="F1299">
        <v>1297</v>
      </c>
      <c r="G1299">
        <v>0</v>
      </c>
      <c r="H1299">
        <f t="shared" si="141"/>
        <v>0</v>
      </c>
      <c r="I1299">
        <f t="shared" si="140"/>
        <v>0</v>
      </c>
      <c r="J1299">
        <v>0.56999999999999995</v>
      </c>
      <c r="K1299">
        <f t="shared" si="142"/>
        <v>0.56999999999999995</v>
      </c>
      <c r="L1299">
        <f t="shared" si="143"/>
        <v>12.822900000000001</v>
      </c>
      <c r="M1299">
        <f t="shared" si="144"/>
        <v>12822.900000000001</v>
      </c>
      <c r="N1299">
        <f t="shared" si="145"/>
        <v>12.153763891590001</v>
      </c>
      <c r="O1299">
        <f t="shared" si="146"/>
        <v>0.42511541568712158</v>
      </c>
    </row>
    <row r="1300" spans="6:15" x14ac:dyDescent="0.45">
      <c r="F1300">
        <v>1298</v>
      </c>
      <c r="G1300">
        <v>0</v>
      </c>
      <c r="H1300">
        <f t="shared" si="141"/>
        <v>0</v>
      </c>
      <c r="I1300">
        <f t="shared" si="140"/>
        <v>0</v>
      </c>
      <c r="J1300">
        <v>0.64</v>
      </c>
      <c r="K1300">
        <f t="shared" si="142"/>
        <v>0.64</v>
      </c>
      <c r="L1300">
        <f t="shared" si="143"/>
        <v>12.9979</v>
      </c>
      <c r="M1300">
        <f t="shared" si="144"/>
        <v>12997.9</v>
      </c>
      <c r="N1300">
        <f t="shared" si="145"/>
        <v>12.319631884090001</v>
      </c>
      <c r="O1300">
        <f t="shared" si="146"/>
        <v>0.43091716082630577</v>
      </c>
    </row>
    <row r="1301" spans="6:15" x14ac:dyDescent="0.45">
      <c r="F1301">
        <v>1299</v>
      </c>
      <c r="G1301">
        <v>0</v>
      </c>
      <c r="H1301">
        <f t="shared" si="141"/>
        <v>0</v>
      </c>
      <c r="I1301">
        <f t="shared" si="140"/>
        <v>0</v>
      </c>
      <c r="J1301">
        <v>0.52</v>
      </c>
      <c r="K1301">
        <f t="shared" si="142"/>
        <v>0.52</v>
      </c>
      <c r="L1301">
        <f t="shared" si="143"/>
        <v>12.697900000000001</v>
      </c>
      <c r="M1301">
        <f t="shared" si="144"/>
        <v>12697.900000000001</v>
      </c>
      <c r="N1301">
        <f t="shared" si="145"/>
        <v>12.035286754090002</v>
      </c>
      <c r="O1301">
        <f t="shared" si="146"/>
        <v>0.42097131201627563</v>
      </c>
    </row>
    <row r="1302" spans="6:15" x14ac:dyDescent="0.45">
      <c r="F1302">
        <v>1300</v>
      </c>
      <c r="G1302">
        <v>0</v>
      </c>
      <c r="H1302">
        <f t="shared" si="141"/>
        <v>0</v>
      </c>
      <c r="I1302">
        <f t="shared" si="140"/>
        <v>0</v>
      </c>
      <c r="J1302">
        <v>0.86</v>
      </c>
      <c r="K1302">
        <f t="shared" si="142"/>
        <v>0.86</v>
      </c>
      <c r="L1302">
        <f t="shared" si="143"/>
        <v>13.5479</v>
      </c>
      <c r="M1302">
        <f t="shared" si="144"/>
        <v>13547.9</v>
      </c>
      <c r="N1302">
        <f t="shared" si="145"/>
        <v>12.840931289089999</v>
      </c>
      <c r="O1302">
        <f t="shared" si="146"/>
        <v>0.44915121697802785</v>
      </c>
    </row>
    <row r="1303" spans="6:15" x14ac:dyDescent="0.45">
      <c r="F1303">
        <v>1301</v>
      </c>
      <c r="G1303">
        <v>0</v>
      </c>
      <c r="H1303">
        <f t="shared" si="141"/>
        <v>0</v>
      </c>
      <c r="I1303">
        <f t="shared" si="140"/>
        <v>0</v>
      </c>
      <c r="J1303">
        <v>0.45</v>
      </c>
      <c r="K1303">
        <f t="shared" si="142"/>
        <v>0.45</v>
      </c>
      <c r="L1303">
        <f t="shared" si="143"/>
        <v>12.5229</v>
      </c>
      <c r="M1303">
        <f t="shared" si="144"/>
        <v>12522.9</v>
      </c>
      <c r="N1303">
        <f t="shared" si="145"/>
        <v>11.86941876159</v>
      </c>
      <c r="O1303">
        <f t="shared" si="146"/>
        <v>0.41516956687709128</v>
      </c>
    </row>
    <row r="1304" spans="6:15" x14ac:dyDescent="0.45">
      <c r="F1304">
        <v>1302</v>
      </c>
      <c r="G1304">
        <v>0</v>
      </c>
      <c r="H1304">
        <f t="shared" si="141"/>
        <v>0</v>
      </c>
      <c r="I1304">
        <f t="shared" si="140"/>
        <v>0</v>
      </c>
      <c r="J1304">
        <v>1.2</v>
      </c>
      <c r="K1304">
        <f t="shared" si="142"/>
        <v>1.2</v>
      </c>
      <c r="L1304">
        <f t="shared" si="143"/>
        <v>14.3979</v>
      </c>
      <c r="M1304">
        <f t="shared" si="144"/>
        <v>14397.9</v>
      </c>
      <c r="N1304">
        <f t="shared" si="145"/>
        <v>13.64657582409</v>
      </c>
      <c r="O1304">
        <f t="shared" si="146"/>
        <v>0.47733112193978011</v>
      </c>
    </row>
    <row r="1305" spans="6:15" x14ac:dyDescent="0.45">
      <c r="F1305">
        <v>1303</v>
      </c>
      <c r="G1305">
        <v>0</v>
      </c>
      <c r="H1305">
        <f t="shared" si="141"/>
        <v>0</v>
      </c>
      <c r="I1305">
        <f t="shared" si="140"/>
        <v>0</v>
      </c>
      <c r="J1305">
        <v>1</v>
      </c>
      <c r="K1305">
        <f t="shared" si="142"/>
        <v>1</v>
      </c>
      <c r="L1305">
        <f t="shared" si="143"/>
        <v>13.8979</v>
      </c>
      <c r="M1305">
        <f t="shared" si="144"/>
        <v>13897.9</v>
      </c>
      <c r="N1305">
        <f t="shared" si="145"/>
        <v>13.172667274089999</v>
      </c>
      <c r="O1305">
        <f t="shared" si="146"/>
        <v>0.46075470725639645</v>
      </c>
    </row>
    <row r="1306" spans="6:15" x14ac:dyDescent="0.45">
      <c r="F1306">
        <v>1304</v>
      </c>
      <c r="G1306">
        <v>0</v>
      </c>
      <c r="H1306">
        <f t="shared" si="141"/>
        <v>0</v>
      </c>
      <c r="I1306">
        <f t="shared" si="140"/>
        <v>0</v>
      </c>
      <c r="J1306">
        <v>0.55000000000000004</v>
      </c>
      <c r="K1306">
        <f t="shared" si="142"/>
        <v>0.55000000000000004</v>
      </c>
      <c r="L1306">
        <f t="shared" si="143"/>
        <v>12.7729</v>
      </c>
      <c r="M1306">
        <f t="shared" si="144"/>
        <v>12772.9</v>
      </c>
      <c r="N1306">
        <f t="shared" si="145"/>
        <v>12.10637303659</v>
      </c>
      <c r="O1306">
        <f t="shared" si="146"/>
        <v>0.42345777421878317</v>
      </c>
    </row>
    <row r="1307" spans="6:15" x14ac:dyDescent="0.45">
      <c r="F1307">
        <v>1305</v>
      </c>
      <c r="G1307">
        <v>0</v>
      </c>
      <c r="H1307">
        <f t="shared" si="141"/>
        <v>0</v>
      </c>
      <c r="I1307">
        <f t="shared" si="140"/>
        <v>0</v>
      </c>
      <c r="J1307">
        <v>0.36</v>
      </c>
      <c r="K1307">
        <f t="shared" si="142"/>
        <v>0.36</v>
      </c>
      <c r="L1307">
        <f t="shared" si="143"/>
        <v>12.2979</v>
      </c>
      <c r="M1307">
        <f t="shared" si="144"/>
        <v>12297.9</v>
      </c>
      <c r="N1307">
        <f t="shared" si="145"/>
        <v>11.656159914090001</v>
      </c>
      <c r="O1307">
        <f t="shared" si="146"/>
        <v>0.40771018026956862</v>
      </c>
    </row>
    <row r="1308" spans="6:15" x14ac:dyDescent="0.45">
      <c r="F1308">
        <v>1306</v>
      </c>
      <c r="G1308">
        <v>0</v>
      </c>
      <c r="H1308">
        <f t="shared" si="141"/>
        <v>0</v>
      </c>
      <c r="I1308">
        <f t="shared" si="140"/>
        <v>0</v>
      </c>
      <c r="J1308">
        <v>0.54</v>
      </c>
      <c r="K1308">
        <f t="shared" si="142"/>
        <v>0.54</v>
      </c>
      <c r="L1308">
        <f t="shared" si="143"/>
        <v>12.7479</v>
      </c>
      <c r="M1308">
        <f t="shared" si="144"/>
        <v>12747.9</v>
      </c>
      <c r="N1308">
        <f t="shared" si="145"/>
        <v>12.08267760909</v>
      </c>
      <c r="O1308">
        <f t="shared" si="146"/>
        <v>0.42262895348461399</v>
      </c>
    </row>
    <row r="1309" spans="6:15" x14ac:dyDescent="0.45">
      <c r="F1309">
        <v>1307</v>
      </c>
      <c r="G1309">
        <v>0</v>
      </c>
      <c r="H1309">
        <f t="shared" si="141"/>
        <v>0</v>
      </c>
      <c r="I1309">
        <f t="shared" si="140"/>
        <v>0</v>
      </c>
      <c r="J1309">
        <v>0.59</v>
      </c>
      <c r="K1309">
        <f t="shared" si="142"/>
        <v>0.59</v>
      </c>
      <c r="L1309">
        <f t="shared" si="143"/>
        <v>12.8729</v>
      </c>
      <c r="M1309">
        <f t="shared" si="144"/>
        <v>12872.9</v>
      </c>
      <c r="N1309">
        <f t="shared" si="145"/>
        <v>12.201154746589999</v>
      </c>
      <c r="O1309">
        <f t="shared" si="146"/>
        <v>0.42677305715545988</v>
      </c>
    </row>
    <row r="1310" spans="6:15" x14ac:dyDescent="0.45">
      <c r="F1310">
        <v>1308</v>
      </c>
      <c r="G1310">
        <v>0</v>
      </c>
      <c r="H1310">
        <f t="shared" si="141"/>
        <v>0</v>
      </c>
      <c r="I1310">
        <f t="shared" si="140"/>
        <v>0</v>
      </c>
      <c r="J1310">
        <v>0.56999999999999995</v>
      </c>
      <c r="K1310">
        <f t="shared" si="142"/>
        <v>0.56999999999999995</v>
      </c>
      <c r="L1310">
        <f t="shared" si="143"/>
        <v>12.822900000000001</v>
      </c>
      <c r="M1310">
        <f t="shared" si="144"/>
        <v>12822.900000000001</v>
      </c>
      <c r="N1310">
        <f t="shared" si="145"/>
        <v>12.153763891590001</v>
      </c>
      <c r="O1310">
        <f t="shared" si="146"/>
        <v>0.42511541568712158</v>
      </c>
    </row>
    <row r="1311" spans="6:15" x14ac:dyDescent="0.45">
      <c r="F1311">
        <v>1309</v>
      </c>
      <c r="G1311">
        <v>0</v>
      </c>
      <c r="H1311">
        <f t="shared" si="141"/>
        <v>0</v>
      </c>
      <c r="I1311">
        <f t="shared" si="140"/>
        <v>0</v>
      </c>
      <c r="J1311">
        <v>0.42</v>
      </c>
      <c r="K1311">
        <f t="shared" si="142"/>
        <v>0.42</v>
      </c>
      <c r="L1311">
        <f t="shared" si="143"/>
        <v>12.447900000000001</v>
      </c>
      <c r="M1311">
        <f t="shared" si="144"/>
        <v>12447.900000000001</v>
      </c>
      <c r="N1311">
        <f t="shared" si="145"/>
        <v>11.798332479090002</v>
      </c>
      <c r="O1311">
        <f t="shared" si="146"/>
        <v>0.4126831046745838</v>
      </c>
    </row>
    <row r="1312" spans="6:15" x14ac:dyDescent="0.45">
      <c r="F1312">
        <v>1310</v>
      </c>
      <c r="G1312">
        <v>0</v>
      </c>
      <c r="H1312">
        <f t="shared" si="141"/>
        <v>0</v>
      </c>
      <c r="I1312">
        <f t="shared" si="140"/>
        <v>0</v>
      </c>
      <c r="J1312">
        <v>0.53</v>
      </c>
      <c r="K1312">
        <f t="shared" si="142"/>
        <v>0.53</v>
      </c>
      <c r="L1312">
        <f t="shared" si="143"/>
        <v>12.722899999999999</v>
      </c>
      <c r="M1312">
        <f t="shared" si="144"/>
        <v>12722.9</v>
      </c>
      <c r="N1312">
        <f t="shared" si="145"/>
        <v>12.05898218159</v>
      </c>
      <c r="O1312">
        <f t="shared" si="146"/>
        <v>0.42180013275044481</v>
      </c>
    </row>
    <row r="1313" spans="6:15" x14ac:dyDescent="0.45">
      <c r="F1313">
        <v>1311</v>
      </c>
      <c r="G1313">
        <v>0</v>
      </c>
      <c r="H1313">
        <f t="shared" si="141"/>
        <v>0</v>
      </c>
      <c r="I1313">
        <f t="shared" si="140"/>
        <v>0</v>
      </c>
      <c r="J1313">
        <v>0.48</v>
      </c>
      <c r="K1313">
        <f t="shared" si="142"/>
        <v>0.48</v>
      </c>
      <c r="L1313">
        <f t="shared" si="143"/>
        <v>12.597899999999999</v>
      </c>
      <c r="M1313">
        <f t="shared" si="144"/>
        <v>12597.9</v>
      </c>
      <c r="N1313">
        <f t="shared" si="145"/>
        <v>11.940505044090001</v>
      </c>
      <c r="O1313">
        <f t="shared" si="146"/>
        <v>0.41765602907959881</v>
      </c>
    </row>
    <row r="1314" spans="6:15" x14ac:dyDescent="0.45">
      <c r="F1314">
        <v>1312</v>
      </c>
      <c r="G1314">
        <v>0.3</v>
      </c>
      <c r="H1314">
        <f t="shared" si="141"/>
        <v>0.3</v>
      </c>
      <c r="I1314">
        <f t="shared" si="140"/>
        <v>8.3333333333333331E-5</v>
      </c>
      <c r="J1314">
        <v>0.75</v>
      </c>
      <c r="K1314">
        <f t="shared" si="142"/>
        <v>0.75</v>
      </c>
      <c r="L1314">
        <f t="shared" si="143"/>
        <v>13.2729</v>
      </c>
      <c r="M1314">
        <f t="shared" si="144"/>
        <v>13272.9</v>
      </c>
      <c r="N1314">
        <f t="shared" si="145"/>
        <v>12.580281586590001</v>
      </c>
      <c r="O1314">
        <f t="shared" si="146"/>
        <v>0.44003418890216683</v>
      </c>
    </row>
    <row r="1315" spans="6:15" x14ac:dyDescent="0.45">
      <c r="F1315">
        <v>1313</v>
      </c>
      <c r="G1315">
        <v>1.7</v>
      </c>
      <c r="H1315">
        <f t="shared" si="141"/>
        <v>1.7</v>
      </c>
      <c r="I1315">
        <f t="shared" si="140"/>
        <v>4.7222222222222218E-4</v>
      </c>
      <c r="J1315">
        <v>2.3199999999999998</v>
      </c>
      <c r="K1315">
        <f t="shared" si="142"/>
        <v>2.3199999999999998</v>
      </c>
      <c r="L1315">
        <f t="shared" si="143"/>
        <v>17.197900000000001</v>
      </c>
      <c r="M1315">
        <f t="shared" si="144"/>
        <v>17197.900000000001</v>
      </c>
      <c r="N1315">
        <f t="shared" si="145"/>
        <v>16.300463704090003</v>
      </c>
      <c r="O1315">
        <f t="shared" si="146"/>
        <v>0.5701590441667288</v>
      </c>
    </row>
    <row r="1316" spans="6:15" x14ac:dyDescent="0.45">
      <c r="F1316">
        <v>1314</v>
      </c>
      <c r="G1316">
        <v>5.2</v>
      </c>
      <c r="H1316">
        <f t="shared" si="141"/>
        <v>5.2</v>
      </c>
      <c r="I1316">
        <f t="shared" si="140"/>
        <v>1.4444444444444446E-3</v>
      </c>
      <c r="J1316">
        <v>9.32</v>
      </c>
      <c r="K1316">
        <f t="shared" si="142"/>
        <v>9.32</v>
      </c>
      <c r="L1316">
        <f t="shared" si="143"/>
        <v>34.697900000000004</v>
      </c>
      <c r="M1316">
        <f t="shared" si="144"/>
        <v>34697.9</v>
      </c>
      <c r="N1316">
        <f t="shared" si="145"/>
        <v>32.887262954090005</v>
      </c>
      <c r="O1316">
        <f t="shared" si="146"/>
        <v>1.1503335580851581</v>
      </c>
    </row>
    <row r="1317" spans="6:15" x14ac:dyDescent="0.45">
      <c r="F1317">
        <v>1315</v>
      </c>
      <c r="G1317">
        <v>8.5</v>
      </c>
      <c r="H1317">
        <f t="shared" si="141"/>
        <v>8.5</v>
      </c>
      <c r="I1317">
        <f t="shared" si="140"/>
        <v>2.3611111111111111E-3</v>
      </c>
      <c r="J1317">
        <v>13.08</v>
      </c>
      <c r="K1317">
        <f t="shared" si="142"/>
        <v>13.08</v>
      </c>
      <c r="L1317">
        <f t="shared" si="143"/>
        <v>44.097900000000003</v>
      </c>
      <c r="M1317">
        <f t="shared" si="144"/>
        <v>44097.9</v>
      </c>
      <c r="N1317">
        <f t="shared" si="145"/>
        <v>41.796743694090004</v>
      </c>
      <c r="O1317">
        <f t="shared" si="146"/>
        <v>1.4619701541327714</v>
      </c>
    </row>
    <row r="1318" spans="6:15" x14ac:dyDescent="0.45">
      <c r="F1318">
        <v>1316</v>
      </c>
      <c r="G1318">
        <v>11.6</v>
      </c>
      <c r="H1318">
        <f t="shared" si="141"/>
        <v>11.6</v>
      </c>
      <c r="I1318">
        <f t="shared" si="140"/>
        <v>3.2222222222222222E-3</v>
      </c>
      <c r="J1318">
        <v>11.96</v>
      </c>
      <c r="K1318">
        <f t="shared" si="142"/>
        <v>11.96</v>
      </c>
      <c r="L1318">
        <f t="shared" si="143"/>
        <v>41.297899999999998</v>
      </c>
      <c r="M1318">
        <f t="shared" si="144"/>
        <v>41297.9</v>
      </c>
      <c r="N1318">
        <f t="shared" si="145"/>
        <v>39.142855814090005</v>
      </c>
      <c r="O1318">
        <f t="shared" si="146"/>
        <v>1.3691422319058228</v>
      </c>
    </row>
    <row r="1319" spans="6:15" x14ac:dyDescent="0.45">
      <c r="F1319">
        <v>1317</v>
      </c>
      <c r="G1319">
        <v>13.8</v>
      </c>
      <c r="H1319">
        <f t="shared" si="141"/>
        <v>13.8</v>
      </c>
      <c r="I1319">
        <f t="shared" si="140"/>
        <v>3.8333333333333336E-3</v>
      </c>
      <c r="J1319">
        <v>13.52</v>
      </c>
      <c r="K1319">
        <f t="shared" si="142"/>
        <v>13.52</v>
      </c>
      <c r="L1319">
        <f t="shared" si="143"/>
        <v>45.197899999999997</v>
      </c>
      <c r="M1319">
        <f t="shared" si="144"/>
        <v>45197.899999999994</v>
      </c>
      <c r="N1319">
        <f t="shared" si="145"/>
        <v>42.839342504089998</v>
      </c>
      <c r="O1319">
        <f t="shared" si="146"/>
        <v>1.4984382664362155</v>
      </c>
    </row>
    <row r="1320" spans="6:15" x14ac:dyDescent="0.45">
      <c r="F1320">
        <v>1318</v>
      </c>
      <c r="G1320">
        <v>15.3</v>
      </c>
      <c r="H1320">
        <f t="shared" si="141"/>
        <v>15.3</v>
      </c>
      <c r="I1320">
        <f t="shared" si="140"/>
        <v>4.2500000000000003E-3</v>
      </c>
      <c r="J1320">
        <v>13.86</v>
      </c>
      <c r="K1320">
        <f t="shared" si="142"/>
        <v>13.86</v>
      </c>
      <c r="L1320">
        <f t="shared" si="143"/>
        <v>46.047899999999998</v>
      </c>
      <c r="M1320">
        <f t="shared" si="144"/>
        <v>46047.9</v>
      </c>
      <c r="N1320">
        <f t="shared" si="145"/>
        <v>43.644987039090005</v>
      </c>
      <c r="O1320">
        <f t="shared" si="146"/>
        <v>1.5266181713979678</v>
      </c>
    </row>
    <row r="1321" spans="6:15" x14ac:dyDescent="0.45">
      <c r="F1321">
        <v>1319</v>
      </c>
      <c r="G1321">
        <v>16.7</v>
      </c>
      <c r="H1321">
        <f t="shared" si="141"/>
        <v>16.7</v>
      </c>
      <c r="I1321">
        <f t="shared" si="140"/>
        <v>4.6388888888888886E-3</v>
      </c>
      <c r="J1321">
        <v>15.32</v>
      </c>
      <c r="K1321">
        <f t="shared" si="142"/>
        <v>15.32</v>
      </c>
      <c r="L1321">
        <f t="shared" si="143"/>
        <v>49.697899999999997</v>
      </c>
      <c r="M1321">
        <f t="shared" si="144"/>
        <v>49697.899999999994</v>
      </c>
      <c r="N1321">
        <f t="shared" si="145"/>
        <v>47.104519454089996</v>
      </c>
      <c r="O1321">
        <f t="shared" si="146"/>
        <v>1.6476259985866686</v>
      </c>
    </row>
    <row r="1322" spans="6:15" x14ac:dyDescent="0.45">
      <c r="F1322">
        <v>1320</v>
      </c>
      <c r="G1322">
        <v>18.100000000000001</v>
      </c>
      <c r="H1322">
        <f t="shared" si="141"/>
        <v>18.100000000000001</v>
      </c>
      <c r="I1322">
        <f t="shared" si="140"/>
        <v>5.0277777777777786E-3</v>
      </c>
      <c r="J1322">
        <v>13.89</v>
      </c>
      <c r="K1322">
        <f t="shared" si="142"/>
        <v>13.89</v>
      </c>
      <c r="L1322">
        <f t="shared" si="143"/>
        <v>46.122900000000001</v>
      </c>
      <c r="M1322">
        <f t="shared" si="144"/>
        <v>46122.9</v>
      </c>
      <c r="N1322">
        <f t="shared" si="145"/>
        <v>43.716073321590002</v>
      </c>
      <c r="O1322">
        <f t="shared" si="146"/>
        <v>1.5291046336004754</v>
      </c>
    </row>
    <row r="1323" spans="6:15" x14ac:dyDescent="0.45">
      <c r="F1323">
        <v>1321</v>
      </c>
      <c r="G1323">
        <v>19.7</v>
      </c>
      <c r="H1323">
        <f t="shared" si="141"/>
        <v>19.7</v>
      </c>
      <c r="I1323">
        <f t="shared" si="140"/>
        <v>5.4722222222222221E-3</v>
      </c>
      <c r="J1323">
        <v>13.79</v>
      </c>
      <c r="K1323">
        <f t="shared" si="142"/>
        <v>13.79</v>
      </c>
      <c r="L1323">
        <f t="shared" si="143"/>
        <v>45.872899999999994</v>
      </c>
      <c r="M1323">
        <f t="shared" si="144"/>
        <v>45872.899999999994</v>
      </c>
      <c r="N1323">
        <f t="shared" si="145"/>
        <v>43.479119046589993</v>
      </c>
      <c r="O1323">
        <f t="shared" si="146"/>
        <v>1.5208164262587835</v>
      </c>
    </row>
    <row r="1324" spans="6:15" x14ac:dyDescent="0.45">
      <c r="F1324">
        <v>1322</v>
      </c>
      <c r="G1324">
        <v>20.9</v>
      </c>
      <c r="H1324">
        <f t="shared" si="141"/>
        <v>20.9</v>
      </c>
      <c r="I1324">
        <f t="shared" si="140"/>
        <v>5.8055555555555551E-3</v>
      </c>
      <c r="J1324">
        <v>11.72</v>
      </c>
      <c r="K1324">
        <f t="shared" si="142"/>
        <v>11.72</v>
      </c>
      <c r="L1324">
        <f t="shared" si="143"/>
        <v>40.697900000000004</v>
      </c>
      <c r="M1324">
        <f t="shared" si="144"/>
        <v>40697.9</v>
      </c>
      <c r="N1324">
        <f t="shared" si="145"/>
        <v>38.574165554090001</v>
      </c>
      <c r="O1324">
        <f t="shared" si="146"/>
        <v>1.3492505342857626</v>
      </c>
    </row>
    <row r="1325" spans="6:15" x14ac:dyDescent="0.45">
      <c r="F1325">
        <v>1323</v>
      </c>
      <c r="G1325">
        <v>21.4</v>
      </c>
      <c r="H1325">
        <f t="shared" si="141"/>
        <v>21.4</v>
      </c>
      <c r="I1325">
        <f t="shared" si="140"/>
        <v>5.944444444444444E-3</v>
      </c>
      <c r="J1325">
        <v>8.9499999999999993</v>
      </c>
      <c r="K1325">
        <f t="shared" si="142"/>
        <v>8.9499999999999993</v>
      </c>
      <c r="L1325">
        <f t="shared" si="143"/>
        <v>33.7729</v>
      </c>
      <c r="M1325">
        <f t="shared" si="144"/>
        <v>33772.9</v>
      </c>
      <c r="N1325">
        <f t="shared" si="145"/>
        <v>32.010532136590001</v>
      </c>
      <c r="O1325">
        <f t="shared" si="146"/>
        <v>1.1196671909208984</v>
      </c>
    </row>
    <row r="1326" spans="6:15" x14ac:dyDescent="0.45">
      <c r="F1326">
        <v>1324</v>
      </c>
      <c r="G1326">
        <v>21.9</v>
      </c>
      <c r="H1326">
        <f t="shared" si="141"/>
        <v>21.9</v>
      </c>
      <c r="I1326">
        <f t="shared" si="140"/>
        <v>6.083333333333333E-3</v>
      </c>
      <c r="J1326">
        <v>6.45</v>
      </c>
      <c r="K1326">
        <f t="shared" si="142"/>
        <v>6.45</v>
      </c>
      <c r="L1326">
        <f t="shared" si="143"/>
        <v>27.5229</v>
      </c>
      <c r="M1326">
        <f t="shared" si="144"/>
        <v>27522.9</v>
      </c>
      <c r="N1326">
        <f t="shared" si="145"/>
        <v>26.086675261590003</v>
      </c>
      <c r="O1326">
        <f t="shared" si="146"/>
        <v>0.91246200737860217</v>
      </c>
    </row>
    <row r="1327" spans="6:15" x14ac:dyDescent="0.45">
      <c r="F1327">
        <v>1325</v>
      </c>
      <c r="G1327">
        <v>22.2</v>
      </c>
      <c r="H1327">
        <f t="shared" si="141"/>
        <v>22.2</v>
      </c>
      <c r="I1327">
        <f t="shared" si="140"/>
        <v>6.1666666666666667E-3</v>
      </c>
      <c r="J1327">
        <v>4.76</v>
      </c>
      <c r="K1327">
        <f t="shared" si="142"/>
        <v>4.76</v>
      </c>
      <c r="L1327">
        <f t="shared" si="143"/>
        <v>23.297899999999998</v>
      </c>
      <c r="M1327">
        <f t="shared" si="144"/>
        <v>23297.899999999998</v>
      </c>
      <c r="N1327">
        <f t="shared" si="145"/>
        <v>22.082148014089999</v>
      </c>
      <c r="O1327">
        <f t="shared" si="146"/>
        <v>0.77239130330400974</v>
      </c>
    </row>
    <row r="1328" spans="6:15" x14ac:dyDescent="0.45">
      <c r="F1328">
        <v>1326</v>
      </c>
      <c r="G1328">
        <v>22.4</v>
      </c>
      <c r="H1328">
        <f t="shared" si="141"/>
        <v>22.4</v>
      </c>
      <c r="I1328">
        <f t="shared" si="140"/>
        <v>6.2222222222222219E-3</v>
      </c>
      <c r="J1328">
        <v>4.88</v>
      </c>
      <c r="K1328">
        <f t="shared" si="142"/>
        <v>4.88</v>
      </c>
      <c r="L1328">
        <f t="shared" si="143"/>
        <v>23.597899999999999</v>
      </c>
      <c r="M1328">
        <f t="shared" si="144"/>
        <v>23597.899999999998</v>
      </c>
      <c r="N1328">
        <f t="shared" si="145"/>
        <v>22.366493144089997</v>
      </c>
      <c r="O1328">
        <f t="shared" si="146"/>
        <v>0.78233715211404009</v>
      </c>
    </row>
    <row r="1329" spans="6:15" x14ac:dyDescent="0.45">
      <c r="F1329">
        <v>1327</v>
      </c>
      <c r="G1329">
        <v>22.2</v>
      </c>
      <c r="H1329">
        <f t="shared" si="141"/>
        <v>22.2</v>
      </c>
      <c r="I1329">
        <f t="shared" si="140"/>
        <v>6.1666666666666667E-3</v>
      </c>
      <c r="J1329">
        <v>1.04</v>
      </c>
      <c r="K1329">
        <f t="shared" si="142"/>
        <v>1.04</v>
      </c>
      <c r="L1329">
        <f t="shared" si="143"/>
        <v>13.9979</v>
      </c>
      <c r="M1329">
        <f t="shared" si="144"/>
        <v>13997.9</v>
      </c>
      <c r="N1329">
        <f t="shared" si="145"/>
        <v>13.267448984090001</v>
      </c>
      <c r="O1329">
        <f t="shared" si="146"/>
        <v>0.46406999019307316</v>
      </c>
    </row>
    <row r="1330" spans="6:15" x14ac:dyDescent="0.45">
      <c r="F1330">
        <v>1328</v>
      </c>
      <c r="G1330">
        <v>21.7</v>
      </c>
      <c r="H1330">
        <f t="shared" si="141"/>
        <v>21.7</v>
      </c>
      <c r="I1330">
        <f t="shared" si="140"/>
        <v>6.0277777777777777E-3</v>
      </c>
      <c r="J1330">
        <v>-0.89</v>
      </c>
      <c r="K1330">
        <f t="shared" si="142"/>
        <v>0</v>
      </c>
      <c r="L1330">
        <f t="shared" si="143"/>
        <v>11.3979</v>
      </c>
      <c r="M1330">
        <f t="shared" si="144"/>
        <v>11397.9</v>
      </c>
      <c r="N1330">
        <f t="shared" si="145"/>
        <v>10.80312452409</v>
      </c>
      <c r="O1330">
        <f t="shared" si="146"/>
        <v>0.377872633839478</v>
      </c>
    </row>
    <row r="1331" spans="6:15" x14ac:dyDescent="0.45">
      <c r="F1331">
        <v>1329</v>
      </c>
      <c r="G1331">
        <v>21.2</v>
      </c>
      <c r="H1331">
        <f t="shared" si="141"/>
        <v>21.2</v>
      </c>
      <c r="I1331">
        <f t="shared" si="140"/>
        <v>5.8888888888888888E-3</v>
      </c>
      <c r="J1331">
        <v>-0.28000000000000003</v>
      </c>
      <c r="K1331">
        <f t="shared" si="142"/>
        <v>0</v>
      </c>
      <c r="L1331">
        <f t="shared" si="143"/>
        <v>11.3979</v>
      </c>
      <c r="M1331">
        <f t="shared" si="144"/>
        <v>11397.9</v>
      </c>
      <c r="N1331">
        <f t="shared" si="145"/>
        <v>10.80312452409</v>
      </c>
      <c r="O1331">
        <f t="shared" si="146"/>
        <v>0.377872633839478</v>
      </c>
    </row>
    <row r="1332" spans="6:15" x14ac:dyDescent="0.45">
      <c r="F1332">
        <v>1330</v>
      </c>
      <c r="G1332">
        <v>20.7</v>
      </c>
      <c r="H1332">
        <f t="shared" si="141"/>
        <v>20.7</v>
      </c>
      <c r="I1332">
        <f t="shared" si="140"/>
        <v>5.7499999999999999E-3</v>
      </c>
      <c r="J1332">
        <v>-0.7</v>
      </c>
      <c r="K1332">
        <f t="shared" si="142"/>
        <v>0</v>
      </c>
      <c r="L1332">
        <f t="shared" si="143"/>
        <v>11.3979</v>
      </c>
      <c r="M1332">
        <f t="shared" si="144"/>
        <v>11397.9</v>
      </c>
      <c r="N1332">
        <f t="shared" si="145"/>
        <v>10.80312452409</v>
      </c>
      <c r="O1332">
        <f t="shared" si="146"/>
        <v>0.377872633839478</v>
      </c>
    </row>
    <row r="1333" spans="6:15" x14ac:dyDescent="0.45">
      <c r="F1333">
        <v>1331</v>
      </c>
      <c r="G1333">
        <v>20.2</v>
      </c>
      <c r="H1333">
        <f t="shared" si="141"/>
        <v>20.2</v>
      </c>
      <c r="I1333">
        <f t="shared" si="140"/>
        <v>5.611111111111111E-3</v>
      </c>
      <c r="J1333">
        <v>-0.35</v>
      </c>
      <c r="K1333">
        <f t="shared" si="142"/>
        <v>0</v>
      </c>
      <c r="L1333">
        <f t="shared" si="143"/>
        <v>11.3979</v>
      </c>
      <c r="M1333">
        <f t="shared" si="144"/>
        <v>11397.9</v>
      </c>
      <c r="N1333">
        <f t="shared" si="145"/>
        <v>10.80312452409</v>
      </c>
      <c r="O1333">
        <f t="shared" si="146"/>
        <v>0.377872633839478</v>
      </c>
    </row>
    <row r="1334" spans="6:15" x14ac:dyDescent="0.45">
      <c r="F1334">
        <v>1332</v>
      </c>
      <c r="G1334">
        <v>19.399999999999999</v>
      </c>
      <c r="H1334">
        <f t="shared" si="141"/>
        <v>19.399999999999999</v>
      </c>
      <c r="I1334">
        <f t="shared" si="140"/>
        <v>5.3888888888888884E-3</v>
      </c>
      <c r="J1334">
        <v>-0.12</v>
      </c>
      <c r="K1334">
        <f t="shared" si="142"/>
        <v>0</v>
      </c>
      <c r="L1334">
        <f t="shared" si="143"/>
        <v>11.3979</v>
      </c>
      <c r="M1334">
        <f t="shared" si="144"/>
        <v>11397.9</v>
      </c>
      <c r="N1334">
        <f t="shared" si="145"/>
        <v>10.80312452409</v>
      </c>
      <c r="O1334">
        <f t="shared" si="146"/>
        <v>0.377872633839478</v>
      </c>
    </row>
    <row r="1335" spans="6:15" x14ac:dyDescent="0.45">
      <c r="F1335">
        <v>1333</v>
      </c>
      <c r="G1335">
        <v>18.399999999999999</v>
      </c>
      <c r="H1335">
        <f t="shared" si="141"/>
        <v>18.399999999999999</v>
      </c>
      <c r="I1335">
        <f t="shared" si="140"/>
        <v>5.1111111111111105E-3</v>
      </c>
      <c r="J1335">
        <v>-0.26</v>
      </c>
      <c r="K1335">
        <f t="shared" si="142"/>
        <v>0</v>
      </c>
      <c r="L1335">
        <f t="shared" si="143"/>
        <v>11.3979</v>
      </c>
      <c r="M1335">
        <f t="shared" si="144"/>
        <v>11397.9</v>
      </c>
      <c r="N1335">
        <f t="shared" si="145"/>
        <v>10.80312452409</v>
      </c>
      <c r="O1335">
        <f t="shared" si="146"/>
        <v>0.377872633839478</v>
      </c>
    </row>
    <row r="1336" spans="6:15" x14ac:dyDescent="0.45">
      <c r="F1336">
        <v>1334</v>
      </c>
      <c r="G1336">
        <v>17.3</v>
      </c>
      <c r="H1336">
        <f t="shared" si="141"/>
        <v>17.3</v>
      </c>
      <c r="I1336">
        <f t="shared" si="140"/>
        <v>4.805555555555556E-3</v>
      </c>
      <c r="J1336">
        <v>0.04</v>
      </c>
      <c r="K1336">
        <f t="shared" si="142"/>
        <v>0.04</v>
      </c>
      <c r="L1336">
        <f t="shared" si="143"/>
        <v>11.4979</v>
      </c>
      <c r="M1336">
        <f t="shared" si="144"/>
        <v>11497.9</v>
      </c>
      <c r="N1336">
        <f t="shared" si="145"/>
        <v>10.89790623409</v>
      </c>
      <c r="O1336">
        <f t="shared" si="146"/>
        <v>0.38118791677615471</v>
      </c>
    </row>
    <row r="1337" spans="6:15" x14ac:dyDescent="0.45">
      <c r="F1337">
        <v>1335</v>
      </c>
      <c r="G1337">
        <v>16.2</v>
      </c>
      <c r="H1337">
        <f t="shared" si="141"/>
        <v>16.2</v>
      </c>
      <c r="I1337">
        <f t="shared" si="140"/>
        <v>4.4999999999999997E-3</v>
      </c>
      <c r="J1337">
        <v>-0.27</v>
      </c>
      <c r="K1337">
        <f t="shared" si="142"/>
        <v>0</v>
      </c>
      <c r="L1337">
        <f t="shared" si="143"/>
        <v>11.3979</v>
      </c>
      <c r="M1337">
        <f t="shared" si="144"/>
        <v>11397.9</v>
      </c>
      <c r="N1337">
        <f t="shared" si="145"/>
        <v>10.80312452409</v>
      </c>
      <c r="O1337">
        <f t="shared" si="146"/>
        <v>0.377872633839478</v>
      </c>
    </row>
    <row r="1338" spans="6:15" x14ac:dyDescent="0.45">
      <c r="F1338">
        <v>1336</v>
      </c>
      <c r="G1338">
        <v>15</v>
      </c>
      <c r="H1338">
        <f t="shared" si="141"/>
        <v>15</v>
      </c>
      <c r="I1338">
        <f t="shared" si="140"/>
        <v>4.1666666666666666E-3</v>
      </c>
      <c r="J1338">
        <v>-0.87</v>
      </c>
      <c r="K1338">
        <f t="shared" si="142"/>
        <v>0</v>
      </c>
      <c r="L1338">
        <f t="shared" si="143"/>
        <v>11.3979</v>
      </c>
      <c r="M1338">
        <f t="shared" si="144"/>
        <v>11397.9</v>
      </c>
      <c r="N1338">
        <f t="shared" si="145"/>
        <v>10.80312452409</v>
      </c>
      <c r="O1338">
        <f t="shared" si="146"/>
        <v>0.377872633839478</v>
      </c>
    </row>
    <row r="1339" spans="6:15" x14ac:dyDescent="0.45">
      <c r="F1339">
        <v>1337</v>
      </c>
      <c r="G1339">
        <v>13.6</v>
      </c>
      <c r="H1339">
        <f t="shared" si="141"/>
        <v>13.6</v>
      </c>
      <c r="I1339">
        <f t="shared" si="140"/>
        <v>3.7777777777777775E-3</v>
      </c>
      <c r="J1339">
        <v>-0.6</v>
      </c>
      <c r="K1339">
        <f t="shared" si="142"/>
        <v>0</v>
      </c>
      <c r="L1339">
        <f t="shared" si="143"/>
        <v>11.3979</v>
      </c>
      <c r="M1339">
        <f t="shared" si="144"/>
        <v>11397.9</v>
      </c>
      <c r="N1339">
        <f t="shared" si="145"/>
        <v>10.80312452409</v>
      </c>
      <c r="O1339">
        <f t="shared" si="146"/>
        <v>0.377872633839478</v>
      </c>
    </row>
    <row r="1340" spans="6:15" x14ac:dyDescent="0.45">
      <c r="F1340">
        <v>1338</v>
      </c>
      <c r="G1340">
        <v>11.3</v>
      </c>
      <c r="H1340">
        <f t="shared" si="141"/>
        <v>11.3</v>
      </c>
      <c r="I1340">
        <f t="shared" si="140"/>
        <v>3.138888888888889E-3</v>
      </c>
      <c r="J1340">
        <v>0.43</v>
      </c>
      <c r="K1340">
        <f t="shared" si="142"/>
        <v>0.43</v>
      </c>
      <c r="L1340">
        <f t="shared" si="143"/>
        <v>12.472899999999999</v>
      </c>
      <c r="M1340">
        <f t="shared" si="144"/>
        <v>12472.9</v>
      </c>
      <c r="N1340">
        <f t="shared" si="145"/>
        <v>11.82202790659</v>
      </c>
      <c r="O1340">
        <f t="shared" si="146"/>
        <v>0.41351192540875292</v>
      </c>
    </row>
    <row r="1341" spans="6:15" x14ac:dyDescent="0.45">
      <c r="F1341">
        <v>1339</v>
      </c>
      <c r="G1341">
        <v>8.6</v>
      </c>
      <c r="H1341">
        <f t="shared" si="141"/>
        <v>8.6</v>
      </c>
      <c r="I1341">
        <f t="shared" si="140"/>
        <v>2.3888888888888887E-3</v>
      </c>
      <c r="J1341">
        <v>0.31</v>
      </c>
      <c r="K1341">
        <f t="shared" si="142"/>
        <v>0.31</v>
      </c>
      <c r="L1341">
        <f t="shared" si="143"/>
        <v>12.1729</v>
      </c>
      <c r="M1341">
        <f t="shared" si="144"/>
        <v>12172.9</v>
      </c>
      <c r="N1341">
        <f t="shared" si="145"/>
        <v>11.53768277659</v>
      </c>
      <c r="O1341">
        <f t="shared" si="146"/>
        <v>0.40356607659872268</v>
      </c>
    </row>
    <row r="1342" spans="6:15" x14ac:dyDescent="0.45">
      <c r="F1342">
        <v>1340</v>
      </c>
      <c r="G1342">
        <v>5.3</v>
      </c>
      <c r="H1342">
        <f t="shared" si="141"/>
        <v>5.3</v>
      </c>
      <c r="I1342">
        <f t="shared" si="140"/>
        <v>1.4722222222222222E-3</v>
      </c>
      <c r="J1342">
        <v>0.83</v>
      </c>
      <c r="K1342">
        <f t="shared" si="142"/>
        <v>0.83</v>
      </c>
      <c r="L1342">
        <f t="shared" si="143"/>
        <v>13.472899999999999</v>
      </c>
      <c r="M1342">
        <f t="shared" si="144"/>
        <v>13472.9</v>
      </c>
      <c r="N1342">
        <f t="shared" si="145"/>
        <v>12.76984500659</v>
      </c>
      <c r="O1342">
        <f t="shared" si="146"/>
        <v>0.44666475477552031</v>
      </c>
    </row>
    <row r="1343" spans="6:15" x14ac:dyDescent="0.45">
      <c r="F1343">
        <v>1341</v>
      </c>
      <c r="G1343">
        <v>2.2999999999999998</v>
      </c>
      <c r="H1343">
        <f t="shared" si="141"/>
        <v>2.2999999999999998</v>
      </c>
      <c r="I1343">
        <f t="shared" si="140"/>
        <v>6.3888888888888882E-4</v>
      </c>
      <c r="J1343">
        <v>1.1100000000000001</v>
      </c>
      <c r="K1343">
        <f t="shared" si="142"/>
        <v>1.1100000000000001</v>
      </c>
      <c r="L1343">
        <f t="shared" si="143"/>
        <v>14.1729</v>
      </c>
      <c r="M1343">
        <f t="shared" si="144"/>
        <v>14172.9</v>
      </c>
      <c r="N1343">
        <f t="shared" si="145"/>
        <v>13.43331697659</v>
      </c>
      <c r="O1343">
        <f t="shared" si="146"/>
        <v>0.46987173533225746</v>
      </c>
    </row>
    <row r="1344" spans="6:15" x14ac:dyDescent="0.45">
      <c r="F1344">
        <v>1342</v>
      </c>
      <c r="G1344">
        <v>0</v>
      </c>
      <c r="H1344">
        <f t="shared" si="141"/>
        <v>0</v>
      </c>
      <c r="I1344">
        <f t="shared" si="140"/>
        <v>0</v>
      </c>
      <c r="J1344">
        <v>0.86</v>
      </c>
      <c r="K1344">
        <f t="shared" si="142"/>
        <v>0.86</v>
      </c>
      <c r="L1344">
        <f t="shared" si="143"/>
        <v>13.5479</v>
      </c>
      <c r="M1344">
        <f t="shared" si="144"/>
        <v>13547.9</v>
      </c>
      <c r="N1344">
        <f t="shared" si="145"/>
        <v>12.840931289089999</v>
      </c>
      <c r="O1344">
        <f t="shared" si="146"/>
        <v>0.44915121697802785</v>
      </c>
    </row>
    <row r="1345" spans="6:15" x14ac:dyDescent="0.45">
      <c r="F1345">
        <v>1343</v>
      </c>
      <c r="G1345">
        <v>0</v>
      </c>
      <c r="H1345">
        <f t="shared" si="141"/>
        <v>0</v>
      </c>
      <c r="I1345">
        <f t="shared" si="140"/>
        <v>0</v>
      </c>
      <c r="J1345">
        <v>1.3</v>
      </c>
      <c r="K1345">
        <f t="shared" si="142"/>
        <v>1.3</v>
      </c>
      <c r="L1345">
        <f t="shared" si="143"/>
        <v>14.6479</v>
      </c>
      <c r="M1345">
        <f t="shared" si="144"/>
        <v>14647.9</v>
      </c>
      <c r="N1345">
        <f t="shared" si="145"/>
        <v>13.883530099090001</v>
      </c>
      <c r="O1345">
        <f t="shared" si="146"/>
        <v>0.48561932928147195</v>
      </c>
    </row>
    <row r="1346" spans="6:15" x14ac:dyDescent="0.45">
      <c r="F1346">
        <v>1344</v>
      </c>
      <c r="G1346">
        <v>0</v>
      </c>
      <c r="H1346">
        <f t="shared" si="141"/>
        <v>0</v>
      </c>
      <c r="I1346">
        <f t="shared" ref="I1346:I1409" si="147">H1346*(1/3600)</f>
        <v>0</v>
      </c>
      <c r="J1346">
        <v>1.17</v>
      </c>
      <c r="K1346">
        <f t="shared" si="142"/>
        <v>1.17</v>
      </c>
      <c r="L1346">
        <f t="shared" si="143"/>
        <v>14.322900000000001</v>
      </c>
      <c r="M1346">
        <f t="shared" si="144"/>
        <v>14322.900000000001</v>
      </c>
      <c r="N1346">
        <f t="shared" si="145"/>
        <v>13.575489541590002</v>
      </c>
      <c r="O1346">
        <f t="shared" si="146"/>
        <v>0.47484465973727263</v>
      </c>
    </row>
    <row r="1347" spans="6:15" x14ac:dyDescent="0.45">
      <c r="F1347">
        <v>1345</v>
      </c>
      <c r="G1347">
        <v>0</v>
      </c>
      <c r="H1347">
        <f t="shared" ref="H1347:H1349" si="148">IF(G1347&lt;0,0,G1347)</f>
        <v>0</v>
      </c>
      <c r="I1347">
        <f t="shared" si="147"/>
        <v>0</v>
      </c>
      <c r="J1347">
        <v>0.91</v>
      </c>
      <c r="K1347">
        <f t="shared" ref="K1347:K1349" si="149">IF(J1347&lt;0,0,J1347)</f>
        <v>0.91</v>
      </c>
      <c r="L1347">
        <f t="shared" ref="L1347:L1349" si="150">(1/$B$5)*K1347+((3.4798*$B$6)+0.9585)</f>
        <v>13.6729</v>
      </c>
      <c r="M1347">
        <f t="shared" ref="M1347:M1349" si="151">L1347*1000</f>
        <v>13672.9</v>
      </c>
      <c r="N1347">
        <f t="shared" ref="N1347:N1349" si="152">M1347*0.0009478171</f>
        <v>12.95940842659</v>
      </c>
      <c r="O1347">
        <f t="shared" ref="O1347:O1349" si="153">(M1347*453.59237)/(18489*0.74*1000)</f>
        <v>0.45329532064887373</v>
      </c>
    </row>
    <row r="1348" spans="6:15" x14ac:dyDescent="0.45">
      <c r="F1348">
        <v>1346</v>
      </c>
      <c r="G1348">
        <v>0</v>
      </c>
      <c r="H1348">
        <f t="shared" si="148"/>
        <v>0</v>
      </c>
      <c r="I1348">
        <f t="shared" si="147"/>
        <v>0</v>
      </c>
      <c r="J1348">
        <v>0.66</v>
      </c>
      <c r="K1348">
        <f t="shared" si="149"/>
        <v>0.66</v>
      </c>
      <c r="L1348">
        <f t="shared" si="150"/>
        <v>13.0479</v>
      </c>
      <c r="M1348">
        <f t="shared" si="151"/>
        <v>13047.9</v>
      </c>
      <c r="N1348">
        <f t="shared" si="152"/>
        <v>12.36702273909</v>
      </c>
      <c r="O1348">
        <f t="shared" si="153"/>
        <v>0.43257480229464412</v>
      </c>
    </row>
    <row r="1349" spans="6:15" x14ac:dyDescent="0.45">
      <c r="F1349">
        <v>1347</v>
      </c>
      <c r="G1349">
        <v>0</v>
      </c>
      <c r="H1349">
        <f t="shared" si="148"/>
        <v>0</v>
      </c>
      <c r="I1349">
        <f t="shared" si="147"/>
        <v>0</v>
      </c>
      <c r="J1349">
        <v>0.91</v>
      </c>
      <c r="K1349">
        <f t="shared" si="149"/>
        <v>0.91</v>
      </c>
      <c r="L1349">
        <f t="shared" si="150"/>
        <v>13.6729</v>
      </c>
      <c r="M1349">
        <f t="shared" si="151"/>
        <v>13672.9</v>
      </c>
      <c r="N1349">
        <f t="shared" si="152"/>
        <v>12.95940842659</v>
      </c>
      <c r="O1349">
        <f t="shared" si="153"/>
        <v>0.45329532064887373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895E5-192B-4703-B215-D35353F904FD}">
  <dimension ref="A1:AJ1349"/>
  <sheetViews>
    <sheetView tabSelected="1" topLeftCell="A10" zoomScale="106" zoomScaleNormal="106" workbookViewId="0">
      <selection activeCell="H23" sqref="H23"/>
    </sheetView>
  </sheetViews>
  <sheetFormatPr defaultRowHeight="14.25" x14ac:dyDescent="0.45"/>
  <cols>
    <col min="1" max="1" width="13.9296875" customWidth="1"/>
    <col min="2" max="2" width="11" customWidth="1"/>
    <col min="9" max="9" width="7.265625" bestFit="1" customWidth="1"/>
    <col min="10" max="10" width="14.19921875" bestFit="1" customWidth="1"/>
    <col min="11" max="11" width="16.86328125" bestFit="1" customWidth="1"/>
    <col min="12" max="12" width="11.73046875" bestFit="1" customWidth="1"/>
    <col min="13" max="13" width="16.06640625" bestFit="1" customWidth="1"/>
    <col min="14" max="14" width="23" bestFit="1" customWidth="1"/>
    <col min="15" max="15" width="16.33203125" bestFit="1" customWidth="1"/>
    <col min="16" max="16" width="14.73046875" bestFit="1" customWidth="1"/>
    <col min="19" max="19" width="13.265625" bestFit="1" customWidth="1"/>
    <col min="22" max="22" width="13.265625" bestFit="1" customWidth="1"/>
    <col min="25" max="25" width="13.265625" bestFit="1" customWidth="1"/>
    <col min="28" max="28" width="13.265625" bestFit="1" customWidth="1"/>
    <col min="31" max="31" width="13.265625" bestFit="1" customWidth="1"/>
    <col min="34" max="34" width="13.265625" bestFit="1" customWidth="1"/>
    <col min="35" max="35" width="12.73046875" bestFit="1" customWidth="1"/>
    <col min="36" max="36" width="25.1328125" bestFit="1" customWidth="1"/>
  </cols>
  <sheetData>
    <row r="1" spans="1:36" x14ac:dyDescent="0.45">
      <c r="I1" t="s">
        <v>0</v>
      </c>
      <c r="J1" t="s">
        <v>18</v>
      </c>
      <c r="K1" t="s">
        <v>17</v>
      </c>
      <c r="L1" t="s">
        <v>21</v>
      </c>
      <c r="M1" t="s">
        <v>1</v>
      </c>
      <c r="N1" t="s">
        <v>11</v>
      </c>
      <c r="O1" t="s">
        <v>26</v>
      </c>
      <c r="P1" t="s">
        <v>39</v>
      </c>
      <c r="Q1" t="s">
        <v>27</v>
      </c>
      <c r="R1" t="s">
        <v>33</v>
      </c>
      <c r="S1" t="s">
        <v>40</v>
      </c>
      <c r="T1" t="s">
        <v>28</v>
      </c>
      <c r="U1" t="s">
        <v>34</v>
      </c>
      <c r="V1" t="s">
        <v>41</v>
      </c>
      <c r="W1" t="s">
        <v>29</v>
      </c>
      <c r="X1" t="s">
        <v>35</v>
      </c>
      <c r="Y1" t="s">
        <v>42</v>
      </c>
      <c r="Z1" t="s">
        <v>30</v>
      </c>
      <c r="AA1" t="s">
        <v>36</v>
      </c>
      <c r="AB1" t="s">
        <v>43</v>
      </c>
      <c r="AC1" t="s">
        <v>32</v>
      </c>
      <c r="AD1" t="s">
        <v>37</v>
      </c>
      <c r="AE1" t="s">
        <v>44</v>
      </c>
      <c r="AF1" t="s">
        <v>31</v>
      </c>
      <c r="AG1" t="s">
        <v>38</v>
      </c>
      <c r="AH1" t="s">
        <v>45</v>
      </c>
      <c r="AI1" t="s">
        <v>46</v>
      </c>
      <c r="AJ1" t="s">
        <v>47</v>
      </c>
    </row>
    <row r="2" spans="1:36" x14ac:dyDescent="0.45">
      <c r="A2" s="1" t="s">
        <v>22</v>
      </c>
      <c r="B2" s="1">
        <v>0.65700000000000003</v>
      </c>
      <c r="C2" s="1" t="s">
        <v>23</v>
      </c>
      <c r="I2">
        <v>0</v>
      </c>
      <c r="J2">
        <v>0</v>
      </c>
      <c r="K2">
        <f>IF(J2&lt;0,0,J2)</f>
        <v>0</v>
      </c>
      <c r="L2">
        <f t="shared" ref="L2:L65" si="0">K2*(1/3600)</f>
        <v>0</v>
      </c>
      <c r="M2">
        <v>-0.19</v>
      </c>
      <c r="N2">
        <f>IF(M2&lt;0,0,M2)</f>
        <v>0</v>
      </c>
      <c r="O2">
        <f>(K2*0.44704*60)/(PI()*$B$2)</f>
        <v>0</v>
      </c>
      <c r="P2">
        <f>O2*3.2</f>
        <v>0</v>
      </c>
      <c r="Q2">
        <f>IF(4.58*P2&lt;1000,1000,4.58*P2)</f>
        <v>1000</v>
      </c>
      <c r="R2">
        <f>(1000*N2*60)/(Q2*2*PI())</f>
        <v>0</v>
      </c>
      <c r="S2">
        <f>(0.072946 + (0.000364279 * Q2) + (-0.00248749 * R2) + (0.00000951906 * Q2 * R2) + (-0.000000165418 * Q2^2) + (0.000045414 * R2^2) + (-0.00000000135106 * Q2^2 * R2) + (0.0000000203184 * Q2 * R2^2) + (0.0000000000481318 * Q2^3) + (-0.00000034778 * R2^3))</f>
        <v>0.31993880000000002</v>
      </c>
      <c r="T2">
        <f>IF(2.96*P2&lt;1000,6000,2.96*P2)</f>
        <v>6000</v>
      </c>
      <c r="U2">
        <f>(1000*N2*60)/(T2*2*PI())</f>
        <v>0</v>
      </c>
      <c r="V2">
        <f>(0.072946 + (0.000364279 * T2) + (-0.00248749 * U2) + (0.00000951906 * T2 * U2) + (-0.000000165418 * T2^2) + (0.000045414 * U2^2) + (-0.00000000135106 * T2^2 * U2) + (0.0000000203184 * T2 * U2^2) + (0.0000000000481318 * T2^3) + (-0.00000034778 * U2^3))</f>
        <v>6.7000407999999982</v>
      </c>
      <c r="W2">
        <f>IF(1.91*P2&lt;1000,6000,1.91*P2)</f>
        <v>6000</v>
      </c>
      <c r="X2">
        <f>(1000*N2*60)/(W2*2*PI())</f>
        <v>0</v>
      </c>
      <c r="Y2">
        <f>(0.072946 + (0.000364279 * W2) + (-0.00248749 * X2) + (0.00000951906 * W2 * X2) + (-0.000000165418 * W2^2) + (0.000045414 * X2^2) + (-0.00000000135106 * W2^2 * X2) + (0.0000000203184 * W2 * X2^2) + (0.0000000000481318 * W2^3) + (-0.00000034778 * X2^3))</f>
        <v>6.7000407999999982</v>
      </c>
      <c r="Z2">
        <f>IF(1.44*P2&lt;1000,6000,1.44*P2)</f>
        <v>6000</v>
      </c>
      <c r="AA2">
        <f>(1000*N2*60)/(Z2*2*PI())</f>
        <v>0</v>
      </c>
      <c r="AB2">
        <f>(0.072946 + (0.000364279 * Z2) + (-0.00248749 * AA2) + (0.00000951906 * Z2 * AA2) + (-0.000000165418 * Z2^2) + (0.000045414 * AA2^2) + (-0.00000000135106 * Z2^2 * AA2) + (0.0000000203184 * Z2 * AA2^2) + (0.0000000000481318 * Z2^3) + (-0.00000034778 * AA2^3))</f>
        <v>6.7000407999999982</v>
      </c>
      <c r="AC2">
        <f>IF(0.74*P2&lt;1000,6000,0.74*P2)</f>
        <v>6000</v>
      </c>
      <c r="AD2">
        <f>(1000*N2*60)/(AC2*2*PI())</f>
        <v>0</v>
      </c>
      <c r="AE2">
        <f>(0.072946 + (0.000364279 * AC2) + (-0.00248749 * AD2) + (0.00000951906 * AC2 * AD2) + (-0.000000165418 * AC2^2) + (0.000045414 * AD2^2) + (-0.00000000135106 * AC2^2 * AD2) + (0.0000000203184 * AC2 * AD2^2) + (0.0000000000481318 * AC2^3) + (-0.00000034778 * AD2^3))</f>
        <v>6.7000407999999982</v>
      </c>
      <c r="AF2">
        <f>IF(0.68*P2&lt;1000,6000,0.68*P2)</f>
        <v>6000</v>
      </c>
      <c r="AG2">
        <f>(1000*N2*60)/(AF2*2*PI())</f>
        <v>0</v>
      </c>
      <c r="AH2">
        <f>(0.072946 + (0.000364279 * AF2) + (-0.00248749 * AG2) + (0.00000951906 * AF2 * AG2) + (-0.000000165418 * AF2^2) + (0.000045414 * AG2^2) + (-0.00000000135106 * AF2^2 * AG2) + (0.0000000203184 * AF2 * AG2^2) + (0.0000000000481318 * AF2^3) + (-0.00000034778 * AG2^3))</f>
        <v>6.7000407999999982</v>
      </c>
      <c r="AI2" cm="1">
        <f t="array" ref="AI2">_xlfn.LET(
    _xlpm.vals,   _xlfn.HSTACK(S2,V2,Y2,AB2,AE2,AH2),
    _xlpm.ints,   _xlfn.HSTACK(R2,U2,X2,AA2,AD2,AG2),
    _xlpm.slopes, _xlfn.HSTACK(Q2,T2,W2,Z2,AC2,AF2),
    _xlpm.limit,  -0.00001*_xlpm.slopes + 0.1086*_xlpm.slopes + 63.253,
    _xlpm.mask,   (_xlpm.vals&gt;=0) * (_xlpm.ints&lt;=_xlpm.limit),
    _xlpm.validVals, _xlfn._xlws.FILTER(_xlpm.vals, _xlpm.mask),
    _xlpm.minVal, MIN(_xlpm.validVals),
    IFERROR( _xlfn.XMATCH(_xlpm.minVal, _xlpm.vals), "" )
)</f>
        <v>1</v>
      </c>
      <c r="AJ2" cm="1">
        <f t="array" ref="AJ2">_xlfn.LET(
    _xlpm.vals, CHOOSE({1,2,3,4,5,6}, S2, V2, Y2, AB2, AE2, AH2),
    _xlpm.slopes, CHOOSE({1,2,3,4,5,6}, Q2, T2, W2, Z2, AC2, AF2),
    _xlpm.ints, CHOOSE({1,2,3,4,5,6}, R2, U2, X2, AA2, AD2, AG2),
    _xlpm.limit, -0.00001*_xlpm.slopes + 0.1086*_xlpm.slopes + 63.253,
    _xlpm.valid, (_xlpm.vals &gt;= 0) * (_xlpm.ints &lt;= _xlpm.limit),
    _xlpm.target, MIN(_xlfn._xlws.FILTER(_xlpm.vals, _xlpm.valid)),
    IFERROR(
        _xlfn.XLOOKUP(_xlpm.target, _xlpm.vals, _xlpm.vals),
        CHOOSE({1,2,3,4,5,6}, S$1, V$1, Y$1, AB$1, AE$1, AH$1)
    )
)</f>
        <v>0.31993880000000002</v>
      </c>
    </row>
    <row r="3" spans="1:36" x14ac:dyDescent="0.45">
      <c r="I3">
        <v>1</v>
      </c>
      <c r="J3">
        <v>0</v>
      </c>
      <c r="K3">
        <f t="shared" ref="K3:K66" si="1">IF(J3&lt;0,0,J3)</f>
        <v>0</v>
      </c>
      <c r="L3">
        <f t="shared" si="0"/>
        <v>0</v>
      </c>
      <c r="M3">
        <v>0.12</v>
      </c>
      <c r="N3">
        <f t="shared" ref="N3:N66" si="2">IF(M3&lt;0,0,M3)</f>
        <v>0.12</v>
      </c>
      <c r="O3">
        <f t="shared" ref="O3:O66" si="3">(K3*0.44704*60)/(PI()*$B$2)</f>
        <v>0</v>
      </c>
      <c r="P3">
        <f t="shared" ref="P3:P66" si="4">O3*3.2</f>
        <v>0</v>
      </c>
      <c r="Q3">
        <f t="shared" ref="Q3:Q66" si="5">IF(4.58*P3&lt;1000,1000,4.58*P3)</f>
        <v>1000</v>
      </c>
      <c r="R3">
        <f t="shared" ref="R3:R66" si="6">(1000*N3*60)/(Q3*2*PI())</f>
        <v>1.1459155902616465</v>
      </c>
      <c r="S3">
        <f t="shared" ref="S3:S66" si="7">(0.072946 + (0.000364279 * Q3) + (-0.00248749 * R3) + (0.00000951906 * Q3 * R3) + (-0.000000165418 * Q3^2) + (0.000045414 * R3^2) + (-0.00000000135106 * Q3^2 * R3) + (0.0000000203184 * Q3 * R3^2) + (0.0000000000481318 * Q3^3) + (-0.00000034778 * R3^3))</f>
        <v>0.32653397635152437</v>
      </c>
      <c r="T3">
        <f t="shared" ref="T3:T66" si="8">IF(2.96*P3&lt;1000,6000,2.96*P3)</f>
        <v>6000</v>
      </c>
      <c r="U3">
        <f t="shared" ref="U3:U66" si="9">(1000*N3*60)/(T3*2*PI())</f>
        <v>0.19098593171027442</v>
      </c>
      <c r="V3">
        <f t="shared" ref="V3:V66" si="10">(0.072946 + (0.000364279 * T3) + (-0.00248749 * U3) + (0.00000951906 * T3 * U3) + (-0.000000165418 * T3^2) + (0.000045414 * U3^2) + (-0.00000000135106 * T3^2 * U3) + (0.0000000203184 * T3 * U3^2) + (0.0000000000481318 * T3^3) + (-0.00000034778 * U3^3))</f>
        <v>6.701190660198594</v>
      </c>
      <c r="W3">
        <f t="shared" ref="W3:W66" si="11">IF(1.91*P3&lt;1000,6000,1.91*P3)</f>
        <v>6000</v>
      </c>
      <c r="X3">
        <f t="shared" ref="X3:X66" si="12">(1000*N3*60)/(W3*2*PI())</f>
        <v>0.19098593171027442</v>
      </c>
      <c r="Y3">
        <f t="shared" ref="Y3:Y66" si="13">(0.072946 + (0.000364279 * W3) + (-0.00248749 * X3) + (0.00000951906 * W3 * X3) + (-0.000000165418 * W3^2) + (0.000045414 * X3^2) + (-0.00000000135106 * W3^2 * X3) + (0.0000000203184 * W3 * X3^2) + (0.0000000000481318 * W3^3) + (-0.00000034778 * X3^3))</f>
        <v>6.701190660198594</v>
      </c>
      <c r="Z3">
        <f t="shared" ref="Z3:Z66" si="14">IF(1.44*P3&lt;1000,6000,1.44*P3)</f>
        <v>6000</v>
      </c>
      <c r="AA3">
        <f t="shared" ref="AA3:AA66" si="15">(1000*N3*60)/(Z3*2*PI())</f>
        <v>0.19098593171027442</v>
      </c>
      <c r="AB3">
        <f t="shared" ref="AB3:AB66" si="16">(0.072946 + (0.000364279 * Z3) + (-0.00248749 * AA3) + (0.00000951906 * Z3 * AA3) + (-0.000000165418 * Z3^2) + (0.000045414 * AA3^2) + (-0.00000000135106 * Z3^2 * AA3) + (0.0000000203184 * Z3 * AA3^2) + (0.0000000000481318 * Z3^3) + (-0.00000034778 * AA3^3))</f>
        <v>6.701190660198594</v>
      </c>
      <c r="AC3">
        <f t="shared" ref="AC3:AC66" si="17">IF(0.74*P3&lt;1000,6000,0.74*P3)</f>
        <v>6000</v>
      </c>
      <c r="AD3">
        <f t="shared" ref="AD3:AD66" si="18">(1000*N3*60)/(AC3*2*PI())</f>
        <v>0.19098593171027442</v>
      </c>
      <c r="AE3">
        <f t="shared" ref="AE3:AE66" si="19">(0.072946 + (0.000364279 * AC3) + (-0.00248749 * AD3) + (0.00000951906 * AC3 * AD3) + (-0.000000165418 * AC3^2) + (0.000045414 * AD3^2) + (-0.00000000135106 * AC3^2 * AD3) + (0.0000000203184 * AC3 * AD3^2) + (0.0000000000481318 * AC3^3) + (-0.00000034778 * AD3^3))</f>
        <v>6.701190660198594</v>
      </c>
      <c r="AF3">
        <f t="shared" ref="AF3:AF66" si="20">IF(0.68*P3&lt;1000,6000,0.68*P3)</f>
        <v>6000</v>
      </c>
      <c r="AG3">
        <f t="shared" ref="AG3:AG66" si="21">(1000*N3*60)/(AF3*2*PI())</f>
        <v>0.19098593171027442</v>
      </c>
      <c r="AH3">
        <f t="shared" ref="AH3:AH66" si="22">(0.072946 + (0.000364279 * AF3) + (-0.00248749 * AG3) + (0.00000951906 * AF3 * AG3) + (-0.000000165418 * AF3^2) + (0.000045414 * AG3^2) + (-0.00000000135106 * AF3^2 * AG3) + (0.0000000203184 * AF3 * AG3^2) + (0.0000000000481318 * AF3^3) + (-0.00000034778 * AG3^3))</f>
        <v>6.701190660198594</v>
      </c>
      <c r="AI3" cm="1">
        <f t="array" ref="AI3">_xlfn.LET(
    _xlpm.vals,   _xlfn.HSTACK(S3,V3,Y3,AB3,AE3,AH3),
    _xlpm.ints,   _xlfn.HSTACK(R3,U3,X3,AA3,AD3,AG3),
    _xlpm.slopes, _xlfn.HSTACK(Q3,T3,W3,Z3,AC3,AF3),
    _xlpm.limit,  -0.00001*_xlpm.slopes + 0.1086*_xlpm.slopes + 63.253,
    _xlpm.mask,   (_xlpm.vals&gt;=0) * (_xlpm.ints&lt;=_xlpm.limit),
    _xlpm.validVals, _xlfn._xlws.FILTER(_xlpm.vals, _xlpm.mask),
    _xlpm.minVal, MIN(_xlpm.validVals),
    IFERROR( _xlfn.XMATCH(_xlpm.minVal, _xlpm.vals), "" )
)</f>
        <v>1</v>
      </c>
      <c r="AJ3" cm="1">
        <f t="array" ref="AJ3">_xlfn.LET(
    _xlpm.vals, CHOOSE({1,2,3,4,5,6}, S3, V3, Y3, AB3, AE3, AH3),
    _xlpm.slopes, CHOOSE({1,2,3,4,5,6}, Q3, T3, W3, Z3, AC3, AF3),
    _xlpm.ints, CHOOSE({1,2,3,4,5,6}, R3, U3, X3, AA3, AD3, AG3),
    _xlpm.limit, -0.00001*_xlpm.slopes + 0.1086*_xlpm.slopes + 63.253,
    _xlpm.valid, (_xlpm.vals &gt;= 0) * (_xlpm.ints &lt;= _xlpm.limit),
    _xlpm.target, MIN(_xlfn._xlws.FILTER(_xlpm.vals, _xlpm.valid)),
    IFERROR(
        _xlfn.XLOOKUP(_xlpm.target, _xlpm.vals, _xlpm.vals),
        CHOOSE({1,2,3,4,5,6}, S$1, V$1, Y$1, AB$1, AE$1, AH$1)
    )
)</f>
        <v>0.32653397635152437</v>
      </c>
    </row>
    <row r="4" spans="1:36" x14ac:dyDescent="0.45">
      <c r="A4" s="1" t="s">
        <v>24</v>
      </c>
      <c r="B4" s="1" t="s">
        <v>25</v>
      </c>
      <c r="I4">
        <v>2</v>
      </c>
      <c r="J4">
        <v>0</v>
      </c>
      <c r="K4">
        <f t="shared" si="1"/>
        <v>0</v>
      </c>
      <c r="L4">
        <f t="shared" si="0"/>
        <v>0</v>
      </c>
      <c r="M4">
        <v>0.04</v>
      </c>
      <c r="N4">
        <f t="shared" si="2"/>
        <v>0.04</v>
      </c>
      <c r="O4">
        <f t="shared" si="3"/>
        <v>0</v>
      </c>
      <c r="P4">
        <f t="shared" si="4"/>
        <v>0</v>
      </c>
      <c r="Q4">
        <f t="shared" si="5"/>
        <v>1000</v>
      </c>
      <c r="R4">
        <f t="shared" si="6"/>
        <v>0.38197186342054884</v>
      </c>
      <c r="S4">
        <f t="shared" si="7"/>
        <v>0.32211816612965627</v>
      </c>
      <c r="T4">
        <f t="shared" si="8"/>
        <v>6000</v>
      </c>
      <c r="U4">
        <f t="shared" si="9"/>
        <v>6.3661977236758135E-2</v>
      </c>
      <c r="V4">
        <f t="shared" si="10"/>
        <v>6.7004227311702147</v>
      </c>
      <c r="W4">
        <f t="shared" si="11"/>
        <v>6000</v>
      </c>
      <c r="X4">
        <f t="shared" si="12"/>
        <v>6.3661977236758135E-2</v>
      </c>
      <c r="Y4">
        <f t="shared" si="13"/>
        <v>6.7004227311702147</v>
      </c>
      <c r="Z4">
        <f t="shared" si="14"/>
        <v>6000</v>
      </c>
      <c r="AA4">
        <f t="shared" si="15"/>
        <v>6.3661977236758135E-2</v>
      </c>
      <c r="AB4">
        <f t="shared" si="16"/>
        <v>6.7004227311702147</v>
      </c>
      <c r="AC4">
        <f t="shared" si="17"/>
        <v>6000</v>
      </c>
      <c r="AD4">
        <f t="shared" si="18"/>
        <v>6.3661977236758135E-2</v>
      </c>
      <c r="AE4">
        <f t="shared" si="19"/>
        <v>6.7004227311702147</v>
      </c>
      <c r="AF4">
        <f t="shared" si="20"/>
        <v>6000</v>
      </c>
      <c r="AG4">
        <f t="shared" si="21"/>
        <v>6.3661977236758135E-2</v>
      </c>
      <c r="AH4">
        <f t="shared" si="22"/>
        <v>6.7004227311702147</v>
      </c>
      <c r="AI4" cm="1">
        <f t="array" ref="AI4">_xlfn.LET(
    _xlpm.vals,   _xlfn.HSTACK(S4,V4,Y4,AB4,AE4,AH4),
    _xlpm.ints,   _xlfn.HSTACK(R4,U4,X4,AA4,AD4,AG4),
    _xlpm.slopes, _xlfn.HSTACK(Q4,T4,W4,Z4,AC4,AF4),
    _xlpm.limit,  -0.00001*_xlpm.slopes + 0.1086*_xlpm.slopes + 63.253,
    _xlpm.mask,   (_xlpm.vals&gt;=0) * (_xlpm.ints&lt;=_xlpm.limit),
    _xlpm.validVals, _xlfn._xlws.FILTER(_xlpm.vals, _xlpm.mask),
    _xlpm.minVal, MIN(_xlpm.validVals),
    IFERROR( _xlfn.XMATCH(_xlpm.minVal, _xlpm.vals), "" )
)</f>
        <v>1</v>
      </c>
      <c r="AJ4" cm="1">
        <f t="array" ref="AJ4">_xlfn.LET(
    _xlpm.vals, CHOOSE({1,2,3,4,5,6}, S4, V4, Y4, AB4, AE4, AH4),
    _xlpm.slopes, CHOOSE({1,2,3,4,5,6}, Q4, T4, W4, Z4, AC4, AF4),
    _xlpm.ints, CHOOSE({1,2,3,4,5,6}, R4, U4, X4, AA4, AD4, AG4),
    _xlpm.limit, -0.00001*_xlpm.slopes + 0.1086*_xlpm.slopes + 63.253,
    _xlpm.valid, (_xlpm.vals &gt;= 0) * (_xlpm.ints &lt;= _xlpm.limit),
    _xlpm.target, MIN(_xlfn._xlws.FILTER(_xlpm.vals, _xlpm.valid)),
    IFERROR(
        _xlfn.XLOOKUP(_xlpm.target, _xlpm.vals, _xlpm.vals),
        CHOOSE({1,2,3,4,5,6}, S$1, V$1, Y$1, AB$1, AE$1, AH$1)
    )
)</f>
        <v>0.32211816612965627</v>
      </c>
    </row>
    <row r="5" spans="1:36" x14ac:dyDescent="0.45">
      <c r="A5" s="1">
        <v>1000</v>
      </c>
      <c r="B5" s="1">
        <v>139.53299999999999</v>
      </c>
      <c r="I5">
        <v>3</v>
      </c>
      <c r="J5">
        <v>0</v>
      </c>
      <c r="K5">
        <f t="shared" si="1"/>
        <v>0</v>
      </c>
      <c r="L5">
        <f t="shared" si="0"/>
        <v>0</v>
      </c>
      <c r="M5">
        <v>-0.12</v>
      </c>
      <c r="N5">
        <f t="shared" si="2"/>
        <v>0</v>
      </c>
      <c r="O5">
        <f t="shared" si="3"/>
        <v>0</v>
      </c>
      <c r="P5">
        <f t="shared" si="4"/>
        <v>0</v>
      </c>
      <c r="Q5">
        <f t="shared" si="5"/>
        <v>1000</v>
      </c>
      <c r="R5">
        <f t="shared" si="6"/>
        <v>0</v>
      </c>
      <c r="S5">
        <f t="shared" si="7"/>
        <v>0.31993880000000002</v>
      </c>
      <c r="T5">
        <f t="shared" si="8"/>
        <v>6000</v>
      </c>
      <c r="U5">
        <f t="shared" si="9"/>
        <v>0</v>
      </c>
      <c r="V5">
        <f t="shared" si="10"/>
        <v>6.7000407999999982</v>
      </c>
      <c r="W5">
        <f t="shared" si="11"/>
        <v>6000</v>
      </c>
      <c r="X5">
        <f t="shared" si="12"/>
        <v>0</v>
      </c>
      <c r="Y5">
        <f t="shared" si="13"/>
        <v>6.7000407999999982</v>
      </c>
      <c r="Z5">
        <f t="shared" si="14"/>
        <v>6000</v>
      </c>
      <c r="AA5">
        <f t="shared" si="15"/>
        <v>0</v>
      </c>
      <c r="AB5">
        <f t="shared" si="16"/>
        <v>6.7000407999999982</v>
      </c>
      <c r="AC5">
        <f t="shared" si="17"/>
        <v>6000</v>
      </c>
      <c r="AD5">
        <f t="shared" si="18"/>
        <v>0</v>
      </c>
      <c r="AE5">
        <f t="shared" si="19"/>
        <v>6.7000407999999982</v>
      </c>
      <c r="AF5">
        <f t="shared" si="20"/>
        <v>6000</v>
      </c>
      <c r="AG5">
        <f t="shared" si="21"/>
        <v>0</v>
      </c>
      <c r="AH5">
        <f t="shared" si="22"/>
        <v>6.7000407999999982</v>
      </c>
      <c r="AI5" cm="1">
        <f t="array" ref="AI5">_xlfn.LET(
    _xlpm.vals,   _xlfn.HSTACK(S5,V5,Y5,AB5,AE5,AH5),
    _xlpm.ints,   _xlfn.HSTACK(R5,U5,X5,AA5,AD5,AG5),
    _xlpm.slopes, _xlfn.HSTACK(Q5,T5,W5,Z5,AC5,AF5),
    _xlpm.limit,  -0.00001*_xlpm.slopes + 0.1086*_xlpm.slopes + 63.253,
    _xlpm.mask,   (_xlpm.vals&gt;=0) * (_xlpm.ints&lt;=_xlpm.limit),
    _xlpm.validVals, _xlfn._xlws.FILTER(_xlpm.vals, _xlpm.mask),
    _xlpm.minVal, MIN(_xlpm.validVals),
    IFERROR( _xlfn.XMATCH(_xlpm.minVal, _xlpm.vals), "" )
)</f>
        <v>1</v>
      </c>
      <c r="AJ5" cm="1">
        <f t="array" ref="AJ5">_xlfn.LET(
    _xlpm.vals, CHOOSE({1,2,3,4,5,6}, S5, V5, Y5, AB5, AE5, AH5),
    _xlpm.slopes, CHOOSE({1,2,3,4,5,6}, Q5, T5, W5, Z5, AC5, AF5),
    _xlpm.ints, CHOOSE({1,2,3,4,5,6}, R5, U5, X5, AA5, AD5, AG5),
    _xlpm.limit, -0.00001*_xlpm.slopes + 0.1086*_xlpm.slopes + 63.253,
    _xlpm.valid, (_xlpm.vals &gt;= 0) * (_xlpm.ints &lt;= _xlpm.limit),
    _xlpm.target, MIN(_xlfn._xlws.FILTER(_xlpm.vals, _xlpm.valid)),
    IFERROR(
        _xlfn.XLOOKUP(_xlpm.target, _xlpm.vals, _xlpm.vals),
        CHOOSE({1,2,3,4,5,6}, S$1, V$1, Y$1, AB$1, AE$1, AH$1)
    )
)</f>
        <v>0.31993880000000002</v>
      </c>
    </row>
    <row r="6" spans="1:36" x14ac:dyDescent="0.45">
      <c r="A6" s="1">
        <v>1500</v>
      </c>
      <c r="B6" s="1">
        <v>210.69300000000001</v>
      </c>
      <c r="I6">
        <v>4</v>
      </c>
      <c r="J6">
        <v>0</v>
      </c>
      <c r="K6">
        <f t="shared" si="1"/>
        <v>0</v>
      </c>
      <c r="L6">
        <f t="shared" si="0"/>
        <v>0</v>
      </c>
      <c r="M6">
        <v>-0.18</v>
      </c>
      <c r="N6">
        <f t="shared" si="2"/>
        <v>0</v>
      </c>
      <c r="O6">
        <f t="shared" si="3"/>
        <v>0</v>
      </c>
      <c r="P6">
        <f t="shared" si="4"/>
        <v>0</v>
      </c>
      <c r="Q6">
        <f t="shared" si="5"/>
        <v>1000</v>
      </c>
      <c r="R6">
        <f t="shared" si="6"/>
        <v>0</v>
      </c>
      <c r="S6">
        <f t="shared" si="7"/>
        <v>0.31993880000000002</v>
      </c>
      <c r="T6">
        <f t="shared" si="8"/>
        <v>6000</v>
      </c>
      <c r="U6">
        <f t="shared" si="9"/>
        <v>0</v>
      </c>
      <c r="V6">
        <f t="shared" si="10"/>
        <v>6.7000407999999982</v>
      </c>
      <c r="W6">
        <f t="shared" si="11"/>
        <v>6000</v>
      </c>
      <c r="X6">
        <f t="shared" si="12"/>
        <v>0</v>
      </c>
      <c r="Y6">
        <f t="shared" si="13"/>
        <v>6.7000407999999982</v>
      </c>
      <c r="Z6">
        <f t="shared" si="14"/>
        <v>6000</v>
      </c>
      <c r="AA6">
        <f t="shared" si="15"/>
        <v>0</v>
      </c>
      <c r="AB6">
        <f t="shared" si="16"/>
        <v>6.7000407999999982</v>
      </c>
      <c r="AC6">
        <f t="shared" si="17"/>
        <v>6000</v>
      </c>
      <c r="AD6">
        <f t="shared" si="18"/>
        <v>0</v>
      </c>
      <c r="AE6">
        <f t="shared" si="19"/>
        <v>6.7000407999999982</v>
      </c>
      <c r="AF6">
        <f t="shared" si="20"/>
        <v>6000</v>
      </c>
      <c r="AG6">
        <f t="shared" si="21"/>
        <v>0</v>
      </c>
      <c r="AH6">
        <f t="shared" si="22"/>
        <v>6.7000407999999982</v>
      </c>
      <c r="AI6" cm="1">
        <f t="array" ref="AI6">_xlfn.LET(
    _xlpm.vals,   _xlfn.HSTACK(S6,V6,Y6,AB6,AE6,AH6),
    _xlpm.ints,   _xlfn.HSTACK(R6,U6,X6,AA6,AD6,AG6),
    _xlpm.slopes, _xlfn.HSTACK(Q6,T6,W6,Z6,AC6,AF6),
    _xlpm.limit,  -0.00001*_xlpm.slopes + 0.1086*_xlpm.slopes + 63.253,
    _xlpm.mask,   (_xlpm.vals&gt;=0) * (_xlpm.ints&lt;=_xlpm.limit),
    _xlpm.validVals, _xlfn._xlws.FILTER(_xlpm.vals, _xlpm.mask),
    _xlpm.minVal, MIN(_xlpm.validVals),
    IFERROR( _xlfn.XMATCH(_xlpm.minVal, _xlpm.vals), "" )
)</f>
        <v>1</v>
      </c>
      <c r="AJ6" cm="1">
        <f t="array" ref="AJ6">_xlfn.LET(
    _xlpm.vals, CHOOSE({1,2,3,4,5,6}, S6, V6, Y6, AB6, AE6, AH6),
    _xlpm.slopes, CHOOSE({1,2,3,4,5,6}, Q6, T6, W6, Z6, AC6, AF6),
    _xlpm.ints, CHOOSE({1,2,3,4,5,6}, R6, U6, X6, AA6, AD6, AG6),
    _xlpm.limit, -0.00001*_xlpm.slopes + 0.1086*_xlpm.slopes + 63.253,
    _xlpm.valid, (_xlpm.vals &gt;= 0) * (_xlpm.ints &lt;= _xlpm.limit),
    _xlpm.target, MIN(_xlfn._xlws.FILTER(_xlpm.vals, _xlpm.valid)),
    IFERROR(
        _xlfn.XLOOKUP(_xlpm.target, _xlpm.vals, _xlpm.vals),
        CHOOSE({1,2,3,4,5,6}, S$1, V$1, Y$1, AB$1, AE$1, AH$1)
    )
)</f>
        <v>0.31993880000000002</v>
      </c>
    </row>
    <row r="7" spans="1:36" x14ac:dyDescent="0.45">
      <c r="A7" s="1">
        <v>2000</v>
      </c>
      <c r="B7" s="1">
        <v>245.934</v>
      </c>
      <c r="I7">
        <v>5</v>
      </c>
      <c r="J7">
        <v>0</v>
      </c>
      <c r="K7">
        <f t="shared" si="1"/>
        <v>0</v>
      </c>
      <c r="L7">
        <f t="shared" si="0"/>
        <v>0</v>
      </c>
      <c r="M7">
        <v>-0.19</v>
      </c>
      <c r="N7">
        <f t="shared" si="2"/>
        <v>0</v>
      </c>
      <c r="O7">
        <f t="shared" si="3"/>
        <v>0</v>
      </c>
      <c r="P7">
        <f t="shared" si="4"/>
        <v>0</v>
      </c>
      <c r="Q7">
        <f t="shared" si="5"/>
        <v>1000</v>
      </c>
      <c r="R7">
        <f t="shared" si="6"/>
        <v>0</v>
      </c>
      <c r="S7">
        <f t="shared" si="7"/>
        <v>0.31993880000000002</v>
      </c>
      <c r="T7">
        <f t="shared" si="8"/>
        <v>6000</v>
      </c>
      <c r="U7">
        <f t="shared" si="9"/>
        <v>0</v>
      </c>
      <c r="V7">
        <f t="shared" si="10"/>
        <v>6.7000407999999982</v>
      </c>
      <c r="W7">
        <f t="shared" si="11"/>
        <v>6000</v>
      </c>
      <c r="X7">
        <f t="shared" si="12"/>
        <v>0</v>
      </c>
      <c r="Y7">
        <f t="shared" si="13"/>
        <v>6.7000407999999982</v>
      </c>
      <c r="Z7">
        <f t="shared" si="14"/>
        <v>6000</v>
      </c>
      <c r="AA7">
        <f t="shared" si="15"/>
        <v>0</v>
      </c>
      <c r="AB7">
        <f t="shared" si="16"/>
        <v>6.7000407999999982</v>
      </c>
      <c r="AC7">
        <f t="shared" si="17"/>
        <v>6000</v>
      </c>
      <c r="AD7">
        <f t="shared" si="18"/>
        <v>0</v>
      </c>
      <c r="AE7">
        <f t="shared" si="19"/>
        <v>6.7000407999999982</v>
      </c>
      <c r="AF7">
        <f t="shared" si="20"/>
        <v>6000</v>
      </c>
      <c r="AG7">
        <f t="shared" si="21"/>
        <v>0</v>
      </c>
      <c r="AH7">
        <f t="shared" si="22"/>
        <v>6.7000407999999982</v>
      </c>
      <c r="AI7" cm="1">
        <f t="array" ref="AI7">_xlfn.LET(
    _xlpm.vals,   _xlfn.HSTACK(S7,V7,Y7,AB7,AE7,AH7),
    _xlpm.ints,   _xlfn.HSTACK(R7,U7,X7,AA7,AD7,AG7),
    _xlpm.slopes, _xlfn.HSTACK(Q7,T7,W7,Z7,AC7,AF7),
    _xlpm.limit,  -0.00001*_xlpm.slopes + 0.1086*_xlpm.slopes + 63.253,
    _xlpm.mask,   (_xlpm.vals&gt;=0) * (_xlpm.ints&lt;=_xlpm.limit),
    _xlpm.validVals, _xlfn._xlws.FILTER(_xlpm.vals, _xlpm.mask),
    _xlpm.minVal, MIN(_xlpm.validVals),
    IFERROR( _xlfn.XMATCH(_xlpm.minVal, _xlpm.vals), "" )
)</f>
        <v>1</v>
      </c>
      <c r="AJ7" cm="1">
        <f t="array" ref="AJ7">_xlfn.LET(
    _xlpm.vals, CHOOSE({1,2,3,4,5,6}, S7, V7, Y7, AB7, AE7, AH7),
    _xlpm.slopes, CHOOSE({1,2,3,4,5,6}, Q7, T7, W7, Z7, AC7, AF7),
    _xlpm.ints, CHOOSE({1,2,3,4,5,6}, R7, U7, X7, AA7, AD7, AG7),
    _xlpm.limit, -0.00001*_xlpm.slopes + 0.1086*_xlpm.slopes + 63.253,
    _xlpm.valid, (_xlpm.vals &gt;= 0) * (_xlpm.ints &lt;= _xlpm.limit),
    _xlpm.target, MIN(_xlfn._xlws.FILTER(_xlpm.vals, _xlpm.valid)),
    IFERROR(
        _xlfn.XLOOKUP(_xlpm.target, _xlpm.vals, _xlpm.vals),
        CHOOSE({1,2,3,4,5,6}, S$1, V$1, Y$1, AB$1, AE$1, AH$1)
    )
)</f>
        <v>0.31993880000000002</v>
      </c>
    </row>
    <row r="8" spans="1:36" x14ac:dyDescent="0.45">
      <c r="A8" s="1">
        <v>2500</v>
      </c>
      <c r="B8" s="1">
        <v>266.94299999999998</v>
      </c>
      <c r="I8">
        <v>6</v>
      </c>
      <c r="J8">
        <v>0</v>
      </c>
      <c r="K8">
        <f t="shared" si="1"/>
        <v>0</v>
      </c>
      <c r="L8">
        <f t="shared" si="0"/>
        <v>0</v>
      </c>
      <c r="M8">
        <v>-0.68</v>
      </c>
      <c r="N8">
        <f t="shared" si="2"/>
        <v>0</v>
      </c>
      <c r="O8">
        <f t="shared" si="3"/>
        <v>0</v>
      </c>
      <c r="P8">
        <f t="shared" si="4"/>
        <v>0</v>
      </c>
      <c r="Q8">
        <f t="shared" si="5"/>
        <v>1000</v>
      </c>
      <c r="R8">
        <f t="shared" si="6"/>
        <v>0</v>
      </c>
      <c r="S8">
        <f t="shared" si="7"/>
        <v>0.31993880000000002</v>
      </c>
      <c r="T8">
        <f t="shared" si="8"/>
        <v>6000</v>
      </c>
      <c r="U8">
        <f t="shared" si="9"/>
        <v>0</v>
      </c>
      <c r="V8">
        <f t="shared" si="10"/>
        <v>6.7000407999999982</v>
      </c>
      <c r="W8">
        <f t="shared" si="11"/>
        <v>6000</v>
      </c>
      <c r="X8">
        <f t="shared" si="12"/>
        <v>0</v>
      </c>
      <c r="Y8">
        <f t="shared" si="13"/>
        <v>6.7000407999999982</v>
      </c>
      <c r="Z8">
        <f t="shared" si="14"/>
        <v>6000</v>
      </c>
      <c r="AA8">
        <f t="shared" si="15"/>
        <v>0</v>
      </c>
      <c r="AB8">
        <f t="shared" si="16"/>
        <v>6.7000407999999982</v>
      </c>
      <c r="AC8">
        <f t="shared" si="17"/>
        <v>6000</v>
      </c>
      <c r="AD8">
        <f t="shared" si="18"/>
        <v>0</v>
      </c>
      <c r="AE8">
        <f t="shared" si="19"/>
        <v>6.7000407999999982</v>
      </c>
      <c r="AF8">
        <f t="shared" si="20"/>
        <v>6000</v>
      </c>
      <c r="AG8">
        <f t="shared" si="21"/>
        <v>0</v>
      </c>
      <c r="AH8">
        <f t="shared" si="22"/>
        <v>6.7000407999999982</v>
      </c>
      <c r="AI8" cm="1">
        <f t="array" ref="AI8">_xlfn.LET(
    _xlpm.vals,   _xlfn.HSTACK(S8,V8,Y8,AB8,AE8,AH8),
    _xlpm.ints,   _xlfn.HSTACK(R8,U8,X8,AA8,AD8,AG8),
    _xlpm.slopes, _xlfn.HSTACK(Q8,T8,W8,Z8,AC8,AF8),
    _xlpm.limit,  -0.00001*_xlpm.slopes + 0.1086*_xlpm.slopes + 63.253,
    _xlpm.mask,   (_xlpm.vals&gt;=0) * (_xlpm.ints&lt;=_xlpm.limit),
    _xlpm.validVals, _xlfn._xlws.FILTER(_xlpm.vals, _xlpm.mask),
    _xlpm.minVal, MIN(_xlpm.validVals),
    IFERROR( _xlfn.XMATCH(_xlpm.minVal, _xlpm.vals), "" )
)</f>
        <v>1</v>
      </c>
      <c r="AJ8" cm="1">
        <f t="array" ref="AJ8">_xlfn.LET(
    _xlpm.vals, CHOOSE({1,2,3,4,5,6}, S8, V8, Y8, AB8, AE8, AH8),
    _xlpm.slopes, CHOOSE({1,2,3,4,5,6}, Q8, T8, W8, Z8, AC8, AF8),
    _xlpm.ints, CHOOSE({1,2,3,4,5,6}, R8, U8, X8, AA8, AD8, AG8),
    _xlpm.limit, -0.00001*_xlpm.slopes + 0.1086*_xlpm.slopes + 63.253,
    _xlpm.valid, (_xlpm.vals &gt;= 0) * (_xlpm.ints &lt;= _xlpm.limit),
    _xlpm.target, MIN(_xlfn._xlws.FILTER(_xlpm.vals, _xlpm.valid)),
    IFERROR(
        _xlfn.XLOOKUP(_xlpm.target, _xlpm.vals, _xlpm.vals),
        CHOOSE({1,2,3,4,5,6}, S$1, V$1, Y$1, AB$1, AE$1, AH$1)
    )
)</f>
        <v>0.31993880000000002</v>
      </c>
    </row>
    <row r="9" spans="1:36" x14ac:dyDescent="0.45">
      <c r="A9" s="1">
        <v>3000</v>
      </c>
      <c r="B9" s="1">
        <v>280.49700000000001</v>
      </c>
      <c r="I9">
        <v>7</v>
      </c>
      <c r="J9">
        <v>0</v>
      </c>
      <c r="K9">
        <f t="shared" si="1"/>
        <v>0</v>
      </c>
      <c r="L9">
        <f t="shared" si="0"/>
        <v>0</v>
      </c>
      <c r="M9">
        <v>-0.39</v>
      </c>
      <c r="N9">
        <f t="shared" si="2"/>
        <v>0</v>
      </c>
      <c r="O9">
        <f t="shared" si="3"/>
        <v>0</v>
      </c>
      <c r="P9">
        <f t="shared" si="4"/>
        <v>0</v>
      </c>
      <c r="Q9">
        <f t="shared" si="5"/>
        <v>1000</v>
      </c>
      <c r="R9">
        <f t="shared" si="6"/>
        <v>0</v>
      </c>
      <c r="S9">
        <f t="shared" si="7"/>
        <v>0.31993880000000002</v>
      </c>
      <c r="T9">
        <f t="shared" si="8"/>
        <v>6000</v>
      </c>
      <c r="U9">
        <f t="shared" si="9"/>
        <v>0</v>
      </c>
      <c r="V9">
        <f t="shared" si="10"/>
        <v>6.7000407999999982</v>
      </c>
      <c r="W9">
        <f t="shared" si="11"/>
        <v>6000</v>
      </c>
      <c r="X9">
        <f t="shared" si="12"/>
        <v>0</v>
      </c>
      <c r="Y9">
        <f t="shared" si="13"/>
        <v>6.7000407999999982</v>
      </c>
      <c r="Z9">
        <f t="shared" si="14"/>
        <v>6000</v>
      </c>
      <c r="AA9">
        <f t="shared" si="15"/>
        <v>0</v>
      </c>
      <c r="AB9">
        <f t="shared" si="16"/>
        <v>6.7000407999999982</v>
      </c>
      <c r="AC9">
        <f t="shared" si="17"/>
        <v>6000</v>
      </c>
      <c r="AD9">
        <f t="shared" si="18"/>
        <v>0</v>
      </c>
      <c r="AE9">
        <f t="shared" si="19"/>
        <v>6.7000407999999982</v>
      </c>
      <c r="AF9">
        <f t="shared" si="20"/>
        <v>6000</v>
      </c>
      <c r="AG9">
        <f t="shared" si="21"/>
        <v>0</v>
      </c>
      <c r="AH9">
        <f t="shared" si="22"/>
        <v>6.7000407999999982</v>
      </c>
      <c r="AI9" cm="1">
        <f t="array" ref="AI9">_xlfn.LET(
    _xlpm.vals,   _xlfn.HSTACK(S9,V9,Y9,AB9,AE9,AH9),
    _xlpm.ints,   _xlfn.HSTACK(R9,U9,X9,AA9,AD9,AG9),
    _xlpm.slopes, _xlfn.HSTACK(Q9,T9,W9,Z9,AC9,AF9),
    _xlpm.limit,  -0.00001*_xlpm.slopes + 0.1086*_xlpm.slopes + 63.253,
    _xlpm.mask,   (_xlpm.vals&gt;=0) * (_xlpm.ints&lt;=_xlpm.limit),
    _xlpm.validVals, _xlfn._xlws.FILTER(_xlpm.vals, _xlpm.mask),
    _xlpm.minVal, MIN(_xlpm.validVals),
    IFERROR( _xlfn.XMATCH(_xlpm.minVal, _xlpm.vals), "" )
)</f>
        <v>1</v>
      </c>
      <c r="AJ9" cm="1">
        <f t="array" ref="AJ9">_xlfn.LET(
    _xlpm.vals, CHOOSE({1,2,3,4,5,6}, S9, V9, Y9, AB9, AE9, AH9),
    _xlpm.slopes, CHOOSE({1,2,3,4,5,6}, Q9, T9, W9, Z9, AC9, AF9),
    _xlpm.ints, CHOOSE({1,2,3,4,5,6}, R9, U9, X9, AA9, AD9, AG9),
    _xlpm.limit, -0.00001*_xlpm.slopes + 0.1086*_xlpm.slopes + 63.253,
    _xlpm.valid, (_xlpm.vals &gt;= 0) * (_xlpm.ints &lt;= _xlpm.limit),
    _xlpm.target, MIN(_xlfn._xlws.FILTER(_xlpm.vals, _xlpm.valid)),
    IFERROR(
        _xlfn.XLOOKUP(_xlpm.target, _xlpm.vals, _xlpm.vals),
        CHOOSE({1,2,3,4,5,6}, S$1, V$1, Y$1, AB$1, AE$1, AH$1)
    )
)</f>
        <v>0.31993880000000002</v>
      </c>
    </row>
    <row r="10" spans="1:36" x14ac:dyDescent="0.45">
      <c r="A10" s="1">
        <v>3500</v>
      </c>
      <c r="B10" s="1">
        <v>291.33999999999997</v>
      </c>
      <c r="I10">
        <v>8</v>
      </c>
      <c r="J10">
        <v>0</v>
      </c>
      <c r="K10">
        <f t="shared" si="1"/>
        <v>0</v>
      </c>
      <c r="L10">
        <f t="shared" si="0"/>
        <v>0</v>
      </c>
      <c r="M10">
        <v>-0.8</v>
      </c>
      <c r="N10">
        <f t="shared" si="2"/>
        <v>0</v>
      </c>
      <c r="O10">
        <f t="shared" si="3"/>
        <v>0</v>
      </c>
      <c r="P10">
        <f t="shared" si="4"/>
        <v>0</v>
      </c>
      <c r="Q10">
        <f t="shared" si="5"/>
        <v>1000</v>
      </c>
      <c r="R10">
        <f t="shared" si="6"/>
        <v>0</v>
      </c>
      <c r="S10">
        <f t="shared" si="7"/>
        <v>0.31993880000000002</v>
      </c>
      <c r="T10">
        <f t="shared" si="8"/>
        <v>6000</v>
      </c>
      <c r="U10">
        <f t="shared" si="9"/>
        <v>0</v>
      </c>
      <c r="V10">
        <f t="shared" si="10"/>
        <v>6.7000407999999982</v>
      </c>
      <c r="W10">
        <f t="shared" si="11"/>
        <v>6000</v>
      </c>
      <c r="X10">
        <f t="shared" si="12"/>
        <v>0</v>
      </c>
      <c r="Y10">
        <f t="shared" si="13"/>
        <v>6.7000407999999982</v>
      </c>
      <c r="Z10">
        <f t="shared" si="14"/>
        <v>6000</v>
      </c>
      <c r="AA10">
        <f t="shared" si="15"/>
        <v>0</v>
      </c>
      <c r="AB10">
        <f t="shared" si="16"/>
        <v>6.7000407999999982</v>
      </c>
      <c r="AC10">
        <f t="shared" si="17"/>
        <v>6000</v>
      </c>
      <c r="AD10">
        <f t="shared" si="18"/>
        <v>0</v>
      </c>
      <c r="AE10">
        <f t="shared" si="19"/>
        <v>6.7000407999999982</v>
      </c>
      <c r="AF10">
        <f t="shared" si="20"/>
        <v>6000</v>
      </c>
      <c r="AG10">
        <f t="shared" si="21"/>
        <v>0</v>
      </c>
      <c r="AH10">
        <f t="shared" si="22"/>
        <v>6.7000407999999982</v>
      </c>
      <c r="AI10" cm="1">
        <f t="array" ref="AI10">_xlfn.LET(
    _xlpm.vals,   _xlfn.HSTACK(S10,V10,Y10,AB10,AE10,AH10),
    _xlpm.ints,   _xlfn.HSTACK(R10,U10,X10,AA10,AD10,AG10),
    _xlpm.slopes, _xlfn.HSTACK(Q10,T10,W10,Z10,AC10,AF10),
    _xlpm.limit,  -0.00001*_xlpm.slopes + 0.1086*_xlpm.slopes + 63.253,
    _xlpm.mask,   (_xlpm.vals&gt;=0) * (_xlpm.ints&lt;=_xlpm.limit),
    _xlpm.validVals, _xlfn._xlws.FILTER(_xlpm.vals, _xlpm.mask),
    _xlpm.minVal, MIN(_xlpm.validVals),
    IFERROR( _xlfn.XMATCH(_xlpm.minVal, _xlpm.vals), "" )
)</f>
        <v>1</v>
      </c>
      <c r="AJ10" cm="1">
        <f t="array" ref="AJ10">_xlfn.LET(
    _xlpm.vals, CHOOSE({1,2,3,4,5,6}, S10, V10, Y10, AB10, AE10, AH10),
    _xlpm.slopes, CHOOSE({1,2,3,4,5,6}, Q10, T10, W10, Z10, AC10, AF10),
    _xlpm.ints, CHOOSE({1,2,3,4,5,6}, R10, U10, X10, AA10, AD10, AG10),
    _xlpm.limit, -0.00001*_xlpm.slopes + 0.1086*_xlpm.slopes + 63.253,
    _xlpm.valid, (_xlpm.vals &gt;= 0) * (_xlpm.ints &lt;= _xlpm.limit),
    _xlpm.target, MIN(_xlfn._xlws.FILTER(_xlpm.vals, _xlpm.valid)),
    IFERROR(
        _xlfn.XLOOKUP(_xlpm.target, _xlpm.vals, _xlpm.vals),
        CHOOSE({1,2,3,4,5,6}, S$1, V$1, Y$1, AB$1, AE$1, AH$1)
    )
)</f>
        <v>0.31993880000000002</v>
      </c>
    </row>
    <row r="11" spans="1:36" x14ac:dyDescent="0.45">
      <c r="A11" s="1">
        <v>4000</v>
      </c>
      <c r="B11" s="1">
        <v>298.79500000000002</v>
      </c>
      <c r="I11">
        <v>9</v>
      </c>
      <c r="J11">
        <v>0</v>
      </c>
      <c r="K11">
        <f t="shared" si="1"/>
        <v>0</v>
      </c>
      <c r="L11">
        <f t="shared" si="0"/>
        <v>0</v>
      </c>
      <c r="M11">
        <v>-0.34</v>
      </c>
      <c r="N11">
        <f t="shared" si="2"/>
        <v>0</v>
      </c>
      <c r="O11">
        <f t="shared" si="3"/>
        <v>0</v>
      </c>
      <c r="P11">
        <f t="shared" si="4"/>
        <v>0</v>
      </c>
      <c r="Q11">
        <f t="shared" si="5"/>
        <v>1000</v>
      </c>
      <c r="R11">
        <f t="shared" si="6"/>
        <v>0</v>
      </c>
      <c r="S11">
        <f t="shared" si="7"/>
        <v>0.31993880000000002</v>
      </c>
      <c r="T11">
        <f t="shared" si="8"/>
        <v>6000</v>
      </c>
      <c r="U11">
        <f t="shared" si="9"/>
        <v>0</v>
      </c>
      <c r="V11">
        <f t="shared" si="10"/>
        <v>6.7000407999999982</v>
      </c>
      <c r="W11">
        <f t="shared" si="11"/>
        <v>6000</v>
      </c>
      <c r="X11">
        <f t="shared" si="12"/>
        <v>0</v>
      </c>
      <c r="Y11">
        <f t="shared" si="13"/>
        <v>6.7000407999999982</v>
      </c>
      <c r="Z11">
        <f t="shared" si="14"/>
        <v>6000</v>
      </c>
      <c r="AA11">
        <f t="shared" si="15"/>
        <v>0</v>
      </c>
      <c r="AB11">
        <f t="shared" si="16"/>
        <v>6.7000407999999982</v>
      </c>
      <c r="AC11">
        <f t="shared" si="17"/>
        <v>6000</v>
      </c>
      <c r="AD11">
        <f t="shared" si="18"/>
        <v>0</v>
      </c>
      <c r="AE11">
        <f t="shared" si="19"/>
        <v>6.7000407999999982</v>
      </c>
      <c r="AF11">
        <f t="shared" si="20"/>
        <v>6000</v>
      </c>
      <c r="AG11">
        <f t="shared" si="21"/>
        <v>0</v>
      </c>
      <c r="AH11">
        <f t="shared" si="22"/>
        <v>6.7000407999999982</v>
      </c>
      <c r="AI11" cm="1">
        <f t="array" ref="AI11">_xlfn.LET(
    _xlpm.vals,   _xlfn.HSTACK(S11,V11,Y11,AB11,AE11,AH11),
    _xlpm.ints,   _xlfn.HSTACK(R11,U11,X11,AA11,AD11,AG11),
    _xlpm.slopes, _xlfn.HSTACK(Q11,T11,W11,Z11,AC11,AF11),
    _xlpm.limit,  -0.00001*_xlpm.slopes + 0.1086*_xlpm.slopes + 63.253,
    _xlpm.mask,   (_xlpm.vals&gt;=0) * (_xlpm.ints&lt;=_xlpm.limit),
    _xlpm.validVals, _xlfn._xlws.FILTER(_xlpm.vals, _xlpm.mask),
    _xlpm.minVal, MIN(_xlpm.validVals),
    IFERROR( _xlfn.XMATCH(_xlpm.minVal, _xlpm.vals), "" )
)</f>
        <v>1</v>
      </c>
      <c r="AJ11" cm="1">
        <f t="array" ref="AJ11">_xlfn.LET(
    _xlpm.vals, CHOOSE({1,2,3,4,5,6}, S11, V11, Y11, AB11, AE11, AH11),
    _xlpm.slopes, CHOOSE({1,2,3,4,5,6}, Q11, T11, W11, Z11, AC11, AF11),
    _xlpm.ints, CHOOSE({1,2,3,4,5,6}, R11, U11, X11, AA11, AD11, AG11),
    _xlpm.limit, -0.00001*_xlpm.slopes + 0.1086*_xlpm.slopes + 63.253,
    _xlpm.valid, (_xlpm.vals &gt;= 0) * (_xlpm.ints &lt;= _xlpm.limit),
    _xlpm.target, MIN(_xlfn._xlws.FILTER(_xlpm.vals, _xlpm.valid)),
    IFERROR(
        _xlfn.XLOOKUP(_xlpm.target, _xlpm.vals, _xlpm.vals),
        CHOOSE({1,2,3,4,5,6}, S$1, V$1, Y$1, AB$1, AE$1, AH$1)
    )
)</f>
        <v>0.31993880000000002</v>
      </c>
    </row>
    <row r="12" spans="1:36" x14ac:dyDescent="0.45">
      <c r="A12" s="1">
        <v>4500</v>
      </c>
      <c r="B12" s="1">
        <v>302.18400000000003</v>
      </c>
      <c r="I12">
        <v>10</v>
      </c>
      <c r="J12">
        <v>0</v>
      </c>
      <c r="K12">
        <f t="shared" si="1"/>
        <v>0</v>
      </c>
      <c r="L12">
        <f t="shared" si="0"/>
        <v>0</v>
      </c>
      <c r="M12">
        <v>-0.31</v>
      </c>
      <c r="N12">
        <f t="shared" si="2"/>
        <v>0</v>
      </c>
      <c r="O12">
        <f t="shared" si="3"/>
        <v>0</v>
      </c>
      <c r="P12">
        <f t="shared" si="4"/>
        <v>0</v>
      </c>
      <c r="Q12">
        <f t="shared" si="5"/>
        <v>1000</v>
      </c>
      <c r="R12">
        <f t="shared" si="6"/>
        <v>0</v>
      </c>
      <c r="S12">
        <f t="shared" si="7"/>
        <v>0.31993880000000002</v>
      </c>
      <c r="T12">
        <f t="shared" si="8"/>
        <v>6000</v>
      </c>
      <c r="U12">
        <f t="shared" si="9"/>
        <v>0</v>
      </c>
      <c r="V12">
        <f t="shared" si="10"/>
        <v>6.7000407999999982</v>
      </c>
      <c r="W12">
        <f t="shared" si="11"/>
        <v>6000</v>
      </c>
      <c r="X12">
        <f t="shared" si="12"/>
        <v>0</v>
      </c>
      <c r="Y12">
        <f t="shared" si="13"/>
        <v>6.7000407999999982</v>
      </c>
      <c r="Z12">
        <f t="shared" si="14"/>
        <v>6000</v>
      </c>
      <c r="AA12">
        <f t="shared" si="15"/>
        <v>0</v>
      </c>
      <c r="AB12">
        <f t="shared" si="16"/>
        <v>6.7000407999999982</v>
      </c>
      <c r="AC12">
        <f t="shared" si="17"/>
        <v>6000</v>
      </c>
      <c r="AD12">
        <f t="shared" si="18"/>
        <v>0</v>
      </c>
      <c r="AE12">
        <f t="shared" si="19"/>
        <v>6.7000407999999982</v>
      </c>
      <c r="AF12">
        <f t="shared" si="20"/>
        <v>6000</v>
      </c>
      <c r="AG12">
        <f t="shared" si="21"/>
        <v>0</v>
      </c>
      <c r="AH12">
        <f t="shared" si="22"/>
        <v>6.7000407999999982</v>
      </c>
      <c r="AI12" cm="1">
        <f t="array" ref="AI12">_xlfn.LET(
    _xlpm.vals,   _xlfn.HSTACK(S12,V12,Y12,AB12,AE12,AH12),
    _xlpm.ints,   _xlfn.HSTACK(R12,U12,X12,AA12,AD12,AG12),
    _xlpm.slopes, _xlfn.HSTACK(Q12,T12,W12,Z12,AC12,AF12),
    _xlpm.limit,  -0.00001*_xlpm.slopes + 0.1086*_xlpm.slopes + 63.253,
    _xlpm.mask,   (_xlpm.vals&gt;=0) * (_xlpm.ints&lt;=_xlpm.limit),
    _xlpm.validVals, _xlfn._xlws.FILTER(_xlpm.vals, _xlpm.mask),
    _xlpm.minVal, MIN(_xlpm.validVals),
    IFERROR( _xlfn.XMATCH(_xlpm.minVal, _xlpm.vals), "" )
)</f>
        <v>1</v>
      </c>
      <c r="AJ12" cm="1">
        <f t="array" ref="AJ12">_xlfn.LET(
    _xlpm.vals, CHOOSE({1,2,3,4,5,6}, S12, V12, Y12, AB12, AE12, AH12),
    _xlpm.slopes, CHOOSE({1,2,3,4,5,6}, Q12, T12, W12, Z12, AC12, AF12),
    _xlpm.ints, CHOOSE({1,2,3,4,5,6}, R12, U12, X12, AA12, AD12, AG12),
    _xlpm.limit, -0.00001*_xlpm.slopes + 0.1086*_xlpm.slopes + 63.253,
    _xlpm.valid, (_xlpm.vals &gt;= 0) * (_xlpm.ints &lt;= _xlpm.limit),
    _xlpm.target, MIN(_xlfn._xlws.FILTER(_xlpm.vals, _xlpm.valid)),
    IFERROR(
        _xlfn.XLOOKUP(_xlpm.target, _xlpm.vals, _xlpm.vals),
        CHOOSE({1,2,3,4,5,6}, S$1, V$1, Y$1, AB$1, AE$1, AH$1)
    )
)</f>
        <v>0.31993880000000002</v>
      </c>
    </row>
    <row r="13" spans="1:36" x14ac:dyDescent="0.45">
      <c r="A13" s="1">
        <v>5000</v>
      </c>
      <c r="B13" s="1">
        <v>298.11700000000002</v>
      </c>
      <c r="I13">
        <v>11</v>
      </c>
      <c r="J13">
        <v>0</v>
      </c>
      <c r="K13">
        <f t="shared" si="1"/>
        <v>0</v>
      </c>
      <c r="L13">
        <f t="shared" si="0"/>
        <v>0</v>
      </c>
      <c r="M13">
        <v>-0.28999999999999998</v>
      </c>
      <c r="N13">
        <f t="shared" si="2"/>
        <v>0</v>
      </c>
      <c r="O13">
        <f t="shared" si="3"/>
        <v>0</v>
      </c>
      <c r="P13">
        <f t="shared" si="4"/>
        <v>0</v>
      </c>
      <c r="Q13">
        <f t="shared" si="5"/>
        <v>1000</v>
      </c>
      <c r="R13">
        <f t="shared" si="6"/>
        <v>0</v>
      </c>
      <c r="S13">
        <f t="shared" si="7"/>
        <v>0.31993880000000002</v>
      </c>
      <c r="T13">
        <f t="shared" si="8"/>
        <v>6000</v>
      </c>
      <c r="U13">
        <f t="shared" si="9"/>
        <v>0</v>
      </c>
      <c r="V13">
        <f t="shared" si="10"/>
        <v>6.7000407999999982</v>
      </c>
      <c r="W13">
        <f t="shared" si="11"/>
        <v>6000</v>
      </c>
      <c r="X13">
        <f t="shared" si="12"/>
        <v>0</v>
      </c>
      <c r="Y13">
        <f t="shared" si="13"/>
        <v>6.7000407999999982</v>
      </c>
      <c r="Z13">
        <f t="shared" si="14"/>
        <v>6000</v>
      </c>
      <c r="AA13">
        <f t="shared" si="15"/>
        <v>0</v>
      </c>
      <c r="AB13">
        <f t="shared" si="16"/>
        <v>6.7000407999999982</v>
      </c>
      <c r="AC13">
        <f t="shared" si="17"/>
        <v>6000</v>
      </c>
      <c r="AD13">
        <f t="shared" si="18"/>
        <v>0</v>
      </c>
      <c r="AE13">
        <f t="shared" si="19"/>
        <v>6.7000407999999982</v>
      </c>
      <c r="AF13">
        <f t="shared" si="20"/>
        <v>6000</v>
      </c>
      <c r="AG13">
        <f t="shared" si="21"/>
        <v>0</v>
      </c>
      <c r="AH13">
        <f t="shared" si="22"/>
        <v>6.7000407999999982</v>
      </c>
      <c r="AI13" cm="1">
        <f t="array" ref="AI13">_xlfn.LET(
    _xlpm.vals,   _xlfn.HSTACK(S13,V13,Y13,AB13,AE13,AH13),
    _xlpm.ints,   _xlfn.HSTACK(R13,U13,X13,AA13,AD13,AG13),
    _xlpm.slopes, _xlfn.HSTACK(Q13,T13,W13,Z13,AC13,AF13),
    _xlpm.limit,  -0.00001*_xlpm.slopes + 0.1086*_xlpm.slopes + 63.253,
    _xlpm.mask,   (_xlpm.vals&gt;=0) * (_xlpm.ints&lt;=_xlpm.limit),
    _xlpm.validVals, _xlfn._xlws.FILTER(_xlpm.vals, _xlpm.mask),
    _xlpm.minVal, MIN(_xlpm.validVals),
    IFERROR( _xlfn.XMATCH(_xlpm.minVal, _xlpm.vals), "" )
)</f>
        <v>1</v>
      </c>
      <c r="AJ13" cm="1">
        <f t="array" ref="AJ13">_xlfn.LET(
    _xlpm.vals, CHOOSE({1,2,3,4,5,6}, S13, V13, Y13, AB13, AE13, AH13),
    _xlpm.slopes, CHOOSE({1,2,3,4,5,6}, Q13, T13, W13, Z13, AC13, AF13),
    _xlpm.ints, CHOOSE({1,2,3,4,5,6}, R13, U13, X13, AA13, AD13, AG13),
    _xlpm.limit, -0.00001*_xlpm.slopes + 0.1086*_xlpm.slopes + 63.253,
    _xlpm.valid, (_xlpm.vals &gt;= 0) * (_xlpm.ints &lt;= _xlpm.limit),
    _xlpm.target, MIN(_xlfn._xlws.FILTER(_xlpm.vals, _xlpm.valid)),
    IFERROR(
        _xlfn.XLOOKUP(_xlpm.target, _xlpm.vals, _xlpm.vals),
        CHOOSE({1,2,3,4,5,6}, S$1, V$1, Y$1, AB$1, AE$1, AH$1)
    )
)</f>
        <v>0.31993880000000002</v>
      </c>
    </row>
    <row r="14" spans="1:36" x14ac:dyDescent="0.45">
      <c r="A14" s="1">
        <v>5500</v>
      </c>
      <c r="B14" s="1">
        <v>290.66300000000001</v>
      </c>
      <c r="I14">
        <v>12</v>
      </c>
      <c r="J14">
        <v>0</v>
      </c>
      <c r="K14">
        <f t="shared" si="1"/>
        <v>0</v>
      </c>
      <c r="L14">
        <f t="shared" si="0"/>
        <v>0</v>
      </c>
      <c r="M14">
        <v>-0.32</v>
      </c>
      <c r="N14">
        <f t="shared" si="2"/>
        <v>0</v>
      </c>
      <c r="O14">
        <f t="shared" si="3"/>
        <v>0</v>
      </c>
      <c r="P14">
        <f t="shared" si="4"/>
        <v>0</v>
      </c>
      <c r="Q14">
        <f t="shared" si="5"/>
        <v>1000</v>
      </c>
      <c r="R14">
        <f t="shared" si="6"/>
        <v>0</v>
      </c>
      <c r="S14">
        <f t="shared" si="7"/>
        <v>0.31993880000000002</v>
      </c>
      <c r="T14">
        <f t="shared" si="8"/>
        <v>6000</v>
      </c>
      <c r="U14">
        <f t="shared" si="9"/>
        <v>0</v>
      </c>
      <c r="V14">
        <f t="shared" si="10"/>
        <v>6.7000407999999982</v>
      </c>
      <c r="W14">
        <f t="shared" si="11"/>
        <v>6000</v>
      </c>
      <c r="X14">
        <f t="shared" si="12"/>
        <v>0</v>
      </c>
      <c r="Y14">
        <f t="shared" si="13"/>
        <v>6.7000407999999982</v>
      </c>
      <c r="Z14">
        <f t="shared" si="14"/>
        <v>6000</v>
      </c>
      <c r="AA14">
        <f t="shared" si="15"/>
        <v>0</v>
      </c>
      <c r="AB14">
        <f t="shared" si="16"/>
        <v>6.7000407999999982</v>
      </c>
      <c r="AC14">
        <f t="shared" si="17"/>
        <v>6000</v>
      </c>
      <c r="AD14">
        <f t="shared" si="18"/>
        <v>0</v>
      </c>
      <c r="AE14">
        <f t="shared" si="19"/>
        <v>6.7000407999999982</v>
      </c>
      <c r="AF14">
        <f t="shared" si="20"/>
        <v>6000</v>
      </c>
      <c r="AG14">
        <f t="shared" si="21"/>
        <v>0</v>
      </c>
      <c r="AH14">
        <f t="shared" si="22"/>
        <v>6.7000407999999982</v>
      </c>
      <c r="AI14" cm="1">
        <f t="array" ref="AI14">_xlfn.LET(
    _xlpm.vals,   _xlfn.HSTACK(S14,V14,Y14,AB14,AE14,AH14),
    _xlpm.ints,   _xlfn.HSTACK(R14,U14,X14,AA14,AD14,AG14),
    _xlpm.slopes, _xlfn.HSTACK(Q14,T14,W14,Z14,AC14,AF14),
    _xlpm.limit,  -0.00001*_xlpm.slopes + 0.1086*_xlpm.slopes + 63.253,
    _xlpm.mask,   (_xlpm.vals&gt;=0) * (_xlpm.ints&lt;=_xlpm.limit),
    _xlpm.validVals, _xlfn._xlws.FILTER(_xlpm.vals, _xlpm.mask),
    _xlpm.minVal, MIN(_xlpm.validVals),
    IFERROR( _xlfn.XMATCH(_xlpm.minVal, _xlpm.vals), "" )
)</f>
        <v>1</v>
      </c>
      <c r="AJ14" cm="1">
        <f t="array" ref="AJ14">_xlfn.LET(
    _xlpm.vals, CHOOSE({1,2,3,4,5,6}, S14, V14, Y14, AB14, AE14, AH14),
    _xlpm.slopes, CHOOSE({1,2,3,4,5,6}, Q14, T14, W14, Z14, AC14, AF14),
    _xlpm.ints, CHOOSE({1,2,3,4,5,6}, R14, U14, X14, AA14, AD14, AG14),
    _xlpm.limit, -0.00001*_xlpm.slopes + 0.1086*_xlpm.slopes + 63.253,
    _xlpm.valid, (_xlpm.vals &gt;= 0) * (_xlpm.ints &lt;= _xlpm.limit),
    _xlpm.target, MIN(_xlfn._xlws.FILTER(_xlpm.vals, _xlpm.valid)),
    IFERROR(
        _xlfn.XLOOKUP(_xlpm.target, _xlpm.vals, _xlpm.vals),
        CHOOSE({1,2,3,4,5,6}, S$1, V$1, Y$1, AB$1, AE$1, AH$1)
    )
)</f>
        <v>0.31993880000000002</v>
      </c>
    </row>
    <row r="15" spans="1:36" x14ac:dyDescent="0.45">
      <c r="A15" s="1">
        <v>6000</v>
      </c>
      <c r="B15" s="1">
        <v>278.464</v>
      </c>
      <c r="I15">
        <v>13</v>
      </c>
      <c r="J15">
        <v>0</v>
      </c>
      <c r="K15">
        <f t="shared" si="1"/>
        <v>0</v>
      </c>
      <c r="L15">
        <f t="shared" si="0"/>
        <v>0</v>
      </c>
      <c r="M15">
        <v>-0.19</v>
      </c>
      <c r="N15">
        <f t="shared" si="2"/>
        <v>0</v>
      </c>
      <c r="O15">
        <f t="shared" si="3"/>
        <v>0</v>
      </c>
      <c r="P15">
        <f t="shared" si="4"/>
        <v>0</v>
      </c>
      <c r="Q15">
        <f t="shared" si="5"/>
        <v>1000</v>
      </c>
      <c r="R15">
        <f t="shared" si="6"/>
        <v>0</v>
      </c>
      <c r="S15">
        <f t="shared" si="7"/>
        <v>0.31993880000000002</v>
      </c>
      <c r="T15">
        <f t="shared" si="8"/>
        <v>6000</v>
      </c>
      <c r="U15">
        <f t="shared" si="9"/>
        <v>0</v>
      </c>
      <c r="V15">
        <f t="shared" si="10"/>
        <v>6.7000407999999982</v>
      </c>
      <c r="W15">
        <f t="shared" si="11"/>
        <v>6000</v>
      </c>
      <c r="X15">
        <f t="shared" si="12"/>
        <v>0</v>
      </c>
      <c r="Y15">
        <f t="shared" si="13"/>
        <v>6.7000407999999982</v>
      </c>
      <c r="Z15">
        <f t="shared" si="14"/>
        <v>6000</v>
      </c>
      <c r="AA15">
        <f t="shared" si="15"/>
        <v>0</v>
      </c>
      <c r="AB15">
        <f t="shared" si="16"/>
        <v>6.7000407999999982</v>
      </c>
      <c r="AC15">
        <f t="shared" si="17"/>
        <v>6000</v>
      </c>
      <c r="AD15">
        <f t="shared" si="18"/>
        <v>0</v>
      </c>
      <c r="AE15">
        <f t="shared" si="19"/>
        <v>6.7000407999999982</v>
      </c>
      <c r="AF15">
        <f t="shared" si="20"/>
        <v>6000</v>
      </c>
      <c r="AG15">
        <f t="shared" si="21"/>
        <v>0</v>
      </c>
      <c r="AH15">
        <f t="shared" si="22"/>
        <v>6.7000407999999982</v>
      </c>
      <c r="AI15" cm="1">
        <f t="array" ref="AI15">_xlfn.LET(
    _xlpm.vals,   _xlfn.HSTACK(S15,V15,Y15,AB15,AE15,AH15),
    _xlpm.ints,   _xlfn.HSTACK(R15,U15,X15,AA15,AD15,AG15),
    _xlpm.slopes, _xlfn.HSTACK(Q15,T15,W15,Z15,AC15,AF15),
    _xlpm.limit,  -0.00001*_xlpm.slopes + 0.1086*_xlpm.slopes + 63.253,
    _xlpm.mask,   (_xlpm.vals&gt;=0) * (_xlpm.ints&lt;=_xlpm.limit),
    _xlpm.validVals, _xlfn._xlws.FILTER(_xlpm.vals, _xlpm.mask),
    _xlpm.minVal, MIN(_xlpm.validVals),
    IFERROR( _xlfn.XMATCH(_xlpm.minVal, _xlpm.vals), "" )
)</f>
        <v>1</v>
      </c>
      <c r="AJ15" cm="1">
        <f t="array" ref="AJ15">_xlfn.LET(
    _xlpm.vals, CHOOSE({1,2,3,4,5,6}, S15, V15, Y15, AB15, AE15, AH15),
    _xlpm.slopes, CHOOSE({1,2,3,4,5,6}, Q15, T15, W15, Z15, AC15, AF15),
    _xlpm.ints, CHOOSE({1,2,3,4,5,6}, R15, U15, X15, AA15, AD15, AG15),
    _xlpm.limit, -0.00001*_xlpm.slopes + 0.1086*_xlpm.slopes + 63.253,
    _xlpm.valid, (_xlpm.vals &gt;= 0) * (_xlpm.ints &lt;= _xlpm.limit),
    _xlpm.target, MIN(_xlfn._xlws.FILTER(_xlpm.vals, _xlpm.valid)),
    IFERROR(
        _xlfn.XLOOKUP(_xlpm.target, _xlpm.vals, _xlpm.vals),
        CHOOSE({1,2,3,4,5,6}, S$1, V$1, Y$1, AB$1, AE$1, AH$1)
    )
)</f>
        <v>0.31993880000000002</v>
      </c>
    </row>
    <row r="16" spans="1:36" x14ac:dyDescent="0.45">
      <c r="A16" s="1">
        <v>6500</v>
      </c>
      <c r="B16" s="1">
        <v>263.55399999999997</v>
      </c>
      <c r="I16">
        <v>14</v>
      </c>
      <c r="J16">
        <v>0</v>
      </c>
      <c r="K16">
        <f t="shared" si="1"/>
        <v>0</v>
      </c>
      <c r="L16">
        <f t="shared" si="0"/>
        <v>0</v>
      </c>
      <c r="M16">
        <v>-0.14000000000000001</v>
      </c>
      <c r="N16">
        <f t="shared" si="2"/>
        <v>0</v>
      </c>
      <c r="O16">
        <f t="shared" si="3"/>
        <v>0</v>
      </c>
      <c r="P16">
        <f t="shared" si="4"/>
        <v>0</v>
      </c>
      <c r="Q16">
        <f t="shared" si="5"/>
        <v>1000</v>
      </c>
      <c r="R16">
        <f t="shared" si="6"/>
        <v>0</v>
      </c>
      <c r="S16">
        <f t="shared" si="7"/>
        <v>0.31993880000000002</v>
      </c>
      <c r="T16">
        <f t="shared" si="8"/>
        <v>6000</v>
      </c>
      <c r="U16">
        <f t="shared" si="9"/>
        <v>0</v>
      </c>
      <c r="V16">
        <f t="shared" si="10"/>
        <v>6.7000407999999982</v>
      </c>
      <c r="W16">
        <f t="shared" si="11"/>
        <v>6000</v>
      </c>
      <c r="X16">
        <f t="shared" si="12"/>
        <v>0</v>
      </c>
      <c r="Y16">
        <f t="shared" si="13"/>
        <v>6.7000407999999982</v>
      </c>
      <c r="Z16">
        <f t="shared" si="14"/>
        <v>6000</v>
      </c>
      <c r="AA16">
        <f t="shared" si="15"/>
        <v>0</v>
      </c>
      <c r="AB16">
        <f t="shared" si="16"/>
        <v>6.7000407999999982</v>
      </c>
      <c r="AC16">
        <f t="shared" si="17"/>
        <v>6000</v>
      </c>
      <c r="AD16">
        <f t="shared" si="18"/>
        <v>0</v>
      </c>
      <c r="AE16">
        <f t="shared" si="19"/>
        <v>6.7000407999999982</v>
      </c>
      <c r="AF16">
        <f t="shared" si="20"/>
        <v>6000</v>
      </c>
      <c r="AG16">
        <f t="shared" si="21"/>
        <v>0</v>
      </c>
      <c r="AH16">
        <f t="shared" si="22"/>
        <v>6.7000407999999982</v>
      </c>
      <c r="AI16" cm="1">
        <f t="array" ref="AI16">_xlfn.LET(
    _xlpm.vals,   _xlfn.HSTACK(S16,V16,Y16,AB16,AE16,AH16),
    _xlpm.ints,   _xlfn.HSTACK(R16,U16,X16,AA16,AD16,AG16),
    _xlpm.slopes, _xlfn.HSTACK(Q16,T16,W16,Z16,AC16,AF16),
    _xlpm.limit,  -0.00001*_xlpm.slopes + 0.1086*_xlpm.slopes + 63.253,
    _xlpm.mask,   (_xlpm.vals&gt;=0) * (_xlpm.ints&lt;=_xlpm.limit),
    _xlpm.validVals, _xlfn._xlws.FILTER(_xlpm.vals, _xlpm.mask),
    _xlpm.minVal, MIN(_xlpm.validVals),
    IFERROR( _xlfn.XMATCH(_xlpm.minVal, _xlpm.vals), "" )
)</f>
        <v>1</v>
      </c>
      <c r="AJ16" cm="1">
        <f t="array" ref="AJ16">_xlfn.LET(
    _xlpm.vals, CHOOSE({1,2,3,4,5,6}, S16, V16, Y16, AB16, AE16, AH16),
    _xlpm.slopes, CHOOSE({1,2,3,4,5,6}, Q16, T16, W16, Z16, AC16, AF16),
    _xlpm.ints, CHOOSE({1,2,3,4,5,6}, R16, U16, X16, AA16, AD16, AG16),
    _xlpm.limit, -0.00001*_xlpm.slopes + 0.1086*_xlpm.slopes + 63.253,
    _xlpm.valid, (_xlpm.vals &gt;= 0) * (_xlpm.ints &lt;= _xlpm.limit),
    _xlpm.target, MIN(_xlfn._xlws.FILTER(_xlpm.vals, _xlpm.valid)),
    IFERROR(
        _xlfn.XLOOKUP(_xlpm.target, _xlpm.vals, _xlpm.vals),
        CHOOSE({1,2,3,4,5,6}, S$1, V$1, Y$1, AB$1, AE$1, AH$1)
    )
)</f>
        <v>0.31993880000000002</v>
      </c>
    </row>
    <row r="17" spans="1:36" x14ac:dyDescent="0.45">
      <c r="A17" s="1">
        <v>6900</v>
      </c>
      <c r="B17" s="1">
        <v>236.446</v>
      </c>
      <c r="I17">
        <v>15</v>
      </c>
      <c r="J17">
        <v>0</v>
      </c>
      <c r="K17">
        <f t="shared" si="1"/>
        <v>0</v>
      </c>
      <c r="L17">
        <f t="shared" si="0"/>
        <v>0</v>
      </c>
      <c r="M17">
        <v>0.93</v>
      </c>
      <c r="N17">
        <f t="shared" si="2"/>
        <v>0.93</v>
      </c>
      <c r="O17">
        <f t="shared" si="3"/>
        <v>0</v>
      </c>
      <c r="P17">
        <f t="shared" si="4"/>
        <v>0</v>
      </c>
      <c r="Q17">
        <f t="shared" si="5"/>
        <v>1000</v>
      </c>
      <c r="R17">
        <f t="shared" si="6"/>
        <v>8.8808458245277606</v>
      </c>
      <c r="S17">
        <f t="shared" si="7"/>
        <v>0.37532721538074593</v>
      </c>
      <c r="T17">
        <f t="shared" si="8"/>
        <v>6000</v>
      </c>
      <c r="U17">
        <f t="shared" si="9"/>
        <v>1.4801409707546267</v>
      </c>
      <c r="V17">
        <f t="shared" si="10"/>
        <v>6.7092703844694617</v>
      </c>
      <c r="W17">
        <f t="shared" si="11"/>
        <v>6000</v>
      </c>
      <c r="X17">
        <f t="shared" si="12"/>
        <v>1.4801409707546267</v>
      </c>
      <c r="Y17">
        <f t="shared" si="13"/>
        <v>6.7092703844694617</v>
      </c>
      <c r="Z17">
        <f t="shared" si="14"/>
        <v>6000</v>
      </c>
      <c r="AA17">
        <f t="shared" si="15"/>
        <v>1.4801409707546267</v>
      </c>
      <c r="AB17">
        <f t="shared" si="16"/>
        <v>6.7092703844694617</v>
      </c>
      <c r="AC17">
        <f t="shared" si="17"/>
        <v>6000</v>
      </c>
      <c r="AD17">
        <f t="shared" si="18"/>
        <v>1.4801409707546267</v>
      </c>
      <c r="AE17">
        <f t="shared" si="19"/>
        <v>6.7092703844694617</v>
      </c>
      <c r="AF17">
        <f t="shared" si="20"/>
        <v>6000</v>
      </c>
      <c r="AG17">
        <f t="shared" si="21"/>
        <v>1.4801409707546267</v>
      </c>
      <c r="AH17">
        <f t="shared" si="22"/>
        <v>6.7092703844694617</v>
      </c>
      <c r="AI17" cm="1">
        <f t="array" ref="AI17">_xlfn.LET(
    _xlpm.vals,   _xlfn.HSTACK(S17,V17,Y17,AB17,AE17,AH17),
    _xlpm.ints,   _xlfn.HSTACK(R17,U17,X17,AA17,AD17,AG17),
    _xlpm.slopes, _xlfn.HSTACK(Q17,T17,W17,Z17,AC17,AF17),
    _xlpm.limit,  -0.00001*_xlpm.slopes + 0.1086*_xlpm.slopes + 63.253,
    _xlpm.mask,   (_xlpm.vals&gt;=0) * (_xlpm.ints&lt;=_xlpm.limit),
    _xlpm.validVals, _xlfn._xlws.FILTER(_xlpm.vals, _xlpm.mask),
    _xlpm.minVal, MIN(_xlpm.validVals),
    IFERROR( _xlfn.XMATCH(_xlpm.minVal, _xlpm.vals), "" )
)</f>
        <v>1</v>
      </c>
      <c r="AJ17" cm="1">
        <f t="array" ref="AJ17">_xlfn.LET(
    _xlpm.vals, CHOOSE({1,2,3,4,5,6}, S17, V17, Y17, AB17, AE17, AH17),
    _xlpm.slopes, CHOOSE({1,2,3,4,5,6}, Q17, T17, W17, Z17, AC17, AF17),
    _xlpm.ints, CHOOSE({1,2,3,4,5,6}, R17, U17, X17, AA17, AD17, AG17),
    _xlpm.limit, -0.00001*_xlpm.slopes + 0.1086*_xlpm.slopes + 63.253,
    _xlpm.valid, (_xlpm.vals &gt;= 0) * (_xlpm.ints &lt;= _xlpm.limit),
    _xlpm.target, MIN(_xlfn._xlws.FILTER(_xlpm.vals, _xlpm.valid)),
    IFERROR(
        _xlfn.XLOOKUP(_xlpm.target, _xlpm.vals, _xlpm.vals),
        CHOOSE({1,2,3,4,5,6}, S$1, V$1, Y$1, AB$1, AE$1, AH$1)
    )
)</f>
        <v>0.37532721538074593</v>
      </c>
    </row>
    <row r="18" spans="1:36" x14ac:dyDescent="0.45">
      <c r="I18">
        <v>16</v>
      </c>
      <c r="J18">
        <v>0</v>
      </c>
      <c r="K18">
        <f t="shared" si="1"/>
        <v>0</v>
      </c>
      <c r="L18">
        <f t="shared" si="0"/>
        <v>0</v>
      </c>
      <c r="M18">
        <v>0.35</v>
      </c>
      <c r="N18">
        <f t="shared" si="2"/>
        <v>0.35</v>
      </c>
      <c r="O18">
        <f t="shared" si="3"/>
        <v>0</v>
      </c>
      <c r="P18">
        <f t="shared" si="4"/>
        <v>0</v>
      </c>
      <c r="Q18">
        <f t="shared" si="5"/>
        <v>1000</v>
      </c>
      <c r="R18">
        <f t="shared" si="6"/>
        <v>3.3422538049298023</v>
      </c>
      <c r="S18">
        <f t="shared" si="7"/>
        <v>0.33964579605567974</v>
      </c>
      <c r="T18">
        <f t="shared" si="8"/>
        <v>6000</v>
      </c>
      <c r="U18">
        <f t="shared" si="9"/>
        <v>0.55704230082163375</v>
      </c>
      <c r="V18">
        <f t="shared" si="10"/>
        <v>6.7034286247971728</v>
      </c>
      <c r="W18">
        <f t="shared" si="11"/>
        <v>6000</v>
      </c>
      <c r="X18">
        <f t="shared" si="12"/>
        <v>0.55704230082163375</v>
      </c>
      <c r="Y18">
        <f t="shared" si="13"/>
        <v>6.7034286247971728</v>
      </c>
      <c r="Z18">
        <f t="shared" si="14"/>
        <v>6000</v>
      </c>
      <c r="AA18">
        <f t="shared" si="15"/>
        <v>0.55704230082163375</v>
      </c>
      <c r="AB18">
        <f t="shared" si="16"/>
        <v>6.7034286247971728</v>
      </c>
      <c r="AC18">
        <f t="shared" si="17"/>
        <v>6000</v>
      </c>
      <c r="AD18">
        <f t="shared" si="18"/>
        <v>0.55704230082163375</v>
      </c>
      <c r="AE18">
        <f t="shared" si="19"/>
        <v>6.7034286247971728</v>
      </c>
      <c r="AF18">
        <f t="shared" si="20"/>
        <v>6000</v>
      </c>
      <c r="AG18">
        <f t="shared" si="21"/>
        <v>0.55704230082163375</v>
      </c>
      <c r="AH18">
        <f t="shared" si="22"/>
        <v>6.7034286247971728</v>
      </c>
      <c r="AI18" cm="1">
        <f t="array" ref="AI18">_xlfn.LET(
    _xlpm.vals,   _xlfn.HSTACK(S18,V18,Y18,AB18,AE18,AH18),
    _xlpm.ints,   _xlfn.HSTACK(R18,U18,X18,AA18,AD18,AG18),
    _xlpm.slopes, _xlfn.HSTACK(Q18,T18,W18,Z18,AC18,AF18),
    _xlpm.limit,  -0.00001*_xlpm.slopes + 0.1086*_xlpm.slopes + 63.253,
    _xlpm.mask,   (_xlpm.vals&gt;=0) * (_xlpm.ints&lt;=_xlpm.limit),
    _xlpm.validVals, _xlfn._xlws.FILTER(_xlpm.vals, _xlpm.mask),
    _xlpm.minVal, MIN(_xlpm.validVals),
    IFERROR( _xlfn.XMATCH(_xlpm.minVal, _xlpm.vals), "" )
)</f>
        <v>1</v>
      </c>
      <c r="AJ18" cm="1">
        <f t="array" ref="AJ18">_xlfn.LET(
    _xlpm.vals, CHOOSE({1,2,3,4,5,6}, S18, V18, Y18, AB18, AE18, AH18),
    _xlpm.slopes, CHOOSE({1,2,3,4,5,6}, Q18, T18, W18, Z18, AC18, AF18),
    _xlpm.ints, CHOOSE({1,2,3,4,5,6}, R18, U18, X18, AA18, AD18, AG18),
    _xlpm.limit, -0.00001*_xlpm.slopes + 0.1086*_xlpm.slopes + 63.253,
    _xlpm.valid, (_xlpm.vals &gt;= 0) * (_xlpm.ints &lt;= _xlpm.limit),
    _xlpm.target, MIN(_xlfn._xlws.FILTER(_xlpm.vals, _xlpm.valid)),
    IFERROR(
        _xlfn.XLOOKUP(_xlpm.target, _xlpm.vals, _xlpm.vals),
        CHOOSE({1,2,3,4,5,6}, S$1, V$1, Y$1, AB$1, AE$1, AH$1)
    )
)</f>
        <v>0.33964579605567974</v>
      </c>
    </row>
    <row r="19" spans="1:36" x14ac:dyDescent="0.45">
      <c r="I19">
        <v>17</v>
      </c>
      <c r="J19">
        <v>0</v>
      </c>
      <c r="K19">
        <f t="shared" si="1"/>
        <v>0</v>
      </c>
      <c r="L19">
        <f t="shared" si="0"/>
        <v>0</v>
      </c>
      <c r="M19">
        <v>0.94</v>
      </c>
      <c r="N19">
        <f t="shared" si="2"/>
        <v>0.94</v>
      </c>
      <c r="O19">
        <f t="shared" si="3"/>
        <v>0</v>
      </c>
      <c r="P19">
        <f t="shared" si="4"/>
        <v>0</v>
      </c>
      <c r="Q19">
        <f t="shared" si="5"/>
        <v>1000</v>
      </c>
      <c r="R19">
        <f t="shared" si="6"/>
        <v>8.9763387903828971</v>
      </c>
      <c r="S19">
        <f t="shared" si="7"/>
        <v>0.37597381066607521</v>
      </c>
      <c r="T19">
        <f t="shared" si="8"/>
        <v>6000</v>
      </c>
      <c r="U19">
        <f t="shared" si="9"/>
        <v>1.4960564650638162</v>
      </c>
      <c r="V19">
        <f t="shared" si="10"/>
        <v>6.7093735867418705</v>
      </c>
      <c r="W19">
        <f t="shared" si="11"/>
        <v>6000</v>
      </c>
      <c r="X19">
        <f t="shared" si="12"/>
        <v>1.4960564650638162</v>
      </c>
      <c r="Y19">
        <f t="shared" si="13"/>
        <v>6.7093735867418705</v>
      </c>
      <c r="Z19">
        <f t="shared" si="14"/>
        <v>6000</v>
      </c>
      <c r="AA19">
        <f t="shared" si="15"/>
        <v>1.4960564650638162</v>
      </c>
      <c r="AB19">
        <f t="shared" si="16"/>
        <v>6.7093735867418705</v>
      </c>
      <c r="AC19">
        <f t="shared" si="17"/>
        <v>6000</v>
      </c>
      <c r="AD19">
        <f t="shared" si="18"/>
        <v>1.4960564650638162</v>
      </c>
      <c r="AE19">
        <f t="shared" si="19"/>
        <v>6.7093735867418705</v>
      </c>
      <c r="AF19">
        <f t="shared" si="20"/>
        <v>6000</v>
      </c>
      <c r="AG19">
        <f t="shared" si="21"/>
        <v>1.4960564650638162</v>
      </c>
      <c r="AH19">
        <f t="shared" si="22"/>
        <v>6.7093735867418705</v>
      </c>
      <c r="AI19" cm="1">
        <f t="array" ref="AI19">_xlfn.LET(
    _xlpm.vals,   _xlfn.HSTACK(S19,V19,Y19,AB19,AE19,AH19),
    _xlpm.ints,   _xlfn.HSTACK(R19,U19,X19,AA19,AD19,AG19),
    _xlpm.slopes, _xlfn.HSTACK(Q19,T19,W19,Z19,AC19,AF19),
    _xlpm.limit,  -0.00001*_xlpm.slopes + 0.1086*_xlpm.slopes + 63.253,
    _xlpm.mask,   (_xlpm.vals&gt;=0) * (_xlpm.ints&lt;=_xlpm.limit),
    _xlpm.validVals, _xlfn._xlws.FILTER(_xlpm.vals, _xlpm.mask),
    _xlpm.minVal, MIN(_xlpm.validVals),
    IFERROR( _xlfn.XMATCH(_xlpm.minVal, _xlpm.vals), "" )
)</f>
        <v>1</v>
      </c>
      <c r="AJ19" cm="1">
        <f t="array" ref="AJ19">_xlfn.LET(
    _xlpm.vals, CHOOSE({1,2,3,4,5,6}, S19, V19, Y19, AB19, AE19, AH19),
    _xlpm.slopes, CHOOSE({1,2,3,4,5,6}, Q19, T19, W19, Z19, AC19, AF19),
    _xlpm.ints, CHOOSE({1,2,3,4,5,6}, R19, U19, X19, AA19, AD19, AG19),
    _xlpm.limit, -0.00001*_xlpm.slopes + 0.1086*_xlpm.slopes + 63.253,
    _xlpm.valid, (_xlpm.vals &gt;= 0) * (_xlpm.ints &lt;= _xlpm.limit),
    _xlpm.target, MIN(_xlfn._xlws.FILTER(_xlpm.vals, _xlpm.valid)),
    IFERROR(
        _xlfn.XLOOKUP(_xlpm.target, _xlpm.vals, _xlpm.vals),
        CHOOSE({1,2,3,4,5,6}, S$1, V$1, Y$1, AB$1, AE$1, AH$1)
    )
)</f>
        <v>0.37597381066607521</v>
      </c>
    </row>
    <row r="20" spans="1:36" x14ac:dyDescent="0.45">
      <c r="I20">
        <v>18</v>
      </c>
      <c r="J20">
        <v>0</v>
      </c>
      <c r="K20">
        <f t="shared" si="1"/>
        <v>0</v>
      </c>
      <c r="L20">
        <f t="shared" si="0"/>
        <v>0</v>
      </c>
      <c r="M20">
        <v>0.83</v>
      </c>
      <c r="N20">
        <f t="shared" si="2"/>
        <v>0.83</v>
      </c>
      <c r="O20">
        <f t="shared" si="3"/>
        <v>0</v>
      </c>
      <c r="P20">
        <f t="shared" si="4"/>
        <v>0</v>
      </c>
      <c r="Q20">
        <f t="shared" si="5"/>
        <v>1000</v>
      </c>
      <c r="R20">
        <f t="shared" si="6"/>
        <v>7.9259161659763882</v>
      </c>
      <c r="S20">
        <f t="shared" si="7"/>
        <v>0.36891820290256278</v>
      </c>
      <c r="T20">
        <f t="shared" si="8"/>
        <v>6000</v>
      </c>
      <c r="U20">
        <f t="shared" si="9"/>
        <v>1.3209860276627314</v>
      </c>
      <c r="V20">
        <f t="shared" si="10"/>
        <v>6.7082429823185636</v>
      </c>
      <c r="W20">
        <f t="shared" si="11"/>
        <v>6000</v>
      </c>
      <c r="X20">
        <f t="shared" si="12"/>
        <v>1.3209860276627314</v>
      </c>
      <c r="Y20">
        <f t="shared" si="13"/>
        <v>6.7082429823185636</v>
      </c>
      <c r="Z20">
        <f t="shared" si="14"/>
        <v>6000</v>
      </c>
      <c r="AA20">
        <f t="shared" si="15"/>
        <v>1.3209860276627314</v>
      </c>
      <c r="AB20">
        <f t="shared" si="16"/>
        <v>6.7082429823185636</v>
      </c>
      <c r="AC20">
        <f t="shared" si="17"/>
        <v>6000</v>
      </c>
      <c r="AD20">
        <f t="shared" si="18"/>
        <v>1.3209860276627314</v>
      </c>
      <c r="AE20">
        <f t="shared" si="19"/>
        <v>6.7082429823185636</v>
      </c>
      <c r="AF20">
        <f t="shared" si="20"/>
        <v>6000</v>
      </c>
      <c r="AG20">
        <f t="shared" si="21"/>
        <v>1.3209860276627314</v>
      </c>
      <c r="AH20">
        <f t="shared" si="22"/>
        <v>6.7082429823185636</v>
      </c>
      <c r="AI20" cm="1">
        <f t="array" ref="AI20">_xlfn.LET(
    _xlpm.vals,   _xlfn.HSTACK(S20,V20,Y20,AB20,AE20,AH20),
    _xlpm.ints,   _xlfn.HSTACK(R20,U20,X20,AA20,AD20,AG20),
    _xlpm.slopes, _xlfn.HSTACK(Q20,T20,W20,Z20,AC20,AF20),
    _xlpm.limit,  -0.00001*_xlpm.slopes + 0.1086*_xlpm.slopes + 63.253,
    _xlpm.mask,   (_xlpm.vals&gt;=0) * (_xlpm.ints&lt;=_xlpm.limit),
    _xlpm.validVals, _xlfn._xlws.FILTER(_xlpm.vals, _xlpm.mask),
    _xlpm.minVal, MIN(_xlpm.validVals),
    IFERROR( _xlfn.XMATCH(_xlpm.minVal, _xlpm.vals), "" )
)</f>
        <v>1</v>
      </c>
      <c r="AJ20" cm="1">
        <f t="array" ref="AJ20">_xlfn.LET(
    _xlpm.vals, CHOOSE({1,2,3,4,5,6}, S20, V20, Y20, AB20, AE20, AH20),
    _xlpm.slopes, CHOOSE({1,2,3,4,5,6}, Q20, T20, W20, Z20, AC20, AF20),
    _xlpm.ints, CHOOSE({1,2,3,4,5,6}, R20, U20, X20, AA20, AD20, AG20),
    _xlpm.limit, -0.00001*_xlpm.slopes + 0.1086*_xlpm.slopes + 63.253,
    _xlpm.valid, (_xlpm.vals &gt;= 0) * (_xlpm.ints &lt;= _xlpm.limit),
    _xlpm.target, MIN(_xlfn._xlws.FILTER(_xlpm.vals, _xlpm.valid)),
    IFERROR(
        _xlfn.XLOOKUP(_xlpm.target, _xlpm.vals, _xlpm.vals),
        CHOOSE({1,2,3,4,5,6}, S$1, V$1, Y$1, AB$1, AE$1, AH$1)
    )
)</f>
        <v>0.36891820290256278</v>
      </c>
    </row>
    <row r="21" spans="1:36" x14ac:dyDescent="0.45">
      <c r="I21">
        <v>19</v>
      </c>
      <c r="J21">
        <v>0.6</v>
      </c>
      <c r="K21">
        <f t="shared" si="1"/>
        <v>0.6</v>
      </c>
      <c r="L21">
        <f t="shared" si="0"/>
        <v>1.6666666666666666E-4</v>
      </c>
      <c r="M21">
        <v>0.75</v>
      </c>
      <c r="N21">
        <f t="shared" si="2"/>
        <v>0.75</v>
      </c>
      <c r="O21">
        <f t="shared" si="3"/>
        <v>7.797109672306946</v>
      </c>
      <c r="P21">
        <f t="shared" si="4"/>
        <v>24.950750951382229</v>
      </c>
      <c r="Q21">
        <f t="shared" si="5"/>
        <v>1000</v>
      </c>
      <c r="R21">
        <f t="shared" si="6"/>
        <v>7.1619724391352912</v>
      </c>
      <c r="S21">
        <f t="shared" si="7"/>
        <v>0.36386636162818831</v>
      </c>
      <c r="T21">
        <f t="shared" si="8"/>
        <v>6000</v>
      </c>
      <c r="U21">
        <f t="shared" si="9"/>
        <v>1.1936620731892151</v>
      </c>
      <c r="V21">
        <f t="shared" si="10"/>
        <v>6.7074271131842309</v>
      </c>
      <c r="W21">
        <f t="shared" si="11"/>
        <v>6000</v>
      </c>
      <c r="X21">
        <f t="shared" si="12"/>
        <v>1.1936620731892151</v>
      </c>
      <c r="Y21">
        <f t="shared" si="13"/>
        <v>6.7074271131842309</v>
      </c>
      <c r="Z21">
        <f t="shared" si="14"/>
        <v>6000</v>
      </c>
      <c r="AA21">
        <f t="shared" si="15"/>
        <v>1.1936620731892151</v>
      </c>
      <c r="AB21">
        <f t="shared" si="16"/>
        <v>6.7074271131842309</v>
      </c>
      <c r="AC21">
        <f t="shared" si="17"/>
        <v>6000</v>
      </c>
      <c r="AD21">
        <f t="shared" si="18"/>
        <v>1.1936620731892151</v>
      </c>
      <c r="AE21">
        <f t="shared" si="19"/>
        <v>6.7074271131842309</v>
      </c>
      <c r="AF21">
        <f t="shared" si="20"/>
        <v>6000</v>
      </c>
      <c r="AG21">
        <f t="shared" si="21"/>
        <v>1.1936620731892151</v>
      </c>
      <c r="AH21">
        <f t="shared" si="22"/>
        <v>6.7074271131842309</v>
      </c>
      <c r="AI21" cm="1">
        <f t="array" ref="AI21">_xlfn.LET(
    _xlpm.vals,   _xlfn.HSTACK(S21,V21,Y21,AB21,AE21,AH21),
    _xlpm.ints,   _xlfn.HSTACK(R21,U21,X21,AA21,AD21,AG21),
    _xlpm.slopes, _xlfn.HSTACK(Q21,T21,W21,Z21,AC21,AF21),
    _xlpm.limit,  -0.00001*_xlpm.slopes + 0.1086*_xlpm.slopes + 63.253,
    _xlpm.mask,   (_xlpm.vals&gt;=0) * (_xlpm.ints&lt;=_xlpm.limit),
    _xlpm.validVals, _xlfn._xlws.FILTER(_xlpm.vals, _xlpm.mask),
    _xlpm.minVal, MIN(_xlpm.validVals),
    IFERROR( _xlfn.XMATCH(_xlpm.minVal, _xlpm.vals), "" )
)</f>
        <v>1</v>
      </c>
      <c r="AJ21" cm="1">
        <f t="array" ref="AJ21">_xlfn.LET(
    _xlpm.vals, CHOOSE({1,2,3,4,5,6}, S21, V21, Y21, AB21, AE21, AH21),
    _xlpm.slopes, CHOOSE({1,2,3,4,5,6}, Q21, T21, W21, Z21, AC21, AF21),
    _xlpm.ints, CHOOSE({1,2,3,4,5,6}, R21, U21, X21, AA21, AD21, AG21),
    _xlpm.limit, -0.00001*_xlpm.slopes + 0.1086*_xlpm.slopes + 63.253,
    _xlpm.valid, (_xlpm.vals &gt;= 0) * (_xlpm.ints &lt;= _xlpm.limit),
    _xlpm.target, MIN(_xlfn._xlws.FILTER(_xlpm.vals, _xlpm.valid)),
    IFERROR(
        _xlfn.XLOOKUP(_xlpm.target, _xlpm.vals, _xlpm.vals),
        CHOOSE({1,2,3,4,5,6}, S$1, V$1, Y$1, AB$1, AE$1, AH$1)
    )
)</f>
        <v>0.36386636162818831</v>
      </c>
    </row>
    <row r="22" spans="1:36" x14ac:dyDescent="0.45">
      <c r="I22">
        <v>20</v>
      </c>
      <c r="J22">
        <v>2.6</v>
      </c>
      <c r="K22">
        <f t="shared" si="1"/>
        <v>2.6</v>
      </c>
      <c r="L22">
        <f t="shared" si="0"/>
        <v>7.222222222222223E-4</v>
      </c>
      <c r="M22">
        <v>6.43</v>
      </c>
      <c r="N22">
        <f t="shared" si="2"/>
        <v>6.43</v>
      </c>
      <c r="O22">
        <f t="shared" si="3"/>
        <v>33.78747524666344</v>
      </c>
      <c r="P22">
        <f t="shared" si="4"/>
        <v>108.11992078932302</v>
      </c>
      <c r="Q22">
        <f t="shared" si="5"/>
        <v>1000</v>
      </c>
      <c r="R22">
        <f t="shared" si="6"/>
        <v>61.401977044853226</v>
      </c>
      <c r="S22">
        <f t="shared" si="7"/>
        <v>0.83604748081666658</v>
      </c>
      <c r="T22">
        <f t="shared" si="8"/>
        <v>6000</v>
      </c>
      <c r="U22">
        <f t="shared" si="9"/>
        <v>10.23366284080887</v>
      </c>
      <c r="V22">
        <f t="shared" si="10"/>
        <v>6.7784780314540418</v>
      </c>
      <c r="W22">
        <f t="shared" si="11"/>
        <v>6000</v>
      </c>
      <c r="X22">
        <f t="shared" si="12"/>
        <v>10.23366284080887</v>
      </c>
      <c r="Y22">
        <f t="shared" si="13"/>
        <v>6.7784780314540418</v>
      </c>
      <c r="Z22">
        <f t="shared" si="14"/>
        <v>6000</v>
      </c>
      <c r="AA22">
        <f t="shared" si="15"/>
        <v>10.23366284080887</v>
      </c>
      <c r="AB22">
        <f t="shared" si="16"/>
        <v>6.7784780314540418</v>
      </c>
      <c r="AC22">
        <f t="shared" si="17"/>
        <v>6000</v>
      </c>
      <c r="AD22">
        <f t="shared" si="18"/>
        <v>10.23366284080887</v>
      </c>
      <c r="AE22">
        <f t="shared" si="19"/>
        <v>6.7784780314540418</v>
      </c>
      <c r="AF22">
        <f t="shared" si="20"/>
        <v>6000</v>
      </c>
      <c r="AG22">
        <f t="shared" si="21"/>
        <v>10.23366284080887</v>
      </c>
      <c r="AH22">
        <f t="shared" si="22"/>
        <v>6.7784780314540418</v>
      </c>
      <c r="AI22" cm="1">
        <f t="array" ref="AI22">_xlfn.LET(
    _xlpm.vals,   _xlfn.HSTACK(S22,V22,Y22,AB22,AE22,AH22),
    _xlpm.ints,   _xlfn.HSTACK(R22,U22,X22,AA22,AD22,AG22),
    _xlpm.slopes, _xlfn.HSTACK(Q22,T22,W22,Z22,AC22,AF22),
    _xlpm.limit,  -0.00001*_xlpm.slopes + 0.1086*_xlpm.slopes + 63.253,
    _xlpm.mask,   (_xlpm.vals&gt;=0) * (_xlpm.ints&lt;=_xlpm.limit),
    _xlpm.validVals, _xlfn._xlws.FILTER(_xlpm.vals, _xlpm.mask),
    _xlpm.minVal, MIN(_xlpm.validVals),
    IFERROR( _xlfn.XMATCH(_xlpm.minVal, _xlpm.vals), "" )
)</f>
        <v>1</v>
      </c>
      <c r="AJ22" cm="1">
        <f t="array" ref="AJ22">_xlfn.LET(
    _xlpm.vals, CHOOSE({1,2,3,4,5,6}, S22, V22, Y22, AB22, AE22, AH22),
    _xlpm.slopes, CHOOSE({1,2,3,4,5,6}, Q22, T22, W22, Z22, AC22, AF22),
    _xlpm.ints, CHOOSE({1,2,3,4,5,6}, R22, U22, X22, AA22, AD22, AG22),
    _xlpm.limit, -0.00001*_xlpm.slopes + 0.1086*_xlpm.slopes + 63.253,
    _xlpm.valid, (_xlpm.vals &gt;= 0) * (_xlpm.ints &lt;= _xlpm.limit),
    _xlpm.target, MIN(_xlfn._xlws.FILTER(_xlpm.vals, _xlpm.valid)),
    IFERROR(
        _xlfn.XLOOKUP(_xlpm.target, _xlpm.vals, _xlpm.vals),
        CHOOSE({1,2,3,4,5,6}, S$1, V$1, Y$1, AB$1, AE$1, AH$1)
    )
)</f>
        <v>0.83604748081666658</v>
      </c>
    </row>
    <row r="23" spans="1:36" x14ac:dyDescent="0.45">
      <c r="I23">
        <v>21</v>
      </c>
      <c r="J23">
        <v>5.4</v>
      </c>
      <c r="K23">
        <f t="shared" si="1"/>
        <v>5.4</v>
      </c>
      <c r="L23">
        <f t="shared" si="0"/>
        <v>1.5E-3</v>
      </c>
      <c r="M23">
        <v>5.87</v>
      </c>
      <c r="N23">
        <f t="shared" si="2"/>
        <v>5.87</v>
      </c>
      <c r="O23">
        <f t="shared" si="3"/>
        <v>70.17398705076252</v>
      </c>
      <c r="P23">
        <f t="shared" si="4"/>
        <v>224.55675856244008</v>
      </c>
      <c r="Q23">
        <f t="shared" si="5"/>
        <v>1028.4699542159756</v>
      </c>
      <c r="R23">
        <f t="shared" si="6"/>
        <v>54.50268209312636</v>
      </c>
      <c r="S23">
        <f t="shared" si="7"/>
        <v>0.78577980711674034</v>
      </c>
      <c r="T23">
        <f t="shared" si="8"/>
        <v>6000</v>
      </c>
      <c r="U23">
        <f t="shared" si="9"/>
        <v>9.3423951594942576</v>
      </c>
      <c r="V23">
        <f t="shared" si="10"/>
        <v>6.7703102446437162</v>
      </c>
      <c r="W23">
        <f t="shared" si="11"/>
        <v>6000</v>
      </c>
      <c r="X23">
        <f t="shared" si="12"/>
        <v>9.3423951594942576</v>
      </c>
      <c r="Y23">
        <f t="shared" si="13"/>
        <v>6.7703102446437162</v>
      </c>
      <c r="Z23">
        <f t="shared" si="14"/>
        <v>6000</v>
      </c>
      <c r="AA23">
        <f t="shared" si="15"/>
        <v>9.3423951594942576</v>
      </c>
      <c r="AB23">
        <f t="shared" si="16"/>
        <v>6.7703102446437162</v>
      </c>
      <c r="AC23">
        <f t="shared" si="17"/>
        <v>6000</v>
      </c>
      <c r="AD23">
        <f t="shared" si="18"/>
        <v>9.3423951594942576</v>
      </c>
      <c r="AE23">
        <f t="shared" si="19"/>
        <v>6.7703102446437162</v>
      </c>
      <c r="AF23">
        <f t="shared" si="20"/>
        <v>6000</v>
      </c>
      <c r="AG23">
        <f t="shared" si="21"/>
        <v>9.3423951594942576</v>
      </c>
      <c r="AH23">
        <f t="shared" si="22"/>
        <v>6.7703102446437162</v>
      </c>
      <c r="AI23" cm="1">
        <f t="array" ref="AI23">_xlfn.LET(
    _xlpm.vals,   _xlfn.HSTACK(S23,V23,Y23,AB23,AE23,AH23),
    _xlpm.ints,   _xlfn.HSTACK(R23,U23,X23,AA23,AD23,AG23),
    _xlpm.slopes, _xlfn.HSTACK(Q23,T23,W23,Z23,AC23,AF23),
    _xlpm.limit,  -0.00001*_xlpm.slopes + 0.1086*_xlpm.slopes + 63.253,
    _xlpm.mask,   (_xlpm.vals&gt;=0) * (_xlpm.ints&lt;=_xlpm.limit),
    _xlpm.validVals, _xlfn._xlws.FILTER(_xlpm.vals, _xlpm.mask),
    _xlpm.minVal, MIN(_xlpm.validVals),
    IFERROR( _xlfn.XMATCH(_xlpm.minVal, _xlpm.vals), "" )
)</f>
        <v>1</v>
      </c>
      <c r="AJ23" cm="1">
        <f t="array" ref="AJ23">_xlfn.LET(
    _xlpm.vals, CHOOSE({1,2,3,4,5,6}, S23, V23, Y23, AB23, AE23, AH23),
    _xlpm.slopes, CHOOSE({1,2,3,4,5,6}, Q23, T23, W23, Z23, AC23, AF23),
    _xlpm.ints, CHOOSE({1,2,3,4,5,6}, R23, U23, X23, AA23, AD23, AG23),
    _xlpm.limit, -0.00001*_xlpm.slopes + 0.1086*_xlpm.slopes + 63.253,
    _xlpm.valid, (_xlpm.vals &gt;= 0) * (_xlpm.ints &lt;= _xlpm.limit),
    _xlpm.target, MIN(_xlfn._xlws.FILTER(_xlpm.vals, _xlpm.valid)),
    IFERROR(
        _xlfn.XLOOKUP(_xlpm.target, _xlpm.vals, _xlpm.vals),
        CHOOSE({1,2,3,4,5,6}, S$1, V$1, Y$1, AB$1, AE$1, AH$1)
    )
)</f>
        <v>0.78577980711674034</v>
      </c>
    </row>
    <row r="24" spans="1:36" x14ac:dyDescent="0.45">
      <c r="I24">
        <v>22</v>
      </c>
      <c r="J24">
        <v>7.9</v>
      </c>
      <c r="K24">
        <f t="shared" si="1"/>
        <v>7.9</v>
      </c>
      <c r="L24">
        <f t="shared" si="0"/>
        <v>2.1944444444444446E-3</v>
      </c>
      <c r="M24">
        <v>12.18</v>
      </c>
      <c r="N24">
        <f t="shared" si="2"/>
        <v>12.18</v>
      </c>
      <c r="O24">
        <f t="shared" si="3"/>
        <v>102.66194401870814</v>
      </c>
      <c r="P24">
        <f t="shared" si="4"/>
        <v>328.51822085986606</v>
      </c>
      <c r="Q24">
        <f t="shared" si="5"/>
        <v>1504.6134515381866</v>
      </c>
      <c r="R24">
        <f t="shared" si="6"/>
        <v>77.302533944948706</v>
      </c>
      <c r="S24">
        <f t="shared" si="7"/>
        <v>1.3823604224526054</v>
      </c>
      <c r="T24">
        <f t="shared" si="8"/>
        <v>6000</v>
      </c>
      <c r="U24">
        <f t="shared" si="9"/>
        <v>19.385072068592851</v>
      </c>
      <c r="V24">
        <f t="shared" si="10"/>
        <v>6.8764762904364298</v>
      </c>
      <c r="W24">
        <f t="shared" si="11"/>
        <v>6000</v>
      </c>
      <c r="X24">
        <f t="shared" si="12"/>
        <v>19.385072068592851</v>
      </c>
      <c r="Y24">
        <f t="shared" si="13"/>
        <v>6.8764762904364298</v>
      </c>
      <c r="Z24">
        <f t="shared" si="14"/>
        <v>6000</v>
      </c>
      <c r="AA24">
        <f t="shared" si="15"/>
        <v>19.385072068592851</v>
      </c>
      <c r="AB24">
        <f t="shared" si="16"/>
        <v>6.8764762904364298</v>
      </c>
      <c r="AC24">
        <f t="shared" si="17"/>
        <v>6000</v>
      </c>
      <c r="AD24">
        <f t="shared" si="18"/>
        <v>19.385072068592851</v>
      </c>
      <c r="AE24">
        <f t="shared" si="19"/>
        <v>6.8764762904364298</v>
      </c>
      <c r="AF24">
        <f t="shared" si="20"/>
        <v>6000</v>
      </c>
      <c r="AG24">
        <f t="shared" si="21"/>
        <v>19.385072068592851</v>
      </c>
      <c r="AH24">
        <f t="shared" si="22"/>
        <v>6.8764762904364298</v>
      </c>
      <c r="AI24" cm="1">
        <f t="array" ref="AI24">_xlfn.LET(
    _xlpm.vals,   _xlfn.HSTACK(S24,V24,Y24,AB24,AE24,AH24),
    _xlpm.ints,   _xlfn.HSTACK(R24,U24,X24,AA24,AD24,AG24),
    _xlpm.slopes, _xlfn.HSTACK(Q24,T24,W24,Z24,AC24,AF24),
    _xlpm.limit,  -0.00001*_xlpm.slopes + 0.1086*_xlpm.slopes + 63.253,
    _xlpm.mask,   (_xlpm.vals&gt;=0) * (_xlpm.ints&lt;=_xlpm.limit),
    _xlpm.validVals, _xlfn._xlws.FILTER(_xlpm.vals, _xlpm.mask),
    _xlpm.minVal, MIN(_xlpm.validVals),
    IFERROR( _xlfn.XMATCH(_xlpm.minVal, _xlpm.vals), "" )
)</f>
        <v>1</v>
      </c>
      <c r="AJ24" cm="1">
        <f t="array" ref="AJ24">_xlfn.LET(
    _xlpm.vals, CHOOSE({1,2,3,4,5,6}, S24, V24, Y24, AB24, AE24, AH24),
    _xlpm.slopes, CHOOSE({1,2,3,4,5,6}, Q24, T24, W24, Z24, AC24, AF24),
    _xlpm.ints, CHOOSE({1,2,3,4,5,6}, R24, U24, X24, AA24, AD24, AG24),
    _xlpm.limit, -0.00001*_xlpm.slopes + 0.1086*_xlpm.slopes + 63.253,
    _xlpm.valid, (_xlpm.vals &gt;= 0) * (_xlpm.ints &lt;= _xlpm.limit),
    _xlpm.target, MIN(_xlfn._xlws.FILTER(_xlpm.vals, _xlpm.valid)),
    IFERROR(
        _xlfn.XLOOKUP(_xlpm.target, _xlpm.vals, _xlpm.vals),
        CHOOSE({1,2,3,4,5,6}, S$1, V$1, Y$1, AB$1, AE$1, AH$1)
    )
)</f>
        <v>1.3823604224526054</v>
      </c>
    </row>
    <row r="25" spans="1:36" x14ac:dyDescent="0.45">
      <c r="I25">
        <v>23</v>
      </c>
      <c r="J25">
        <v>10.9</v>
      </c>
      <c r="K25">
        <f t="shared" si="1"/>
        <v>10.9</v>
      </c>
      <c r="L25">
        <f t="shared" si="0"/>
        <v>3.0277777777777777E-3</v>
      </c>
      <c r="M25">
        <v>18.84</v>
      </c>
      <c r="N25">
        <f t="shared" si="2"/>
        <v>18.84</v>
      </c>
      <c r="O25">
        <f t="shared" si="3"/>
        <v>141.64749238024285</v>
      </c>
      <c r="P25">
        <f t="shared" si="4"/>
        <v>453.27197561677713</v>
      </c>
      <c r="Q25">
        <f t="shared" si="5"/>
        <v>2075.9856483248391</v>
      </c>
      <c r="R25">
        <f t="shared" si="6"/>
        <v>86.661845575016869</v>
      </c>
      <c r="S25">
        <f t="shared" si="7"/>
        <v>1.9708034412257236</v>
      </c>
      <c r="T25">
        <f t="shared" si="8"/>
        <v>1341.6850478256604</v>
      </c>
      <c r="U25">
        <f t="shared" si="9"/>
        <v>134.09163943701935</v>
      </c>
      <c r="V25">
        <f t="shared" si="10"/>
        <v>1.9012827354879831</v>
      </c>
      <c r="W25">
        <f t="shared" si="11"/>
        <v>6000</v>
      </c>
      <c r="X25">
        <f t="shared" si="12"/>
        <v>29.984791278513082</v>
      </c>
      <c r="Y25">
        <f t="shared" si="13"/>
        <v>7.0206745445107464</v>
      </c>
      <c r="Z25">
        <f t="shared" si="14"/>
        <v>6000</v>
      </c>
      <c r="AA25">
        <f t="shared" si="15"/>
        <v>29.984791278513082</v>
      </c>
      <c r="AB25">
        <f t="shared" si="16"/>
        <v>7.0206745445107464</v>
      </c>
      <c r="AC25">
        <f t="shared" si="17"/>
        <v>6000</v>
      </c>
      <c r="AD25">
        <f t="shared" si="18"/>
        <v>29.984791278513082</v>
      </c>
      <c r="AE25">
        <f t="shared" si="19"/>
        <v>7.0206745445107464</v>
      </c>
      <c r="AF25">
        <f t="shared" si="20"/>
        <v>6000</v>
      </c>
      <c r="AG25">
        <f t="shared" si="21"/>
        <v>29.984791278513082</v>
      </c>
      <c r="AH25">
        <f t="shared" si="22"/>
        <v>7.0206745445107464</v>
      </c>
      <c r="AI25" cm="1">
        <f t="array" ref="AI25">_xlfn.LET(
    _xlpm.vals,   _xlfn.HSTACK(S25,V25,Y25,AB25,AE25,AH25),
    _xlpm.ints,   _xlfn.HSTACK(R25,U25,X25,AA25,AD25,AG25),
    _xlpm.slopes, _xlfn.HSTACK(Q25,T25,W25,Z25,AC25,AF25),
    _xlpm.limit,  -0.00001*_xlpm.slopes + 0.1086*_xlpm.slopes + 63.253,
    _xlpm.mask,   (_xlpm.vals&gt;=0) * (_xlpm.ints&lt;=_xlpm.limit),
    _xlpm.validVals, _xlfn._xlws.FILTER(_xlpm.vals, _xlpm.mask),
    _xlpm.minVal, MIN(_xlpm.validVals),
    IFERROR( _xlfn.XMATCH(_xlpm.minVal, _xlpm.vals), "" )
)</f>
        <v>2</v>
      </c>
      <c r="AJ25" cm="1">
        <f t="array" ref="AJ25">_xlfn.LET(
    _xlpm.vals, CHOOSE({1,2,3,4,5,6}, S25, V25, Y25, AB25, AE25, AH25),
    _xlpm.slopes, CHOOSE({1,2,3,4,5,6}, Q25, T25, W25, Z25, AC25, AF25),
    _xlpm.ints, CHOOSE({1,2,3,4,5,6}, R25, U25, X25, AA25, AD25, AG25),
    _xlpm.limit, -0.00001*_xlpm.slopes + 0.1086*_xlpm.slopes + 63.253,
    _xlpm.valid, (_xlpm.vals &gt;= 0) * (_xlpm.ints &lt;= _xlpm.limit),
    _xlpm.target, MIN(_xlfn._xlws.FILTER(_xlpm.vals, _xlpm.valid)),
    IFERROR(
        _xlfn.XLOOKUP(_xlpm.target, _xlpm.vals, _xlpm.vals),
        CHOOSE({1,2,3,4,5,6}, S$1, V$1, Y$1, AB$1, AE$1, AH$1)
    )
)</f>
        <v>1.9012827354879831</v>
      </c>
    </row>
    <row r="26" spans="1:36" x14ac:dyDescent="0.45">
      <c r="I26">
        <v>24</v>
      </c>
      <c r="J26">
        <v>14.2</v>
      </c>
      <c r="K26">
        <f t="shared" si="1"/>
        <v>14.2</v>
      </c>
      <c r="L26">
        <f t="shared" si="0"/>
        <v>3.944444444444444E-3</v>
      </c>
      <c r="M26">
        <v>18.04</v>
      </c>
      <c r="N26">
        <f t="shared" si="2"/>
        <v>18.04</v>
      </c>
      <c r="O26">
        <f t="shared" si="3"/>
        <v>184.53159557793109</v>
      </c>
      <c r="P26">
        <f t="shared" si="4"/>
        <v>590.50110584937954</v>
      </c>
      <c r="Q26">
        <f t="shared" si="5"/>
        <v>2704.4950647901583</v>
      </c>
      <c r="R26">
        <f t="shared" si="6"/>
        <v>63.697402389615334</v>
      </c>
      <c r="S26">
        <f t="shared" si="7"/>
        <v>1.9696086200939054</v>
      </c>
      <c r="T26">
        <f t="shared" si="8"/>
        <v>1747.8832733141635</v>
      </c>
      <c r="U26">
        <f t="shared" si="9"/>
        <v>98.558818562310222</v>
      </c>
      <c r="V26">
        <f t="shared" si="10"/>
        <v>1.9023457728613891</v>
      </c>
      <c r="W26">
        <f t="shared" si="11"/>
        <v>1127.8571121723148</v>
      </c>
      <c r="X26">
        <f t="shared" si="12"/>
        <v>152.74036803373733</v>
      </c>
      <c r="Y26">
        <f t="shared" si="13"/>
        <v>1.6946793202105448</v>
      </c>
      <c r="Z26">
        <f t="shared" si="14"/>
        <v>6000</v>
      </c>
      <c r="AA26">
        <f t="shared" si="15"/>
        <v>28.71155173377792</v>
      </c>
      <c r="AB26">
        <f t="shared" si="16"/>
        <v>7.0016889451657676</v>
      </c>
      <c r="AC26">
        <f t="shared" si="17"/>
        <v>6000</v>
      </c>
      <c r="AD26">
        <f t="shared" si="18"/>
        <v>28.71155173377792</v>
      </c>
      <c r="AE26">
        <f t="shared" si="19"/>
        <v>7.0016889451657676</v>
      </c>
      <c r="AF26">
        <f t="shared" si="20"/>
        <v>6000</v>
      </c>
      <c r="AG26">
        <f t="shared" si="21"/>
        <v>28.71155173377792</v>
      </c>
      <c r="AH26">
        <f t="shared" si="22"/>
        <v>7.0016889451657676</v>
      </c>
      <c r="AI26" cm="1">
        <f t="array" ref="AI26">_xlfn.LET(
    _xlpm.vals,   _xlfn.HSTACK(S26,V26,Y26,AB26,AE26,AH26),
    _xlpm.ints,   _xlfn.HSTACK(R26,U26,X26,AA26,AD26,AG26),
    _xlpm.slopes, _xlfn.HSTACK(Q26,T26,W26,Z26,AC26,AF26),
    _xlpm.limit,  -0.00001*_xlpm.slopes + 0.1086*_xlpm.slopes + 63.253,
    _xlpm.mask,   (_xlpm.vals&gt;=0) * (_xlpm.ints&lt;=_xlpm.limit),
    _xlpm.validVals, _xlfn._xlws.FILTER(_xlpm.vals, _xlpm.mask),
    _xlpm.minVal, MIN(_xlpm.validVals),
    IFERROR( _xlfn.XMATCH(_xlpm.minVal, _xlpm.vals), "" )
)</f>
        <v>3</v>
      </c>
      <c r="AJ26" cm="1">
        <f t="array" ref="AJ26">_xlfn.LET(
    _xlpm.vals, CHOOSE({1,2,3,4,5,6}, S26, V26, Y26, AB26, AE26, AH26),
    _xlpm.slopes, CHOOSE({1,2,3,4,5,6}, Q26, T26, W26, Z26, AC26, AF26),
    _xlpm.ints, CHOOSE({1,2,3,4,5,6}, R26, U26, X26, AA26, AD26, AG26),
    _xlpm.limit, -0.00001*_xlpm.slopes + 0.1086*_xlpm.slopes + 63.253,
    _xlpm.valid, (_xlpm.vals &gt;= 0) * (_xlpm.ints &lt;= _xlpm.limit),
    _xlpm.target, MIN(_xlfn._xlws.FILTER(_xlpm.vals, _xlpm.valid)),
    IFERROR(
        _xlfn.XLOOKUP(_xlpm.target, _xlpm.vals, _xlpm.vals),
        CHOOSE({1,2,3,4,5,6}, S$1, V$1, Y$1, AB$1, AE$1, AH$1)
    )
)</f>
        <v>1.6946793202105448</v>
      </c>
    </row>
    <row r="27" spans="1:36" x14ac:dyDescent="0.45">
      <c r="I27">
        <v>25</v>
      </c>
      <c r="J27">
        <v>16.100000000000001</v>
      </c>
      <c r="K27">
        <f t="shared" si="1"/>
        <v>16.100000000000001</v>
      </c>
      <c r="L27">
        <f t="shared" si="0"/>
        <v>4.4722222222222229E-3</v>
      </c>
      <c r="M27">
        <v>15.21</v>
      </c>
      <c r="N27">
        <f t="shared" si="2"/>
        <v>15.21</v>
      </c>
      <c r="O27">
        <f t="shared" si="3"/>
        <v>209.22244287356975</v>
      </c>
      <c r="P27">
        <f t="shared" si="4"/>
        <v>669.51181719542319</v>
      </c>
      <c r="Q27">
        <f t="shared" si="5"/>
        <v>3066.3641227550384</v>
      </c>
      <c r="R27">
        <f t="shared" si="6"/>
        <v>47.367108161690041</v>
      </c>
      <c r="S27">
        <f t="shared" si="7"/>
        <v>1.8900872747114206</v>
      </c>
      <c r="T27">
        <f t="shared" si="8"/>
        <v>1981.7549788984527</v>
      </c>
      <c r="U27">
        <f t="shared" si="9"/>
        <v>73.290998439371748</v>
      </c>
      <c r="V27">
        <f t="shared" si="10"/>
        <v>1.6545298111761009</v>
      </c>
      <c r="W27">
        <f t="shared" si="11"/>
        <v>1278.7675708432582</v>
      </c>
      <c r="X27">
        <f t="shared" si="12"/>
        <v>113.58186145578031</v>
      </c>
      <c r="Y27">
        <f t="shared" si="13"/>
        <v>1.6295177877262206</v>
      </c>
      <c r="Z27">
        <f t="shared" si="14"/>
        <v>6000</v>
      </c>
      <c r="AA27">
        <f t="shared" si="15"/>
        <v>24.207466844277281</v>
      </c>
      <c r="AB27">
        <f t="shared" si="16"/>
        <v>6.9381311682675832</v>
      </c>
      <c r="AC27">
        <f t="shared" si="17"/>
        <v>6000</v>
      </c>
      <c r="AD27">
        <f t="shared" si="18"/>
        <v>24.207466844277281</v>
      </c>
      <c r="AE27">
        <f t="shared" si="19"/>
        <v>6.9381311682675832</v>
      </c>
      <c r="AF27">
        <f t="shared" si="20"/>
        <v>6000</v>
      </c>
      <c r="AG27">
        <f t="shared" si="21"/>
        <v>24.207466844277281</v>
      </c>
      <c r="AH27">
        <f t="shared" si="22"/>
        <v>6.9381311682675832</v>
      </c>
      <c r="AI27" cm="1">
        <f t="array" ref="AI27">_xlfn.LET(
    _xlpm.vals,   _xlfn.HSTACK(S27,V27,Y27,AB27,AE27,AH27),
    _xlpm.ints,   _xlfn.HSTACK(R27,U27,X27,AA27,AD27,AG27),
    _xlpm.slopes, _xlfn.HSTACK(Q27,T27,W27,Z27,AC27,AF27),
    _xlpm.limit,  -0.00001*_xlpm.slopes + 0.1086*_xlpm.slopes + 63.253,
    _xlpm.mask,   (_xlpm.vals&gt;=0) * (_xlpm.ints&lt;=_xlpm.limit),
    _xlpm.validVals, _xlfn._xlws.FILTER(_xlpm.vals, _xlpm.mask),
    _xlpm.minVal, MIN(_xlpm.validVals),
    IFERROR( _xlfn.XMATCH(_xlpm.minVal, _xlpm.vals), "" )
)</f>
        <v>3</v>
      </c>
      <c r="AJ27" cm="1">
        <f t="array" ref="AJ27">_xlfn.LET(
    _xlpm.vals, CHOOSE({1,2,3,4,5,6}, S27, V27, Y27, AB27, AE27, AH27),
    _xlpm.slopes, CHOOSE({1,2,3,4,5,6}, Q27, T27, W27, Z27, AC27, AF27),
    _xlpm.ints, CHOOSE({1,2,3,4,5,6}, R27, U27, X27, AA27, AD27, AG27),
    _xlpm.limit, -0.00001*_xlpm.slopes + 0.1086*_xlpm.slopes + 63.253,
    _xlpm.valid, (_xlpm.vals &gt;= 0) * (_xlpm.ints &lt;= _xlpm.limit),
    _xlpm.target, MIN(_xlfn._xlws.FILTER(_xlpm.vals, _xlpm.valid)),
    IFERROR(
        _xlfn.XLOOKUP(_xlpm.target, _xlpm.vals, _xlpm.vals),
        CHOOSE({1,2,3,4,5,6}, S$1, V$1, Y$1, AB$1, AE$1, AH$1)
    )
)</f>
        <v>1.6295177877262206</v>
      </c>
    </row>
    <row r="28" spans="1:36" x14ac:dyDescent="0.45">
      <c r="I28">
        <v>26</v>
      </c>
      <c r="J28">
        <v>17.2</v>
      </c>
      <c r="K28">
        <f t="shared" si="1"/>
        <v>17.2</v>
      </c>
      <c r="L28">
        <f t="shared" si="0"/>
        <v>4.7777777777777775E-3</v>
      </c>
      <c r="M28">
        <v>9.6199999999999992</v>
      </c>
      <c r="N28">
        <f t="shared" si="2"/>
        <v>9.6199999999999992</v>
      </c>
      <c r="O28">
        <f t="shared" si="3"/>
        <v>223.51714393946583</v>
      </c>
      <c r="P28">
        <f t="shared" si="4"/>
        <v>715.25486060629066</v>
      </c>
      <c r="Q28">
        <f t="shared" si="5"/>
        <v>3275.8672615768114</v>
      </c>
      <c r="R28">
        <f t="shared" si="6"/>
        <v>28.042721458873736</v>
      </c>
      <c r="S28">
        <f t="shared" si="7"/>
        <v>1.6616762580743287</v>
      </c>
      <c r="T28">
        <f t="shared" si="8"/>
        <v>2117.1543873946202</v>
      </c>
      <c r="U28">
        <f t="shared" si="9"/>
        <v>43.390427122176256</v>
      </c>
      <c r="V28">
        <f t="shared" si="10"/>
        <v>1.2013226190999471</v>
      </c>
      <c r="W28">
        <f t="shared" si="11"/>
        <v>1366.1367837580151</v>
      </c>
      <c r="X28">
        <f t="shared" si="12"/>
        <v>67.243803288817659</v>
      </c>
      <c r="Y28">
        <f t="shared" si="13"/>
        <v>1.1473495362855917</v>
      </c>
      <c r="Z28">
        <f t="shared" si="14"/>
        <v>1029.9669992730585</v>
      </c>
      <c r="AA28">
        <f t="shared" si="15"/>
        <v>89.191433528917855</v>
      </c>
      <c r="AB28">
        <f t="shared" si="16"/>
        <v>1.1310081548221946</v>
      </c>
      <c r="AC28">
        <f t="shared" si="17"/>
        <v>6000</v>
      </c>
      <c r="AD28">
        <f t="shared" si="18"/>
        <v>15.310705525440332</v>
      </c>
      <c r="AE28">
        <f t="shared" si="19"/>
        <v>6.8297077595580946</v>
      </c>
      <c r="AF28">
        <f t="shared" si="20"/>
        <v>6000</v>
      </c>
      <c r="AG28">
        <f t="shared" si="21"/>
        <v>15.310705525440332</v>
      </c>
      <c r="AH28">
        <f t="shared" si="22"/>
        <v>6.8297077595580946</v>
      </c>
      <c r="AI28" cm="1">
        <f t="array" ref="AI28">_xlfn.LET(
    _xlpm.vals,   _xlfn.HSTACK(S28,V28,Y28,AB28,AE28,AH28),
    _xlpm.ints,   _xlfn.HSTACK(R28,U28,X28,AA28,AD28,AG28),
    _xlpm.slopes, _xlfn.HSTACK(Q28,T28,W28,Z28,AC28,AF28),
    _xlpm.limit,  -0.00001*_xlpm.slopes + 0.1086*_xlpm.slopes + 63.253,
    _xlpm.mask,   (_xlpm.vals&gt;=0) * (_xlpm.ints&lt;=_xlpm.limit),
    _xlpm.validVals, _xlfn._xlws.FILTER(_xlpm.vals, _xlpm.mask),
    _xlpm.minVal, MIN(_xlpm.validVals),
    IFERROR( _xlfn.XMATCH(_xlpm.minVal, _xlpm.vals), "" )
)</f>
        <v>4</v>
      </c>
      <c r="AJ28" cm="1">
        <f t="array" ref="AJ28">_xlfn.LET(
    _xlpm.vals, CHOOSE({1,2,3,4,5,6}, S28, V28, Y28, AB28, AE28, AH28),
    _xlpm.slopes, CHOOSE({1,2,3,4,5,6}, Q28, T28, W28, Z28, AC28, AF28),
    _xlpm.ints, CHOOSE({1,2,3,4,5,6}, R28, U28, X28, AA28, AD28, AG28),
    _xlpm.limit, -0.00001*_xlpm.slopes + 0.1086*_xlpm.slopes + 63.253,
    _xlpm.valid, (_xlpm.vals &gt;= 0) * (_xlpm.ints &lt;= _xlpm.limit),
    _xlpm.target, MIN(_xlfn._xlws.FILTER(_xlpm.vals, _xlpm.valid)),
    IFERROR(
        _xlfn.XLOOKUP(_xlpm.target, _xlpm.vals, _xlpm.vals),
        CHOOSE({1,2,3,4,5,6}, S$1, V$1, Y$1, AB$1, AE$1, AH$1)
    )
)</f>
        <v>1.1310081548221946</v>
      </c>
    </row>
    <row r="29" spans="1:36" x14ac:dyDescent="0.45">
      <c r="I29">
        <v>27</v>
      </c>
      <c r="J29">
        <v>18.3</v>
      </c>
      <c r="K29">
        <f t="shared" si="1"/>
        <v>18.3</v>
      </c>
      <c r="L29">
        <f t="shared" si="0"/>
        <v>5.0833333333333338E-3</v>
      </c>
      <c r="M29">
        <v>12.22</v>
      </c>
      <c r="N29">
        <f t="shared" si="2"/>
        <v>12.22</v>
      </c>
      <c r="O29">
        <f t="shared" si="3"/>
        <v>237.81184500536193</v>
      </c>
      <c r="P29">
        <f t="shared" si="4"/>
        <v>760.99790401715825</v>
      </c>
      <c r="Q29">
        <f t="shared" si="5"/>
        <v>3485.3704003985849</v>
      </c>
      <c r="R29">
        <f t="shared" si="6"/>
        <v>33.480632147915408</v>
      </c>
      <c r="S29">
        <f t="shared" si="7"/>
        <v>1.9662673697331297</v>
      </c>
      <c r="T29">
        <f t="shared" si="8"/>
        <v>2252.5537958907885</v>
      </c>
      <c r="U29">
        <f t="shared" si="9"/>
        <v>51.80449163427452</v>
      </c>
      <c r="V29">
        <f t="shared" si="10"/>
        <v>1.4274535449333736</v>
      </c>
      <c r="W29">
        <f t="shared" si="11"/>
        <v>1453.5059966727722</v>
      </c>
      <c r="X29">
        <f t="shared" si="12"/>
        <v>80.283400647880939</v>
      </c>
      <c r="Y29">
        <f t="shared" si="13"/>
        <v>1.3857978317006832</v>
      </c>
      <c r="Z29">
        <f t="shared" si="14"/>
        <v>1095.8369817847079</v>
      </c>
      <c r="AA29">
        <f t="shared" si="15"/>
        <v>106.48701058156429</v>
      </c>
      <c r="AB29">
        <f t="shared" si="16"/>
        <v>1.3574855423896151</v>
      </c>
      <c r="AC29">
        <f t="shared" si="17"/>
        <v>6000</v>
      </c>
      <c r="AD29">
        <f t="shared" si="18"/>
        <v>19.44873404582961</v>
      </c>
      <c r="AE29">
        <f t="shared" si="19"/>
        <v>6.8772461672655245</v>
      </c>
      <c r="AF29">
        <f t="shared" si="20"/>
        <v>6000</v>
      </c>
      <c r="AG29">
        <f t="shared" si="21"/>
        <v>19.44873404582961</v>
      </c>
      <c r="AH29">
        <f t="shared" si="22"/>
        <v>6.8772461672655245</v>
      </c>
      <c r="AI29" cm="1">
        <f t="array" ref="AI29">_xlfn.LET(
    _xlpm.vals,   _xlfn.HSTACK(S29,V29,Y29,AB29,AE29,AH29),
    _xlpm.ints,   _xlfn.HSTACK(R29,U29,X29,AA29,AD29,AG29),
    _xlpm.slopes, _xlfn.HSTACK(Q29,T29,W29,Z29,AC29,AF29),
    _xlpm.limit,  -0.00001*_xlpm.slopes + 0.1086*_xlpm.slopes + 63.253,
    _xlpm.mask,   (_xlpm.vals&gt;=0) * (_xlpm.ints&lt;=_xlpm.limit),
    _xlpm.validVals, _xlfn._xlws.FILTER(_xlpm.vals, _xlpm.mask),
    _xlpm.minVal, MIN(_xlpm.validVals),
    IFERROR( _xlfn.XMATCH(_xlpm.minVal, _xlpm.vals), "" )
)</f>
        <v>4</v>
      </c>
      <c r="AJ29" cm="1">
        <f t="array" ref="AJ29">_xlfn.LET(
    _xlpm.vals, CHOOSE({1,2,3,4,5,6}, S29, V29, Y29, AB29, AE29, AH29),
    _xlpm.slopes, CHOOSE({1,2,3,4,5,6}, Q29, T29, W29, Z29, AC29, AF29),
    _xlpm.ints, CHOOSE({1,2,3,4,5,6}, R29, U29, X29, AA29, AD29, AG29),
    _xlpm.limit, -0.00001*_xlpm.slopes + 0.1086*_xlpm.slopes + 63.253,
    _xlpm.valid, (_xlpm.vals &gt;= 0) * (_xlpm.ints &lt;= _xlpm.limit),
    _xlpm.target, MIN(_xlfn._xlws.FILTER(_xlpm.vals, _xlpm.valid)),
    IFERROR(
        _xlfn.XLOOKUP(_xlpm.target, _xlpm.vals, _xlpm.vals),
        CHOOSE({1,2,3,4,5,6}, S$1, V$1, Y$1, AB$1, AE$1, AH$1)
    )
)</f>
        <v>1.3574855423896151</v>
      </c>
    </row>
    <row r="30" spans="1:36" x14ac:dyDescent="0.45">
      <c r="I30">
        <v>28</v>
      </c>
      <c r="J30">
        <v>20.6</v>
      </c>
      <c r="K30">
        <f t="shared" si="1"/>
        <v>20.6</v>
      </c>
      <c r="L30">
        <f t="shared" si="0"/>
        <v>5.7222222222222223E-3</v>
      </c>
      <c r="M30">
        <v>20.28</v>
      </c>
      <c r="N30">
        <f t="shared" si="2"/>
        <v>20.28</v>
      </c>
      <c r="O30">
        <f t="shared" si="3"/>
        <v>267.7007654158719</v>
      </c>
      <c r="P30">
        <f t="shared" si="4"/>
        <v>856.6424493307901</v>
      </c>
      <c r="Q30">
        <f t="shared" si="5"/>
        <v>3923.4224179350185</v>
      </c>
      <c r="R30">
        <f t="shared" si="6"/>
        <v>49.359899119948835</v>
      </c>
      <c r="S30">
        <f t="shared" si="7"/>
        <v>2.8199037110509231</v>
      </c>
      <c r="T30">
        <f t="shared" si="8"/>
        <v>2535.6616500191385</v>
      </c>
      <c r="U30">
        <f t="shared" si="9"/>
        <v>76.374438503164086</v>
      </c>
      <c r="V30">
        <f t="shared" si="10"/>
        <v>2.1182928074599632</v>
      </c>
      <c r="W30">
        <f t="shared" si="11"/>
        <v>1636.1870782218091</v>
      </c>
      <c r="X30">
        <f t="shared" si="12"/>
        <v>118.36038637139563</v>
      </c>
      <c r="Y30">
        <f t="shared" si="13"/>
        <v>2.0831775475403633</v>
      </c>
      <c r="Z30">
        <f t="shared" si="14"/>
        <v>1233.5651270363378</v>
      </c>
      <c r="AA30">
        <f t="shared" si="15"/>
        <v>156.99190136761504</v>
      </c>
      <c r="AB30">
        <f t="shared" si="16"/>
        <v>1.8824992486678152</v>
      </c>
      <c r="AC30">
        <f t="shared" si="17"/>
        <v>6000</v>
      </c>
      <c r="AD30">
        <f t="shared" si="18"/>
        <v>32.276622459036375</v>
      </c>
      <c r="AE30">
        <f t="shared" si="19"/>
        <v>7.0559572498021259</v>
      </c>
      <c r="AF30">
        <f t="shared" si="20"/>
        <v>6000</v>
      </c>
      <c r="AG30">
        <f t="shared" si="21"/>
        <v>32.276622459036375</v>
      </c>
      <c r="AH30">
        <f t="shared" si="22"/>
        <v>7.0559572498021259</v>
      </c>
      <c r="AI30" cm="1">
        <f t="array" ref="AI30">_xlfn.LET(
    _xlpm.vals,   _xlfn.HSTACK(S30,V30,Y30,AB30,AE30,AH30),
    _xlpm.ints,   _xlfn.HSTACK(R30,U30,X30,AA30,AD30,AG30),
    _xlpm.slopes, _xlfn.HSTACK(Q30,T30,W30,Z30,AC30,AF30),
    _xlpm.limit,  -0.00001*_xlpm.slopes + 0.1086*_xlpm.slopes + 63.253,
    _xlpm.mask,   (_xlpm.vals&gt;=0) * (_xlpm.ints&lt;=_xlpm.limit),
    _xlpm.validVals, _xlfn._xlws.FILTER(_xlpm.vals, _xlpm.mask),
    _xlpm.minVal, MIN(_xlpm.validVals),
    IFERROR( _xlfn.XMATCH(_xlpm.minVal, _xlpm.vals), "" )
)</f>
        <v>4</v>
      </c>
      <c r="AJ30" cm="1">
        <f t="array" ref="AJ30">_xlfn.LET(
    _xlpm.vals, CHOOSE({1,2,3,4,5,6}, S30, V30, Y30, AB30, AE30, AH30),
    _xlpm.slopes, CHOOSE({1,2,3,4,5,6}, Q30, T30, W30, Z30, AC30, AF30),
    _xlpm.ints, CHOOSE({1,2,3,4,5,6}, R30, U30, X30, AA30, AD30, AG30),
    _xlpm.limit, -0.00001*_xlpm.slopes + 0.1086*_xlpm.slopes + 63.253,
    _xlpm.valid, (_xlpm.vals &gt;= 0) * (_xlpm.ints &lt;= _xlpm.limit),
    _xlpm.target, MIN(_xlfn._xlws.FILTER(_xlpm.vals, _xlpm.valid)),
    IFERROR(
        _xlfn.XLOOKUP(_xlpm.target, _xlpm.vals, _xlpm.vals),
        CHOOSE({1,2,3,4,5,6}, S$1, V$1, Y$1, AB$1, AE$1, AH$1)
    )
)</f>
        <v>1.8824992486678152</v>
      </c>
    </row>
    <row r="31" spans="1:36" x14ac:dyDescent="0.45">
      <c r="I31">
        <v>29</v>
      </c>
      <c r="J31">
        <v>21.5</v>
      </c>
      <c r="K31">
        <f t="shared" si="1"/>
        <v>21.5</v>
      </c>
      <c r="L31">
        <f t="shared" si="0"/>
        <v>5.9722222222222225E-3</v>
      </c>
      <c r="M31">
        <v>9.83</v>
      </c>
      <c r="N31">
        <f t="shared" si="2"/>
        <v>9.83</v>
      </c>
      <c r="O31">
        <f t="shared" si="3"/>
        <v>279.39642992433227</v>
      </c>
      <c r="P31">
        <f t="shared" si="4"/>
        <v>894.0685757578633</v>
      </c>
      <c r="Q31">
        <f t="shared" si="5"/>
        <v>4094.8340769710139</v>
      </c>
      <c r="R31">
        <f t="shared" si="6"/>
        <v>22.923904527295537</v>
      </c>
      <c r="S31">
        <f t="shared" si="7"/>
        <v>2.4763069761400893</v>
      </c>
      <c r="T31">
        <f t="shared" si="8"/>
        <v>2646.4429842432755</v>
      </c>
      <c r="U31">
        <f t="shared" si="9"/>
        <v>35.470095518585659</v>
      </c>
      <c r="V31">
        <f t="shared" si="10"/>
        <v>1.349526518164939</v>
      </c>
      <c r="W31">
        <f t="shared" si="11"/>
        <v>1707.6709796975188</v>
      </c>
      <c r="X31">
        <f t="shared" si="12"/>
        <v>54.969362688488779</v>
      </c>
      <c r="Y31">
        <f t="shared" si="13"/>
        <v>1.1768625260662919</v>
      </c>
      <c r="Z31">
        <f t="shared" si="14"/>
        <v>1287.4587490913232</v>
      </c>
      <c r="AA31">
        <f t="shared" si="15"/>
        <v>72.910751899314974</v>
      </c>
      <c r="AB31">
        <f t="shared" si="16"/>
        <v>1.1650559424168583</v>
      </c>
      <c r="AC31">
        <f t="shared" si="17"/>
        <v>6000</v>
      </c>
      <c r="AD31">
        <f t="shared" si="18"/>
        <v>15.644930905933313</v>
      </c>
      <c r="AE31">
        <f t="shared" si="19"/>
        <v>6.8333569619649053</v>
      </c>
      <c r="AF31">
        <f t="shared" si="20"/>
        <v>6000</v>
      </c>
      <c r="AG31">
        <f t="shared" si="21"/>
        <v>15.644930905933313</v>
      </c>
      <c r="AH31">
        <f t="shared" si="22"/>
        <v>6.8333569619649053</v>
      </c>
      <c r="AI31" cm="1">
        <f t="array" ref="AI31">_xlfn.LET(
    _xlpm.vals,   _xlfn.HSTACK(S31,V31,Y31,AB31,AE31,AH31),
    _xlpm.ints,   _xlfn.HSTACK(R31,U31,X31,AA31,AD31,AG31),
    _xlpm.slopes, _xlfn.HSTACK(Q31,T31,W31,Z31,AC31,AF31),
    _xlpm.limit,  -0.00001*_xlpm.slopes + 0.1086*_xlpm.slopes + 63.253,
    _xlpm.mask,   (_xlpm.vals&gt;=0) * (_xlpm.ints&lt;=_xlpm.limit),
    _xlpm.validVals, _xlfn._xlws.FILTER(_xlpm.vals, _xlpm.mask),
    _xlpm.minVal, MIN(_xlpm.validVals),
    IFERROR( _xlfn.XMATCH(_xlpm.minVal, _xlpm.vals), "" )
)</f>
        <v>4</v>
      </c>
      <c r="AJ31" cm="1">
        <f t="array" ref="AJ31">_xlfn.LET(
    _xlpm.vals, CHOOSE({1,2,3,4,5,6}, S31, V31, Y31, AB31, AE31, AH31),
    _xlpm.slopes, CHOOSE({1,2,3,4,5,6}, Q31, T31, W31, Z31, AC31, AF31),
    _xlpm.ints, CHOOSE({1,2,3,4,5,6}, R31, U31, X31, AA31, AD31, AG31),
    _xlpm.limit, -0.00001*_xlpm.slopes + 0.1086*_xlpm.slopes + 63.253,
    _xlpm.valid, (_xlpm.vals &gt;= 0) * (_xlpm.ints &lt;= _xlpm.limit),
    _xlpm.target, MIN(_xlfn._xlws.FILTER(_xlpm.vals, _xlpm.valid)),
    IFERROR(
        _xlfn.XLOOKUP(_xlpm.target, _xlpm.vals, _xlpm.vals),
        CHOOSE({1,2,3,4,5,6}, S$1, V$1, Y$1, AB$1, AE$1, AH$1)
    )
)</f>
        <v>1.1650559424168583</v>
      </c>
    </row>
    <row r="32" spans="1:36" x14ac:dyDescent="0.45">
      <c r="I32">
        <v>30</v>
      </c>
      <c r="J32">
        <v>21.9</v>
      </c>
      <c r="K32">
        <f t="shared" si="1"/>
        <v>21.9</v>
      </c>
      <c r="L32">
        <f t="shared" si="0"/>
        <v>6.083333333333333E-3</v>
      </c>
      <c r="M32">
        <v>4.16</v>
      </c>
      <c r="N32">
        <f t="shared" si="2"/>
        <v>4.16</v>
      </c>
      <c r="O32">
        <f t="shared" si="3"/>
        <v>284.59450303920352</v>
      </c>
      <c r="P32">
        <f t="shared" si="4"/>
        <v>910.70240972545128</v>
      </c>
      <c r="Q32">
        <f t="shared" si="5"/>
        <v>4171.0170365425665</v>
      </c>
      <c r="R32">
        <f t="shared" si="6"/>
        <v>9.5240737325460376</v>
      </c>
      <c r="S32">
        <f t="shared" si="7"/>
        <v>2.3492912978196783</v>
      </c>
      <c r="T32">
        <f t="shared" si="8"/>
        <v>2695.6791327873357</v>
      </c>
      <c r="U32">
        <f t="shared" si="9"/>
        <v>14.736573545628668</v>
      </c>
      <c r="V32">
        <f t="shared" si="10"/>
        <v>1.0131744327918548</v>
      </c>
      <c r="W32">
        <f t="shared" si="11"/>
        <v>1739.4416025756118</v>
      </c>
      <c r="X32">
        <f t="shared" si="12"/>
        <v>22.837831253958562</v>
      </c>
      <c r="Y32">
        <f t="shared" si="13"/>
        <v>0.7253617434570635</v>
      </c>
      <c r="Z32">
        <f t="shared" si="14"/>
        <v>1311.4114700046498</v>
      </c>
      <c r="AA32">
        <f t="shared" si="15"/>
        <v>30.291845621570037</v>
      </c>
      <c r="AB32">
        <f t="shared" si="16"/>
        <v>0.66359954697660217</v>
      </c>
      <c r="AC32">
        <f t="shared" si="17"/>
        <v>6000</v>
      </c>
      <c r="AD32">
        <f t="shared" si="18"/>
        <v>6.6208456326228466</v>
      </c>
      <c r="AE32">
        <f t="shared" si="19"/>
        <v>6.7469249536526537</v>
      </c>
      <c r="AF32">
        <f t="shared" si="20"/>
        <v>6000</v>
      </c>
      <c r="AG32">
        <f t="shared" si="21"/>
        <v>6.6208456326228466</v>
      </c>
      <c r="AH32">
        <f t="shared" si="22"/>
        <v>6.7469249536526537</v>
      </c>
      <c r="AI32" cm="1">
        <f t="array" ref="AI32">_xlfn.LET(
    _xlpm.vals,   _xlfn.HSTACK(S32,V32,Y32,AB32,AE32,AH32),
    _xlpm.ints,   _xlfn.HSTACK(R32,U32,X32,AA32,AD32,AG32),
    _xlpm.slopes, _xlfn.HSTACK(Q32,T32,W32,Z32,AC32,AF32),
    _xlpm.limit,  -0.00001*_xlpm.slopes + 0.1086*_xlpm.slopes + 63.253,
    _xlpm.mask,   (_xlpm.vals&gt;=0) * (_xlpm.ints&lt;=_xlpm.limit),
    _xlpm.validVals, _xlfn._xlws.FILTER(_xlpm.vals, _xlpm.mask),
    _xlpm.minVal, MIN(_xlpm.validVals),
    IFERROR( _xlfn.XMATCH(_xlpm.minVal, _xlpm.vals), "" )
)</f>
        <v>4</v>
      </c>
      <c r="AJ32" cm="1">
        <f t="array" ref="AJ32">_xlfn.LET(
    _xlpm.vals, CHOOSE({1,2,3,4,5,6}, S32, V32, Y32, AB32, AE32, AH32),
    _xlpm.slopes, CHOOSE({1,2,3,4,5,6}, Q32, T32, W32, Z32, AC32, AF32),
    _xlpm.ints, CHOOSE({1,2,3,4,5,6}, R32, U32, X32, AA32, AD32, AG32),
    _xlpm.limit, -0.00001*_xlpm.slopes + 0.1086*_xlpm.slopes + 63.253,
    _xlpm.valid, (_xlpm.vals &gt;= 0) * (_xlpm.ints &lt;= _xlpm.limit),
    _xlpm.target, MIN(_xlfn._xlws.FILTER(_xlpm.vals, _xlpm.valid)),
    IFERROR(
        _xlfn.XLOOKUP(_xlpm.target, _xlpm.vals, _xlpm.vals),
        CHOOSE({1,2,3,4,5,6}, S$1, V$1, Y$1, AB$1, AE$1, AH$1)
    )
)</f>
        <v>0.66359954697660217</v>
      </c>
    </row>
    <row r="33" spans="9:36" x14ac:dyDescent="0.45">
      <c r="I33">
        <v>31</v>
      </c>
      <c r="J33">
        <v>22.3</v>
      </c>
      <c r="K33">
        <f t="shared" si="1"/>
        <v>22.3</v>
      </c>
      <c r="L33">
        <f t="shared" si="0"/>
        <v>6.1944444444444443E-3</v>
      </c>
      <c r="M33">
        <v>5.09</v>
      </c>
      <c r="N33">
        <f t="shared" si="2"/>
        <v>5.09</v>
      </c>
      <c r="O33">
        <f t="shared" si="3"/>
        <v>289.79257615407488</v>
      </c>
      <c r="P33">
        <f t="shared" si="4"/>
        <v>927.33624369303971</v>
      </c>
      <c r="Q33">
        <f t="shared" si="5"/>
        <v>4247.1999961141219</v>
      </c>
      <c r="R33">
        <f t="shared" si="6"/>
        <v>11.444226705767496</v>
      </c>
      <c r="S33">
        <f t="shared" si="7"/>
        <v>2.4957870890084526</v>
      </c>
      <c r="T33">
        <f t="shared" si="8"/>
        <v>2744.9152813313976</v>
      </c>
      <c r="U33">
        <f t="shared" si="9"/>
        <v>17.707621051491596</v>
      </c>
      <c r="V33">
        <f t="shared" si="10"/>
        <v>1.0901328151614618</v>
      </c>
      <c r="W33">
        <f t="shared" si="11"/>
        <v>1771.2122254537057</v>
      </c>
      <c r="X33">
        <f t="shared" si="12"/>
        <v>27.442177126918917</v>
      </c>
      <c r="Y33">
        <f t="shared" si="13"/>
        <v>0.79888454573607659</v>
      </c>
      <c r="Z33">
        <f t="shared" si="14"/>
        <v>1335.3641909179771</v>
      </c>
      <c r="AA33">
        <f t="shared" si="15"/>
        <v>36.398998828066063</v>
      </c>
      <c r="AB33">
        <f t="shared" si="16"/>
        <v>0.74282261708856456</v>
      </c>
      <c r="AC33">
        <f t="shared" si="17"/>
        <v>6000</v>
      </c>
      <c r="AD33">
        <f t="shared" si="18"/>
        <v>8.1009866033774731</v>
      </c>
      <c r="AE33">
        <f t="shared" si="19"/>
        <v>6.7593511957743395</v>
      </c>
      <c r="AF33">
        <f t="shared" si="20"/>
        <v>6000</v>
      </c>
      <c r="AG33">
        <f t="shared" si="21"/>
        <v>8.1009866033774731</v>
      </c>
      <c r="AH33">
        <f t="shared" si="22"/>
        <v>6.7593511957743395</v>
      </c>
      <c r="AI33" cm="1">
        <f t="array" ref="AI33">_xlfn.LET(
    _xlpm.vals,   _xlfn.HSTACK(S33,V33,Y33,AB33,AE33,AH33),
    _xlpm.ints,   _xlfn.HSTACK(R33,U33,X33,AA33,AD33,AG33),
    _xlpm.slopes, _xlfn.HSTACK(Q33,T33,W33,Z33,AC33,AF33),
    _xlpm.limit,  -0.00001*_xlpm.slopes + 0.1086*_xlpm.slopes + 63.253,
    _xlpm.mask,   (_xlpm.vals&gt;=0) * (_xlpm.ints&lt;=_xlpm.limit),
    _xlpm.validVals, _xlfn._xlws.FILTER(_xlpm.vals, _xlpm.mask),
    _xlpm.minVal, MIN(_xlpm.validVals),
    IFERROR( _xlfn.XMATCH(_xlpm.minVal, _xlpm.vals), "" )
)</f>
        <v>4</v>
      </c>
      <c r="AJ33" cm="1">
        <f t="array" ref="AJ33">_xlfn.LET(
    _xlpm.vals, CHOOSE({1,2,3,4,5,6}, S33, V33, Y33, AB33, AE33, AH33),
    _xlpm.slopes, CHOOSE({1,2,3,4,5,6}, Q33, T33, W33, Z33, AC33, AF33),
    _xlpm.ints, CHOOSE({1,2,3,4,5,6}, R33, U33, X33, AA33, AD33, AG33),
    _xlpm.limit, -0.00001*_xlpm.slopes + 0.1086*_xlpm.slopes + 63.253,
    _xlpm.valid, (_xlpm.vals &gt;= 0) * (_xlpm.ints &lt;= _xlpm.limit),
    _xlpm.target, MIN(_xlfn._xlws.FILTER(_xlpm.vals, _xlpm.valid)),
    IFERROR(
        _xlfn.XLOOKUP(_xlpm.target, _xlpm.vals, _xlpm.vals),
        CHOOSE({1,2,3,4,5,6}, S$1, V$1, Y$1, AB$1, AE$1, AH$1)
    )
)</f>
        <v>0.74282261708856456</v>
      </c>
    </row>
    <row r="34" spans="9:36" x14ac:dyDescent="0.45">
      <c r="I34">
        <v>32</v>
      </c>
      <c r="J34">
        <v>22.2</v>
      </c>
      <c r="K34">
        <f t="shared" si="1"/>
        <v>22.2</v>
      </c>
      <c r="L34">
        <f t="shared" si="0"/>
        <v>6.1666666666666667E-3</v>
      </c>
      <c r="M34">
        <v>1.5</v>
      </c>
      <c r="N34">
        <f t="shared" si="2"/>
        <v>1.5</v>
      </c>
      <c r="O34">
        <f t="shared" si="3"/>
        <v>288.49305787535701</v>
      </c>
      <c r="P34">
        <f t="shared" si="4"/>
        <v>923.17778520114246</v>
      </c>
      <c r="Q34">
        <f t="shared" si="5"/>
        <v>4228.1542562212326</v>
      </c>
      <c r="R34">
        <f t="shared" si="6"/>
        <v>3.3877536178332606</v>
      </c>
      <c r="S34">
        <f t="shared" si="7"/>
        <v>2.3417235414409943</v>
      </c>
      <c r="T34">
        <f t="shared" si="8"/>
        <v>2732.6062441953818</v>
      </c>
      <c r="U34">
        <f t="shared" si="9"/>
        <v>5.2418620167825454</v>
      </c>
      <c r="V34">
        <f t="shared" si="10"/>
        <v>0.88844728908951398</v>
      </c>
      <c r="W34">
        <f t="shared" si="11"/>
        <v>1763.2695697341819</v>
      </c>
      <c r="X34">
        <f t="shared" si="12"/>
        <v>8.1235139108253076</v>
      </c>
      <c r="Y34">
        <f t="shared" si="13"/>
        <v>0.55202705833177035</v>
      </c>
      <c r="Z34">
        <f t="shared" si="14"/>
        <v>1329.376010689645</v>
      </c>
      <c r="AA34">
        <f t="shared" si="15"/>
        <v>10.774938590053011</v>
      </c>
      <c r="AB34">
        <f t="shared" si="16"/>
        <v>0.46974829589529676</v>
      </c>
      <c r="AC34">
        <f t="shared" si="17"/>
        <v>6000</v>
      </c>
      <c r="AD34">
        <f t="shared" si="18"/>
        <v>2.3873241463784303</v>
      </c>
      <c r="AE34">
        <f t="shared" si="19"/>
        <v>6.7152866947807421</v>
      </c>
      <c r="AF34">
        <f t="shared" si="20"/>
        <v>6000</v>
      </c>
      <c r="AG34">
        <f t="shared" si="21"/>
        <v>2.3873241463784303</v>
      </c>
      <c r="AH34">
        <f t="shared" si="22"/>
        <v>6.7152866947807421</v>
      </c>
      <c r="AI34" cm="1">
        <f t="array" ref="AI34">_xlfn.LET(
    _xlpm.vals,   _xlfn.HSTACK(S34,V34,Y34,AB34,AE34,AH34),
    _xlpm.ints,   _xlfn.HSTACK(R34,U34,X34,AA34,AD34,AG34),
    _xlpm.slopes, _xlfn.HSTACK(Q34,T34,W34,Z34,AC34,AF34),
    _xlpm.limit,  -0.00001*_xlpm.slopes + 0.1086*_xlpm.slopes + 63.253,
    _xlpm.mask,   (_xlpm.vals&gt;=0) * (_xlpm.ints&lt;=_xlpm.limit),
    _xlpm.validVals, _xlfn._xlws.FILTER(_xlpm.vals, _xlpm.mask),
    _xlpm.minVal, MIN(_xlpm.validVals),
    IFERROR( _xlfn.XMATCH(_xlpm.minVal, _xlpm.vals), "" )
)</f>
        <v>4</v>
      </c>
      <c r="AJ34" cm="1">
        <f t="array" ref="AJ34">_xlfn.LET(
    _xlpm.vals, CHOOSE({1,2,3,4,5,6}, S34, V34, Y34, AB34, AE34, AH34),
    _xlpm.slopes, CHOOSE({1,2,3,4,5,6}, Q34, T34, W34, Z34, AC34, AF34),
    _xlpm.ints, CHOOSE({1,2,3,4,5,6}, R34, U34, X34, AA34, AD34, AG34),
    _xlpm.limit, -0.00001*_xlpm.slopes + 0.1086*_xlpm.slopes + 63.253,
    _xlpm.valid, (_xlpm.vals &gt;= 0) * (_xlpm.ints &lt;= _xlpm.limit),
    _xlpm.target, MIN(_xlfn._xlws.FILTER(_xlpm.vals, _xlpm.valid)),
    IFERROR(
        _xlfn.XLOOKUP(_xlpm.target, _xlpm.vals, _xlpm.vals),
        CHOOSE({1,2,3,4,5,6}, S$1, V$1, Y$1, AB$1, AE$1, AH$1)
    )
)</f>
        <v>0.46974829589529676</v>
      </c>
    </row>
    <row r="35" spans="9:36" x14ac:dyDescent="0.45">
      <c r="I35">
        <v>33</v>
      </c>
      <c r="J35">
        <v>21.8</v>
      </c>
      <c r="K35">
        <f t="shared" si="1"/>
        <v>21.8</v>
      </c>
      <c r="L35">
        <f t="shared" si="0"/>
        <v>6.0555555555555553E-3</v>
      </c>
      <c r="M35">
        <v>-0.82</v>
      </c>
      <c r="N35">
        <f t="shared" si="2"/>
        <v>0</v>
      </c>
      <c r="O35">
        <f t="shared" si="3"/>
        <v>283.2949847604857</v>
      </c>
      <c r="P35">
        <f t="shared" si="4"/>
        <v>906.54395123355425</v>
      </c>
      <c r="Q35">
        <f t="shared" si="5"/>
        <v>4151.9712966496782</v>
      </c>
      <c r="R35">
        <f t="shared" si="6"/>
        <v>0</v>
      </c>
      <c r="S35">
        <f t="shared" si="7"/>
        <v>2.1788501126606716</v>
      </c>
      <c r="T35">
        <f t="shared" si="8"/>
        <v>2683.3700956513208</v>
      </c>
      <c r="U35">
        <f t="shared" si="9"/>
        <v>0</v>
      </c>
      <c r="V35">
        <f t="shared" si="10"/>
        <v>0.78933366375046943</v>
      </c>
      <c r="W35">
        <f t="shared" si="11"/>
        <v>1731.4989468560887</v>
      </c>
      <c r="X35">
        <f t="shared" si="12"/>
        <v>0</v>
      </c>
      <c r="Y35">
        <f t="shared" si="13"/>
        <v>0.45761807123083997</v>
      </c>
      <c r="Z35">
        <f t="shared" si="14"/>
        <v>1305.4232897763181</v>
      </c>
      <c r="AA35">
        <f t="shared" si="15"/>
        <v>0</v>
      </c>
      <c r="AB35">
        <f t="shared" si="16"/>
        <v>0.37366504906391496</v>
      </c>
      <c r="AC35">
        <f t="shared" si="17"/>
        <v>6000</v>
      </c>
      <c r="AD35">
        <f t="shared" si="18"/>
        <v>0</v>
      </c>
      <c r="AE35">
        <f t="shared" si="19"/>
        <v>6.7000407999999982</v>
      </c>
      <c r="AF35">
        <f t="shared" si="20"/>
        <v>6000</v>
      </c>
      <c r="AG35">
        <f t="shared" si="21"/>
        <v>0</v>
      </c>
      <c r="AH35">
        <f t="shared" si="22"/>
        <v>6.7000407999999982</v>
      </c>
      <c r="AI35" cm="1">
        <f t="array" ref="AI35">_xlfn.LET(
    _xlpm.vals,   _xlfn.HSTACK(S35,V35,Y35,AB35,AE35,AH35),
    _xlpm.ints,   _xlfn.HSTACK(R35,U35,X35,AA35,AD35,AG35),
    _xlpm.slopes, _xlfn.HSTACK(Q35,T35,W35,Z35,AC35,AF35),
    _xlpm.limit,  -0.00001*_xlpm.slopes + 0.1086*_xlpm.slopes + 63.253,
    _xlpm.mask,   (_xlpm.vals&gt;=0) * (_xlpm.ints&lt;=_xlpm.limit),
    _xlpm.validVals, _xlfn._xlws.FILTER(_xlpm.vals, _xlpm.mask),
    _xlpm.minVal, MIN(_xlpm.validVals),
    IFERROR( _xlfn.XMATCH(_xlpm.minVal, _xlpm.vals), "" )
)</f>
        <v>4</v>
      </c>
      <c r="AJ35" cm="1">
        <f t="array" ref="AJ35">_xlfn.LET(
    _xlpm.vals, CHOOSE({1,2,3,4,5,6}, S35, V35, Y35, AB35, AE35, AH35),
    _xlpm.slopes, CHOOSE({1,2,3,4,5,6}, Q35, T35, W35, Z35, AC35, AF35),
    _xlpm.ints, CHOOSE({1,2,3,4,5,6}, R35, U35, X35, AA35, AD35, AG35),
    _xlpm.limit, -0.00001*_xlpm.slopes + 0.1086*_xlpm.slopes + 63.253,
    _xlpm.valid, (_xlpm.vals &gt;= 0) * (_xlpm.ints &lt;= _xlpm.limit),
    _xlpm.target, MIN(_xlfn._xlws.FILTER(_xlpm.vals, _xlpm.valid)),
    IFERROR(
        _xlfn.XLOOKUP(_xlpm.target, _xlpm.vals, _xlpm.vals),
        CHOOSE({1,2,3,4,5,6}, S$1, V$1, Y$1, AB$1, AE$1, AH$1)
    )
)</f>
        <v>0.37366504906391496</v>
      </c>
    </row>
    <row r="36" spans="9:36" x14ac:dyDescent="0.45">
      <c r="I36">
        <v>34</v>
      </c>
      <c r="J36">
        <v>21.3</v>
      </c>
      <c r="K36">
        <f t="shared" si="1"/>
        <v>21.3</v>
      </c>
      <c r="L36">
        <f t="shared" si="0"/>
        <v>5.9166666666666664E-3</v>
      </c>
      <c r="M36">
        <v>-0.67</v>
      </c>
      <c r="N36">
        <f t="shared" si="2"/>
        <v>0</v>
      </c>
      <c r="O36">
        <f t="shared" si="3"/>
        <v>276.79739336689664</v>
      </c>
      <c r="P36">
        <f t="shared" si="4"/>
        <v>885.75165877406926</v>
      </c>
      <c r="Q36">
        <f t="shared" si="5"/>
        <v>4056.7425971852372</v>
      </c>
      <c r="R36">
        <f t="shared" si="6"/>
        <v>0</v>
      </c>
      <c r="S36">
        <f t="shared" si="7"/>
        <v>2.0418191271197035</v>
      </c>
      <c r="T36">
        <f t="shared" si="8"/>
        <v>2621.8249099712448</v>
      </c>
      <c r="U36">
        <f t="shared" si="9"/>
        <v>0</v>
      </c>
      <c r="V36">
        <f t="shared" si="10"/>
        <v>0.75839149180761933</v>
      </c>
      <c r="W36">
        <f t="shared" si="11"/>
        <v>1691.7856682584722</v>
      </c>
      <c r="X36">
        <f t="shared" si="12"/>
        <v>0</v>
      </c>
      <c r="Y36">
        <f t="shared" si="13"/>
        <v>0.44883893129683383</v>
      </c>
      <c r="Z36">
        <f t="shared" si="14"/>
        <v>1275.4823886346596</v>
      </c>
      <c r="AA36">
        <f t="shared" si="15"/>
        <v>0</v>
      </c>
      <c r="AB36">
        <f t="shared" si="16"/>
        <v>0.36834099853159064</v>
      </c>
      <c r="AC36">
        <f t="shared" si="17"/>
        <v>6000</v>
      </c>
      <c r="AD36">
        <f t="shared" si="18"/>
        <v>0</v>
      </c>
      <c r="AE36">
        <f t="shared" si="19"/>
        <v>6.7000407999999982</v>
      </c>
      <c r="AF36">
        <f t="shared" si="20"/>
        <v>6000</v>
      </c>
      <c r="AG36">
        <f t="shared" si="21"/>
        <v>0</v>
      </c>
      <c r="AH36">
        <f t="shared" si="22"/>
        <v>6.7000407999999982</v>
      </c>
      <c r="AI36" cm="1">
        <f t="array" ref="AI36">_xlfn.LET(
    _xlpm.vals,   _xlfn.HSTACK(S36,V36,Y36,AB36,AE36,AH36),
    _xlpm.ints,   _xlfn.HSTACK(R36,U36,X36,AA36,AD36,AG36),
    _xlpm.slopes, _xlfn.HSTACK(Q36,T36,W36,Z36,AC36,AF36),
    _xlpm.limit,  -0.00001*_xlpm.slopes + 0.1086*_xlpm.slopes + 63.253,
    _xlpm.mask,   (_xlpm.vals&gt;=0) * (_xlpm.ints&lt;=_xlpm.limit),
    _xlpm.validVals, _xlfn._xlws.FILTER(_xlpm.vals, _xlpm.mask),
    _xlpm.minVal, MIN(_xlpm.validVals),
    IFERROR( _xlfn.XMATCH(_xlpm.minVal, _xlpm.vals), "" )
)</f>
        <v>4</v>
      </c>
      <c r="AJ36" cm="1">
        <f t="array" ref="AJ36">_xlfn.LET(
    _xlpm.vals, CHOOSE({1,2,3,4,5,6}, S36, V36, Y36, AB36, AE36, AH36),
    _xlpm.slopes, CHOOSE({1,2,3,4,5,6}, Q36, T36, W36, Z36, AC36, AF36),
    _xlpm.ints, CHOOSE({1,2,3,4,5,6}, R36, U36, X36, AA36, AD36, AG36),
    _xlpm.limit, -0.00001*_xlpm.slopes + 0.1086*_xlpm.slopes + 63.253,
    _xlpm.valid, (_xlpm.vals &gt;= 0) * (_xlpm.ints &lt;= _xlpm.limit),
    _xlpm.target, MIN(_xlfn._xlws.FILTER(_xlpm.vals, _xlpm.valid)),
    IFERROR(
        _xlfn.XLOOKUP(_xlpm.target, _xlpm.vals, _xlpm.vals),
        CHOOSE({1,2,3,4,5,6}, S$1, V$1, Y$1, AB$1, AE$1, AH$1)
    )
)</f>
        <v>0.36834099853159064</v>
      </c>
    </row>
    <row r="37" spans="9:36" x14ac:dyDescent="0.45">
      <c r="I37">
        <v>35</v>
      </c>
      <c r="J37">
        <v>20.8</v>
      </c>
      <c r="K37">
        <f t="shared" si="1"/>
        <v>20.8</v>
      </c>
      <c r="L37">
        <f t="shared" si="0"/>
        <v>5.7777777777777784E-3</v>
      </c>
      <c r="M37">
        <v>-0.73</v>
      </c>
      <c r="N37">
        <f t="shared" si="2"/>
        <v>0</v>
      </c>
      <c r="O37">
        <f t="shared" si="3"/>
        <v>270.29980197330752</v>
      </c>
      <c r="P37">
        <f t="shared" si="4"/>
        <v>864.95936631458414</v>
      </c>
      <c r="Q37">
        <f t="shared" si="5"/>
        <v>3961.5138977207953</v>
      </c>
      <c r="R37">
        <f t="shared" si="6"/>
        <v>0</v>
      </c>
      <c r="S37">
        <f t="shared" si="7"/>
        <v>1.9124121603170747</v>
      </c>
      <c r="T37">
        <f t="shared" si="8"/>
        <v>2560.2797242911693</v>
      </c>
      <c r="U37">
        <f t="shared" si="9"/>
        <v>0</v>
      </c>
      <c r="V37">
        <f t="shared" si="10"/>
        <v>0.729064150007667</v>
      </c>
      <c r="W37">
        <f t="shared" si="11"/>
        <v>1652.0723896608556</v>
      </c>
      <c r="X37">
        <f t="shared" si="12"/>
        <v>0</v>
      </c>
      <c r="Y37">
        <f t="shared" si="13"/>
        <v>0.44030856404258462</v>
      </c>
      <c r="Z37">
        <f t="shared" si="14"/>
        <v>1245.5414874930011</v>
      </c>
      <c r="AA37">
        <f t="shared" si="15"/>
        <v>0</v>
      </c>
      <c r="AB37">
        <f t="shared" si="16"/>
        <v>0.36305057553825087</v>
      </c>
      <c r="AC37">
        <f t="shared" si="17"/>
        <v>6000</v>
      </c>
      <c r="AD37">
        <f t="shared" si="18"/>
        <v>0</v>
      </c>
      <c r="AE37">
        <f t="shared" si="19"/>
        <v>6.7000407999999982</v>
      </c>
      <c r="AF37">
        <f t="shared" si="20"/>
        <v>6000</v>
      </c>
      <c r="AG37">
        <f t="shared" si="21"/>
        <v>0</v>
      </c>
      <c r="AH37">
        <f t="shared" si="22"/>
        <v>6.7000407999999982</v>
      </c>
      <c r="AI37" cm="1">
        <f t="array" ref="AI37">_xlfn.LET(
    _xlpm.vals,   _xlfn.HSTACK(S37,V37,Y37,AB37,AE37,AH37),
    _xlpm.ints,   _xlfn.HSTACK(R37,U37,X37,AA37,AD37,AG37),
    _xlpm.slopes, _xlfn.HSTACK(Q37,T37,W37,Z37,AC37,AF37),
    _xlpm.limit,  -0.00001*_xlpm.slopes + 0.1086*_xlpm.slopes + 63.253,
    _xlpm.mask,   (_xlpm.vals&gt;=0) * (_xlpm.ints&lt;=_xlpm.limit),
    _xlpm.validVals, _xlfn._xlws.FILTER(_xlpm.vals, _xlpm.mask),
    _xlpm.minVal, MIN(_xlpm.validVals),
    IFERROR( _xlfn.XMATCH(_xlpm.minVal, _xlpm.vals), "" )
)</f>
        <v>4</v>
      </c>
      <c r="AJ37" cm="1">
        <f t="array" ref="AJ37">_xlfn.LET(
    _xlpm.vals, CHOOSE({1,2,3,4,5,6}, S37, V37, Y37, AB37, AE37, AH37),
    _xlpm.slopes, CHOOSE({1,2,3,4,5,6}, Q37, T37, W37, Z37, AC37, AF37),
    _xlpm.ints, CHOOSE({1,2,3,4,5,6}, R37, U37, X37, AA37, AD37, AG37),
    _xlpm.limit, -0.00001*_xlpm.slopes + 0.1086*_xlpm.slopes + 63.253,
    _xlpm.valid, (_xlpm.vals &gt;= 0) * (_xlpm.ints &lt;= _xlpm.limit),
    _xlpm.target, MIN(_xlfn._xlws.FILTER(_xlpm.vals, _xlpm.valid)),
    IFERROR(
        _xlfn.XLOOKUP(_xlpm.target, _xlpm.vals, _xlpm.vals),
        CHOOSE({1,2,3,4,5,6}, S$1, V$1, Y$1, AB$1, AE$1, AH$1)
    )
)</f>
        <v>0.36305057553825087</v>
      </c>
    </row>
    <row r="38" spans="9:36" x14ac:dyDescent="0.45">
      <c r="I38">
        <v>36</v>
      </c>
      <c r="J38">
        <v>19.5</v>
      </c>
      <c r="K38">
        <f t="shared" si="1"/>
        <v>19.5</v>
      </c>
      <c r="L38">
        <f t="shared" si="0"/>
        <v>5.4166666666666669E-3</v>
      </c>
      <c r="M38">
        <v>-0.59</v>
      </c>
      <c r="N38">
        <f t="shared" si="2"/>
        <v>0</v>
      </c>
      <c r="O38">
        <f t="shared" si="3"/>
        <v>253.40606434997582</v>
      </c>
      <c r="P38">
        <f t="shared" si="4"/>
        <v>810.89940591992263</v>
      </c>
      <c r="Q38">
        <f t="shared" si="5"/>
        <v>3713.9192791132459</v>
      </c>
      <c r="R38">
        <f t="shared" si="6"/>
        <v>0</v>
      </c>
      <c r="S38">
        <f t="shared" si="7"/>
        <v>1.6098447992209759</v>
      </c>
      <c r="T38">
        <f t="shared" si="8"/>
        <v>2400.2622415229707</v>
      </c>
      <c r="U38">
        <f t="shared" si="9"/>
        <v>0</v>
      </c>
      <c r="V38">
        <f t="shared" si="10"/>
        <v>0.65988735415444788</v>
      </c>
      <c r="W38">
        <f t="shared" si="11"/>
        <v>1548.8178653070522</v>
      </c>
      <c r="X38">
        <f t="shared" si="12"/>
        <v>0</v>
      </c>
      <c r="Y38">
        <f t="shared" si="13"/>
        <v>0.4191640658252721</v>
      </c>
      <c r="Z38">
        <f t="shared" si="14"/>
        <v>1167.6951445246884</v>
      </c>
      <c r="AA38">
        <f t="shared" si="15"/>
        <v>0</v>
      </c>
      <c r="AB38">
        <f t="shared" si="16"/>
        <v>0.34939722887247371</v>
      </c>
      <c r="AC38">
        <f t="shared" si="17"/>
        <v>6000</v>
      </c>
      <c r="AD38">
        <f t="shared" si="18"/>
        <v>0</v>
      </c>
      <c r="AE38">
        <f t="shared" si="19"/>
        <v>6.7000407999999982</v>
      </c>
      <c r="AF38">
        <f t="shared" si="20"/>
        <v>6000</v>
      </c>
      <c r="AG38">
        <f t="shared" si="21"/>
        <v>0</v>
      </c>
      <c r="AH38">
        <f t="shared" si="22"/>
        <v>6.7000407999999982</v>
      </c>
      <c r="AI38" cm="1">
        <f t="array" ref="AI38">_xlfn.LET(
    _xlpm.vals,   _xlfn.HSTACK(S38,V38,Y38,AB38,AE38,AH38),
    _xlpm.ints,   _xlfn.HSTACK(R38,U38,X38,AA38,AD38,AG38),
    _xlpm.slopes, _xlfn.HSTACK(Q38,T38,W38,Z38,AC38,AF38),
    _xlpm.limit,  -0.00001*_xlpm.slopes + 0.1086*_xlpm.slopes + 63.253,
    _xlpm.mask,   (_xlpm.vals&gt;=0) * (_xlpm.ints&lt;=_xlpm.limit),
    _xlpm.validVals, _xlfn._xlws.FILTER(_xlpm.vals, _xlpm.mask),
    _xlpm.minVal, MIN(_xlpm.validVals),
    IFERROR( _xlfn.XMATCH(_xlpm.minVal, _xlpm.vals), "" )
)</f>
        <v>4</v>
      </c>
      <c r="AJ38" cm="1">
        <f t="array" ref="AJ38">_xlfn.LET(
    _xlpm.vals, CHOOSE({1,2,3,4,5,6}, S38, V38, Y38, AB38, AE38, AH38),
    _xlpm.slopes, CHOOSE({1,2,3,4,5,6}, Q38, T38, W38, Z38, AC38, AF38),
    _xlpm.ints, CHOOSE({1,2,3,4,5,6}, R38, U38, X38, AA38, AD38, AG38),
    _xlpm.limit, -0.00001*_xlpm.slopes + 0.1086*_xlpm.slopes + 63.253,
    _xlpm.valid, (_xlpm.vals &gt;= 0) * (_xlpm.ints &lt;= _xlpm.limit),
    _xlpm.target, MIN(_xlfn._xlws.FILTER(_xlpm.vals, _xlpm.valid)),
    IFERROR(
        _xlfn.XLOOKUP(_xlpm.target, _xlpm.vals, _xlpm.vals),
        CHOOSE({1,2,3,4,5,6}, S$1, V$1, Y$1, AB$1, AE$1, AH$1)
    )
)</f>
        <v>0.34939722887247371</v>
      </c>
    </row>
    <row r="39" spans="9:36" x14ac:dyDescent="0.45">
      <c r="I39">
        <v>37</v>
      </c>
      <c r="J39">
        <v>16.899999999999999</v>
      </c>
      <c r="K39">
        <f t="shared" si="1"/>
        <v>16.899999999999999</v>
      </c>
      <c r="L39">
        <f t="shared" si="0"/>
        <v>4.6944444444444438E-3</v>
      </c>
      <c r="M39">
        <v>-0.57999999999999996</v>
      </c>
      <c r="N39">
        <f t="shared" si="2"/>
        <v>0</v>
      </c>
      <c r="O39">
        <f t="shared" si="3"/>
        <v>219.61858910331233</v>
      </c>
      <c r="P39">
        <f t="shared" si="4"/>
        <v>702.77948513059948</v>
      </c>
      <c r="Q39">
        <f t="shared" si="5"/>
        <v>3218.7300418981458</v>
      </c>
      <c r="R39">
        <f t="shared" si="6"/>
        <v>0</v>
      </c>
      <c r="S39">
        <f t="shared" si="7"/>
        <v>1.1367340234742751</v>
      </c>
      <c r="T39">
        <f t="shared" si="8"/>
        <v>2080.2272759865746</v>
      </c>
      <c r="U39">
        <f t="shared" si="9"/>
        <v>0</v>
      </c>
      <c r="V39">
        <f t="shared" si="10"/>
        <v>0.5481841008927526</v>
      </c>
      <c r="W39">
        <f t="shared" si="11"/>
        <v>1342.308816599445</v>
      </c>
      <c r="X39">
        <f t="shared" si="12"/>
        <v>0</v>
      </c>
      <c r="Y39">
        <f t="shared" si="13"/>
        <v>0.38028169582385535</v>
      </c>
      <c r="Z39">
        <f t="shared" si="14"/>
        <v>1012.0024585880632</v>
      </c>
      <c r="AA39">
        <f t="shared" si="15"/>
        <v>0</v>
      </c>
      <c r="AB39">
        <f t="shared" si="16"/>
        <v>0.32207035275926055</v>
      </c>
      <c r="AC39">
        <f t="shared" si="17"/>
        <v>6000</v>
      </c>
      <c r="AD39">
        <f t="shared" si="18"/>
        <v>0</v>
      </c>
      <c r="AE39">
        <f t="shared" si="19"/>
        <v>6.7000407999999982</v>
      </c>
      <c r="AF39">
        <f t="shared" si="20"/>
        <v>6000</v>
      </c>
      <c r="AG39">
        <f t="shared" si="21"/>
        <v>0</v>
      </c>
      <c r="AH39">
        <f t="shared" si="22"/>
        <v>6.7000407999999982</v>
      </c>
      <c r="AI39" cm="1">
        <f t="array" ref="AI39">_xlfn.LET(
    _xlpm.vals,   _xlfn.HSTACK(S39,V39,Y39,AB39,AE39,AH39),
    _xlpm.ints,   _xlfn.HSTACK(R39,U39,X39,AA39,AD39,AG39),
    _xlpm.slopes, _xlfn.HSTACK(Q39,T39,W39,Z39,AC39,AF39),
    _xlpm.limit,  -0.00001*_xlpm.slopes + 0.1086*_xlpm.slopes + 63.253,
    _xlpm.mask,   (_xlpm.vals&gt;=0) * (_xlpm.ints&lt;=_xlpm.limit),
    _xlpm.validVals, _xlfn._xlws.FILTER(_xlpm.vals, _xlpm.mask),
    _xlpm.minVal, MIN(_xlpm.validVals),
    IFERROR( _xlfn.XMATCH(_xlpm.minVal, _xlpm.vals), "" )
)</f>
        <v>4</v>
      </c>
      <c r="AJ39" cm="1">
        <f t="array" ref="AJ39">_xlfn.LET(
    _xlpm.vals, CHOOSE({1,2,3,4,5,6}, S39, V39, Y39, AB39, AE39, AH39),
    _xlpm.slopes, CHOOSE({1,2,3,4,5,6}, Q39, T39, W39, Z39, AC39, AF39),
    _xlpm.ints, CHOOSE({1,2,3,4,5,6}, R39, U39, X39, AA39, AD39, AG39),
    _xlpm.limit, -0.00001*_xlpm.slopes + 0.1086*_xlpm.slopes + 63.253,
    _xlpm.valid, (_xlpm.vals &gt;= 0) * (_xlpm.ints &lt;= _xlpm.limit),
    _xlpm.target, MIN(_xlfn._xlws.FILTER(_xlpm.vals, _xlpm.valid)),
    IFERROR(
        _xlfn.XLOOKUP(_xlpm.target, _xlpm.vals, _xlpm.vals),
        CHOOSE({1,2,3,4,5,6}, S$1, V$1, Y$1, AB$1, AE$1, AH$1)
    )
)</f>
        <v>0.32207035275926055</v>
      </c>
    </row>
    <row r="40" spans="9:36" x14ac:dyDescent="0.45">
      <c r="I40">
        <v>38</v>
      </c>
      <c r="J40">
        <v>15.4</v>
      </c>
      <c r="K40">
        <f t="shared" si="1"/>
        <v>15.4</v>
      </c>
      <c r="L40">
        <f t="shared" si="0"/>
        <v>4.2777777777777779E-3</v>
      </c>
      <c r="M40">
        <v>-0.64</v>
      </c>
      <c r="N40">
        <f t="shared" si="2"/>
        <v>0</v>
      </c>
      <c r="O40">
        <f t="shared" si="3"/>
        <v>200.12581492254498</v>
      </c>
      <c r="P40">
        <f t="shared" si="4"/>
        <v>640.40260775214392</v>
      </c>
      <c r="Q40">
        <f t="shared" si="5"/>
        <v>2933.0439435048193</v>
      </c>
      <c r="R40">
        <f t="shared" si="6"/>
        <v>0</v>
      </c>
      <c r="S40">
        <f t="shared" si="7"/>
        <v>0.93281600480871574</v>
      </c>
      <c r="T40">
        <f t="shared" si="8"/>
        <v>1895.591718946346</v>
      </c>
      <c r="U40">
        <f t="shared" si="9"/>
        <v>0</v>
      </c>
      <c r="V40">
        <f t="shared" si="10"/>
        <v>0.49692250591391918</v>
      </c>
      <c r="W40">
        <f t="shared" si="11"/>
        <v>1223.1689808065948</v>
      </c>
      <c r="X40">
        <f t="shared" si="12"/>
        <v>0</v>
      </c>
      <c r="Y40">
        <f t="shared" si="13"/>
        <v>0.35911477175385931</v>
      </c>
      <c r="Z40">
        <f t="shared" si="14"/>
        <v>6000</v>
      </c>
      <c r="AA40">
        <f t="shared" si="15"/>
        <v>0</v>
      </c>
      <c r="AB40">
        <f t="shared" si="16"/>
        <v>6.7000407999999982</v>
      </c>
      <c r="AC40">
        <f t="shared" si="17"/>
        <v>6000</v>
      </c>
      <c r="AD40">
        <f t="shared" si="18"/>
        <v>0</v>
      </c>
      <c r="AE40">
        <f t="shared" si="19"/>
        <v>6.7000407999999982</v>
      </c>
      <c r="AF40">
        <f t="shared" si="20"/>
        <v>6000</v>
      </c>
      <c r="AG40">
        <f t="shared" si="21"/>
        <v>0</v>
      </c>
      <c r="AH40">
        <f t="shared" si="22"/>
        <v>6.7000407999999982</v>
      </c>
      <c r="AI40" cm="1">
        <f t="array" ref="AI40">_xlfn.LET(
    _xlpm.vals,   _xlfn.HSTACK(S40,V40,Y40,AB40,AE40,AH40),
    _xlpm.ints,   _xlfn.HSTACK(R40,U40,X40,AA40,AD40,AG40),
    _xlpm.slopes, _xlfn.HSTACK(Q40,T40,W40,Z40,AC40,AF40),
    _xlpm.limit,  -0.00001*_xlpm.slopes + 0.1086*_xlpm.slopes + 63.253,
    _xlpm.mask,   (_xlpm.vals&gt;=0) * (_xlpm.ints&lt;=_xlpm.limit),
    _xlpm.validVals, _xlfn._xlws.FILTER(_xlpm.vals, _xlpm.mask),
    _xlpm.minVal, MIN(_xlpm.validVals),
    IFERROR( _xlfn.XMATCH(_xlpm.minVal, _xlpm.vals), "" )
)</f>
        <v>3</v>
      </c>
      <c r="AJ40" cm="1">
        <f t="array" ref="AJ40">_xlfn.LET(
    _xlpm.vals, CHOOSE({1,2,3,4,5,6}, S40, V40, Y40, AB40, AE40, AH40),
    _xlpm.slopes, CHOOSE({1,2,3,4,5,6}, Q40, T40, W40, Z40, AC40, AF40),
    _xlpm.ints, CHOOSE({1,2,3,4,5,6}, R40, U40, X40, AA40, AD40, AG40),
    _xlpm.limit, -0.00001*_xlpm.slopes + 0.1086*_xlpm.slopes + 63.253,
    _xlpm.valid, (_xlpm.vals &gt;= 0) * (_xlpm.ints &lt;= _xlpm.limit),
    _xlpm.target, MIN(_xlfn._xlws.FILTER(_xlpm.vals, _xlpm.valid)),
    IFERROR(
        _xlfn.XLOOKUP(_xlpm.target, _xlpm.vals, _xlpm.vals),
        CHOOSE({1,2,3,4,5,6}, S$1, V$1, Y$1, AB$1, AE$1, AH$1)
    )
)</f>
        <v>0.35911477175385931</v>
      </c>
    </row>
    <row r="41" spans="9:36" x14ac:dyDescent="0.45">
      <c r="I41">
        <v>39</v>
      </c>
      <c r="J41">
        <v>14.9</v>
      </c>
      <c r="K41">
        <f t="shared" si="1"/>
        <v>14.9</v>
      </c>
      <c r="L41">
        <f t="shared" si="0"/>
        <v>4.138888888888889E-3</v>
      </c>
      <c r="M41">
        <v>0.03</v>
      </c>
      <c r="N41">
        <f t="shared" si="2"/>
        <v>0.03</v>
      </c>
      <c r="O41">
        <f t="shared" si="3"/>
        <v>193.62822352895589</v>
      </c>
      <c r="P41">
        <f t="shared" si="4"/>
        <v>619.61031529265892</v>
      </c>
      <c r="Q41">
        <f t="shared" si="5"/>
        <v>2837.8152440403778</v>
      </c>
      <c r="R41">
        <f t="shared" si="6"/>
        <v>0.10095051049113875</v>
      </c>
      <c r="S41">
        <f t="shared" si="7"/>
        <v>0.87591675425969906</v>
      </c>
      <c r="T41">
        <f t="shared" si="8"/>
        <v>1834.0465332662704</v>
      </c>
      <c r="U41">
        <f t="shared" si="9"/>
        <v>0.15620045204372143</v>
      </c>
      <c r="V41">
        <f t="shared" si="10"/>
        <v>0.48319651227949012</v>
      </c>
      <c r="W41">
        <f t="shared" si="11"/>
        <v>1183.4557022089784</v>
      </c>
      <c r="X41">
        <f t="shared" si="12"/>
        <v>0.24206981049707615</v>
      </c>
      <c r="Y41">
        <f t="shared" si="13"/>
        <v>0.35382478836565973</v>
      </c>
      <c r="Z41">
        <f t="shared" si="14"/>
        <v>6000</v>
      </c>
      <c r="AA41">
        <f t="shared" si="15"/>
        <v>4.7746482927568605E-2</v>
      </c>
      <c r="AB41">
        <f t="shared" si="16"/>
        <v>6.7003271212558078</v>
      </c>
      <c r="AC41">
        <f t="shared" si="17"/>
        <v>6000</v>
      </c>
      <c r="AD41">
        <f t="shared" si="18"/>
        <v>4.7746482927568605E-2</v>
      </c>
      <c r="AE41">
        <f t="shared" si="19"/>
        <v>6.7003271212558078</v>
      </c>
      <c r="AF41">
        <f t="shared" si="20"/>
        <v>6000</v>
      </c>
      <c r="AG41">
        <f t="shared" si="21"/>
        <v>4.7746482927568605E-2</v>
      </c>
      <c r="AH41">
        <f t="shared" si="22"/>
        <v>6.7003271212558078</v>
      </c>
      <c r="AI41" cm="1">
        <f t="array" ref="AI41">_xlfn.LET(
    _xlpm.vals,   _xlfn.HSTACK(S41,V41,Y41,AB41,AE41,AH41),
    _xlpm.ints,   _xlfn.HSTACK(R41,U41,X41,AA41,AD41,AG41),
    _xlpm.slopes, _xlfn.HSTACK(Q41,T41,W41,Z41,AC41,AF41),
    _xlpm.limit,  -0.00001*_xlpm.slopes + 0.1086*_xlpm.slopes + 63.253,
    _xlpm.mask,   (_xlpm.vals&gt;=0) * (_xlpm.ints&lt;=_xlpm.limit),
    _xlpm.validVals, _xlfn._xlws.FILTER(_xlpm.vals, _xlpm.mask),
    _xlpm.minVal, MIN(_xlpm.validVals),
    IFERROR( _xlfn.XMATCH(_xlpm.minVal, _xlpm.vals), "" )
)</f>
        <v>3</v>
      </c>
      <c r="AJ41" cm="1">
        <f t="array" ref="AJ41">_xlfn.LET(
    _xlpm.vals, CHOOSE({1,2,3,4,5,6}, S41, V41, Y41, AB41, AE41, AH41),
    _xlpm.slopes, CHOOSE({1,2,3,4,5,6}, Q41, T41, W41, Z41, AC41, AF41),
    _xlpm.ints, CHOOSE({1,2,3,4,5,6}, R41, U41, X41, AA41, AD41, AG41),
    _xlpm.limit, -0.00001*_xlpm.slopes + 0.1086*_xlpm.slopes + 63.253,
    _xlpm.valid, (_xlpm.vals &gt;= 0) * (_xlpm.ints &lt;= _xlpm.limit),
    _xlpm.target, MIN(_xlfn._xlws.FILTER(_xlpm.vals, _xlpm.valid)),
    IFERROR(
        _xlfn.XLOOKUP(_xlpm.target, _xlpm.vals, _xlpm.vals),
        CHOOSE({1,2,3,4,5,6}, S$1, V$1, Y$1, AB$1, AE$1, AH$1)
    )
)</f>
        <v>0.35382478836565973</v>
      </c>
    </row>
    <row r="42" spans="9:36" x14ac:dyDescent="0.45">
      <c r="I42">
        <v>40</v>
      </c>
      <c r="J42">
        <v>15.4</v>
      </c>
      <c r="K42">
        <f t="shared" si="1"/>
        <v>15.4</v>
      </c>
      <c r="L42">
        <f t="shared" si="0"/>
        <v>4.2777777777777779E-3</v>
      </c>
      <c r="M42">
        <v>4.0599999999999996</v>
      </c>
      <c r="N42">
        <f t="shared" si="2"/>
        <v>4.0599999999999996</v>
      </c>
      <c r="O42">
        <f t="shared" si="3"/>
        <v>200.12581492254498</v>
      </c>
      <c r="P42">
        <f t="shared" si="4"/>
        <v>640.40260775214392</v>
      </c>
      <c r="Q42">
        <f t="shared" si="5"/>
        <v>2933.0439435048193</v>
      </c>
      <c r="R42">
        <f t="shared" si="6"/>
        <v>13.218398661582139</v>
      </c>
      <c r="S42">
        <f t="shared" si="7"/>
        <v>1.1329000719438869</v>
      </c>
      <c r="T42">
        <f t="shared" si="8"/>
        <v>1895.591718946346</v>
      </c>
      <c r="U42">
        <f t="shared" si="9"/>
        <v>20.452792523664257</v>
      </c>
      <c r="V42">
        <f t="shared" si="10"/>
        <v>0.74794267434924899</v>
      </c>
      <c r="W42">
        <f t="shared" si="11"/>
        <v>1223.1689808065948</v>
      </c>
      <c r="X42">
        <f t="shared" si="12"/>
        <v>31.696474277511097</v>
      </c>
      <c r="Y42">
        <f t="shared" si="13"/>
        <v>0.64477477374294323</v>
      </c>
      <c r="Z42">
        <f t="shared" si="14"/>
        <v>6000</v>
      </c>
      <c r="AA42">
        <f t="shared" si="15"/>
        <v>6.4616906895309505</v>
      </c>
      <c r="AB42">
        <f t="shared" si="16"/>
        <v>6.7456305317453973</v>
      </c>
      <c r="AC42">
        <f t="shared" si="17"/>
        <v>6000</v>
      </c>
      <c r="AD42">
        <f t="shared" si="18"/>
        <v>6.4616906895309505</v>
      </c>
      <c r="AE42">
        <f t="shared" si="19"/>
        <v>6.7456305317453973</v>
      </c>
      <c r="AF42">
        <f t="shared" si="20"/>
        <v>6000</v>
      </c>
      <c r="AG42">
        <f t="shared" si="21"/>
        <v>6.4616906895309505</v>
      </c>
      <c r="AH42">
        <f t="shared" si="22"/>
        <v>6.7456305317453973</v>
      </c>
      <c r="AI42" cm="1">
        <f t="array" ref="AI42">_xlfn.LET(
    _xlpm.vals,   _xlfn.HSTACK(S42,V42,Y42,AB42,AE42,AH42),
    _xlpm.ints,   _xlfn.HSTACK(R42,U42,X42,AA42,AD42,AG42),
    _xlpm.slopes, _xlfn.HSTACK(Q42,T42,W42,Z42,AC42,AF42),
    _xlpm.limit,  -0.00001*_xlpm.slopes + 0.1086*_xlpm.slopes + 63.253,
    _xlpm.mask,   (_xlpm.vals&gt;=0) * (_xlpm.ints&lt;=_xlpm.limit),
    _xlpm.validVals, _xlfn._xlws.FILTER(_xlpm.vals, _xlpm.mask),
    _xlpm.minVal, MIN(_xlpm.validVals),
    IFERROR( _xlfn.XMATCH(_xlpm.minVal, _xlpm.vals), "" )
)</f>
        <v>3</v>
      </c>
      <c r="AJ42" cm="1">
        <f t="array" ref="AJ42">_xlfn.LET(
    _xlpm.vals, CHOOSE({1,2,3,4,5,6}, S42, V42, Y42, AB42, AE42, AH42),
    _xlpm.slopes, CHOOSE({1,2,3,4,5,6}, Q42, T42, W42, Z42, AC42, AF42),
    _xlpm.ints, CHOOSE({1,2,3,4,5,6}, R42, U42, X42, AA42, AD42, AG42),
    _xlpm.limit, -0.00001*_xlpm.slopes + 0.1086*_xlpm.slopes + 63.253,
    _xlpm.valid, (_xlpm.vals &gt;= 0) * (_xlpm.ints &lt;= _xlpm.limit),
    _xlpm.target, MIN(_xlfn._xlws.FILTER(_xlpm.vals, _xlpm.valid)),
    IFERROR(
        _xlfn.XLOOKUP(_xlpm.target, _xlpm.vals, _xlpm.vals),
        CHOOSE({1,2,3,4,5,6}, S$1, V$1, Y$1, AB$1, AE$1, AH$1)
    )
)</f>
        <v>0.64477477374294323</v>
      </c>
    </row>
    <row r="43" spans="9:36" x14ac:dyDescent="0.45">
      <c r="I43">
        <v>41</v>
      </c>
      <c r="J43">
        <v>15.6</v>
      </c>
      <c r="K43">
        <f t="shared" si="1"/>
        <v>15.6</v>
      </c>
      <c r="L43">
        <f t="shared" si="0"/>
        <v>4.3333333333333331E-3</v>
      </c>
      <c r="M43">
        <v>3.12</v>
      </c>
      <c r="N43">
        <f t="shared" si="2"/>
        <v>3.12</v>
      </c>
      <c r="O43">
        <f t="shared" si="3"/>
        <v>202.72485147998063</v>
      </c>
      <c r="P43">
        <f t="shared" si="4"/>
        <v>648.71952473593808</v>
      </c>
      <c r="Q43">
        <f t="shared" si="5"/>
        <v>2971.1354232905965</v>
      </c>
      <c r="R43">
        <f t="shared" si="6"/>
        <v>10.027750708786449</v>
      </c>
      <c r="S43">
        <f t="shared" si="7"/>
        <v>1.1067776005749266</v>
      </c>
      <c r="T43">
        <f t="shared" si="8"/>
        <v>1920.2097932183767</v>
      </c>
      <c r="U43">
        <f t="shared" si="9"/>
        <v>15.515911569676332</v>
      </c>
      <c r="V43">
        <f t="shared" si="10"/>
        <v>0.69003660923398069</v>
      </c>
      <c r="W43">
        <f t="shared" si="11"/>
        <v>1239.0542922456416</v>
      </c>
      <c r="X43">
        <f t="shared" si="12"/>
        <v>24.045601176042904</v>
      </c>
      <c r="Y43">
        <f t="shared" si="13"/>
        <v>0.57180699935692314</v>
      </c>
      <c r="Z43">
        <f t="shared" si="14"/>
        <v>6000</v>
      </c>
      <c r="AA43">
        <f t="shared" si="15"/>
        <v>4.9656342244671343</v>
      </c>
      <c r="AB43">
        <f t="shared" si="16"/>
        <v>6.7338617663527645</v>
      </c>
      <c r="AC43">
        <f t="shared" si="17"/>
        <v>6000</v>
      </c>
      <c r="AD43">
        <f t="shared" si="18"/>
        <v>4.9656342244671343</v>
      </c>
      <c r="AE43">
        <f t="shared" si="19"/>
        <v>6.7338617663527645</v>
      </c>
      <c r="AF43">
        <f t="shared" si="20"/>
        <v>6000</v>
      </c>
      <c r="AG43">
        <f t="shared" si="21"/>
        <v>4.9656342244671343</v>
      </c>
      <c r="AH43">
        <f t="shared" si="22"/>
        <v>6.7338617663527645</v>
      </c>
      <c r="AI43" cm="1">
        <f t="array" ref="AI43">_xlfn.LET(
    _xlpm.vals,   _xlfn.HSTACK(S43,V43,Y43,AB43,AE43,AH43),
    _xlpm.ints,   _xlfn.HSTACK(R43,U43,X43,AA43,AD43,AG43),
    _xlpm.slopes, _xlfn.HSTACK(Q43,T43,W43,Z43,AC43,AF43),
    _xlpm.limit,  -0.00001*_xlpm.slopes + 0.1086*_xlpm.slopes + 63.253,
    _xlpm.mask,   (_xlpm.vals&gt;=0) * (_xlpm.ints&lt;=_xlpm.limit),
    _xlpm.validVals, _xlfn._xlws.FILTER(_xlpm.vals, _xlpm.mask),
    _xlpm.minVal, MIN(_xlpm.validVals),
    IFERROR( _xlfn.XMATCH(_xlpm.minVal, _xlpm.vals), "" )
)</f>
        <v>3</v>
      </c>
      <c r="AJ43" cm="1">
        <f t="array" ref="AJ43">_xlfn.LET(
    _xlpm.vals, CHOOSE({1,2,3,4,5,6}, S43, V43, Y43, AB43, AE43, AH43),
    _xlpm.slopes, CHOOSE({1,2,3,4,5,6}, Q43, T43, W43, Z43, AC43, AF43),
    _xlpm.ints, CHOOSE({1,2,3,4,5,6}, R43, U43, X43, AA43, AD43, AG43),
    _xlpm.limit, -0.00001*_xlpm.slopes + 0.1086*_xlpm.slopes + 63.253,
    _xlpm.valid, (_xlpm.vals &gt;= 0) * (_xlpm.ints &lt;= _xlpm.limit),
    _xlpm.target, MIN(_xlfn._xlws.FILTER(_xlpm.vals, _xlpm.valid)),
    IFERROR(
        _xlfn.XLOOKUP(_xlpm.target, _xlpm.vals, _xlpm.vals),
        CHOOSE({1,2,3,4,5,6}, S$1, V$1, Y$1, AB$1, AE$1, AH$1)
    )
)</f>
        <v>0.57180699935692314</v>
      </c>
    </row>
    <row r="44" spans="9:36" x14ac:dyDescent="0.45">
      <c r="I44">
        <v>42</v>
      </c>
      <c r="J44">
        <v>16.3</v>
      </c>
      <c r="K44">
        <f t="shared" si="1"/>
        <v>16.3</v>
      </c>
      <c r="L44">
        <f t="shared" si="0"/>
        <v>4.5277777777777781E-3</v>
      </c>
      <c r="M44">
        <v>6.66</v>
      </c>
      <c r="N44">
        <f t="shared" si="2"/>
        <v>6.66</v>
      </c>
      <c r="O44">
        <f t="shared" si="3"/>
        <v>211.8214794310054</v>
      </c>
      <c r="P44">
        <f t="shared" si="4"/>
        <v>677.82873417921735</v>
      </c>
      <c r="Q44">
        <f t="shared" si="5"/>
        <v>3104.4556025408156</v>
      </c>
      <c r="R44">
        <f t="shared" si="6"/>
        <v>20.486141018563728</v>
      </c>
      <c r="S44">
        <f t="shared" si="7"/>
        <v>1.3799083930048861</v>
      </c>
      <c r="T44">
        <f t="shared" si="8"/>
        <v>2006.3730531704832</v>
      </c>
      <c r="U44">
        <f t="shared" si="9"/>
        <v>31.698150630074963</v>
      </c>
      <c r="V44">
        <f t="shared" si="10"/>
        <v>0.95634155115651998</v>
      </c>
      <c r="W44">
        <f t="shared" si="11"/>
        <v>1294.652882282305</v>
      </c>
      <c r="X44">
        <f t="shared" si="12"/>
        <v>49.123835531425073</v>
      </c>
      <c r="Y44">
        <f t="shared" si="13"/>
        <v>0.87554589525173021</v>
      </c>
      <c r="Z44">
        <f t="shared" si="14"/>
        <v>6000</v>
      </c>
      <c r="AA44">
        <f t="shared" si="15"/>
        <v>10.599719209920229</v>
      </c>
      <c r="AB44">
        <f t="shared" si="16"/>
        <v>6.7819048393581429</v>
      </c>
      <c r="AC44">
        <f t="shared" si="17"/>
        <v>6000</v>
      </c>
      <c r="AD44">
        <f t="shared" si="18"/>
        <v>10.599719209920229</v>
      </c>
      <c r="AE44">
        <f t="shared" si="19"/>
        <v>6.7819048393581429</v>
      </c>
      <c r="AF44">
        <f t="shared" si="20"/>
        <v>6000</v>
      </c>
      <c r="AG44">
        <f t="shared" si="21"/>
        <v>10.599719209920229</v>
      </c>
      <c r="AH44">
        <f t="shared" si="22"/>
        <v>6.7819048393581429</v>
      </c>
      <c r="AI44" cm="1">
        <f t="array" ref="AI44">_xlfn.LET(
    _xlpm.vals,   _xlfn.HSTACK(S44,V44,Y44,AB44,AE44,AH44),
    _xlpm.ints,   _xlfn.HSTACK(R44,U44,X44,AA44,AD44,AG44),
    _xlpm.slopes, _xlfn.HSTACK(Q44,T44,W44,Z44,AC44,AF44),
    _xlpm.limit,  -0.00001*_xlpm.slopes + 0.1086*_xlpm.slopes + 63.253,
    _xlpm.mask,   (_xlpm.vals&gt;=0) * (_xlpm.ints&lt;=_xlpm.limit),
    _xlpm.validVals, _xlfn._xlws.FILTER(_xlpm.vals, _xlpm.mask),
    _xlpm.minVal, MIN(_xlpm.validVals),
    IFERROR( _xlfn.XMATCH(_xlpm.minVal, _xlpm.vals), "" )
)</f>
        <v>3</v>
      </c>
      <c r="AJ44" cm="1">
        <f t="array" ref="AJ44">_xlfn.LET(
    _xlpm.vals, CHOOSE({1,2,3,4,5,6}, S44, V44, Y44, AB44, AE44, AH44),
    _xlpm.slopes, CHOOSE({1,2,3,4,5,6}, Q44, T44, W44, Z44, AC44, AF44),
    _xlpm.ints, CHOOSE({1,2,3,4,5,6}, R44, U44, X44, AA44, AD44, AG44),
    _xlpm.limit, -0.00001*_xlpm.slopes + 0.1086*_xlpm.slopes + 63.253,
    _xlpm.valid, (_xlpm.vals &gt;= 0) * (_xlpm.ints &lt;= _xlpm.limit),
    _xlpm.target, MIN(_xlfn._xlws.FILTER(_xlpm.vals, _xlpm.valid)),
    IFERROR(
        _xlfn.XLOOKUP(_xlpm.target, _xlpm.vals, _xlpm.vals),
        CHOOSE({1,2,3,4,5,6}, S$1, V$1, Y$1, AB$1, AE$1, AH$1)
    )
)</f>
        <v>0.87554589525173021</v>
      </c>
    </row>
    <row r="45" spans="9:36" x14ac:dyDescent="0.45">
      <c r="I45">
        <v>43</v>
      </c>
      <c r="J45">
        <v>17.7</v>
      </c>
      <c r="K45">
        <f t="shared" si="1"/>
        <v>17.7</v>
      </c>
      <c r="L45">
        <f t="shared" si="0"/>
        <v>4.9166666666666664E-3</v>
      </c>
      <c r="M45">
        <v>8.58</v>
      </c>
      <c r="N45">
        <f t="shared" si="2"/>
        <v>8.58</v>
      </c>
      <c r="O45">
        <f t="shared" si="3"/>
        <v>230.01473533305492</v>
      </c>
      <c r="P45">
        <f t="shared" si="4"/>
        <v>736.04715306577577</v>
      </c>
      <c r="Q45">
        <f t="shared" si="5"/>
        <v>3371.0959610412533</v>
      </c>
      <c r="R45">
        <f t="shared" si="6"/>
        <v>24.304548328075633</v>
      </c>
      <c r="S45">
        <f t="shared" si="7"/>
        <v>1.6736358713878365</v>
      </c>
      <c r="T45">
        <f t="shared" si="8"/>
        <v>2178.6995730746962</v>
      </c>
      <c r="U45">
        <f t="shared" si="9"/>
        <v>37.606361940062982</v>
      </c>
      <c r="V45">
        <f t="shared" si="10"/>
        <v>1.132710478415702</v>
      </c>
      <c r="W45">
        <f t="shared" si="11"/>
        <v>1405.8500623556317</v>
      </c>
      <c r="X45">
        <f t="shared" si="12"/>
        <v>58.280016409731118</v>
      </c>
      <c r="Y45">
        <f t="shared" si="13"/>
        <v>1.0536300108163892</v>
      </c>
      <c r="Z45">
        <f t="shared" si="14"/>
        <v>1059.907900414717</v>
      </c>
      <c r="AA45">
        <f t="shared" si="15"/>
        <v>77.301966210129464</v>
      </c>
      <c r="AB45">
        <f t="shared" si="16"/>
        <v>1.0402521149244355</v>
      </c>
      <c r="AC45">
        <f t="shared" si="17"/>
        <v>6000</v>
      </c>
      <c r="AD45">
        <f t="shared" si="18"/>
        <v>13.65549411728462</v>
      </c>
      <c r="AE45">
        <f t="shared" si="19"/>
        <v>6.8121354185447025</v>
      </c>
      <c r="AF45">
        <f t="shared" si="20"/>
        <v>6000</v>
      </c>
      <c r="AG45">
        <f t="shared" si="21"/>
        <v>13.65549411728462</v>
      </c>
      <c r="AH45">
        <f t="shared" si="22"/>
        <v>6.8121354185447025</v>
      </c>
      <c r="AI45" cm="1">
        <f t="array" ref="AI45">_xlfn.LET(
    _xlpm.vals,   _xlfn.HSTACK(S45,V45,Y45,AB45,AE45,AH45),
    _xlpm.ints,   _xlfn.HSTACK(R45,U45,X45,AA45,AD45,AG45),
    _xlpm.slopes, _xlfn.HSTACK(Q45,T45,W45,Z45,AC45,AF45),
    _xlpm.limit,  -0.00001*_xlpm.slopes + 0.1086*_xlpm.slopes + 63.253,
    _xlpm.mask,   (_xlpm.vals&gt;=0) * (_xlpm.ints&lt;=_xlpm.limit),
    _xlpm.validVals, _xlfn._xlws.FILTER(_xlpm.vals, _xlpm.mask),
    _xlpm.minVal, MIN(_xlpm.validVals),
    IFERROR( _xlfn.XMATCH(_xlpm.minVal, _xlpm.vals), "" )
)</f>
        <v>4</v>
      </c>
      <c r="AJ45" cm="1">
        <f t="array" ref="AJ45">_xlfn.LET(
    _xlpm.vals, CHOOSE({1,2,3,4,5,6}, S45, V45, Y45, AB45, AE45, AH45),
    _xlpm.slopes, CHOOSE({1,2,3,4,5,6}, Q45, T45, W45, Z45, AC45, AF45),
    _xlpm.ints, CHOOSE({1,2,3,4,5,6}, R45, U45, X45, AA45, AD45, AG45),
    _xlpm.limit, -0.00001*_xlpm.slopes + 0.1086*_xlpm.slopes + 63.253,
    _xlpm.valid, (_xlpm.vals &gt;= 0) * (_xlpm.ints &lt;= _xlpm.limit),
    _xlpm.target, MIN(_xlfn._xlws.FILTER(_xlpm.vals, _xlpm.valid)),
    IFERROR(
        _xlfn.XLOOKUP(_xlpm.target, _xlpm.vals, _xlpm.vals),
        CHOOSE({1,2,3,4,5,6}, S$1, V$1, Y$1, AB$1, AE$1, AH$1)
    )
)</f>
        <v>1.0402521149244355</v>
      </c>
    </row>
    <row r="46" spans="9:36" x14ac:dyDescent="0.45">
      <c r="I46">
        <v>44</v>
      </c>
      <c r="J46">
        <v>19.5</v>
      </c>
      <c r="K46">
        <f t="shared" si="1"/>
        <v>19.5</v>
      </c>
      <c r="L46">
        <f t="shared" si="0"/>
        <v>5.4166666666666669E-3</v>
      </c>
      <c r="M46">
        <v>13.73</v>
      </c>
      <c r="N46">
        <f t="shared" si="2"/>
        <v>13.73</v>
      </c>
      <c r="O46">
        <f t="shared" si="3"/>
        <v>253.40606434997582</v>
      </c>
      <c r="P46">
        <f t="shared" si="4"/>
        <v>810.89940591992263</v>
      </c>
      <c r="Q46">
        <f t="shared" si="5"/>
        <v>3713.9192791132459</v>
      </c>
      <c r="R46">
        <f t="shared" si="6"/>
        <v>35.302824931189221</v>
      </c>
      <c r="S46">
        <f t="shared" si="7"/>
        <v>2.2475509798624222</v>
      </c>
      <c r="T46">
        <f t="shared" si="8"/>
        <v>2400.2622415229707</v>
      </c>
      <c r="U46">
        <f t="shared" si="9"/>
        <v>54.623965602988733</v>
      </c>
      <c r="V46">
        <f t="shared" si="10"/>
        <v>1.5712293021359391</v>
      </c>
      <c r="W46">
        <f t="shared" si="11"/>
        <v>1548.8178653070522</v>
      </c>
      <c r="X46">
        <f t="shared" si="12"/>
        <v>84.652847217197191</v>
      </c>
      <c r="Y46">
        <f t="shared" si="13"/>
        <v>1.5222759263897168</v>
      </c>
      <c r="Z46">
        <f t="shared" si="14"/>
        <v>1167.6951445246884</v>
      </c>
      <c r="AA46">
        <f t="shared" si="15"/>
        <v>112.28259596169906</v>
      </c>
      <c r="AB46">
        <f t="shared" si="16"/>
        <v>1.4906682170742807</v>
      </c>
      <c r="AC46">
        <f t="shared" si="17"/>
        <v>6000</v>
      </c>
      <c r="AD46">
        <f t="shared" si="18"/>
        <v>21.85197368651723</v>
      </c>
      <c r="AE46">
        <f t="shared" si="19"/>
        <v>6.9071758856481322</v>
      </c>
      <c r="AF46">
        <f t="shared" si="20"/>
        <v>6000</v>
      </c>
      <c r="AG46">
        <f t="shared" si="21"/>
        <v>21.85197368651723</v>
      </c>
      <c r="AH46">
        <f t="shared" si="22"/>
        <v>6.9071758856481322</v>
      </c>
      <c r="AI46" cm="1">
        <f t="array" ref="AI46">_xlfn.LET(
    _xlpm.vals,   _xlfn.HSTACK(S46,V46,Y46,AB46,AE46,AH46),
    _xlpm.ints,   _xlfn.HSTACK(R46,U46,X46,AA46,AD46,AG46),
    _xlpm.slopes, _xlfn.HSTACK(Q46,T46,W46,Z46,AC46,AF46),
    _xlpm.limit,  -0.00001*_xlpm.slopes + 0.1086*_xlpm.slopes + 63.253,
    _xlpm.mask,   (_xlpm.vals&gt;=0) * (_xlpm.ints&lt;=_xlpm.limit),
    _xlpm.validVals, _xlfn._xlws.FILTER(_xlpm.vals, _xlpm.mask),
    _xlpm.minVal, MIN(_xlpm.validVals),
    IFERROR( _xlfn.XMATCH(_xlpm.minVal, _xlpm.vals), "" )
)</f>
        <v>4</v>
      </c>
      <c r="AJ46" cm="1">
        <f t="array" ref="AJ46">_xlfn.LET(
    _xlpm.vals, CHOOSE({1,2,3,4,5,6}, S46, V46, Y46, AB46, AE46, AH46),
    _xlpm.slopes, CHOOSE({1,2,3,4,5,6}, Q46, T46, W46, Z46, AC46, AF46),
    _xlpm.ints, CHOOSE({1,2,3,4,5,6}, R46, U46, X46, AA46, AD46, AG46),
    _xlpm.limit, -0.00001*_xlpm.slopes + 0.1086*_xlpm.slopes + 63.253,
    _xlpm.valid, (_xlpm.vals &gt;= 0) * (_xlpm.ints &lt;= _xlpm.limit),
    _xlpm.target, MIN(_xlfn._xlws.FILTER(_xlpm.vals, _xlpm.valid)),
    IFERROR(
        _xlfn.XLOOKUP(_xlpm.target, _xlpm.vals, _xlpm.vals),
        CHOOSE({1,2,3,4,5,6}, S$1, V$1, Y$1, AB$1, AE$1, AH$1)
    )
)</f>
        <v>1.4906682170742807</v>
      </c>
    </row>
    <row r="47" spans="9:36" x14ac:dyDescent="0.45">
      <c r="I47">
        <v>45</v>
      </c>
      <c r="J47">
        <v>21.2</v>
      </c>
      <c r="K47">
        <f t="shared" si="1"/>
        <v>21.2</v>
      </c>
      <c r="L47">
        <f t="shared" si="0"/>
        <v>5.8888888888888888E-3</v>
      </c>
      <c r="M47">
        <v>14.5</v>
      </c>
      <c r="N47">
        <f t="shared" si="2"/>
        <v>14.5</v>
      </c>
      <c r="O47">
        <f t="shared" si="3"/>
        <v>275.49787508817877</v>
      </c>
      <c r="P47">
        <f t="shared" si="4"/>
        <v>881.59320028217212</v>
      </c>
      <c r="Q47">
        <f t="shared" si="5"/>
        <v>4037.6968572923483</v>
      </c>
      <c r="R47">
        <f t="shared" si="6"/>
        <v>34.293015395614042</v>
      </c>
      <c r="S47">
        <f t="shared" si="7"/>
        <v>2.6285990259120422</v>
      </c>
      <c r="T47">
        <f t="shared" si="8"/>
        <v>2609.5158728352294</v>
      </c>
      <c r="U47">
        <f t="shared" si="9"/>
        <v>53.06149003780822</v>
      </c>
      <c r="V47">
        <f t="shared" si="10"/>
        <v>1.6754801204854233</v>
      </c>
      <c r="W47">
        <f t="shared" si="11"/>
        <v>1683.8430125389486</v>
      </c>
      <c r="X47">
        <f t="shared" si="12"/>
        <v>82.231419116184469</v>
      </c>
      <c r="Y47">
        <f t="shared" si="13"/>
        <v>1.5906701673793477</v>
      </c>
      <c r="Z47">
        <f t="shared" si="14"/>
        <v>1269.4942084063277</v>
      </c>
      <c r="AA47">
        <f t="shared" si="15"/>
        <v>109.07084063327245</v>
      </c>
      <c r="AB47">
        <f t="shared" si="16"/>
        <v>1.5723923904522892</v>
      </c>
      <c r="AC47">
        <f t="shared" si="17"/>
        <v>6000</v>
      </c>
      <c r="AD47">
        <f t="shared" si="18"/>
        <v>23.077466748324824</v>
      </c>
      <c r="AE47">
        <f t="shared" si="19"/>
        <v>6.9230825837626844</v>
      </c>
      <c r="AF47">
        <f t="shared" si="20"/>
        <v>6000</v>
      </c>
      <c r="AG47">
        <f t="shared" si="21"/>
        <v>23.077466748324824</v>
      </c>
      <c r="AH47">
        <f t="shared" si="22"/>
        <v>6.9230825837626844</v>
      </c>
      <c r="AI47" cm="1">
        <f t="array" ref="AI47">_xlfn.LET(
    _xlpm.vals,   _xlfn.HSTACK(S47,V47,Y47,AB47,AE47,AH47),
    _xlpm.ints,   _xlfn.HSTACK(R47,U47,X47,AA47,AD47,AG47),
    _xlpm.slopes, _xlfn.HSTACK(Q47,T47,W47,Z47,AC47,AF47),
    _xlpm.limit,  -0.00001*_xlpm.slopes + 0.1086*_xlpm.slopes + 63.253,
    _xlpm.mask,   (_xlpm.vals&gt;=0) * (_xlpm.ints&lt;=_xlpm.limit),
    _xlpm.validVals, _xlfn._xlws.FILTER(_xlpm.vals, _xlpm.mask),
    _xlpm.minVal, MIN(_xlpm.validVals),
    IFERROR( _xlfn.XMATCH(_xlpm.minVal, _xlpm.vals), "" )
)</f>
        <v>4</v>
      </c>
      <c r="AJ47" cm="1">
        <f t="array" ref="AJ47">_xlfn.LET(
    _xlpm.vals, CHOOSE({1,2,3,4,5,6}, S47, V47, Y47, AB47, AE47, AH47),
    _xlpm.slopes, CHOOSE({1,2,3,4,5,6}, Q47, T47, W47, Z47, AC47, AF47),
    _xlpm.ints, CHOOSE({1,2,3,4,5,6}, R47, U47, X47, AA47, AD47, AG47),
    _xlpm.limit, -0.00001*_xlpm.slopes + 0.1086*_xlpm.slopes + 63.253,
    _xlpm.valid, (_xlpm.vals &gt;= 0) * (_xlpm.ints &lt;= _xlpm.limit),
    _xlpm.target, MIN(_xlfn._xlws.FILTER(_xlpm.vals, _xlpm.valid)),
    IFERROR(
        _xlfn.XLOOKUP(_xlpm.target, _xlpm.vals, _xlpm.vals),
        CHOOSE({1,2,3,4,5,6}, S$1, V$1, Y$1, AB$1, AE$1, AH$1)
    )
)</f>
        <v>1.5723923904522892</v>
      </c>
    </row>
    <row r="48" spans="9:36" x14ac:dyDescent="0.45">
      <c r="I48">
        <v>46</v>
      </c>
      <c r="J48">
        <v>22.6</v>
      </c>
      <c r="K48">
        <f t="shared" si="1"/>
        <v>22.6</v>
      </c>
      <c r="L48">
        <f t="shared" si="0"/>
        <v>6.277777777777778E-3</v>
      </c>
      <c r="M48">
        <v>14.57</v>
      </c>
      <c r="N48">
        <f t="shared" si="2"/>
        <v>14.57</v>
      </c>
      <c r="O48">
        <f t="shared" si="3"/>
        <v>293.69113099022837</v>
      </c>
      <c r="P48">
        <f t="shared" si="4"/>
        <v>939.81161916873089</v>
      </c>
      <c r="Q48">
        <f t="shared" si="5"/>
        <v>4304.3372157927879</v>
      </c>
      <c r="R48">
        <f t="shared" si="6"/>
        <v>32.323966333411185</v>
      </c>
      <c r="S48">
        <f t="shared" si="7"/>
        <v>2.976557711835619</v>
      </c>
      <c r="T48">
        <f t="shared" si="8"/>
        <v>2781.8423927394433</v>
      </c>
      <c r="U48">
        <f t="shared" si="9"/>
        <v>50.014785745615967</v>
      </c>
      <c r="V48">
        <f t="shared" si="10"/>
        <v>1.7309322254084234</v>
      </c>
      <c r="W48">
        <f t="shared" si="11"/>
        <v>1795.0401926122759</v>
      </c>
      <c r="X48">
        <f t="shared" si="12"/>
        <v>77.509825029855094</v>
      </c>
      <c r="Y48">
        <f t="shared" si="13"/>
        <v>1.5964200423183286</v>
      </c>
      <c r="Z48">
        <f t="shared" si="14"/>
        <v>1353.3287316029723</v>
      </c>
      <c r="AA48">
        <f t="shared" si="15"/>
        <v>102.80817069932171</v>
      </c>
      <c r="AB48">
        <f t="shared" si="16"/>
        <v>1.5892911725467083</v>
      </c>
      <c r="AC48">
        <f t="shared" si="17"/>
        <v>6000</v>
      </c>
      <c r="AD48">
        <f t="shared" si="18"/>
        <v>23.188875208489151</v>
      </c>
      <c r="AE48">
        <f t="shared" si="19"/>
        <v>6.9245500404145774</v>
      </c>
      <c r="AF48">
        <f t="shared" si="20"/>
        <v>6000</v>
      </c>
      <c r="AG48">
        <f t="shared" si="21"/>
        <v>23.188875208489151</v>
      </c>
      <c r="AH48">
        <f t="shared" si="22"/>
        <v>6.9245500404145774</v>
      </c>
      <c r="AI48" cm="1">
        <f t="array" ref="AI48">_xlfn.LET(
    _xlpm.vals,   _xlfn.HSTACK(S48,V48,Y48,AB48,AE48,AH48),
    _xlpm.ints,   _xlfn.HSTACK(R48,U48,X48,AA48,AD48,AG48),
    _xlpm.slopes, _xlfn.HSTACK(Q48,T48,W48,Z48,AC48,AF48),
    _xlpm.limit,  -0.00001*_xlpm.slopes + 0.1086*_xlpm.slopes + 63.253,
    _xlpm.mask,   (_xlpm.vals&gt;=0) * (_xlpm.ints&lt;=_xlpm.limit),
    _xlpm.validVals, _xlfn._xlws.FILTER(_xlpm.vals, _xlpm.mask),
    _xlpm.minVal, MIN(_xlpm.validVals),
    IFERROR( _xlfn.XMATCH(_xlpm.minVal, _xlpm.vals), "" )
)</f>
        <v>4</v>
      </c>
      <c r="AJ48" cm="1">
        <f t="array" ref="AJ48">_xlfn.LET(
    _xlpm.vals, CHOOSE({1,2,3,4,5,6}, S48, V48, Y48, AB48, AE48, AH48),
    _xlpm.slopes, CHOOSE({1,2,3,4,5,6}, Q48, T48, W48, Z48, AC48, AF48),
    _xlpm.ints, CHOOSE({1,2,3,4,5,6}, R48, U48, X48, AA48, AD48, AG48),
    _xlpm.limit, -0.00001*_xlpm.slopes + 0.1086*_xlpm.slopes + 63.253,
    _xlpm.valid, (_xlpm.vals &gt;= 0) * (_xlpm.ints &lt;= _xlpm.limit),
    _xlpm.target, MIN(_xlfn._xlws.FILTER(_xlpm.vals, _xlpm.valid)),
    IFERROR(
        _xlfn.XLOOKUP(_xlpm.target, _xlpm.vals, _xlpm.vals),
        CHOOSE({1,2,3,4,5,6}, S$1, V$1, Y$1, AB$1, AE$1, AH$1)
    )
)</f>
        <v>1.5892911725467083</v>
      </c>
    </row>
    <row r="49" spans="1:36" x14ac:dyDescent="0.45">
      <c r="I49">
        <v>47</v>
      </c>
      <c r="J49">
        <v>23</v>
      </c>
      <c r="K49">
        <f t="shared" si="1"/>
        <v>23</v>
      </c>
      <c r="L49">
        <f t="shared" si="0"/>
        <v>6.3888888888888893E-3</v>
      </c>
      <c r="M49">
        <v>6.75</v>
      </c>
      <c r="N49">
        <f t="shared" si="2"/>
        <v>6.75</v>
      </c>
      <c r="O49">
        <f t="shared" si="3"/>
        <v>298.88920410509962</v>
      </c>
      <c r="P49">
        <f t="shared" si="4"/>
        <v>956.44545313631886</v>
      </c>
      <c r="Q49">
        <f t="shared" si="5"/>
        <v>4380.5201753643405</v>
      </c>
      <c r="R49">
        <f t="shared" si="6"/>
        <v>14.714634192240988</v>
      </c>
      <c r="S49">
        <f t="shared" si="7"/>
        <v>2.7638107669582359</v>
      </c>
      <c r="T49">
        <f t="shared" si="8"/>
        <v>2831.0785412835039</v>
      </c>
      <c r="U49">
        <f t="shared" si="9"/>
        <v>22.767913716372878</v>
      </c>
      <c r="V49">
        <f t="shared" si="10"/>
        <v>1.2302359943920496</v>
      </c>
      <c r="W49">
        <f t="shared" si="11"/>
        <v>1826.8108154903689</v>
      </c>
      <c r="X49">
        <f t="shared" si="12"/>
        <v>35.284306073541217</v>
      </c>
      <c r="Y49">
        <f t="shared" si="13"/>
        <v>0.93400223177203312</v>
      </c>
      <c r="Z49">
        <f t="shared" si="14"/>
        <v>1377.2814525162992</v>
      </c>
      <c r="AA49">
        <f t="shared" si="15"/>
        <v>46.800711528099811</v>
      </c>
      <c r="AB49">
        <f t="shared" si="16"/>
        <v>0.88895919305172855</v>
      </c>
      <c r="AC49">
        <f t="shared" si="17"/>
        <v>6000</v>
      </c>
      <c r="AD49">
        <f t="shared" si="18"/>
        <v>10.742958658702936</v>
      </c>
      <c r="AE49">
        <f t="shared" si="19"/>
        <v>6.7832571695917743</v>
      </c>
      <c r="AF49">
        <f t="shared" si="20"/>
        <v>6000</v>
      </c>
      <c r="AG49">
        <f t="shared" si="21"/>
        <v>10.742958658702936</v>
      </c>
      <c r="AH49">
        <f t="shared" si="22"/>
        <v>6.7832571695917743</v>
      </c>
      <c r="AI49" cm="1">
        <f t="array" ref="AI49">_xlfn.LET(
    _xlpm.vals,   _xlfn.HSTACK(S49,V49,Y49,AB49,AE49,AH49),
    _xlpm.ints,   _xlfn.HSTACK(R49,U49,X49,AA49,AD49,AG49),
    _xlpm.slopes, _xlfn.HSTACK(Q49,T49,W49,Z49,AC49,AF49),
    _xlpm.limit,  -0.00001*_xlpm.slopes + 0.1086*_xlpm.slopes + 63.253,
    _xlpm.mask,   (_xlpm.vals&gt;=0) * (_xlpm.ints&lt;=_xlpm.limit),
    _xlpm.validVals, _xlfn._xlws.FILTER(_xlpm.vals, _xlpm.mask),
    _xlpm.minVal, MIN(_xlpm.validVals),
    IFERROR( _xlfn.XMATCH(_xlpm.minVal, _xlpm.vals), "" )
)</f>
        <v>4</v>
      </c>
      <c r="AJ49" cm="1">
        <f t="array" ref="AJ49">_xlfn.LET(
    _xlpm.vals, CHOOSE({1,2,3,4,5,6}, S49, V49, Y49, AB49, AE49, AH49),
    _xlpm.slopes, CHOOSE({1,2,3,4,5,6}, Q49, T49, W49, Z49, AC49, AF49),
    _xlpm.ints, CHOOSE({1,2,3,4,5,6}, R49, U49, X49, AA49, AD49, AG49),
    _xlpm.limit, -0.00001*_xlpm.slopes + 0.1086*_xlpm.slopes + 63.253,
    _xlpm.valid, (_xlpm.vals &gt;= 0) * (_xlpm.ints &lt;= _xlpm.limit),
    _xlpm.target, MIN(_xlfn._xlws.FILTER(_xlpm.vals, _xlpm.valid)),
    IFERROR(
        _xlfn.XLOOKUP(_xlpm.target, _xlpm.vals, _xlpm.vals),
        CHOOSE({1,2,3,4,5,6}, S$1, V$1, Y$1, AB$1, AE$1, AH$1)
    )
)</f>
        <v>0.88895919305172855</v>
      </c>
    </row>
    <row r="50" spans="1:36" x14ac:dyDescent="0.45">
      <c r="I50">
        <v>48</v>
      </c>
      <c r="J50">
        <v>22.9</v>
      </c>
      <c r="K50">
        <f t="shared" si="1"/>
        <v>22.9</v>
      </c>
      <c r="L50">
        <f t="shared" si="0"/>
        <v>6.3611111111111108E-3</v>
      </c>
      <c r="M50">
        <v>2.09</v>
      </c>
      <c r="N50">
        <f t="shared" si="2"/>
        <v>2.09</v>
      </c>
      <c r="O50">
        <f t="shared" si="3"/>
        <v>297.58968582638181</v>
      </c>
      <c r="P50">
        <f t="shared" si="4"/>
        <v>952.28699464442184</v>
      </c>
      <c r="Q50">
        <f t="shared" si="5"/>
        <v>4361.4744354714521</v>
      </c>
      <c r="R50">
        <f t="shared" si="6"/>
        <v>4.5759823103414154</v>
      </c>
      <c r="S50">
        <f t="shared" si="7"/>
        <v>2.5721511154587606</v>
      </c>
      <c r="T50">
        <f t="shared" si="8"/>
        <v>2818.7695041474885</v>
      </c>
      <c r="U50">
        <f t="shared" si="9"/>
        <v>7.0804050612715148</v>
      </c>
      <c r="V50">
        <f t="shared" si="10"/>
        <v>0.96480942834460071</v>
      </c>
      <c r="W50">
        <f t="shared" si="11"/>
        <v>1818.8681597708455</v>
      </c>
      <c r="X50">
        <f t="shared" si="12"/>
        <v>10.972774335792504</v>
      </c>
      <c r="Y50">
        <f t="shared" si="13"/>
        <v>0.60099723784216741</v>
      </c>
      <c r="Z50">
        <f t="shared" si="14"/>
        <v>1371.2932722879673</v>
      </c>
      <c r="AA50">
        <f t="shared" si="15"/>
        <v>14.554165959280336</v>
      </c>
      <c r="AB50">
        <f t="shared" si="16"/>
        <v>0.51678616007246647</v>
      </c>
      <c r="AC50">
        <f t="shared" si="17"/>
        <v>6000</v>
      </c>
      <c r="AD50">
        <f t="shared" si="18"/>
        <v>3.3263383106206126</v>
      </c>
      <c r="AE50">
        <f t="shared" si="19"/>
        <v>6.7217998409517543</v>
      </c>
      <c r="AF50">
        <f t="shared" si="20"/>
        <v>6000</v>
      </c>
      <c r="AG50">
        <f t="shared" si="21"/>
        <v>3.3263383106206126</v>
      </c>
      <c r="AH50">
        <f t="shared" si="22"/>
        <v>6.7217998409517543</v>
      </c>
      <c r="AI50" cm="1">
        <f t="array" ref="AI50">_xlfn.LET(
    _xlpm.vals,   _xlfn.HSTACK(S50,V50,Y50,AB50,AE50,AH50),
    _xlpm.ints,   _xlfn.HSTACK(R50,U50,X50,AA50,AD50,AG50),
    _xlpm.slopes, _xlfn.HSTACK(Q50,T50,W50,Z50,AC50,AF50),
    _xlpm.limit,  -0.00001*_xlpm.slopes + 0.1086*_xlpm.slopes + 63.253,
    _xlpm.mask,   (_xlpm.vals&gt;=0) * (_xlpm.ints&lt;=_xlpm.limit),
    _xlpm.validVals, _xlfn._xlws.FILTER(_xlpm.vals, _xlpm.mask),
    _xlpm.minVal, MIN(_xlpm.validVals),
    IFERROR( _xlfn.XMATCH(_xlpm.minVal, _xlpm.vals), "" )
)</f>
        <v>4</v>
      </c>
      <c r="AJ50" cm="1">
        <f t="array" ref="AJ50">_xlfn.LET(
    _xlpm.vals, CHOOSE({1,2,3,4,5,6}, S50, V50, Y50, AB50, AE50, AH50),
    _xlpm.slopes, CHOOSE({1,2,3,4,5,6}, Q50, T50, W50, Z50, AC50, AF50),
    _xlpm.ints, CHOOSE({1,2,3,4,5,6}, R50, U50, X50, AA50, AD50, AG50),
    _xlpm.limit, -0.00001*_xlpm.slopes + 0.1086*_xlpm.slopes + 63.253,
    _xlpm.valid, (_xlpm.vals &gt;= 0) * (_xlpm.ints &lt;= _xlpm.limit),
    _xlpm.target, MIN(_xlfn._xlws.FILTER(_xlpm.vals, _xlpm.valid)),
    IFERROR(
        _xlfn.XLOOKUP(_xlpm.target, _xlpm.vals, _xlpm.vals),
        CHOOSE({1,2,3,4,5,6}, S$1, V$1, Y$1, AB$1, AE$1, AH$1)
    )
)</f>
        <v>0.51678616007246647</v>
      </c>
    </row>
    <row r="51" spans="1:36" x14ac:dyDescent="0.45">
      <c r="I51">
        <v>49</v>
      </c>
      <c r="J51">
        <v>22.7</v>
      </c>
      <c r="K51">
        <f t="shared" si="1"/>
        <v>22.7</v>
      </c>
      <c r="L51">
        <f t="shared" si="0"/>
        <v>6.3055555555555556E-3</v>
      </c>
      <c r="M51">
        <v>1.73</v>
      </c>
      <c r="N51">
        <f t="shared" si="2"/>
        <v>1.73</v>
      </c>
      <c r="O51">
        <f t="shared" si="3"/>
        <v>294.99064926894619</v>
      </c>
      <c r="P51">
        <f t="shared" si="4"/>
        <v>943.97007766062779</v>
      </c>
      <c r="Q51">
        <f t="shared" si="5"/>
        <v>4323.3829556856754</v>
      </c>
      <c r="R51">
        <f t="shared" si="6"/>
        <v>3.8211472965199471</v>
      </c>
      <c r="S51">
        <f t="shared" si="7"/>
        <v>2.4986958553555541</v>
      </c>
      <c r="T51">
        <f t="shared" si="8"/>
        <v>2794.1514298754582</v>
      </c>
      <c r="U51">
        <f t="shared" si="9"/>
        <v>5.9124508844801884</v>
      </c>
      <c r="V51">
        <f t="shared" si="10"/>
        <v>0.93299934983347366</v>
      </c>
      <c r="W51">
        <f t="shared" si="11"/>
        <v>1802.982848331799</v>
      </c>
      <c r="X51">
        <f t="shared" si="12"/>
        <v>9.1627511089326479</v>
      </c>
      <c r="Y51">
        <f t="shared" si="13"/>
        <v>0.57494895947801328</v>
      </c>
      <c r="Z51">
        <f t="shared" si="14"/>
        <v>1359.316911831304</v>
      </c>
      <c r="AA51">
        <f t="shared" si="15"/>
        <v>12.153371262542612</v>
      </c>
      <c r="AB51">
        <f t="shared" si="16"/>
        <v>0.49020720830804954</v>
      </c>
      <c r="AC51">
        <f t="shared" si="17"/>
        <v>6000</v>
      </c>
      <c r="AD51">
        <f t="shared" si="18"/>
        <v>2.7533805154897895</v>
      </c>
      <c r="AE51">
        <f t="shared" si="19"/>
        <v>6.7177912417059424</v>
      </c>
      <c r="AF51">
        <f t="shared" si="20"/>
        <v>6000</v>
      </c>
      <c r="AG51">
        <f t="shared" si="21"/>
        <v>2.7533805154897895</v>
      </c>
      <c r="AH51">
        <f t="shared" si="22"/>
        <v>6.7177912417059424</v>
      </c>
      <c r="AI51" cm="1">
        <f t="array" ref="AI51">_xlfn.LET(
    _xlpm.vals,   _xlfn.HSTACK(S51,V51,Y51,AB51,AE51,AH51),
    _xlpm.ints,   _xlfn.HSTACK(R51,U51,X51,AA51,AD51,AG51),
    _xlpm.slopes, _xlfn.HSTACK(Q51,T51,W51,Z51,AC51,AF51),
    _xlpm.limit,  -0.00001*_xlpm.slopes + 0.1086*_xlpm.slopes + 63.253,
    _xlpm.mask,   (_xlpm.vals&gt;=0) * (_xlpm.ints&lt;=_xlpm.limit),
    _xlpm.validVals, _xlfn._xlws.FILTER(_xlpm.vals, _xlpm.mask),
    _xlpm.minVal, MIN(_xlpm.validVals),
    IFERROR( _xlfn.XMATCH(_xlpm.minVal, _xlpm.vals), "" )
)</f>
        <v>4</v>
      </c>
      <c r="AJ51" cm="1">
        <f t="array" ref="AJ51">_xlfn.LET(
    _xlpm.vals, CHOOSE({1,2,3,4,5,6}, S51, V51, Y51, AB51, AE51, AH51),
    _xlpm.slopes, CHOOSE({1,2,3,4,5,6}, Q51, T51, W51, Z51, AC51, AF51),
    _xlpm.ints, CHOOSE({1,2,3,4,5,6}, R51, U51, X51, AA51, AD51, AG51),
    _xlpm.limit, -0.00001*_xlpm.slopes + 0.1086*_xlpm.slopes + 63.253,
    _xlpm.valid, (_xlpm.vals &gt;= 0) * (_xlpm.ints &lt;= _xlpm.limit),
    _xlpm.target, MIN(_xlfn._xlws.FILTER(_xlpm.vals, _xlpm.valid)),
    IFERROR(
        _xlfn.XLOOKUP(_xlpm.target, _xlpm.vals, _xlpm.vals),
        CHOOSE({1,2,3,4,5,6}, S$1, V$1, Y$1, AB$1, AE$1, AH$1)
    )
)</f>
        <v>0.49020720830804954</v>
      </c>
    </row>
    <row r="52" spans="1:36" x14ac:dyDescent="0.45">
      <c r="I52">
        <v>50</v>
      </c>
      <c r="J52">
        <v>21.1</v>
      </c>
      <c r="K52">
        <f t="shared" si="1"/>
        <v>21.1</v>
      </c>
      <c r="L52">
        <f t="shared" si="0"/>
        <v>5.8611111111111112E-3</v>
      </c>
      <c r="M52">
        <v>-1.05</v>
      </c>
      <c r="N52">
        <f t="shared" si="2"/>
        <v>0</v>
      </c>
      <c r="O52">
        <f t="shared" si="3"/>
        <v>274.19835680946096</v>
      </c>
      <c r="P52">
        <f t="shared" si="4"/>
        <v>877.4347417902751</v>
      </c>
      <c r="Q52">
        <f t="shared" si="5"/>
        <v>4018.65111739946</v>
      </c>
      <c r="R52">
        <f t="shared" si="6"/>
        <v>0</v>
      </c>
      <c r="S52">
        <f t="shared" si="7"/>
        <v>1.9891554242433984</v>
      </c>
      <c r="T52">
        <f t="shared" si="8"/>
        <v>2597.2068356992145</v>
      </c>
      <c r="U52">
        <f t="shared" si="9"/>
        <v>0</v>
      </c>
      <c r="V52">
        <f t="shared" si="10"/>
        <v>0.74647054557717374</v>
      </c>
      <c r="W52">
        <f t="shared" si="11"/>
        <v>1675.9003568194253</v>
      </c>
      <c r="X52">
        <f t="shared" si="12"/>
        <v>0</v>
      </c>
      <c r="Y52">
        <f t="shared" si="13"/>
        <v>0.44539794460163762</v>
      </c>
      <c r="Z52">
        <f t="shared" si="14"/>
        <v>1263.5060281779961</v>
      </c>
      <c r="AA52">
        <f t="shared" si="15"/>
        <v>0</v>
      </c>
      <c r="AB52">
        <f t="shared" si="16"/>
        <v>0.36622122810578484</v>
      </c>
      <c r="AC52">
        <f t="shared" si="17"/>
        <v>6000</v>
      </c>
      <c r="AD52">
        <f t="shared" si="18"/>
        <v>0</v>
      </c>
      <c r="AE52">
        <f t="shared" si="19"/>
        <v>6.7000407999999982</v>
      </c>
      <c r="AF52">
        <f t="shared" si="20"/>
        <v>6000</v>
      </c>
      <c r="AG52">
        <f t="shared" si="21"/>
        <v>0</v>
      </c>
      <c r="AH52">
        <f t="shared" si="22"/>
        <v>6.7000407999999982</v>
      </c>
      <c r="AI52" cm="1">
        <f t="array" ref="AI52">_xlfn.LET(
    _xlpm.vals,   _xlfn.HSTACK(S52,V52,Y52,AB52,AE52,AH52),
    _xlpm.ints,   _xlfn.HSTACK(R52,U52,X52,AA52,AD52,AG52),
    _xlpm.slopes, _xlfn.HSTACK(Q52,T52,W52,Z52,AC52,AF52),
    _xlpm.limit,  -0.00001*_xlpm.slopes + 0.1086*_xlpm.slopes + 63.253,
    _xlpm.mask,   (_xlpm.vals&gt;=0) * (_xlpm.ints&lt;=_xlpm.limit),
    _xlpm.validVals, _xlfn._xlws.FILTER(_xlpm.vals, _xlpm.mask),
    _xlpm.minVal, MIN(_xlpm.validVals),
    IFERROR( _xlfn.XMATCH(_xlpm.minVal, _xlpm.vals), "" )
)</f>
        <v>4</v>
      </c>
      <c r="AJ52" cm="1">
        <f t="array" ref="AJ52">_xlfn.LET(
    _xlpm.vals, CHOOSE({1,2,3,4,5,6}, S52, V52, Y52, AB52, AE52, AH52),
    _xlpm.slopes, CHOOSE({1,2,3,4,5,6}, Q52, T52, W52, Z52, AC52, AF52),
    _xlpm.ints, CHOOSE({1,2,3,4,5,6}, R52, U52, X52, AA52, AD52, AG52),
    _xlpm.limit, -0.00001*_xlpm.slopes + 0.1086*_xlpm.slopes + 63.253,
    _xlpm.valid, (_xlpm.vals &gt;= 0) * (_xlpm.ints &lt;= _xlpm.limit),
    _xlpm.target, MIN(_xlfn._xlws.FILTER(_xlpm.vals, _xlpm.valid)),
    IFERROR(
        _xlfn.XLOOKUP(_xlpm.target, _xlpm.vals, _xlpm.vals),
        CHOOSE({1,2,3,4,5,6}, S$1, V$1, Y$1, AB$1, AE$1, AH$1)
    )
)</f>
        <v>0.36622122810578484</v>
      </c>
    </row>
    <row r="53" spans="1:36" x14ac:dyDescent="0.45">
      <c r="A53" t="s">
        <v>48</v>
      </c>
      <c r="B53">
        <f>SUM(AJ:AJ)*0.0002641721</f>
        <v>0.28389831574299862</v>
      </c>
      <c r="C53" t="s">
        <v>49</v>
      </c>
      <c r="I53">
        <v>51</v>
      </c>
      <c r="J53">
        <v>18.7</v>
      </c>
      <c r="K53">
        <f t="shared" si="1"/>
        <v>18.7</v>
      </c>
      <c r="L53">
        <f t="shared" si="0"/>
        <v>5.1944444444444442E-3</v>
      </c>
      <c r="M53">
        <v>-0.97</v>
      </c>
      <c r="N53">
        <f t="shared" si="2"/>
        <v>0</v>
      </c>
      <c r="O53">
        <f t="shared" si="3"/>
        <v>243.00991812023321</v>
      </c>
      <c r="P53">
        <f t="shared" si="4"/>
        <v>777.63173798474634</v>
      </c>
      <c r="Q53">
        <f t="shared" si="5"/>
        <v>3561.5533599701384</v>
      </c>
      <c r="R53">
        <f t="shared" si="6"/>
        <v>0</v>
      </c>
      <c r="S53">
        <f t="shared" si="7"/>
        <v>1.4465288487495853</v>
      </c>
      <c r="T53">
        <f t="shared" si="8"/>
        <v>2301.7899444348491</v>
      </c>
      <c r="U53">
        <f t="shared" si="9"/>
        <v>0</v>
      </c>
      <c r="V53">
        <f t="shared" si="10"/>
        <v>0.62200390661502647</v>
      </c>
      <c r="W53">
        <f t="shared" si="11"/>
        <v>1485.2766195508655</v>
      </c>
      <c r="X53">
        <f t="shared" si="12"/>
        <v>0</v>
      </c>
      <c r="Y53">
        <f t="shared" si="13"/>
        <v>0.40678940922372164</v>
      </c>
      <c r="Z53">
        <f t="shared" si="14"/>
        <v>1119.7897026980347</v>
      </c>
      <c r="AA53">
        <f t="shared" si="15"/>
        <v>0</v>
      </c>
      <c r="AB53">
        <f t="shared" si="16"/>
        <v>0.34102307898001538</v>
      </c>
      <c r="AC53">
        <f t="shared" si="17"/>
        <v>6000</v>
      </c>
      <c r="AD53">
        <f t="shared" si="18"/>
        <v>0</v>
      </c>
      <c r="AE53">
        <f t="shared" si="19"/>
        <v>6.7000407999999982</v>
      </c>
      <c r="AF53">
        <f t="shared" si="20"/>
        <v>6000</v>
      </c>
      <c r="AG53">
        <f t="shared" si="21"/>
        <v>0</v>
      </c>
      <c r="AH53">
        <f t="shared" si="22"/>
        <v>6.7000407999999982</v>
      </c>
      <c r="AI53" cm="1">
        <f t="array" ref="AI53">_xlfn.LET(
    _xlpm.vals,   _xlfn.HSTACK(S53,V53,Y53,AB53,AE53,AH53),
    _xlpm.ints,   _xlfn.HSTACK(R53,U53,X53,AA53,AD53,AG53),
    _xlpm.slopes, _xlfn.HSTACK(Q53,T53,W53,Z53,AC53,AF53),
    _xlpm.limit,  -0.00001*_xlpm.slopes + 0.1086*_xlpm.slopes + 63.253,
    _xlpm.mask,   (_xlpm.vals&gt;=0) * (_xlpm.ints&lt;=_xlpm.limit),
    _xlpm.validVals, _xlfn._xlws.FILTER(_xlpm.vals, _xlpm.mask),
    _xlpm.minVal, MIN(_xlpm.validVals),
    IFERROR( _xlfn.XMATCH(_xlpm.minVal, _xlpm.vals), "" )
)</f>
        <v>4</v>
      </c>
      <c r="AJ53" cm="1">
        <f t="array" ref="AJ53">_xlfn.LET(
    _xlpm.vals, CHOOSE({1,2,3,4,5,6}, S53, V53, Y53, AB53, AE53, AH53),
    _xlpm.slopes, CHOOSE({1,2,3,4,5,6}, Q53, T53, W53, Z53, AC53, AF53),
    _xlpm.ints, CHOOSE({1,2,3,4,5,6}, R53, U53, X53, AA53, AD53, AG53),
    _xlpm.limit, -0.00001*_xlpm.slopes + 0.1086*_xlpm.slopes + 63.253,
    _xlpm.valid, (_xlpm.vals &gt;= 0) * (_xlpm.ints &lt;= _xlpm.limit),
    _xlpm.target, MIN(_xlfn._xlws.FILTER(_xlpm.vals, _xlpm.valid)),
    IFERROR(
        _xlfn.XLOOKUP(_xlpm.target, _xlpm.vals, _xlpm.vals),
        CHOOSE({1,2,3,4,5,6}, S$1, V$1, Y$1, AB$1, AE$1, AH$1)
    )
)</f>
        <v>0.34102307898001538</v>
      </c>
    </row>
    <row r="54" spans="1:36" x14ac:dyDescent="0.45">
      <c r="A54" t="s">
        <v>50</v>
      </c>
      <c r="B54">
        <f>SUM(L:L)</f>
        <v>7.1909444444444439</v>
      </c>
      <c r="C54" t="s">
        <v>51</v>
      </c>
      <c r="I54">
        <v>52</v>
      </c>
      <c r="J54">
        <v>16.899999999999999</v>
      </c>
      <c r="K54">
        <f t="shared" si="1"/>
        <v>16.899999999999999</v>
      </c>
      <c r="L54">
        <f t="shared" si="0"/>
        <v>4.6944444444444438E-3</v>
      </c>
      <c r="M54">
        <v>-0.68</v>
      </c>
      <c r="N54">
        <f t="shared" si="2"/>
        <v>0</v>
      </c>
      <c r="O54">
        <f t="shared" si="3"/>
        <v>219.61858910331233</v>
      </c>
      <c r="P54">
        <f t="shared" si="4"/>
        <v>702.77948513059948</v>
      </c>
      <c r="Q54">
        <f t="shared" si="5"/>
        <v>3218.7300418981458</v>
      </c>
      <c r="R54">
        <f t="shared" si="6"/>
        <v>0</v>
      </c>
      <c r="S54">
        <f t="shared" si="7"/>
        <v>1.1367340234742751</v>
      </c>
      <c r="T54">
        <f t="shared" si="8"/>
        <v>2080.2272759865746</v>
      </c>
      <c r="U54">
        <f t="shared" si="9"/>
        <v>0</v>
      </c>
      <c r="V54">
        <f t="shared" si="10"/>
        <v>0.5481841008927526</v>
      </c>
      <c r="W54">
        <f t="shared" si="11"/>
        <v>1342.308816599445</v>
      </c>
      <c r="X54">
        <f t="shared" si="12"/>
        <v>0</v>
      </c>
      <c r="Y54">
        <f t="shared" si="13"/>
        <v>0.38028169582385535</v>
      </c>
      <c r="Z54">
        <f t="shared" si="14"/>
        <v>1012.0024585880632</v>
      </c>
      <c r="AA54">
        <f t="shared" si="15"/>
        <v>0</v>
      </c>
      <c r="AB54">
        <f t="shared" si="16"/>
        <v>0.32207035275926055</v>
      </c>
      <c r="AC54">
        <f t="shared" si="17"/>
        <v>6000</v>
      </c>
      <c r="AD54">
        <f t="shared" si="18"/>
        <v>0</v>
      </c>
      <c r="AE54">
        <f t="shared" si="19"/>
        <v>6.7000407999999982</v>
      </c>
      <c r="AF54">
        <f t="shared" si="20"/>
        <v>6000</v>
      </c>
      <c r="AG54">
        <f t="shared" si="21"/>
        <v>0</v>
      </c>
      <c r="AH54">
        <f t="shared" si="22"/>
        <v>6.7000407999999982</v>
      </c>
      <c r="AI54" cm="1">
        <f t="array" ref="AI54">_xlfn.LET(
    _xlpm.vals,   _xlfn.HSTACK(S54,V54,Y54,AB54,AE54,AH54),
    _xlpm.ints,   _xlfn.HSTACK(R54,U54,X54,AA54,AD54,AG54),
    _xlpm.slopes, _xlfn.HSTACK(Q54,T54,W54,Z54,AC54,AF54),
    _xlpm.limit,  -0.00001*_xlpm.slopes + 0.1086*_xlpm.slopes + 63.253,
    _xlpm.mask,   (_xlpm.vals&gt;=0) * (_xlpm.ints&lt;=_xlpm.limit),
    _xlpm.validVals, _xlfn._xlws.FILTER(_xlpm.vals, _xlpm.mask),
    _xlpm.minVal, MIN(_xlpm.validVals),
    IFERROR( _xlfn.XMATCH(_xlpm.minVal, _xlpm.vals), "" )
)</f>
        <v>4</v>
      </c>
      <c r="AJ54" cm="1">
        <f t="array" ref="AJ54">_xlfn.LET(
    _xlpm.vals, CHOOSE({1,2,3,4,5,6}, S54, V54, Y54, AB54, AE54, AH54),
    _xlpm.slopes, CHOOSE({1,2,3,4,5,6}, Q54, T54, W54, Z54, AC54, AF54),
    _xlpm.ints, CHOOSE({1,2,3,4,5,6}, R54, U54, X54, AA54, AD54, AG54),
    _xlpm.limit, -0.00001*_xlpm.slopes + 0.1086*_xlpm.slopes + 63.253,
    _xlpm.valid, (_xlpm.vals &gt;= 0) * (_xlpm.ints &lt;= _xlpm.limit),
    _xlpm.target, MIN(_xlfn._xlws.FILTER(_xlpm.vals, _xlpm.valid)),
    IFERROR(
        _xlfn.XLOOKUP(_xlpm.target, _xlpm.vals, _xlpm.vals),
        CHOOSE({1,2,3,4,5,6}, S$1, V$1, Y$1, AB$1, AE$1, AH$1)
    )
)</f>
        <v>0.32207035275926055</v>
      </c>
    </row>
    <row r="55" spans="1:36" x14ac:dyDescent="0.45">
      <c r="A55" t="s">
        <v>8</v>
      </c>
      <c r="B55">
        <f>B54/B53</f>
        <v>25.329295898162734</v>
      </c>
      <c r="C55" t="s">
        <v>20</v>
      </c>
      <c r="I55">
        <v>53</v>
      </c>
      <c r="J55">
        <v>15.6</v>
      </c>
      <c r="K55">
        <f t="shared" si="1"/>
        <v>15.6</v>
      </c>
      <c r="L55">
        <f t="shared" si="0"/>
        <v>4.3333333333333331E-3</v>
      </c>
      <c r="M55">
        <v>-0.4</v>
      </c>
      <c r="N55">
        <f t="shared" si="2"/>
        <v>0</v>
      </c>
      <c r="O55">
        <f t="shared" si="3"/>
        <v>202.72485147998063</v>
      </c>
      <c r="P55">
        <f t="shared" si="4"/>
        <v>648.71952473593808</v>
      </c>
      <c r="Q55">
        <f t="shared" si="5"/>
        <v>2971.1354232905965</v>
      </c>
      <c r="R55">
        <f t="shared" si="6"/>
        <v>0</v>
      </c>
      <c r="S55">
        <f t="shared" si="7"/>
        <v>0.95742389251367688</v>
      </c>
      <c r="T55">
        <f t="shared" si="8"/>
        <v>1920.2097932183767</v>
      </c>
      <c r="U55">
        <f t="shared" si="9"/>
        <v>0</v>
      </c>
      <c r="V55">
        <f t="shared" si="10"/>
        <v>0.50329109366063851</v>
      </c>
      <c r="W55">
        <f t="shared" si="11"/>
        <v>1239.0542922456416</v>
      </c>
      <c r="X55">
        <f t="shared" si="12"/>
        <v>0</v>
      </c>
      <c r="Y55">
        <f t="shared" si="13"/>
        <v>0.36190799461708234</v>
      </c>
      <c r="Z55">
        <f t="shared" si="14"/>
        <v>6000</v>
      </c>
      <c r="AA55">
        <f t="shared" si="15"/>
        <v>0</v>
      </c>
      <c r="AB55">
        <f t="shared" si="16"/>
        <v>6.7000407999999982</v>
      </c>
      <c r="AC55">
        <f t="shared" si="17"/>
        <v>6000</v>
      </c>
      <c r="AD55">
        <f t="shared" si="18"/>
        <v>0</v>
      </c>
      <c r="AE55">
        <f t="shared" si="19"/>
        <v>6.7000407999999982</v>
      </c>
      <c r="AF55">
        <f t="shared" si="20"/>
        <v>6000</v>
      </c>
      <c r="AG55">
        <f t="shared" si="21"/>
        <v>0</v>
      </c>
      <c r="AH55">
        <f t="shared" si="22"/>
        <v>6.7000407999999982</v>
      </c>
      <c r="AI55" cm="1">
        <f t="array" ref="AI55">_xlfn.LET(
    _xlpm.vals,   _xlfn.HSTACK(S55,V55,Y55,AB55,AE55,AH55),
    _xlpm.ints,   _xlfn.HSTACK(R55,U55,X55,AA55,AD55,AG55),
    _xlpm.slopes, _xlfn.HSTACK(Q55,T55,W55,Z55,AC55,AF55),
    _xlpm.limit,  -0.00001*_xlpm.slopes + 0.1086*_xlpm.slopes + 63.253,
    _xlpm.mask,   (_xlpm.vals&gt;=0) * (_xlpm.ints&lt;=_xlpm.limit),
    _xlpm.validVals, _xlfn._xlws.FILTER(_xlpm.vals, _xlpm.mask),
    _xlpm.minVal, MIN(_xlpm.validVals),
    IFERROR( _xlfn.XMATCH(_xlpm.minVal, _xlpm.vals), "" )
)</f>
        <v>3</v>
      </c>
      <c r="AJ55" cm="1">
        <f t="array" ref="AJ55">_xlfn.LET(
    _xlpm.vals, CHOOSE({1,2,3,4,5,6}, S55, V55, Y55, AB55, AE55, AH55),
    _xlpm.slopes, CHOOSE({1,2,3,4,5,6}, Q55, T55, W55, Z55, AC55, AF55),
    _xlpm.ints, CHOOSE({1,2,3,4,5,6}, R55, U55, X55, AA55, AD55, AG55),
    _xlpm.limit, -0.00001*_xlpm.slopes + 0.1086*_xlpm.slopes + 63.253,
    _xlpm.valid, (_xlpm.vals &gt;= 0) * (_xlpm.ints &lt;= _xlpm.limit),
    _xlpm.target, MIN(_xlfn._xlws.FILTER(_xlpm.vals, _xlpm.valid)),
    IFERROR(
        _xlfn.XLOOKUP(_xlpm.target, _xlpm.vals, _xlpm.vals),
        CHOOSE({1,2,3,4,5,6}, S$1, V$1, Y$1, AB$1, AE$1, AH$1)
    )
)</f>
        <v>0.36190799461708234</v>
      </c>
    </row>
    <row r="56" spans="1:36" x14ac:dyDescent="0.45">
      <c r="I56">
        <v>54</v>
      </c>
      <c r="J56">
        <v>16</v>
      </c>
      <c r="K56">
        <f t="shared" si="1"/>
        <v>16</v>
      </c>
      <c r="L56">
        <f t="shared" si="0"/>
        <v>4.4444444444444444E-3</v>
      </c>
      <c r="M56">
        <v>15.44</v>
      </c>
      <c r="N56">
        <f t="shared" si="2"/>
        <v>15.44</v>
      </c>
      <c r="O56">
        <f t="shared" si="3"/>
        <v>207.92292459485191</v>
      </c>
      <c r="P56">
        <f t="shared" si="4"/>
        <v>665.35335870352617</v>
      </c>
      <c r="Q56">
        <f t="shared" si="5"/>
        <v>3047.31838286215</v>
      </c>
      <c r="R56">
        <f t="shared" si="6"/>
        <v>48.383897169894624</v>
      </c>
      <c r="S56">
        <f t="shared" si="7"/>
        <v>1.8969349330493983</v>
      </c>
      <c r="T56">
        <f t="shared" si="8"/>
        <v>1969.4459417624375</v>
      </c>
      <c r="U56">
        <f t="shared" si="9"/>
        <v>74.864273323688309</v>
      </c>
      <c r="V56">
        <f t="shared" si="10"/>
        <v>1.6742804194525591</v>
      </c>
      <c r="W56">
        <f t="shared" si="11"/>
        <v>1270.8249151237349</v>
      </c>
      <c r="X56">
        <f t="shared" si="12"/>
        <v>116.02002567440702</v>
      </c>
      <c r="Y56">
        <f t="shared" si="13"/>
        <v>1.6450090613480395</v>
      </c>
      <c r="Z56">
        <f t="shared" si="14"/>
        <v>6000</v>
      </c>
      <c r="AA56">
        <f t="shared" si="15"/>
        <v>24.57352321338864</v>
      </c>
      <c r="AB56">
        <f t="shared" si="16"/>
        <v>6.9430840094808444</v>
      </c>
      <c r="AC56">
        <f t="shared" si="17"/>
        <v>6000</v>
      </c>
      <c r="AD56">
        <f t="shared" si="18"/>
        <v>24.57352321338864</v>
      </c>
      <c r="AE56">
        <f t="shared" si="19"/>
        <v>6.9430840094808444</v>
      </c>
      <c r="AF56">
        <f t="shared" si="20"/>
        <v>6000</v>
      </c>
      <c r="AG56">
        <f t="shared" si="21"/>
        <v>24.57352321338864</v>
      </c>
      <c r="AH56">
        <f t="shared" si="22"/>
        <v>6.9430840094808444</v>
      </c>
      <c r="AI56" cm="1">
        <f t="array" ref="AI56">_xlfn.LET(
    _xlpm.vals,   _xlfn.HSTACK(S56,V56,Y56,AB56,AE56,AH56),
    _xlpm.ints,   _xlfn.HSTACK(R56,U56,X56,AA56,AD56,AG56),
    _xlpm.slopes, _xlfn.HSTACK(Q56,T56,W56,Z56,AC56,AF56),
    _xlpm.limit,  -0.00001*_xlpm.slopes + 0.1086*_xlpm.slopes + 63.253,
    _xlpm.mask,   (_xlpm.vals&gt;=0) * (_xlpm.ints&lt;=_xlpm.limit),
    _xlpm.validVals, _xlfn._xlws.FILTER(_xlpm.vals, _xlpm.mask),
    _xlpm.minVal, MIN(_xlpm.validVals),
    IFERROR( _xlfn.XMATCH(_xlpm.minVal, _xlpm.vals), "" )
)</f>
        <v>3</v>
      </c>
      <c r="AJ56" cm="1">
        <f t="array" ref="AJ56">_xlfn.LET(
    _xlpm.vals, CHOOSE({1,2,3,4,5,6}, S56, V56, Y56, AB56, AE56, AH56),
    _xlpm.slopes, CHOOSE({1,2,3,4,5,6}, Q56, T56, W56, Z56, AC56, AF56),
    _xlpm.ints, CHOOSE({1,2,3,4,5,6}, R56, U56, X56, AA56, AD56, AG56),
    _xlpm.limit, -0.00001*_xlpm.slopes + 0.1086*_xlpm.slopes + 63.253,
    _xlpm.valid, (_xlpm.vals &gt;= 0) * (_xlpm.ints &lt;= _xlpm.limit),
    _xlpm.target, MIN(_xlfn._xlws.FILTER(_xlpm.vals, _xlpm.valid)),
    IFERROR(
        _xlfn.XLOOKUP(_xlpm.target, _xlpm.vals, _xlpm.vals),
        CHOOSE({1,2,3,4,5,6}, S$1, V$1, Y$1, AB$1, AE$1, AH$1)
    )
)</f>
        <v>1.6450090613480395</v>
      </c>
    </row>
    <row r="57" spans="1:36" x14ac:dyDescent="0.45">
      <c r="A57" s="2" t="s">
        <v>52</v>
      </c>
      <c r="B57" s="2"/>
      <c r="C57" s="2"/>
      <c r="D57" s="2"/>
      <c r="E57" s="2"/>
      <c r="F57" s="2"/>
      <c r="I57">
        <v>55</v>
      </c>
      <c r="J57">
        <v>17.600000000000001</v>
      </c>
      <c r="K57">
        <f t="shared" si="1"/>
        <v>17.600000000000001</v>
      </c>
      <c r="L57">
        <f t="shared" si="0"/>
        <v>4.8888888888888897E-3</v>
      </c>
      <c r="M57">
        <v>12.67</v>
      </c>
      <c r="N57">
        <f t="shared" si="2"/>
        <v>12.67</v>
      </c>
      <c r="O57">
        <f t="shared" si="3"/>
        <v>228.71521705433713</v>
      </c>
      <c r="P57">
        <f t="shared" si="4"/>
        <v>731.88869457387887</v>
      </c>
      <c r="Q57">
        <f t="shared" si="5"/>
        <v>3352.0502211483654</v>
      </c>
      <c r="R57">
        <f t="shared" si="6"/>
        <v>36.094204966001229</v>
      </c>
      <c r="S57">
        <f t="shared" si="7"/>
        <v>1.8937336313765152</v>
      </c>
      <c r="T57">
        <f t="shared" si="8"/>
        <v>2166.3905359386813</v>
      </c>
      <c r="U57">
        <f t="shared" si="9"/>
        <v>55.848465791988389</v>
      </c>
      <c r="V57">
        <f t="shared" si="10"/>
        <v>1.4521623337652854</v>
      </c>
      <c r="W57">
        <f t="shared" si="11"/>
        <v>1397.9074066361086</v>
      </c>
      <c r="X57">
        <f t="shared" si="12"/>
        <v>86.550501960358972</v>
      </c>
      <c r="Y57">
        <f t="shared" si="13"/>
        <v>1.4257930733461206</v>
      </c>
      <c r="Z57">
        <f t="shared" si="14"/>
        <v>1053.9197201863856</v>
      </c>
      <c r="AA57">
        <f t="shared" si="15"/>
        <v>114.79962412797613</v>
      </c>
      <c r="AB57">
        <f t="shared" si="16"/>
        <v>1.3778930357998471</v>
      </c>
      <c r="AC57">
        <f t="shared" si="17"/>
        <v>6000</v>
      </c>
      <c r="AD57">
        <f t="shared" si="18"/>
        <v>20.164931289743141</v>
      </c>
      <c r="AE57">
        <f t="shared" si="19"/>
        <v>6.8859892774910554</v>
      </c>
      <c r="AF57">
        <f t="shared" si="20"/>
        <v>6000</v>
      </c>
      <c r="AG57">
        <f t="shared" si="21"/>
        <v>20.164931289743141</v>
      </c>
      <c r="AH57">
        <f t="shared" si="22"/>
        <v>6.8859892774910554</v>
      </c>
      <c r="AI57" cm="1">
        <f t="array" ref="AI57">_xlfn.LET(
    _xlpm.vals,   _xlfn.HSTACK(S57,V57,Y57,AB57,AE57,AH57),
    _xlpm.ints,   _xlfn.HSTACK(R57,U57,X57,AA57,AD57,AG57),
    _xlpm.slopes, _xlfn.HSTACK(Q57,T57,W57,Z57,AC57,AF57),
    _xlpm.limit,  -0.00001*_xlpm.slopes + 0.1086*_xlpm.slopes + 63.253,
    _xlpm.mask,   (_xlpm.vals&gt;=0) * (_xlpm.ints&lt;=_xlpm.limit),
    _xlpm.validVals, _xlfn._xlws.FILTER(_xlpm.vals, _xlpm.mask),
    _xlpm.minVal, MIN(_xlpm.validVals),
    IFERROR( _xlfn.XMATCH(_xlpm.minVal, _xlpm.vals), "" )
)</f>
        <v>4</v>
      </c>
      <c r="AJ57" cm="1">
        <f t="array" ref="AJ57">_xlfn.LET(
    _xlpm.vals, CHOOSE({1,2,3,4,5,6}, S57, V57, Y57, AB57, AE57, AH57),
    _xlpm.slopes, CHOOSE({1,2,3,4,5,6}, Q57, T57, W57, Z57, AC57, AF57),
    _xlpm.ints, CHOOSE({1,2,3,4,5,6}, R57, U57, X57, AA57, AD57, AG57),
    _xlpm.limit, -0.00001*_xlpm.slopes + 0.1086*_xlpm.slopes + 63.253,
    _xlpm.valid, (_xlpm.vals &gt;= 0) * (_xlpm.ints &lt;= _xlpm.limit),
    _xlpm.target, MIN(_xlfn._xlws.FILTER(_xlpm.vals, _xlpm.valid)),
    IFERROR(
        _xlfn.XLOOKUP(_xlpm.target, _xlpm.vals, _xlpm.vals),
        CHOOSE({1,2,3,4,5,6}, S$1, V$1, Y$1, AB$1, AE$1, AH$1)
    )
)</f>
        <v>1.3778930357998471</v>
      </c>
    </row>
    <row r="58" spans="1:36" x14ac:dyDescent="0.45">
      <c r="A58" s="2"/>
      <c r="B58" s="2"/>
      <c r="C58" s="2"/>
      <c r="D58" s="2"/>
      <c r="E58" s="2"/>
      <c r="F58" s="2"/>
      <c r="I58">
        <v>56</v>
      </c>
      <c r="J58">
        <v>19.8</v>
      </c>
      <c r="K58">
        <f t="shared" si="1"/>
        <v>19.8</v>
      </c>
      <c r="L58">
        <f t="shared" si="0"/>
        <v>5.5000000000000005E-3</v>
      </c>
      <c r="M58">
        <v>20.38</v>
      </c>
      <c r="N58">
        <f t="shared" si="2"/>
        <v>20.38</v>
      </c>
      <c r="O58">
        <f t="shared" si="3"/>
        <v>257.30461918612929</v>
      </c>
      <c r="P58">
        <f t="shared" si="4"/>
        <v>823.37478139561381</v>
      </c>
      <c r="Q58">
        <f t="shared" si="5"/>
        <v>3771.0564987919115</v>
      </c>
      <c r="R58">
        <f t="shared" si="6"/>
        <v>51.607464506330253</v>
      </c>
      <c r="S58">
        <f t="shared" si="7"/>
        <v>2.6853216506399047</v>
      </c>
      <c r="T58">
        <f t="shared" si="8"/>
        <v>2437.1893529310169</v>
      </c>
      <c r="U58">
        <f t="shared" si="9"/>
        <v>79.852090351011014</v>
      </c>
      <c r="V58">
        <f t="shared" si="10"/>
        <v>2.1163311440516197</v>
      </c>
      <c r="W58">
        <f t="shared" si="11"/>
        <v>1572.6458324656223</v>
      </c>
      <c r="X58">
        <f t="shared" si="12"/>
        <v>123.74983635549351</v>
      </c>
      <c r="Y58">
        <f t="shared" si="13"/>
        <v>2.080867926584749</v>
      </c>
      <c r="Z58">
        <f t="shared" si="14"/>
        <v>1185.6596852096839</v>
      </c>
      <c r="AA58">
        <f t="shared" si="15"/>
        <v>164.14040794374486</v>
      </c>
      <c r="AB58">
        <f t="shared" si="16"/>
        <v>1.8196573166773433</v>
      </c>
      <c r="AC58">
        <f t="shared" si="17"/>
        <v>6000</v>
      </c>
      <c r="AD58">
        <f t="shared" si="18"/>
        <v>32.435777402128274</v>
      </c>
      <c r="AE58">
        <f t="shared" si="19"/>
        <v>7.0584598616402712</v>
      </c>
      <c r="AF58">
        <f t="shared" si="20"/>
        <v>6000</v>
      </c>
      <c r="AG58">
        <f t="shared" si="21"/>
        <v>32.435777402128274</v>
      </c>
      <c r="AH58">
        <f t="shared" si="22"/>
        <v>7.0584598616402712</v>
      </c>
      <c r="AI58" cm="1">
        <f t="array" ref="AI58">_xlfn.LET(
    _xlpm.vals,   _xlfn.HSTACK(S58,V58,Y58,AB58,AE58,AH58),
    _xlpm.ints,   _xlfn.HSTACK(R58,U58,X58,AA58,AD58,AG58),
    _xlpm.slopes, _xlfn.HSTACK(Q58,T58,W58,Z58,AC58,AF58),
    _xlpm.limit,  -0.00001*_xlpm.slopes + 0.1086*_xlpm.slopes + 63.253,
    _xlpm.mask,   (_xlpm.vals&gt;=0) * (_xlpm.ints&lt;=_xlpm.limit),
    _xlpm.validVals, _xlfn._xlws.FILTER(_xlpm.vals, _xlpm.mask),
    _xlpm.minVal, MIN(_xlpm.validVals),
    IFERROR( _xlfn.XMATCH(_xlpm.minVal, _xlpm.vals), "" )
)</f>
        <v>4</v>
      </c>
      <c r="AJ58" cm="1">
        <f t="array" ref="AJ58">_xlfn.LET(
    _xlpm.vals, CHOOSE({1,2,3,4,5,6}, S58, V58, Y58, AB58, AE58, AH58),
    _xlpm.slopes, CHOOSE({1,2,3,4,5,6}, Q58, T58, W58, Z58, AC58, AF58),
    _xlpm.ints, CHOOSE({1,2,3,4,5,6}, R58, U58, X58, AA58, AD58, AG58),
    _xlpm.limit, -0.00001*_xlpm.slopes + 0.1086*_xlpm.slopes + 63.253,
    _xlpm.valid, (_xlpm.vals &gt;= 0) * (_xlpm.ints &lt;= _xlpm.limit),
    _xlpm.target, MIN(_xlfn._xlws.FILTER(_xlpm.vals, _xlpm.valid)),
    IFERROR(
        _xlfn.XLOOKUP(_xlpm.target, _xlpm.vals, _xlpm.vals),
        CHOOSE({1,2,3,4,5,6}, S$1, V$1, Y$1, AB$1, AE$1, AH$1)
    )
)</f>
        <v>1.8196573166773433</v>
      </c>
    </row>
    <row r="59" spans="1:36" x14ac:dyDescent="0.45">
      <c r="A59" s="2"/>
      <c r="B59" s="2"/>
      <c r="C59" s="2"/>
      <c r="D59" s="2"/>
      <c r="E59" s="2"/>
      <c r="F59" s="2"/>
      <c r="I59">
        <v>57</v>
      </c>
      <c r="J59">
        <v>21.7</v>
      </c>
      <c r="K59">
        <f t="shared" si="1"/>
        <v>21.7</v>
      </c>
      <c r="L59">
        <f t="shared" si="0"/>
        <v>6.0277777777777777E-3</v>
      </c>
      <c r="M59">
        <v>15.84</v>
      </c>
      <c r="N59">
        <f t="shared" si="2"/>
        <v>15.84</v>
      </c>
      <c r="O59">
        <f t="shared" si="3"/>
        <v>281.99546648176789</v>
      </c>
      <c r="P59">
        <f t="shared" si="4"/>
        <v>902.38549274165734</v>
      </c>
      <c r="Q59">
        <f t="shared" si="5"/>
        <v>4132.9255567567907</v>
      </c>
      <c r="R59">
        <f t="shared" si="6"/>
        <v>36.598979545432577</v>
      </c>
      <c r="S59">
        <f t="shared" si="7"/>
        <v>2.8112930436243304</v>
      </c>
      <c r="T59">
        <f t="shared" si="8"/>
        <v>2671.0610585153058</v>
      </c>
      <c r="U59">
        <f t="shared" si="9"/>
        <v>56.629502134486891</v>
      </c>
      <c r="V59">
        <f t="shared" si="10"/>
        <v>1.792667403335346</v>
      </c>
      <c r="W59">
        <f t="shared" si="11"/>
        <v>1723.5562911365655</v>
      </c>
      <c r="X59">
        <f t="shared" si="12"/>
        <v>87.760903831456133</v>
      </c>
      <c r="Y59">
        <f t="shared" si="13"/>
        <v>1.7095922866433508</v>
      </c>
      <c r="Z59">
        <f t="shared" si="14"/>
        <v>1299.4351095479865</v>
      </c>
      <c r="AA59">
        <f t="shared" si="15"/>
        <v>116.40508772088974</v>
      </c>
      <c r="AB59">
        <f t="shared" si="16"/>
        <v>1.6819138389698463</v>
      </c>
      <c r="AC59">
        <f t="shared" si="17"/>
        <v>6000</v>
      </c>
      <c r="AD59">
        <f t="shared" si="18"/>
        <v>25.210142985756221</v>
      </c>
      <c r="AE59">
        <f t="shared" si="19"/>
        <v>6.9517880277175834</v>
      </c>
      <c r="AF59">
        <f t="shared" si="20"/>
        <v>6000</v>
      </c>
      <c r="AG59">
        <f t="shared" si="21"/>
        <v>25.210142985756221</v>
      </c>
      <c r="AH59">
        <f t="shared" si="22"/>
        <v>6.9517880277175834</v>
      </c>
      <c r="AI59" cm="1">
        <f t="array" ref="AI59">_xlfn.LET(
    _xlpm.vals,   _xlfn.HSTACK(S59,V59,Y59,AB59,AE59,AH59),
    _xlpm.ints,   _xlfn.HSTACK(R59,U59,X59,AA59,AD59,AG59),
    _xlpm.slopes, _xlfn.HSTACK(Q59,T59,W59,Z59,AC59,AF59),
    _xlpm.limit,  -0.00001*_xlpm.slopes + 0.1086*_xlpm.slopes + 63.253,
    _xlpm.mask,   (_xlpm.vals&gt;=0) * (_xlpm.ints&lt;=_xlpm.limit),
    _xlpm.validVals, _xlfn._xlws.FILTER(_xlpm.vals, _xlpm.mask),
    _xlpm.minVal, MIN(_xlpm.validVals),
    IFERROR( _xlfn.XMATCH(_xlpm.minVal, _xlpm.vals), "" )
)</f>
        <v>4</v>
      </c>
      <c r="AJ59" cm="1">
        <f t="array" ref="AJ59">_xlfn.LET(
    _xlpm.vals, CHOOSE({1,2,3,4,5,6}, S59, V59, Y59, AB59, AE59, AH59),
    _xlpm.slopes, CHOOSE({1,2,3,4,5,6}, Q59, T59, W59, Z59, AC59, AF59),
    _xlpm.ints, CHOOSE({1,2,3,4,5,6}, R59, U59, X59, AA59, AD59, AG59),
    _xlpm.limit, -0.00001*_xlpm.slopes + 0.1086*_xlpm.slopes + 63.253,
    _xlpm.valid, (_xlpm.vals &gt;= 0) * (_xlpm.ints &lt;= _xlpm.limit),
    _xlpm.target, MIN(_xlfn._xlws.FILTER(_xlpm.vals, _xlpm.valid)),
    IFERROR(
        _xlfn.XLOOKUP(_xlpm.target, _xlpm.vals, _xlpm.vals),
        CHOOSE({1,2,3,4,5,6}, S$1, V$1, Y$1, AB$1, AE$1, AH$1)
    )
)</f>
        <v>1.6819138389698463</v>
      </c>
    </row>
    <row r="60" spans="1:36" x14ac:dyDescent="0.45">
      <c r="A60" s="2"/>
      <c r="B60" s="2"/>
      <c r="C60" s="2"/>
      <c r="D60" s="2"/>
      <c r="E60" s="2"/>
      <c r="F60" s="2"/>
      <c r="I60">
        <v>58</v>
      </c>
      <c r="J60">
        <v>23.1</v>
      </c>
      <c r="K60">
        <f t="shared" si="1"/>
        <v>23.1</v>
      </c>
      <c r="L60">
        <f t="shared" si="0"/>
        <v>6.4166666666666669E-3</v>
      </c>
      <c r="M60">
        <v>14.4</v>
      </c>
      <c r="N60">
        <f t="shared" si="2"/>
        <v>14.4</v>
      </c>
      <c r="O60">
        <f t="shared" si="3"/>
        <v>300.18872238381749</v>
      </c>
      <c r="P60">
        <f t="shared" si="4"/>
        <v>960.603911628216</v>
      </c>
      <c r="Q60">
        <f t="shared" si="5"/>
        <v>4399.5659152572289</v>
      </c>
      <c r="R60">
        <f t="shared" si="6"/>
        <v>31.2553268845292</v>
      </c>
      <c r="S60">
        <f t="shared" si="7"/>
        <v>3.1075214774111335</v>
      </c>
      <c r="T60">
        <f t="shared" si="8"/>
        <v>2843.3875784195193</v>
      </c>
      <c r="U60">
        <f t="shared" si="9"/>
        <v>48.361282814575581</v>
      </c>
      <c r="V60">
        <f t="shared" si="10"/>
        <v>1.740232826853702</v>
      </c>
      <c r="W60">
        <f t="shared" si="11"/>
        <v>1834.7534712098925</v>
      </c>
      <c r="X60">
        <f t="shared" si="12"/>
        <v>74.947328340912932</v>
      </c>
      <c r="Y60">
        <f t="shared" si="13"/>
        <v>1.581489539107771</v>
      </c>
      <c r="Z60">
        <f t="shared" si="14"/>
        <v>1383.2696327446311</v>
      </c>
      <c r="AA60">
        <f t="shared" si="15"/>
        <v>99.409303563294245</v>
      </c>
      <c r="AB60">
        <f t="shared" si="16"/>
        <v>1.5773011284583145</v>
      </c>
      <c r="AC60">
        <f t="shared" si="17"/>
        <v>6000</v>
      </c>
      <c r="AD60">
        <f t="shared" si="18"/>
        <v>22.918311805232928</v>
      </c>
      <c r="AE60">
        <f t="shared" si="19"/>
        <v>6.9209923862527836</v>
      </c>
      <c r="AF60">
        <f t="shared" si="20"/>
        <v>6000</v>
      </c>
      <c r="AG60">
        <f t="shared" si="21"/>
        <v>22.918311805232928</v>
      </c>
      <c r="AH60">
        <f t="shared" si="22"/>
        <v>6.9209923862527836</v>
      </c>
      <c r="AI60" cm="1">
        <f t="array" ref="AI60">_xlfn.LET(
    _xlpm.vals,   _xlfn.HSTACK(S60,V60,Y60,AB60,AE60,AH60),
    _xlpm.ints,   _xlfn.HSTACK(R60,U60,X60,AA60,AD60,AG60),
    _xlpm.slopes, _xlfn.HSTACK(Q60,T60,W60,Z60,AC60,AF60),
    _xlpm.limit,  -0.00001*_xlpm.slopes + 0.1086*_xlpm.slopes + 63.253,
    _xlpm.mask,   (_xlpm.vals&gt;=0) * (_xlpm.ints&lt;=_xlpm.limit),
    _xlpm.validVals, _xlfn._xlws.FILTER(_xlpm.vals, _xlpm.mask),
    _xlpm.minVal, MIN(_xlpm.validVals),
    IFERROR( _xlfn.XMATCH(_xlpm.minVal, _xlpm.vals), "" )
)</f>
        <v>4</v>
      </c>
      <c r="AJ60" cm="1">
        <f t="array" ref="AJ60">_xlfn.LET(
    _xlpm.vals, CHOOSE({1,2,3,4,5,6}, S60, V60, Y60, AB60, AE60, AH60),
    _xlpm.slopes, CHOOSE({1,2,3,4,5,6}, Q60, T60, W60, Z60, AC60, AF60),
    _xlpm.ints, CHOOSE({1,2,3,4,5,6}, R60, U60, X60, AA60, AD60, AG60),
    _xlpm.limit, -0.00001*_xlpm.slopes + 0.1086*_xlpm.slopes + 63.253,
    _xlpm.valid, (_xlpm.vals &gt;= 0) * (_xlpm.ints &lt;= _xlpm.limit),
    _xlpm.target, MIN(_xlfn._xlws.FILTER(_xlpm.vals, _xlpm.valid)),
    IFERROR(
        _xlfn.XLOOKUP(_xlpm.target, _xlpm.vals, _xlpm.vals),
        CHOOSE({1,2,3,4,5,6}, S$1, V$1, Y$1, AB$1, AE$1, AH$1)
    )
)</f>
        <v>1.5773011284583145</v>
      </c>
    </row>
    <row r="61" spans="1:36" x14ac:dyDescent="0.45">
      <c r="A61" s="2"/>
      <c r="B61" s="2"/>
      <c r="C61" s="2"/>
      <c r="D61" s="2"/>
      <c r="E61" s="2"/>
      <c r="F61" s="2"/>
      <c r="I61">
        <v>59</v>
      </c>
      <c r="J61">
        <v>24.1</v>
      </c>
      <c r="K61">
        <f t="shared" si="1"/>
        <v>24.1</v>
      </c>
      <c r="L61">
        <f t="shared" si="0"/>
        <v>6.6944444444444447E-3</v>
      </c>
      <c r="M61">
        <v>15.08</v>
      </c>
      <c r="N61">
        <f t="shared" si="2"/>
        <v>15.08</v>
      </c>
      <c r="O61">
        <f t="shared" si="3"/>
        <v>313.18390517099573</v>
      </c>
      <c r="P61">
        <f t="shared" si="4"/>
        <v>1002.1884965471863</v>
      </c>
      <c r="Q61">
        <f t="shared" si="5"/>
        <v>4590.0233141861136</v>
      </c>
      <c r="R61">
        <f t="shared" si="6"/>
        <v>31.373128773547652</v>
      </c>
      <c r="S61">
        <f t="shared" si="7"/>
        <v>3.4399268982102456</v>
      </c>
      <c r="T61">
        <f t="shared" si="8"/>
        <v>2966.4779497796717</v>
      </c>
      <c r="U61">
        <f t="shared" si="9"/>
        <v>48.543557359070356</v>
      </c>
      <c r="V61">
        <f t="shared" si="10"/>
        <v>1.8365183148536677</v>
      </c>
      <c r="W61">
        <f t="shared" si="11"/>
        <v>1914.1800284051258</v>
      </c>
      <c r="X61">
        <f t="shared" si="12"/>
        <v>75.229806169030496</v>
      </c>
      <c r="Y61">
        <f t="shared" si="13"/>
        <v>1.6420102271203296</v>
      </c>
      <c r="Z61">
        <f t="shared" si="14"/>
        <v>1443.1514350279483</v>
      </c>
      <c r="AA61">
        <f t="shared" si="15"/>
        <v>99.783979015866834</v>
      </c>
      <c r="AB61">
        <f t="shared" si="16"/>
        <v>1.6392069992274525</v>
      </c>
      <c r="AC61">
        <f t="shared" si="17"/>
        <v>6000</v>
      </c>
      <c r="AD61">
        <f t="shared" si="18"/>
        <v>24.000565418257818</v>
      </c>
      <c r="AE61">
        <f t="shared" si="19"/>
        <v>6.9353485712525282</v>
      </c>
      <c r="AF61">
        <f t="shared" si="20"/>
        <v>6000</v>
      </c>
      <c r="AG61">
        <f t="shared" si="21"/>
        <v>24.000565418257818</v>
      </c>
      <c r="AH61">
        <f t="shared" si="22"/>
        <v>6.9353485712525282</v>
      </c>
      <c r="AI61" cm="1">
        <f t="array" ref="AI61">_xlfn.LET(
    _xlpm.vals,   _xlfn.HSTACK(S61,V61,Y61,AB61,AE61,AH61),
    _xlpm.ints,   _xlfn.HSTACK(R61,U61,X61,AA61,AD61,AG61),
    _xlpm.slopes, _xlfn.HSTACK(Q61,T61,W61,Z61,AC61,AF61),
    _xlpm.limit,  -0.00001*_xlpm.slopes + 0.1086*_xlpm.slopes + 63.253,
    _xlpm.mask,   (_xlpm.vals&gt;=0) * (_xlpm.ints&lt;=_xlpm.limit),
    _xlpm.validVals, _xlfn._xlws.FILTER(_xlpm.vals, _xlpm.mask),
    _xlpm.minVal, MIN(_xlpm.validVals),
    IFERROR( _xlfn.XMATCH(_xlpm.minVal, _xlpm.vals), "" )
)</f>
        <v>4</v>
      </c>
      <c r="AJ61" cm="1">
        <f t="array" ref="AJ61">_xlfn.LET(
    _xlpm.vals, CHOOSE({1,2,3,4,5,6}, S61, V61, Y61, AB61, AE61, AH61),
    _xlpm.slopes, CHOOSE({1,2,3,4,5,6}, Q61, T61, W61, Z61, AC61, AF61),
    _xlpm.ints, CHOOSE({1,2,3,4,5,6}, R61, U61, X61, AA61, AD61, AG61),
    _xlpm.limit, -0.00001*_xlpm.slopes + 0.1086*_xlpm.slopes + 63.253,
    _xlpm.valid, (_xlpm.vals &gt;= 0) * (_xlpm.ints &lt;= _xlpm.limit),
    _xlpm.target, MIN(_xlfn._xlws.FILTER(_xlpm.vals, _xlpm.valid)),
    IFERROR(
        _xlfn.XLOOKUP(_xlpm.target, _xlpm.vals, _xlpm.vals),
        CHOOSE({1,2,3,4,5,6}, S$1, V$1, Y$1, AB$1, AE$1, AH$1)
    )
)</f>
        <v>1.6392069992274525</v>
      </c>
    </row>
    <row r="62" spans="1:36" x14ac:dyDescent="0.45">
      <c r="A62" s="2"/>
      <c r="B62" s="2"/>
      <c r="C62" s="2"/>
      <c r="D62" s="2"/>
      <c r="E62" s="2"/>
      <c r="F62" s="2"/>
      <c r="I62">
        <v>60</v>
      </c>
      <c r="J62">
        <v>24.7</v>
      </c>
      <c r="K62">
        <f t="shared" si="1"/>
        <v>24.7</v>
      </c>
      <c r="L62">
        <f t="shared" si="0"/>
        <v>6.8611111111111112E-3</v>
      </c>
      <c r="M62">
        <v>9.02</v>
      </c>
      <c r="N62">
        <f t="shared" si="2"/>
        <v>9.02</v>
      </c>
      <c r="O62">
        <f t="shared" si="3"/>
        <v>320.98101484330266</v>
      </c>
      <c r="P62">
        <f t="shared" si="4"/>
        <v>1027.1392474985685</v>
      </c>
      <c r="Q62">
        <f t="shared" si="5"/>
        <v>4704.2977535434438</v>
      </c>
      <c r="R62">
        <f t="shared" si="6"/>
        <v>18.309779634261901</v>
      </c>
      <c r="S62">
        <f t="shared" si="7"/>
        <v>3.4088187904075489</v>
      </c>
      <c r="T62">
        <f t="shared" si="8"/>
        <v>3040.3321725957626</v>
      </c>
      <c r="U62">
        <f t="shared" si="9"/>
        <v>28.330672542202539</v>
      </c>
      <c r="V62">
        <f t="shared" si="10"/>
        <v>1.477854735536424</v>
      </c>
      <c r="W62">
        <f t="shared" si="11"/>
        <v>1961.8359627222658</v>
      </c>
      <c r="X62">
        <f t="shared" si="12"/>
        <v>43.905126033989269</v>
      </c>
      <c r="Y62">
        <f t="shared" si="13"/>
        <v>1.1317206248802225</v>
      </c>
      <c r="Z62">
        <f t="shared" si="14"/>
        <v>1479.0805163979385</v>
      </c>
      <c r="AA62">
        <f t="shared" si="15"/>
        <v>58.235271336749662</v>
      </c>
      <c r="AB62">
        <f t="shared" si="16"/>
        <v>1.0957893184825669</v>
      </c>
      <c r="AC62">
        <f t="shared" si="17"/>
        <v>6000</v>
      </c>
      <c r="AD62">
        <f t="shared" si="18"/>
        <v>14.35577586688896</v>
      </c>
      <c r="AE62">
        <f t="shared" si="19"/>
        <v>6.8194680526487659</v>
      </c>
      <c r="AF62">
        <f t="shared" si="20"/>
        <v>6000</v>
      </c>
      <c r="AG62">
        <f t="shared" si="21"/>
        <v>14.35577586688896</v>
      </c>
      <c r="AH62">
        <f t="shared" si="22"/>
        <v>6.8194680526487659</v>
      </c>
      <c r="AI62" cm="1">
        <f t="array" ref="AI62">_xlfn.LET(
    _xlpm.vals,   _xlfn.HSTACK(S62,V62,Y62,AB62,AE62,AH62),
    _xlpm.ints,   _xlfn.HSTACK(R62,U62,X62,AA62,AD62,AG62),
    _xlpm.slopes, _xlfn.HSTACK(Q62,T62,W62,Z62,AC62,AF62),
    _xlpm.limit,  -0.00001*_xlpm.slopes + 0.1086*_xlpm.slopes + 63.253,
    _xlpm.mask,   (_xlpm.vals&gt;=0) * (_xlpm.ints&lt;=_xlpm.limit),
    _xlpm.validVals, _xlfn._xlws.FILTER(_xlpm.vals, _xlpm.mask),
    _xlpm.minVal, MIN(_xlpm.validVals),
    IFERROR( _xlfn.XMATCH(_xlpm.minVal, _xlpm.vals), "" )
)</f>
        <v>4</v>
      </c>
      <c r="AJ62" cm="1">
        <f t="array" ref="AJ62">_xlfn.LET(
    _xlpm.vals, CHOOSE({1,2,3,4,5,6}, S62, V62, Y62, AB62, AE62, AH62),
    _xlpm.slopes, CHOOSE({1,2,3,4,5,6}, Q62, T62, W62, Z62, AC62, AF62),
    _xlpm.ints, CHOOSE({1,2,3,4,5,6}, R62, U62, X62, AA62, AD62, AG62),
    _xlpm.limit, -0.00001*_xlpm.slopes + 0.1086*_xlpm.slopes + 63.253,
    _xlpm.valid, (_xlpm.vals &gt;= 0) * (_xlpm.ints &lt;= _xlpm.limit),
    _xlpm.target, MIN(_xlfn._xlws.FILTER(_xlpm.vals, _xlpm.valid)),
    IFERROR(
        _xlfn.XLOOKUP(_xlpm.target, _xlpm.vals, _xlpm.vals),
        CHOOSE({1,2,3,4,5,6}, S$1, V$1, Y$1, AB$1, AE$1, AH$1)
    )
)</f>
        <v>1.0957893184825669</v>
      </c>
    </row>
    <row r="63" spans="1:36" x14ac:dyDescent="0.45">
      <c r="A63" s="2"/>
      <c r="B63" s="2"/>
      <c r="C63" s="2"/>
      <c r="D63" s="2"/>
      <c r="E63" s="2"/>
      <c r="F63" s="2"/>
      <c r="I63">
        <v>61</v>
      </c>
      <c r="J63">
        <v>25</v>
      </c>
      <c r="K63">
        <f t="shared" si="1"/>
        <v>25</v>
      </c>
      <c r="L63">
        <f t="shared" si="0"/>
        <v>6.9444444444444441E-3</v>
      </c>
      <c r="M63">
        <v>4.84</v>
      </c>
      <c r="N63">
        <f t="shared" si="2"/>
        <v>4.84</v>
      </c>
      <c r="O63">
        <f t="shared" si="3"/>
        <v>324.87956967945615</v>
      </c>
      <c r="P63">
        <f t="shared" si="4"/>
        <v>1039.6146229742596</v>
      </c>
      <c r="Q63">
        <f t="shared" si="5"/>
        <v>4761.434973222109</v>
      </c>
      <c r="R63">
        <f t="shared" si="6"/>
        <v>9.7068626861052856</v>
      </c>
      <c r="S63">
        <f t="shared" si="7"/>
        <v>3.3844859627230504</v>
      </c>
      <c r="T63">
        <f t="shared" si="8"/>
        <v>3077.2592840038087</v>
      </c>
      <c r="U63">
        <f t="shared" si="9"/>
        <v>15.01940239944669</v>
      </c>
      <c r="V63">
        <f t="shared" si="10"/>
        <v>1.2636776679088604</v>
      </c>
      <c r="W63">
        <f t="shared" si="11"/>
        <v>1985.6639298808359</v>
      </c>
      <c r="X63">
        <f t="shared" si="12"/>
        <v>23.27614193840953</v>
      </c>
      <c r="Y63">
        <f t="shared" si="13"/>
        <v>0.82103723412679763</v>
      </c>
      <c r="Z63">
        <f t="shared" si="14"/>
        <v>1497.0450570829339</v>
      </c>
      <c r="AA63">
        <f t="shared" si="15"/>
        <v>30.873216043307089</v>
      </c>
      <c r="AB63">
        <f t="shared" si="16"/>
        <v>0.74077351455180929</v>
      </c>
      <c r="AC63">
        <f t="shared" si="17"/>
        <v>6000</v>
      </c>
      <c r="AD63">
        <f t="shared" si="18"/>
        <v>7.703099245647735</v>
      </c>
      <c r="AE63">
        <f t="shared" si="19"/>
        <v>6.7559421140475502</v>
      </c>
      <c r="AF63">
        <f t="shared" si="20"/>
        <v>6000</v>
      </c>
      <c r="AG63">
        <f t="shared" si="21"/>
        <v>7.703099245647735</v>
      </c>
      <c r="AH63">
        <f t="shared" si="22"/>
        <v>6.7559421140475502</v>
      </c>
      <c r="AI63" cm="1">
        <f t="array" ref="AI63">_xlfn.LET(
    _xlpm.vals,   _xlfn.HSTACK(S63,V63,Y63,AB63,AE63,AH63),
    _xlpm.ints,   _xlfn.HSTACK(R63,U63,X63,AA63,AD63,AG63),
    _xlpm.slopes, _xlfn.HSTACK(Q63,T63,W63,Z63,AC63,AF63),
    _xlpm.limit,  -0.00001*_xlpm.slopes + 0.1086*_xlpm.slopes + 63.253,
    _xlpm.mask,   (_xlpm.vals&gt;=0) * (_xlpm.ints&lt;=_xlpm.limit),
    _xlpm.validVals, _xlfn._xlws.FILTER(_xlpm.vals, _xlpm.mask),
    _xlpm.minVal, MIN(_xlpm.validVals),
    IFERROR( _xlfn.XMATCH(_xlpm.minVal, _xlpm.vals), "" )
)</f>
        <v>4</v>
      </c>
      <c r="AJ63" cm="1">
        <f t="array" ref="AJ63">_xlfn.LET(
    _xlpm.vals, CHOOSE({1,2,3,4,5,6}, S63, V63, Y63, AB63, AE63, AH63),
    _xlpm.slopes, CHOOSE({1,2,3,4,5,6}, Q63, T63, W63, Z63, AC63, AF63),
    _xlpm.ints, CHOOSE({1,2,3,4,5,6}, R63, U63, X63, AA63, AD63, AG63),
    _xlpm.limit, -0.00001*_xlpm.slopes + 0.1086*_xlpm.slopes + 63.253,
    _xlpm.valid, (_xlpm.vals &gt;= 0) * (_xlpm.ints &lt;= _xlpm.limit),
    _xlpm.target, MIN(_xlfn._xlws.FILTER(_xlpm.vals, _xlpm.valid)),
    IFERROR(
        _xlfn.XLOOKUP(_xlpm.target, _xlpm.vals, _xlpm.vals),
        CHOOSE({1,2,3,4,5,6}, S$1, V$1, Y$1, AB$1, AE$1, AH$1)
    )
)</f>
        <v>0.74077351455180929</v>
      </c>
    </row>
    <row r="64" spans="1:36" x14ac:dyDescent="0.45">
      <c r="A64" s="2"/>
      <c r="B64" s="2"/>
      <c r="C64" s="2"/>
      <c r="D64" s="2"/>
      <c r="E64" s="2"/>
      <c r="F64" s="2"/>
      <c r="I64">
        <v>62</v>
      </c>
      <c r="J64">
        <v>25</v>
      </c>
      <c r="K64">
        <f t="shared" si="1"/>
        <v>25</v>
      </c>
      <c r="L64">
        <f t="shared" si="0"/>
        <v>6.9444444444444441E-3</v>
      </c>
      <c r="M64">
        <v>5.13</v>
      </c>
      <c r="N64">
        <f t="shared" si="2"/>
        <v>5.13</v>
      </c>
      <c r="O64">
        <f t="shared" si="3"/>
        <v>324.87956967945615</v>
      </c>
      <c r="P64">
        <f t="shared" si="4"/>
        <v>1039.6146229742596</v>
      </c>
      <c r="Q64">
        <f t="shared" si="5"/>
        <v>4761.434973222109</v>
      </c>
      <c r="R64">
        <f t="shared" si="6"/>
        <v>10.2884722272149</v>
      </c>
      <c r="S64">
        <f t="shared" si="7"/>
        <v>3.3931780332620316</v>
      </c>
      <c r="T64">
        <f t="shared" si="8"/>
        <v>3077.2592840038087</v>
      </c>
      <c r="U64">
        <f t="shared" si="9"/>
        <v>15.919325270487917</v>
      </c>
      <c r="V64">
        <f t="shared" si="10"/>
        <v>1.2790672323993368</v>
      </c>
      <c r="W64">
        <f t="shared" si="11"/>
        <v>1985.6639298808359</v>
      </c>
      <c r="X64">
        <f t="shared" si="12"/>
        <v>24.670786806620018</v>
      </c>
      <c r="Y64">
        <f t="shared" si="13"/>
        <v>0.84139796488281338</v>
      </c>
      <c r="Z64">
        <f t="shared" si="14"/>
        <v>1497.0450570829339</v>
      </c>
      <c r="AA64">
        <f t="shared" si="15"/>
        <v>32.723057500447389</v>
      </c>
      <c r="AB64">
        <f t="shared" si="16"/>
        <v>0.76390100099254554</v>
      </c>
      <c r="AC64">
        <f t="shared" si="17"/>
        <v>6000</v>
      </c>
      <c r="AD64">
        <f t="shared" si="18"/>
        <v>8.1646485806142319</v>
      </c>
      <c r="AE64">
        <f t="shared" si="19"/>
        <v>6.7599013204340705</v>
      </c>
      <c r="AF64">
        <f t="shared" si="20"/>
        <v>6000</v>
      </c>
      <c r="AG64">
        <f t="shared" si="21"/>
        <v>8.1646485806142319</v>
      </c>
      <c r="AH64">
        <f t="shared" si="22"/>
        <v>6.7599013204340705</v>
      </c>
      <c r="AI64" cm="1">
        <f t="array" ref="AI64">_xlfn.LET(
    _xlpm.vals,   _xlfn.HSTACK(S64,V64,Y64,AB64,AE64,AH64),
    _xlpm.ints,   _xlfn.HSTACK(R64,U64,X64,AA64,AD64,AG64),
    _xlpm.slopes, _xlfn.HSTACK(Q64,T64,W64,Z64,AC64,AF64),
    _xlpm.limit,  -0.00001*_xlpm.slopes + 0.1086*_xlpm.slopes + 63.253,
    _xlpm.mask,   (_xlpm.vals&gt;=0) * (_xlpm.ints&lt;=_xlpm.limit),
    _xlpm.validVals, _xlfn._xlws.FILTER(_xlpm.vals, _xlpm.mask),
    _xlpm.minVal, MIN(_xlpm.validVals),
    IFERROR( _xlfn.XMATCH(_xlpm.minVal, _xlpm.vals), "" )
)</f>
        <v>4</v>
      </c>
      <c r="AJ64" cm="1">
        <f t="array" ref="AJ64">_xlfn.LET(
    _xlpm.vals, CHOOSE({1,2,3,4,5,6}, S64, V64, Y64, AB64, AE64, AH64),
    _xlpm.slopes, CHOOSE({1,2,3,4,5,6}, Q64, T64, W64, Z64, AC64, AF64),
    _xlpm.ints, CHOOSE({1,2,3,4,5,6}, R64, U64, X64, AA64, AD64, AG64),
    _xlpm.limit, -0.00001*_xlpm.slopes + 0.1086*_xlpm.slopes + 63.253,
    _xlpm.valid, (_xlpm.vals &gt;= 0) * (_xlpm.ints &lt;= _xlpm.limit),
    _xlpm.target, MIN(_xlfn._xlws.FILTER(_xlpm.vals, _xlpm.valid)),
    IFERROR(
        _xlfn.XLOOKUP(_xlpm.target, _xlpm.vals, _xlpm.vals),
        CHOOSE({1,2,3,4,5,6}, S$1, V$1, Y$1, AB$1, AE$1, AH$1)
    )
)</f>
        <v>0.76390100099254554</v>
      </c>
    </row>
    <row r="65" spans="1:36" x14ac:dyDescent="0.45">
      <c r="A65" s="2"/>
      <c r="B65" s="2"/>
      <c r="C65" s="2"/>
      <c r="D65" s="2"/>
      <c r="E65" s="2"/>
      <c r="F65" s="2"/>
      <c r="I65">
        <v>63</v>
      </c>
      <c r="J65">
        <v>24.7</v>
      </c>
      <c r="K65">
        <f t="shared" si="1"/>
        <v>24.7</v>
      </c>
      <c r="L65">
        <f t="shared" si="0"/>
        <v>6.8611111111111112E-3</v>
      </c>
      <c r="M65">
        <v>0.69</v>
      </c>
      <c r="N65">
        <f t="shared" si="2"/>
        <v>0.69</v>
      </c>
      <c r="O65">
        <f t="shared" si="3"/>
        <v>320.98101484330266</v>
      </c>
      <c r="P65">
        <f t="shared" si="4"/>
        <v>1027.1392474985685</v>
      </c>
      <c r="Q65">
        <f t="shared" si="5"/>
        <v>4704.2977535434438</v>
      </c>
      <c r="R65">
        <f t="shared" si="6"/>
        <v>1.4006372447495246</v>
      </c>
      <c r="S65">
        <f t="shared" si="7"/>
        <v>3.1543968570223053</v>
      </c>
      <c r="T65">
        <f t="shared" si="8"/>
        <v>3040.3321725957626</v>
      </c>
      <c r="U65">
        <f t="shared" si="9"/>
        <v>2.1672022232948729</v>
      </c>
      <c r="V65">
        <f t="shared" si="10"/>
        <v>1.034859239804975</v>
      </c>
      <c r="W65">
        <f t="shared" si="11"/>
        <v>1961.8359627222658</v>
      </c>
      <c r="X65">
        <f t="shared" si="12"/>
        <v>3.358596115682106</v>
      </c>
      <c r="Y65">
        <f t="shared" si="13"/>
        <v>0.5522212181095022</v>
      </c>
      <c r="Z65">
        <f t="shared" si="14"/>
        <v>1479.0805163979385</v>
      </c>
      <c r="AA65">
        <f t="shared" si="15"/>
        <v>4.454804570106127</v>
      </c>
      <c r="AB65">
        <f t="shared" si="16"/>
        <v>0.44554495514345083</v>
      </c>
      <c r="AC65">
        <f t="shared" si="17"/>
        <v>6000</v>
      </c>
      <c r="AD65">
        <f t="shared" si="18"/>
        <v>1.0981691073340778</v>
      </c>
      <c r="AE65">
        <f t="shared" si="19"/>
        <v>6.7068187448354131</v>
      </c>
      <c r="AF65">
        <f t="shared" si="20"/>
        <v>6000</v>
      </c>
      <c r="AG65">
        <f t="shared" si="21"/>
        <v>1.0981691073340778</v>
      </c>
      <c r="AH65">
        <f t="shared" si="22"/>
        <v>6.7068187448354131</v>
      </c>
      <c r="AI65" cm="1">
        <f t="array" ref="AI65">_xlfn.LET(
    _xlpm.vals,   _xlfn.HSTACK(S65,V65,Y65,AB65,AE65,AH65),
    _xlpm.ints,   _xlfn.HSTACK(R65,U65,X65,AA65,AD65,AG65),
    _xlpm.slopes, _xlfn.HSTACK(Q65,T65,W65,Z65,AC65,AF65),
    _xlpm.limit,  -0.00001*_xlpm.slopes + 0.1086*_xlpm.slopes + 63.253,
    _xlpm.mask,   (_xlpm.vals&gt;=0) * (_xlpm.ints&lt;=_xlpm.limit),
    _xlpm.validVals, _xlfn._xlws.FILTER(_xlpm.vals, _xlpm.mask),
    _xlpm.minVal, MIN(_xlpm.validVals),
    IFERROR( _xlfn.XMATCH(_xlpm.minVal, _xlpm.vals), "" )
)</f>
        <v>4</v>
      </c>
      <c r="AJ65" cm="1">
        <f t="array" ref="AJ65">_xlfn.LET(
    _xlpm.vals, CHOOSE({1,2,3,4,5,6}, S65, V65, Y65, AB65, AE65, AH65),
    _xlpm.slopes, CHOOSE({1,2,3,4,5,6}, Q65, T65, W65, Z65, AC65, AF65),
    _xlpm.ints, CHOOSE({1,2,3,4,5,6}, R65, U65, X65, AA65, AD65, AG65),
    _xlpm.limit, -0.00001*_xlpm.slopes + 0.1086*_xlpm.slopes + 63.253,
    _xlpm.valid, (_xlpm.vals &gt;= 0) * (_xlpm.ints &lt;= _xlpm.limit),
    _xlpm.target, MIN(_xlfn._xlws.FILTER(_xlpm.vals, _xlpm.valid)),
    IFERROR(
        _xlfn.XLOOKUP(_xlpm.target, _xlpm.vals, _xlpm.vals),
        CHOOSE({1,2,3,4,5,6}, S$1, V$1, Y$1, AB$1, AE$1, AH$1)
    )
)</f>
        <v>0.44554495514345083</v>
      </c>
    </row>
    <row r="66" spans="1:36" x14ac:dyDescent="0.45">
      <c r="A66" s="2"/>
      <c r="B66" s="2"/>
      <c r="C66" s="2"/>
      <c r="D66" s="2"/>
      <c r="E66" s="2"/>
      <c r="F66" s="2"/>
      <c r="I66">
        <v>64</v>
      </c>
      <c r="J66">
        <v>24.5</v>
      </c>
      <c r="K66">
        <f t="shared" si="1"/>
        <v>24.5</v>
      </c>
      <c r="L66">
        <f t="shared" ref="L66:L129" si="23">K66*(1/3600)</f>
        <v>6.8055555555555551E-3</v>
      </c>
      <c r="M66">
        <v>4.16</v>
      </c>
      <c r="N66">
        <f t="shared" si="2"/>
        <v>4.16</v>
      </c>
      <c r="O66">
        <f t="shared" si="3"/>
        <v>318.38197828586698</v>
      </c>
      <c r="P66">
        <f t="shared" si="4"/>
        <v>1018.8223305147744</v>
      </c>
      <c r="Q66">
        <f t="shared" si="5"/>
        <v>4666.2062737576671</v>
      </c>
      <c r="R66">
        <f t="shared" si="6"/>
        <v>8.5133557037860488</v>
      </c>
      <c r="S66">
        <f t="shared" si="7"/>
        <v>3.1776678289840912</v>
      </c>
      <c r="T66">
        <f t="shared" si="8"/>
        <v>3015.7140983237323</v>
      </c>
      <c r="U66">
        <f t="shared" si="9"/>
        <v>13.172692271398683</v>
      </c>
      <c r="V66">
        <f t="shared" si="10"/>
        <v>1.1884350403608022</v>
      </c>
      <c r="W66">
        <f t="shared" si="11"/>
        <v>1945.950651283219</v>
      </c>
      <c r="X66">
        <f t="shared" si="12"/>
        <v>20.414224671905814</v>
      </c>
      <c r="Y66">
        <f t="shared" si="13"/>
        <v>0.76546382736813723</v>
      </c>
      <c r="Z66">
        <f t="shared" si="14"/>
        <v>1467.1041559412752</v>
      </c>
      <c r="AA66">
        <f t="shared" si="15"/>
        <v>27.077200780097293</v>
      </c>
      <c r="AB66">
        <f t="shared" si="16"/>
        <v>0.6836241299041409</v>
      </c>
      <c r="AC66">
        <f t="shared" si="17"/>
        <v>6000</v>
      </c>
      <c r="AD66">
        <f t="shared" si="18"/>
        <v>6.6208456326228466</v>
      </c>
      <c r="AE66">
        <f t="shared" si="19"/>
        <v>6.7469249536526537</v>
      </c>
      <c r="AF66">
        <f t="shared" si="20"/>
        <v>6000</v>
      </c>
      <c r="AG66">
        <f t="shared" si="21"/>
        <v>6.6208456326228466</v>
      </c>
      <c r="AH66">
        <f t="shared" si="22"/>
        <v>6.7469249536526537</v>
      </c>
      <c r="AI66" cm="1">
        <f t="array" ref="AI66">_xlfn.LET(
    _xlpm.vals,   _xlfn.HSTACK(S66,V66,Y66,AB66,AE66,AH66),
    _xlpm.ints,   _xlfn.HSTACK(R66,U66,X66,AA66,AD66,AG66),
    _xlpm.slopes, _xlfn.HSTACK(Q66,T66,W66,Z66,AC66,AF66),
    _xlpm.limit,  -0.00001*_xlpm.slopes + 0.1086*_xlpm.slopes + 63.253,
    _xlpm.mask,   (_xlpm.vals&gt;=0) * (_xlpm.ints&lt;=_xlpm.limit),
    _xlpm.validVals, _xlfn._xlws.FILTER(_xlpm.vals, _xlpm.mask),
    _xlpm.minVal, MIN(_xlpm.validVals),
    IFERROR( _xlfn.XMATCH(_xlpm.minVal, _xlpm.vals), "" )
)</f>
        <v>4</v>
      </c>
      <c r="AJ66" cm="1">
        <f t="array" ref="AJ66">_xlfn.LET(
    _xlpm.vals, CHOOSE({1,2,3,4,5,6}, S66, V66, Y66, AB66, AE66, AH66),
    _xlpm.slopes, CHOOSE({1,2,3,4,5,6}, Q66, T66, W66, Z66, AC66, AF66),
    _xlpm.ints, CHOOSE({1,2,3,4,5,6}, R66, U66, X66, AA66, AD66, AG66),
    _xlpm.limit, -0.00001*_xlpm.slopes + 0.1086*_xlpm.slopes + 63.253,
    _xlpm.valid, (_xlpm.vals &gt;= 0) * (_xlpm.ints &lt;= _xlpm.limit),
    _xlpm.target, MIN(_xlfn._xlws.FILTER(_xlpm.vals, _xlpm.valid)),
    IFERROR(
        _xlfn.XLOOKUP(_xlpm.target, _xlpm.vals, _xlpm.vals),
        CHOOSE({1,2,3,4,5,6}, S$1, V$1, Y$1, AB$1, AE$1, AH$1)
    )
)</f>
        <v>0.6836241299041409</v>
      </c>
    </row>
    <row r="67" spans="1:36" x14ac:dyDescent="0.45">
      <c r="A67" s="2"/>
      <c r="B67" s="2"/>
      <c r="C67" s="2"/>
      <c r="D67" s="2"/>
      <c r="E67" s="2"/>
      <c r="F67" s="2"/>
      <c r="I67">
        <v>65</v>
      </c>
      <c r="J67">
        <v>24.6</v>
      </c>
      <c r="K67">
        <f t="shared" ref="K67:K130" si="24">IF(J67&lt;0,0,J67)</f>
        <v>24.6</v>
      </c>
      <c r="L67">
        <f t="shared" si="23"/>
        <v>6.8333333333333336E-3</v>
      </c>
      <c r="M67">
        <v>7.19</v>
      </c>
      <c r="N67">
        <f t="shared" ref="N67:N130" si="25">IF(M67&lt;0,0,M67)</f>
        <v>7.19</v>
      </c>
      <c r="O67">
        <f t="shared" ref="O67:O130" si="26">(K67*0.44704*60)/(PI()*$B$2)</f>
        <v>319.68149656458485</v>
      </c>
      <c r="P67">
        <f t="shared" ref="P67:P130" si="27">O67*3.2</f>
        <v>1022.9807890066716</v>
      </c>
      <c r="Q67">
        <f t="shared" ref="Q67:Q130" si="28">IF(4.58*P67&lt;1000,1000,4.58*P67)</f>
        <v>4685.2520136505555</v>
      </c>
      <c r="R67">
        <f t="shared" ref="R67:R130" si="29">(1000*N67*60)/(Q67*2*PI())</f>
        <v>14.654375527677761</v>
      </c>
      <c r="S67">
        <f t="shared" ref="S67:S130" si="30">(0.072946 + (0.000364279 * Q67) + (-0.00248749 * R67) + (0.00000951906 * Q67 * R67) + (-0.000000165418 * Q67^2) + (0.000045414 * R67^2) + (-0.00000000135106 * Q67^2 * R67) + (0.0000000203184 * Q67 * R67^2) + (0.0000000000481318 * Q67^3) + (-0.00000034778 * R67^3))</f>
        <v>3.3103955351577583</v>
      </c>
      <c r="T67">
        <f t="shared" ref="T67:T130" si="31">IF(2.96*P67&lt;1000,6000,2.96*P67)</f>
        <v>3028.0231354597477</v>
      </c>
      <c r="U67">
        <f t="shared" ref="U67:U130" si="32">(1000*N67*60)/(T67*2*PI())</f>
        <v>22.674675647555453</v>
      </c>
      <c r="V67">
        <f t="shared" ref="V67:V130" si="33">(0.072946 + (0.000364279 * T67) + (-0.00248749 * U67) + (0.00000951906 * T67 * U67) + (-0.000000165418 * T67^2) + (0.000045414 * U67^2) + (-0.00000000135106 * T67^2 * U67) + (0.0000000203184 * T67 * U67^2) + (0.0000000000481318 * T67^3) + (-0.00000034778 * U67^3))</f>
        <v>1.3628125207737654</v>
      </c>
      <c r="W67">
        <f t="shared" ref="W67:W130" si="34">IF(1.91*P67&lt;1000,6000,1.91*P67)</f>
        <v>1953.8933070027426</v>
      </c>
      <c r="X67">
        <f t="shared" ref="X67:X130" si="35">(1000*N67*60)/(W67*2*PI())</f>
        <v>35.139811474745621</v>
      </c>
      <c r="Y67">
        <f t="shared" ref="Y67:Y130" si="36">(0.072946 + (0.000364279 * W67) + (-0.00248749 * X67) + (0.00000951906 * W67 * X67) + (-0.000000165418 * W67^2) + (0.000045414 * X67^2) + (-0.00000000135106 * W67^2 * X67) + (0.0000000203184 * W67 * X67^2) + (0.0000000000481318 * W67^3) + (-0.00000034778 * X67^3))</f>
        <v>0.98714856422735764</v>
      </c>
      <c r="Z67">
        <f t="shared" ref="Z67:Z130" si="37">IF(1.44*P67&lt;1000,6000,1.44*P67)</f>
        <v>1473.0923361696071</v>
      </c>
      <c r="AA67">
        <f t="shared" ref="AA67:AA130" si="38">(1000*N67*60)/(Z67*2*PI())</f>
        <v>46.60905549775287</v>
      </c>
      <c r="AB67">
        <f t="shared" ref="AB67:AB130" si="39">(0.072946 + (0.000364279 * Z67) + (-0.00248749 * AA67) + (0.00000951906 * Z67 * AA67) + (-0.000000165418 * Z67^2) + (0.000045414 * AA67^2) + (-0.00000000135106 * Z67^2 * AA67) + (0.0000000203184 * Z67 * AA67^2) + (0.0000000000481318 * Z67^3) + (-0.00000034778 * AA67^3))</f>
        <v>0.93391485545439956</v>
      </c>
      <c r="AC67">
        <f t="shared" ref="AC67:AC130" si="40">IF(0.74*P67&lt;1000,6000,0.74*P67)</f>
        <v>6000</v>
      </c>
      <c r="AD67">
        <f t="shared" ref="AD67:AD130" si="41">(1000*N67*60)/(AC67*2*PI())</f>
        <v>11.443240408307275</v>
      </c>
      <c r="AE67">
        <f t="shared" ref="AE67:AE130" si="42">(0.072946 + (0.000364279 * AC67) + (-0.00248749 * AD67) + (0.00000951906 * AC67 * AD67) + (-0.000000165418 * AC67^2) + (0.000045414 * AD67^2) + (-0.00000000135106 * AC67^2 * AD67) + (0.0000000203184 * AC67 * AD67^2) + (0.0000000000481318 * AC67^3) + (-0.00000034778 * AD67^3))</f>
        <v>6.789960665427345</v>
      </c>
      <c r="AF67">
        <f t="shared" ref="AF67:AF130" si="43">IF(0.68*P67&lt;1000,6000,0.68*P67)</f>
        <v>6000</v>
      </c>
      <c r="AG67">
        <f t="shared" ref="AG67:AG130" si="44">(1000*N67*60)/(AF67*2*PI())</f>
        <v>11.443240408307275</v>
      </c>
      <c r="AH67">
        <f t="shared" ref="AH67:AH130" si="45">(0.072946 + (0.000364279 * AF67) + (-0.00248749 * AG67) + (0.00000951906 * AF67 * AG67) + (-0.000000165418 * AF67^2) + (0.000045414 * AG67^2) + (-0.00000000135106 * AF67^2 * AG67) + (0.0000000203184 * AF67 * AG67^2) + (0.0000000000481318 * AF67^3) + (-0.00000034778 * AG67^3))</f>
        <v>6.789960665427345</v>
      </c>
      <c r="AI67" cm="1">
        <f t="array" ref="AI67">_xlfn.LET(
    _xlpm.vals,   _xlfn.HSTACK(S67,V67,Y67,AB67,AE67,AH67),
    _xlpm.ints,   _xlfn.HSTACK(R67,U67,X67,AA67,AD67,AG67),
    _xlpm.slopes, _xlfn.HSTACK(Q67,T67,W67,Z67,AC67,AF67),
    _xlpm.limit,  -0.00001*_xlpm.slopes + 0.1086*_xlpm.slopes + 63.253,
    _xlpm.mask,   (_xlpm.vals&gt;=0) * (_xlpm.ints&lt;=_xlpm.limit),
    _xlpm.validVals, _xlfn._xlws.FILTER(_xlpm.vals, _xlpm.mask),
    _xlpm.minVal, MIN(_xlpm.validVals),
    IFERROR( _xlfn.XMATCH(_xlpm.minVal, _xlpm.vals), "" )
)</f>
        <v>4</v>
      </c>
      <c r="AJ67" cm="1">
        <f t="array" ref="AJ67">_xlfn.LET(
    _xlpm.vals, CHOOSE({1,2,3,4,5,6}, S67, V67, Y67, AB67, AE67, AH67),
    _xlpm.slopes, CHOOSE({1,2,3,4,5,6}, Q67, T67, W67, Z67, AC67, AF67),
    _xlpm.ints, CHOOSE({1,2,3,4,5,6}, R67, U67, X67, AA67, AD67, AG67),
    _xlpm.limit, -0.00001*_xlpm.slopes + 0.1086*_xlpm.slopes + 63.253,
    _xlpm.valid, (_xlpm.vals &gt;= 0) * (_xlpm.ints &lt;= _xlpm.limit),
    _xlpm.target, MIN(_xlfn._xlws.FILTER(_xlpm.vals, _xlpm.valid)),
    IFERROR(
        _xlfn.XLOOKUP(_xlpm.target, _xlpm.vals, _xlpm.vals),
        CHOOSE({1,2,3,4,5,6}, S$1, V$1, Y$1, AB$1, AE$1, AH$1)
    )
)</f>
        <v>0.93391485545439956</v>
      </c>
    </row>
    <row r="68" spans="1:36" x14ac:dyDescent="0.45">
      <c r="A68" s="2"/>
      <c r="B68" s="2"/>
      <c r="C68" s="2"/>
      <c r="D68" s="2"/>
      <c r="E68" s="2"/>
      <c r="F68" s="2"/>
      <c r="I68">
        <v>66</v>
      </c>
      <c r="J68">
        <v>24.7</v>
      </c>
      <c r="K68">
        <f t="shared" si="24"/>
        <v>24.7</v>
      </c>
      <c r="L68">
        <f t="shared" si="23"/>
        <v>6.8611111111111112E-3</v>
      </c>
      <c r="M68">
        <v>7.14</v>
      </c>
      <c r="N68">
        <f t="shared" si="25"/>
        <v>7.14</v>
      </c>
      <c r="O68">
        <f t="shared" si="26"/>
        <v>320.98101484330266</v>
      </c>
      <c r="P68">
        <f t="shared" si="27"/>
        <v>1027.1392474985685</v>
      </c>
      <c r="Q68">
        <f t="shared" si="28"/>
        <v>4704.2977535434438</v>
      </c>
      <c r="R68">
        <f t="shared" si="29"/>
        <v>14.493550619582038</v>
      </c>
      <c r="S68">
        <f t="shared" si="30"/>
        <v>3.3449475634435091</v>
      </c>
      <c r="T68">
        <f t="shared" si="31"/>
        <v>3040.3321725957626</v>
      </c>
      <c r="U68">
        <f t="shared" si="32"/>
        <v>22.425831701920856</v>
      </c>
      <c r="V68">
        <f t="shared" si="33"/>
        <v>1.3672543982565477</v>
      </c>
      <c r="W68">
        <f t="shared" si="34"/>
        <v>1961.8359627222658</v>
      </c>
      <c r="X68">
        <f t="shared" si="35"/>
        <v>34.754168501406141</v>
      </c>
      <c r="Y68">
        <f t="shared" si="36"/>
        <v>0.98462865363584073</v>
      </c>
      <c r="Z68">
        <f t="shared" si="37"/>
        <v>1479.0805163979385</v>
      </c>
      <c r="AA68">
        <f t="shared" si="38"/>
        <v>46.097542942837315</v>
      </c>
      <c r="AB68">
        <f t="shared" si="39"/>
        <v>0.93001426224126016</v>
      </c>
      <c r="AC68">
        <f t="shared" si="40"/>
        <v>6000</v>
      </c>
      <c r="AD68">
        <f t="shared" si="41"/>
        <v>11.363662936761328</v>
      </c>
      <c r="AE68">
        <f t="shared" si="42"/>
        <v>6.7891912160312957</v>
      </c>
      <c r="AF68">
        <f t="shared" si="43"/>
        <v>6000</v>
      </c>
      <c r="AG68">
        <f t="shared" si="44"/>
        <v>11.363662936761328</v>
      </c>
      <c r="AH68">
        <f t="shared" si="45"/>
        <v>6.7891912160312957</v>
      </c>
      <c r="AI68" cm="1">
        <f t="array" ref="AI68">_xlfn.LET(
    _xlpm.vals,   _xlfn.HSTACK(S68,V68,Y68,AB68,AE68,AH68),
    _xlpm.ints,   _xlfn.HSTACK(R68,U68,X68,AA68,AD68,AG68),
    _xlpm.slopes, _xlfn.HSTACK(Q68,T68,W68,Z68,AC68,AF68),
    _xlpm.limit,  -0.00001*_xlpm.slopes + 0.1086*_xlpm.slopes + 63.253,
    _xlpm.mask,   (_xlpm.vals&gt;=0) * (_xlpm.ints&lt;=_xlpm.limit),
    _xlpm.validVals, _xlfn._xlws.FILTER(_xlpm.vals, _xlpm.mask),
    _xlpm.minVal, MIN(_xlpm.validVals),
    IFERROR( _xlfn.XMATCH(_xlpm.minVal, _xlpm.vals), "" )
)</f>
        <v>4</v>
      </c>
      <c r="AJ68" cm="1">
        <f t="array" ref="AJ68">_xlfn.LET(
    _xlpm.vals, CHOOSE({1,2,3,4,5,6}, S68, V68, Y68, AB68, AE68, AH68),
    _xlpm.slopes, CHOOSE({1,2,3,4,5,6}, Q68, T68, W68, Z68, AC68, AF68),
    _xlpm.ints, CHOOSE({1,2,3,4,5,6}, R68, U68, X68, AA68, AD68, AG68),
    _xlpm.limit, -0.00001*_xlpm.slopes + 0.1086*_xlpm.slopes + 63.253,
    _xlpm.valid, (_xlpm.vals &gt;= 0) * (_xlpm.ints &lt;= _xlpm.limit),
    _xlpm.target, MIN(_xlfn._xlws.FILTER(_xlpm.vals, _xlpm.valid)),
    IFERROR(
        _xlfn.XLOOKUP(_xlpm.target, _xlpm.vals, _xlpm.vals),
        CHOOSE({1,2,3,4,5,6}, S$1, V$1, Y$1, AB$1, AE$1, AH$1)
    )
)</f>
        <v>0.93001426224126016</v>
      </c>
    </row>
    <row r="69" spans="1:36" x14ac:dyDescent="0.45">
      <c r="A69" s="2"/>
      <c r="B69" s="2"/>
      <c r="C69" s="2"/>
      <c r="D69" s="2"/>
      <c r="E69" s="2"/>
      <c r="F69" s="2"/>
      <c r="I69">
        <v>67</v>
      </c>
      <c r="J69">
        <v>24.6</v>
      </c>
      <c r="K69">
        <f t="shared" si="24"/>
        <v>24.6</v>
      </c>
      <c r="L69">
        <f t="shared" si="23"/>
        <v>6.8333333333333336E-3</v>
      </c>
      <c r="M69">
        <v>3.11</v>
      </c>
      <c r="N69">
        <f t="shared" si="25"/>
        <v>3.11</v>
      </c>
      <c r="O69">
        <f t="shared" si="26"/>
        <v>319.68149656458485</v>
      </c>
      <c r="P69">
        <f t="shared" si="27"/>
        <v>1022.9807890066716</v>
      </c>
      <c r="Q69">
        <f t="shared" si="28"/>
        <v>4685.2520136505555</v>
      </c>
      <c r="R69">
        <f t="shared" si="29"/>
        <v>6.3386798179524115</v>
      </c>
      <c r="S69">
        <f t="shared" si="30"/>
        <v>3.1832927788919507</v>
      </c>
      <c r="T69">
        <f t="shared" si="31"/>
        <v>3028.0231354597477</v>
      </c>
      <c r="U69">
        <f t="shared" si="32"/>
        <v>9.80782215075069</v>
      </c>
      <c r="V69">
        <f t="shared" si="33"/>
        <v>1.1423685143616773</v>
      </c>
      <c r="W69">
        <f t="shared" si="34"/>
        <v>1953.8933070027426</v>
      </c>
      <c r="X69">
        <f t="shared" si="35"/>
        <v>15.199556840953948</v>
      </c>
      <c r="Y69">
        <f t="shared" si="36"/>
        <v>0.6971606029349201</v>
      </c>
      <c r="Z69">
        <f t="shared" si="37"/>
        <v>1473.0923361696071</v>
      </c>
      <c r="AA69">
        <f t="shared" si="38"/>
        <v>20.160523309876417</v>
      </c>
      <c r="AB69">
        <f t="shared" si="39"/>
        <v>0.60568222593687671</v>
      </c>
      <c r="AC69">
        <f t="shared" si="40"/>
        <v>6000</v>
      </c>
      <c r="AD69">
        <f t="shared" si="41"/>
        <v>4.9497187301579455</v>
      </c>
      <c r="AE69">
        <f t="shared" si="42"/>
        <v>6.7337404561207945</v>
      </c>
      <c r="AF69">
        <f t="shared" si="43"/>
        <v>6000</v>
      </c>
      <c r="AG69">
        <f t="shared" si="44"/>
        <v>4.9497187301579455</v>
      </c>
      <c r="AH69">
        <f t="shared" si="45"/>
        <v>6.7337404561207945</v>
      </c>
      <c r="AI69" cm="1">
        <f t="array" ref="AI69">_xlfn.LET(
    _xlpm.vals,   _xlfn.HSTACK(S69,V69,Y69,AB69,AE69,AH69),
    _xlpm.ints,   _xlfn.HSTACK(R69,U69,X69,AA69,AD69,AG69),
    _xlpm.slopes, _xlfn.HSTACK(Q69,T69,W69,Z69,AC69,AF69),
    _xlpm.limit,  -0.00001*_xlpm.slopes + 0.1086*_xlpm.slopes + 63.253,
    _xlpm.mask,   (_xlpm.vals&gt;=0) * (_xlpm.ints&lt;=_xlpm.limit),
    _xlpm.validVals, _xlfn._xlws.FILTER(_xlpm.vals, _xlpm.mask),
    _xlpm.minVal, MIN(_xlpm.validVals),
    IFERROR( _xlfn.XMATCH(_xlpm.minVal, _xlpm.vals), "" )
)</f>
        <v>4</v>
      </c>
      <c r="AJ69" cm="1">
        <f t="array" ref="AJ69">_xlfn.LET(
    _xlpm.vals, CHOOSE({1,2,3,4,5,6}, S69, V69, Y69, AB69, AE69, AH69),
    _xlpm.slopes, CHOOSE({1,2,3,4,5,6}, Q69, T69, W69, Z69, AC69, AF69),
    _xlpm.ints, CHOOSE({1,2,3,4,5,6}, R69, U69, X69, AA69, AD69, AG69),
    _xlpm.limit, -0.00001*_xlpm.slopes + 0.1086*_xlpm.slopes + 63.253,
    _xlpm.valid, (_xlpm.vals &gt;= 0) * (_xlpm.ints &lt;= _xlpm.limit),
    _xlpm.target, MIN(_xlfn._xlws.FILTER(_xlpm.vals, _xlpm.valid)),
    IFERROR(
        _xlfn.XLOOKUP(_xlpm.target, _xlpm.vals, _xlpm.vals),
        CHOOSE({1,2,3,4,5,6}, S$1, V$1, Y$1, AB$1, AE$1, AH$1)
    )
)</f>
        <v>0.60568222593687671</v>
      </c>
    </row>
    <row r="70" spans="1:36" x14ac:dyDescent="0.45">
      <c r="A70" s="2"/>
      <c r="B70" s="2"/>
      <c r="C70" s="2"/>
      <c r="D70" s="2"/>
      <c r="E70" s="2"/>
      <c r="F70" s="2"/>
      <c r="I70">
        <v>68</v>
      </c>
      <c r="J70">
        <v>24.5</v>
      </c>
      <c r="K70">
        <f t="shared" si="24"/>
        <v>24.5</v>
      </c>
      <c r="L70">
        <f t="shared" si="23"/>
        <v>6.8055555555555551E-3</v>
      </c>
      <c r="M70">
        <v>4.93</v>
      </c>
      <c r="N70">
        <f t="shared" si="25"/>
        <v>4.93</v>
      </c>
      <c r="O70">
        <f t="shared" si="26"/>
        <v>318.38197828586698</v>
      </c>
      <c r="P70">
        <f t="shared" si="27"/>
        <v>1018.8223305147744</v>
      </c>
      <c r="Q70">
        <f t="shared" si="28"/>
        <v>4666.2062737576671</v>
      </c>
      <c r="R70">
        <f t="shared" si="29"/>
        <v>10.089145100881062</v>
      </c>
      <c r="S70">
        <f t="shared" si="30"/>
        <v>3.2013537775714709</v>
      </c>
      <c r="T70">
        <f t="shared" si="31"/>
        <v>3015.7140983237323</v>
      </c>
      <c r="U70">
        <f t="shared" si="32"/>
        <v>15.610906946633536</v>
      </c>
      <c r="V70">
        <f t="shared" si="33"/>
        <v>1.2293635867104635</v>
      </c>
      <c r="W70">
        <f t="shared" si="34"/>
        <v>1945.950651283219</v>
      </c>
      <c r="X70">
        <f t="shared" si="35"/>
        <v>24.192819142426842</v>
      </c>
      <c r="Y70">
        <f t="shared" si="36"/>
        <v>0.81907934891175438</v>
      </c>
      <c r="Z70">
        <f t="shared" si="37"/>
        <v>1467.1041559412752</v>
      </c>
      <c r="AA70">
        <f t="shared" si="38"/>
        <v>32.089086501413377</v>
      </c>
      <c r="AB70">
        <f t="shared" si="39"/>
        <v>0.74429476239651626</v>
      </c>
      <c r="AC70">
        <f t="shared" si="40"/>
        <v>6000</v>
      </c>
      <c r="AD70">
        <f t="shared" si="41"/>
        <v>7.8463386944304405</v>
      </c>
      <c r="AE70">
        <f t="shared" si="42"/>
        <v>6.7571635802242414</v>
      </c>
      <c r="AF70">
        <f t="shared" si="43"/>
        <v>6000</v>
      </c>
      <c r="AG70">
        <f t="shared" si="44"/>
        <v>7.8463386944304405</v>
      </c>
      <c r="AH70">
        <f t="shared" si="45"/>
        <v>6.7571635802242414</v>
      </c>
      <c r="AI70" cm="1">
        <f t="array" ref="AI70">_xlfn.LET(
    _xlpm.vals,   _xlfn.HSTACK(S70,V70,Y70,AB70,AE70,AH70),
    _xlpm.ints,   _xlfn.HSTACK(R70,U70,X70,AA70,AD70,AG70),
    _xlpm.slopes, _xlfn.HSTACK(Q70,T70,W70,Z70,AC70,AF70),
    _xlpm.limit,  -0.00001*_xlpm.slopes + 0.1086*_xlpm.slopes + 63.253,
    _xlpm.mask,   (_xlpm.vals&gt;=0) * (_xlpm.ints&lt;=_xlpm.limit),
    _xlpm.validVals, _xlfn._xlws.FILTER(_xlpm.vals, _xlpm.mask),
    _xlpm.minVal, MIN(_xlpm.validVals),
    IFERROR( _xlfn.XMATCH(_xlpm.minVal, _xlpm.vals), "" )
)</f>
        <v>4</v>
      </c>
      <c r="AJ70" cm="1">
        <f t="array" ref="AJ70">_xlfn.LET(
    _xlpm.vals, CHOOSE({1,2,3,4,5,6}, S70, V70, Y70, AB70, AE70, AH70),
    _xlpm.slopes, CHOOSE({1,2,3,4,5,6}, Q70, T70, W70, Z70, AC70, AF70),
    _xlpm.ints, CHOOSE({1,2,3,4,5,6}, R70, U70, X70, AA70, AD70, AG70),
    _xlpm.limit, -0.00001*_xlpm.slopes + 0.1086*_xlpm.slopes + 63.253,
    _xlpm.valid, (_xlpm.vals &gt;= 0) * (_xlpm.ints &lt;= _xlpm.limit),
    _xlpm.target, MIN(_xlfn._xlws.FILTER(_xlpm.vals, _xlpm.valid)),
    IFERROR(
        _xlfn.XLOOKUP(_xlpm.target, _xlpm.vals, _xlpm.vals),
        CHOOSE({1,2,3,4,5,6}, S$1, V$1, Y$1, AB$1, AE$1, AH$1)
    )
)</f>
        <v>0.74429476239651626</v>
      </c>
    </row>
    <row r="71" spans="1:36" x14ac:dyDescent="0.45">
      <c r="A71" s="2"/>
      <c r="B71" s="2"/>
      <c r="C71" s="2"/>
      <c r="D71" s="2"/>
      <c r="E71" s="2"/>
      <c r="F71" s="2"/>
      <c r="I71">
        <v>69</v>
      </c>
      <c r="J71">
        <v>24.6</v>
      </c>
      <c r="K71">
        <f t="shared" si="24"/>
        <v>24.6</v>
      </c>
      <c r="L71">
        <f t="shared" si="23"/>
        <v>6.8333333333333336E-3</v>
      </c>
      <c r="M71">
        <v>7.77</v>
      </c>
      <c r="N71">
        <f t="shared" si="25"/>
        <v>7.77</v>
      </c>
      <c r="O71">
        <f t="shared" si="26"/>
        <v>319.68149656458485</v>
      </c>
      <c r="P71">
        <f t="shared" si="27"/>
        <v>1022.9807890066716</v>
      </c>
      <c r="Q71">
        <f t="shared" si="28"/>
        <v>4685.2520136505555</v>
      </c>
      <c r="R71">
        <f t="shared" si="29"/>
        <v>15.836508741315187</v>
      </c>
      <c r="S71">
        <f t="shared" si="30"/>
        <v>3.3298989893061375</v>
      </c>
      <c r="T71">
        <f t="shared" si="31"/>
        <v>3028.0231354597477</v>
      </c>
      <c r="U71">
        <f t="shared" si="32"/>
        <v>24.503787174062012</v>
      </c>
      <c r="V71">
        <f t="shared" si="33"/>
        <v>1.3964919806177554</v>
      </c>
      <c r="W71">
        <f t="shared" si="34"/>
        <v>1953.8933070027426</v>
      </c>
      <c r="X71">
        <f t="shared" si="35"/>
        <v>37.974455515823848</v>
      </c>
      <c r="Y71">
        <f t="shared" si="36"/>
        <v>1.0318843511723936</v>
      </c>
      <c r="Z71">
        <f t="shared" si="37"/>
        <v>1473.0923361696071</v>
      </c>
      <c r="AA71">
        <f t="shared" si="38"/>
        <v>50.368895857794136</v>
      </c>
      <c r="AB71">
        <f t="shared" si="39"/>
        <v>0.98450593168169087</v>
      </c>
      <c r="AC71">
        <f t="shared" si="40"/>
        <v>6000</v>
      </c>
      <c r="AD71">
        <f t="shared" si="41"/>
        <v>12.366339078240268</v>
      </c>
      <c r="AE71">
        <f t="shared" si="42"/>
        <v>6.7990298266317426</v>
      </c>
      <c r="AF71">
        <f t="shared" si="43"/>
        <v>6000</v>
      </c>
      <c r="AG71">
        <f t="shared" si="44"/>
        <v>12.366339078240268</v>
      </c>
      <c r="AH71">
        <f t="shared" si="45"/>
        <v>6.7990298266317426</v>
      </c>
      <c r="AI71" cm="1">
        <f t="array" ref="AI71">_xlfn.LET(
    _xlpm.vals,   _xlfn.HSTACK(S71,V71,Y71,AB71,AE71,AH71),
    _xlpm.ints,   _xlfn.HSTACK(R71,U71,X71,AA71,AD71,AG71),
    _xlpm.slopes, _xlfn.HSTACK(Q71,T71,W71,Z71,AC71,AF71),
    _xlpm.limit,  -0.00001*_xlpm.slopes + 0.1086*_xlpm.slopes + 63.253,
    _xlpm.mask,   (_xlpm.vals&gt;=0) * (_xlpm.ints&lt;=_xlpm.limit),
    _xlpm.validVals, _xlfn._xlws.FILTER(_xlpm.vals, _xlpm.mask),
    _xlpm.minVal, MIN(_xlpm.validVals),
    IFERROR( _xlfn.XMATCH(_xlpm.minVal, _xlpm.vals), "" )
)</f>
        <v>4</v>
      </c>
      <c r="AJ71" cm="1">
        <f t="array" ref="AJ71">_xlfn.LET(
    _xlpm.vals, CHOOSE({1,2,3,4,5,6}, S71, V71, Y71, AB71, AE71, AH71),
    _xlpm.slopes, CHOOSE({1,2,3,4,5,6}, Q71, T71, W71, Z71, AC71, AF71),
    _xlpm.ints, CHOOSE({1,2,3,4,5,6}, R71, U71, X71, AA71, AD71, AG71),
    _xlpm.limit, -0.00001*_xlpm.slopes + 0.1086*_xlpm.slopes + 63.253,
    _xlpm.valid, (_xlpm.vals &gt;= 0) * (_xlpm.ints &lt;= _xlpm.limit),
    _xlpm.target, MIN(_xlfn._xlws.FILTER(_xlpm.vals, _xlpm.valid)),
    IFERROR(
        _xlfn.XLOOKUP(_xlpm.target, _xlpm.vals, _xlpm.vals),
        CHOOSE({1,2,3,4,5,6}, S$1, V$1, Y$1, AB$1, AE$1, AH$1)
    )
)</f>
        <v>0.98450593168169087</v>
      </c>
    </row>
    <row r="72" spans="1:36" x14ac:dyDescent="0.45">
      <c r="A72" s="2"/>
      <c r="B72" s="2"/>
      <c r="C72" s="2"/>
      <c r="D72" s="2"/>
      <c r="E72" s="2"/>
      <c r="F72" s="2"/>
      <c r="I72">
        <v>70</v>
      </c>
      <c r="J72">
        <v>25.1</v>
      </c>
      <c r="K72">
        <f t="shared" si="24"/>
        <v>25.1</v>
      </c>
      <c r="L72">
        <f t="shared" si="23"/>
        <v>6.9722222222222225E-3</v>
      </c>
      <c r="M72">
        <v>7.46</v>
      </c>
      <c r="N72">
        <f t="shared" si="25"/>
        <v>7.46</v>
      </c>
      <c r="O72">
        <f t="shared" si="26"/>
        <v>326.17908795817397</v>
      </c>
      <c r="P72">
        <f t="shared" si="27"/>
        <v>1043.7730814661568</v>
      </c>
      <c r="Q72">
        <f t="shared" si="28"/>
        <v>4780.4807131149983</v>
      </c>
      <c r="R72">
        <f t="shared" si="29"/>
        <v>14.901796870029266</v>
      </c>
      <c r="S72">
        <f t="shared" si="30"/>
        <v>3.5038427680194615</v>
      </c>
      <c r="T72">
        <f t="shared" si="31"/>
        <v>3089.5683211398241</v>
      </c>
      <c r="U72">
        <f t="shared" si="32"/>
        <v>23.057510021869611</v>
      </c>
      <c r="V72">
        <f t="shared" si="33"/>
        <v>1.4155485964545826</v>
      </c>
      <c r="W72">
        <f t="shared" si="34"/>
        <v>1993.6065856003593</v>
      </c>
      <c r="X72">
        <f t="shared" si="35"/>
        <v>35.73310453650997</v>
      </c>
      <c r="Y72">
        <f t="shared" si="36"/>
        <v>1.0142938568391007</v>
      </c>
      <c r="Z72">
        <f t="shared" si="37"/>
        <v>1503.0332373112658</v>
      </c>
      <c r="AA72">
        <f t="shared" si="38"/>
        <v>47.395992822731976</v>
      </c>
      <c r="AB72">
        <f t="shared" si="39"/>
        <v>0.95935407471280776</v>
      </c>
      <c r="AC72">
        <f t="shared" si="40"/>
        <v>6000</v>
      </c>
      <c r="AD72">
        <f t="shared" si="41"/>
        <v>11.872958754655393</v>
      </c>
      <c r="AE72">
        <f t="shared" si="42"/>
        <v>6.7941496721525905</v>
      </c>
      <c r="AF72">
        <f t="shared" si="43"/>
        <v>6000</v>
      </c>
      <c r="AG72">
        <f t="shared" si="44"/>
        <v>11.872958754655393</v>
      </c>
      <c r="AH72">
        <f t="shared" si="45"/>
        <v>6.7941496721525905</v>
      </c>
      <c r="AI72" cm="1">
        <f t="array" ref="AI72">_xlfn.LET(
    _xlpm.vals,   _xlfn.HSTACK(S72,V72,Y72,AB72,AE72,AH72),
    _xlpm.ints,   _xlfn.HSTACK(R72,U72,X72,AA72,AD72,AG72),
    _xlpm.slopes, _xlfn.HSTACK(Q72,T72,W72,Z72,AC72,AF72),
    _xlpm.limit,  -0.00001*_xlpm.slopes + 0.1086*_xlpm.slopes + 63.253,
    _xlpm.mask,   (_xlpm.vals&gt;=0) * (_xlpm.ints&lt;=_xlpm.limit),
    _xlpm.validVals, _xlfn._xlws.FILTER(_xlpm.vals, _xlpm.mask),
    _xlpm.minVal, MIN(_xlpm.validVals),
    IFERROR( _xlfn.XMATCH(_xlpm.minVal, _xlpm.vals), "" )
)</f>
        <v>4</v>
      </c>
      <c r="AJ72" cm="1">
        <f t="array" ref="AJ72">_xlfn.LET(
    _xlpm.vals, CHOOSE({1,2,3,4,5,6}, S72, V72, Y72, AB72, AE72, AH72),
    _xlpm.slopes, CHOOSE({1,2,3,4,5,6}, Q72, T72, W72, Z72, AC72, AF72),
    _xlpm.ints, CHOOSE({1,2,3,4,5,6}, R72, U72, X72, AA72, AD72, AG72),
    _xlpm.limit, -0.00001*_xlpm.slopes + 0.1086*_xlpm.slopes + 63.253,
    _xlpm.valid, (_xlpm.vals &gt;= 0) * (_xlpm.ints &lt;= _xlpm.limit),
    _xlpm.target, MIN(_xlfn._xlws.FILTER(_xlpm.vals, _xlpm.valid)),
    IFERROR(
        _xlfn.XLOOKUP(_xlpm.target, _xlpm.vals, _xlpm.vals),
        CHOOSE({1,2,3,4,5,6}, S$1, V$1, Y$1, AB$1, AE$1, AH$1)
    )
)</f>
        <v>0.95935407471280776</v>
      </c>
    </row>
    <row r="73" spans="1:36" x14ac:dyDescent="0.45">
      <c r="I73">
        <v>71</v>
      </c>
      <c r="J73">
        <v>25.7</v>
      </c>
      <c r="K73">
        <f t="shared" si="24"/>
        <v>25.7</v>
      </c>
      <c r="L73">
        <f t="shared" si="23"/>
        <v>7.1388888888888891E-3</v>
      </c>
      <c r="M73">
        <v>9.91</v>
      </c>
      <c r="N73">
        <f t="shared" si="25"/>
        <v>9.91</v>
      </c>
      <c r="O73">
        <f t="shared" si="26"/>
        <v>333.9761976304809</v>
      </c>
      <c r="P73">
        <f t="shared" si="27"/>
        <v>1068.7238324175389</v>
      </c>
      <c r="Q73">
        <f t="shared" si="28"/>
        <v>4894.7551524723285</v>
      </c>
      <c r="R73">
        <f t="shared" si="29"/>
        <v>19.33365944048127</v>
      </c>
      <c r="S73">
        <f t="shared" si="30"/>
        <v>3.8158532599640873</v>
      </c>
      <c r="T73">
        <f t="shared" si="31"/>
        <v>3163.422543955915</v>
      </c>
      <c r="U73">
        <f t="shared" si="32"/>
        <v>29.914918999123049</v>
      </c>
      <c r="V73">
        <f t="shared" si="33"/>
        <v>1.6044504629262506</v>
      </c>
      <c r="W73">
        <f t="shared" si="34"/>
        <v>2041.2625199174993</v>
      </c>
      <c r="X73">
        <f t="shared" si="35"/>
        <v>46.36029331801268</v>
      </c>
      <c r="Y73">
        <f t="shared" si="36"/>
        <v>1.2132715378702721</v>
      </c>
      <c r="Z73">
        <f t="shared" si="37"/>
        <v>1538.962318681256</v>
      </c>
      <c r="AA73">
        <f t="shared" si="38"/>
        <v>61.491777942641825</v>
      </c>
      <c r="AB73">
        <f t="shared" si="39"/>
        <v>1.1774064916175913</v>
      </c>
      <c r="AC73">
        <f t="shared" si="40"/>
        <v>6000</v>
      </c>
      <c r="AD73">
        <f t="shared" si="41"/>
        <v>15.772254860406829</v>
      </c>
      <c r="AE73">
        <f t="shared" si="42"/>
        <v>6.8347560123315372</v>
      </c>
      <c r="AF73">
        <f t="shared" si="43"/>
        <v>6000</v>
      </c>
      <c r="AG73">
        <f t="shared" si="44"/>
        <v>15.772254860406829</v>
      </c>
      <c r="AH73">
        <f t="shared" si="45"/>
        <v>6.8347560123315372</v>
      </c>
      <c r="AI73" cm="1">
        <f t="array" ref="AI73">_xlfn.LET(
    _xlpm.vals,   _xlfn.HSTACK(S73,V73,Y73,AB73,AE73,AH73),
    _xlpm.ints,   _xlfn.HSTACK(R73,U73,X73,AA73,AD73,AG73),
    _xlpm.slopes, _xlfn.HSTACK(Q73,T73,W73,Z73,AC73,AF73),
    _xlpm.limit,  -0.00001*_xlpm.slopes + 0.1086*_xlpm.slopes + 63.253,
    _xlpm.mask,   (_xlpm.vals&gt;=0) * (_xlpm.ints&lt;=_xlpm.limit),
    _xlpm.validVals, _xlfn._xlws.FILTER(_xlpm.vals, _xlpm.mask),
    _xlpm.minVal, MIN(_xlpm.validVals),
    IFERROR( _xlfn.XMATCH(_xlpm.minVal, _xlpm.vals), "" )
)</f>
        <v>4</v>
      </c>
      <c r="AJ73" cm="1">
        <f t="array" ref="AJ73">_xlfn.LET(
    _xlpm.vals, CHOOSE({1,2,3,4,5,6}, S73, V73, Y73, AB73, AE73, AH73),
    _xlpm.slopes, CHOOSE({1,2,3,4,5,6}, Q73, T73, W73, Z73, AC73, AF73),
    _xlpm.ints, CHOOSE({1,2,3,4,5,6}, R73, U73, X73, AA73, AD73, AG73),
    _xlpm.limit, -0.00001*_xlpm.slopes + 0.1086*_xlpm.slopes + 63.253,
    _xlpm.valid, (_xlpm.vals &gt;= 0) * (_xlpm.ints &lt;= _xlpm.limit),
    _xlpm.target, MIN(_xlfn._xlws.FILTER(_xlpm.vals, _xlpm.valid)),
    IFERROR(
        _xlfn.XLOOKUP(_xlpm.target, _xlpm.vals, _xlpm.vals),
        CHOOSE({1,2,3,4,5,6}, S$1, V$1, Y$1, AB$1, AE$1, AH$1)
    )
)</f>
        <v>1.1774064916175913</v>
      </c>
    </row>
    <row r="74" spans="1:36" x14ac:dyDescent="0.45">
      <c r="I74">
        <v>72</v>
      </c>
      <c r="J74">
        <v>25.8</v>
      </c>
      <c r="K74">
        <f t="shared" si="24"/>
        <v>25.8</v>
      </c>
      <c r="L74">
        <f t="shared" si="23"/>
        <v>7.1666666666666667E-3</v>
      </c>
      <c r="M74">
        <v>6.37</v>
      </c>
      <c r="N74">
        <f t="shared" si="25"/>
        <v>6.37</v>
      </c>
      <c r="O74">
        <f t="shared" si="26"/>
        <v>335.27571590919877</v>
      </c>
      <c r="P74">
        <f t="shared" si="27"/>
        <v>1072.8822909094361</v>
      </c>
      <c r="Q74">
        <f t="shared" si="28"/>
        <v>4913.8008923652169</v>
      </c>
      <c r="R74">
        <f t="shared" si="29"/>
        <v>12.379219382746063</v>
      </c>
      <c r="S74">
        <f t="shared" si="30"/>
        <v>3.7454975878366317</v>
      </c>
      <c r="T74">
        <f t="shared" si="31"/>
        <v>3175.7315810919308</v>
      </c>
      <c r="U74">
        <f t="shared" si="32"/>
        <v>19.154332693573298</v>
      </c>
      <c r="V74">
        <f t="shared" si="33"/>
        <v>1.411370982723974</v>
      </c>
      <c r="W74">
        <f t="shared" si="34"/>
        <v>2049.2051756370229</v>
      </c>
      <c r="X74">
        <f t="shared" si="35"/>
        <v>29.684201451820403</v>
      </c>
      <c r="Y74">
        <f t="shared" si="36"/>
        <v>0.94337046075055198</v>
      </c>
      <c r="Z74">
        <f t="shared" si="37"/>
        <v>1544.9504989095878</v>
      </c>
      <c r="AA74">
        <f t="shared" si="38"/>
        <v>39.372794981234009</v>
      </c>
      <c r="AB74">
        <f t="shared" si="39"/>
        <v>0.87036124406495841</v>
      </c>
      <c r="AC74">
        <f t="shared" si="40"/>
        <v>6000</v>
      </c>
      <c r="AD74">
        <f t="shared" si="41"/>
        <v>10.138169874953734</v>
      </c>
      <c r="AE74">
        <f t="shared" si="42"/>
        <v>6.7775909815998663</v>
      </c>
      <c r="AF74">
        <f t="shared" si="43"/>
        <v>6000</v>
      </c>
      <c r="AG74">
        <f t="shared" si="44"/>
        <v>10.138169874953734</v>
      </c>
      <c r="AH74">
        <f t="shared" si="45"/>
        <v>6.7775909815998663</v>
      </c>
      <c r="AI74" cm="1">
        <f t="array" ref="AI74">_xlfn.LET(
    _xlpm.vals,   _xlfn.HSTACK(S74,V74,Y74,AB74,AE74,AH74),
    _xlpm.ints,   _xlfn.HSTACK(R74,U74,X74,AA74,AD74,AG74),
    _xlpm.slopes, _xlfn.HSTACK(Q74,T74,W74,Z74,AC74,AF74),
    _xlpm.limit,  -0.00001*_xlpm.slopes + 0.1086*_xlpm.slopes + 63.253,
    _xlpm.mask,   (_xlpm.vals&gt;=0) * (_xlpm.ints&lt;=_xlpm.limit),
    _xlpm.validVals, _xlfn._xlws.FILTER(_xlpm.vals, _xlpm.mask),
    _xlpm.minVal, MIN(_xlpm.validVals),
    IFERROR( _xlfn.XMATCH(_xlpm.minVal, _xlpm.vals), "" )
)</f>
        <v>4</v>
      </c>
      <c r="AJ74" cm="1">
        <f t="array" ref="AJ74">_xlfn.LET(
    _xlpm.vals, CHOOSE({1,2,3,4,5,6}, S74, V74, Y74, AB74, AE74, AH74),
    _xlpm.slopes, CHOOSE({1,2,3,4,5,6}, Q74, T74, W74, Z74, AC74, AF74),
    _xlpm.ints, CHOOSE({1,2,3,4,5,6}, R74, U74, X74, AA74, AD74, AG74),
    _xlpm.limit, -0.00001*_xlpm.slopes + 0.1086*_xlpm.slopes + 63.253,
    _xlpm.valid, (_xlpm.vals &gt;= 0) * (_xlpm.ints &lt;= _xlpm.limit),
    _xlpm.target, MIN(_xlfn._xlws.FILTER(_xlpm.vals, _xlpm.valid)),
    IFERROR(
        _xlfn.XLOOKUP(_xlpm.target, _xlpm.vals, _xlpm.vals),
        CHOOSE({1,2,3,4,5,6}, S$1, V$1, Y$1, AB$1, AE$1, AH$1)
    )
)</f>
        <v>0.87036124406495841</v>
      </c>
    </row>
    <row r="75" spans="1:36" x14ac:dyDescent="0.45">
      <c r="I75">
        <v>73</v>
      </c>
      <c r="J75">
        <v>25.7</v>
      </c>
      <c r="K75">
        <f t="shared" si="24"/>
        <v>25.7</v>
      </c>
      <c r="L75">
        <f t="shared" si="23"/>
        <v>7.1388888888888891E-3</v>
      </c>
      <c r="M75">
        <v>0.78</v>
      </c>
      <c r="N75">
        <f t="shared" si="25"/>
        <v>0.78</v>
      </c>
      <c r="O75">
        <f t="shared" si="26"/>
        <v>333.9761976304809</v>
      </c>
      <c r="P75">
        <f t="shared" si="27"/>
        <v>1068.7238324175389</v>
      </c>
      <c r="Q75">
        <f t="shared" si="28"/>
        <v>4894.7551524723285</v>
      </c>
      <c r="R75">
        <f t="shared" si="29"/>
        <v>1.5217209246796559</v>
      </c>
      <c r="S75">
        <f t="shared" si="30"/>
        <v>3.5555020540279618</v>
      </c>
      <c r="T75">
        <f t="shared" si="31"/>
        <v>3163.422543955915</v>
      </c>
      <c r="U75">
        <f t="shared" si="32"/>
        <v>2.3545546739975758</v>
      </c>
      <c r="V75">
        <f t="shared" si="33"/>
        <v>1.1274657400688481</v>
      </c>
      <c r="W75">
        <f t="shared" si="34"/>
        <v>2041.2625199174993</v>
      </c>
      <c r="X75">
        <f t="shared" si="35"/>
        <v>3.6489433691271334</v>
      </c>
      <c r="Y75">
        <f t="shared" si="36"/>
        <v>0.57908483573404534</v>
      </c>
      <c r="Z75">
        <f t="shared" si="37"/>
        <v>1538.962318681256</v>
      </c>
      <c r="AA75">
        <f t="shared" si="38"/>
        <v>4.8399179409950177</v>
      </c>
      <c r="AB75">
        <f t="shared" si="39"/>
        <v>0.46234858296590925</v>
      </c>
      <c r="AC75">
        <f t="shared" si="40"/>
        <v>6000</v>
      </c>
      <c r="AD75">
        <f t="shared" si="41"/>
        <v>1.2414085561167836</v>
      </c>
      <c r="AE75">
        <f t="shared" si="42"/>
        <v>6.7077324333163943</v>
      </c>
      <c r="AF75">
        <f t="shared" si="43"/>
        <v>6000</v>
      </c>
      <c r="AG75">
        <f t="shared" si="44"/>
        <v>1.2414085561167836</v>
      </c>
      <c r="AH75">
        <f t="shared" si="45"/>
        <v>6.7077324333163943</v>
      </c>
      <c r="AI75" cm="1">
        <f t="array" ref="AI75">_xlfn.LET(
    _xlpm.vals,   _xlfn.HSTACK(S75,V75,Y75,AB75,AE75,AH75),
    _xlpm.ints,   _xlfn.HSTACK(R75,U75,X75,AA75,AD75,AG75),
    _xlpm.slopes, _xlfn.HSTACK(Q75,T75,W75,Z75,AC75,AF75),
    _xlpm.limit,  -0.00001*_xlpm.slopes + 0.1086*_xlpm.slopes + 63.253,
    _xlpm.mask,   (_xlpm.vals&gt;=0) * (_xlpm.ints&lt;=_xlpm.limit),
    _xlpm.validVals, _xlfn._xlws.FILTER(_xlpm.vals, _xlpm.mask),
    _xlpm.minVal, MIN(_xlpm.validVals),
    IFERROR( _xlfn.XMATCH(_xlpm.minVal, _xlpm.vals), "" )
)</f>
        <v>4</v>
      </c>
      <c r="AJ75" cm="1">
        <f t="array" ref="AJ75">_xlfn.LET(
    _xlpm.vals, CHOOSE({1,2,3,4,5,6}, S75, V75, Y75, AB75, AE75, AH75),
    _xlpm.slopes, CHOOSE({1,2,3,4,5,6}, Q75, T75, W75, Z75, AC75, AF75),
    _xlpm.ints, CHOOSE({1,2,3,4,5,6}, R75, U75, X75, AA75, AD75, AG75),
    _xlpm.limit, -0.00001*_xlpm.slopes + 0.1086*_xlpm.slopes + 63.253,
    _xlpm.valid, (_xlpm.vals &gt;= 0) * (_xlpm.ints &lt;= _xlpm.limit),
    _xlpm.target, MIN(_xlfn._xlws.FILTER(_xlpm.vals, _xlpm.valid)),
    IFERROR(
        _xlfn.XLOOKUP(_xlpm.target, _xlpm.vals, _xlpm.vals),
        CHOOSE({1,2,3,4,5,6}, S$1, V$1, Y$1, AB$1, AE$1, AH$1)
    )
)</f>
        <v>0.46234858296590925</v>
      </c>
    </row>
    <row r="76" spans="1:36" x14ac:dyDescent="0.45">
      <c r="I76">
        <v>74</v>
      </c>
      <c r="J76">
        <v>25.3</v>
      </c>
      <c r="K76">
        <f t="shared" si="24"/>
        <v>25.3</v>
      </c>
      <c r="L76">
        <f t="shared" si="23"/>
        <v>7.0277777777777778E-3</v>
      </c>
      <c r="M76">
        <v>3.17</v>
      </c>
      <c r="N76">
        <f t="shared" si="25"/>
        <v>3.17</v>
      </c>
      <c r="O76">
        <f t="shared" si="26"/>
        <v>328.77812451560959</v>
      </c>
      <c r="P76">
        <f t="shared" si="27"/>
        <v>1052.0899984499508</v>
      </c>
      <c r="Q76">
        <f t="shared" si="28"/>
        <v>4818.572192900775</v>
      </c>
      <c r="R76">
        <f t="shared" si="29"/>
        <v>6.2822074598523807</v>
      </c>
      <c r="S76">
        <f t="shared" si="30"/>
        <v>3.4535144093303001</v>
      </c>
      <c r="T76">
        <f t="shared" si="31"/>
        <v>3114.1863954118544</v>
      </c>
      <c r="U76">
        <f t="shared" si="32"/>
        <v>9.7204426236905093</v>
      </c>
      <c r="V76">
        <f t="shared" si="33"/>
        <v>1.2033591725910437</v>
      </c>
      <c r="W76">
        <f t="shared" si="34"/>
        <v>2009.491897039406</v>
      </c>
      <c r="X76">
        <f t="shared" si="35"/>
        <v>15.064141448232412</v>
      </c>
      <c r="Y76">
        <f t="shared" si="36"/>
        <v>0.71443665961417158</v>
      </c>
      <c r="Z76">
        <f t="shared" si="37"/>
        <v>1515.0095977679291</v>
      </c>
      <c r="AA76">
        <f t="shared" si="38"/>
        <v>19.980909837586044</v>
      </c>
      <c r="AB76">
        <f t="shared" si="39"/>
        <v>0.61666268275807601</v>
      </c>
      <c r="AC76">
        <f t="shared" si="40"/>
        <v>6000</v>
      </c>
      <c r="AD76">
        <f t="shared" si="41"/>
        <v>5.0452116960130828</v>
      </c>
      <c r="AE76">
        <f t="shared" si="42"/>
        <v>6.7344695494876357</v>
      </c>
      <c r="AF76">
        <f t="shared" si="43"/>
        <v>6000</v>
      </c>
      <c r="AG76">
        <f t="shared" si="44"/>
        <v>5.0452116960130828</v>
      </c>
      <c r="AH76">
        <f t="shared" si="45"/>
        <v>6.7344695494876357</v>
      </c>
      <c r="AI76" cm="1">
        <f t="array" ref="AI76">_xlfn.LET(
    _xlpm.vals,   _xlfn.HSTACK(S76,V76,Y76,AB76,AE76,AH76),
    _xlpm.ints,   _xlfn.HSTACK(R76,U76,X76,AA76,AD76,AG76),
    _xlpm.slopes, _xlfn.HSTACK(Q76,T76,W76,Z76,AC76,AF76),
    _xlpm.limit,  -0.00001*_xlpm.slopes + 0.1086*_xlpm.slopes + 63.253,
    _xlpm.mask,   (_xlpm.vals&gt;=0) * (_xlpm.ints&lt;=_xlpm.limit),
    _xlpm.validVals, _xlfn._xlws.FILTER(_xlpm.vals, _xlpm.mask),
    _xlpm.minVal, MIN(_xlpm.validVals),
    IFERROR( _xlfn.XMATCH(_xlpm.minVal, _xlpm.vals), "" )
)</f>
        <v>4</v>
      </c>
      <c r="AJ76" cm="1">
        <f t="array" ref="AJ76">_xlfn.LET(
    _xlpm.vals, CHOOSE({1,2,3,4,5,6}, S76, V76, Y76, AB76, AE76, AH76),
    _xlpm.slopes, CHOOSE({1,2,3,4,5,6}, Q76, T76, W76, Z76, AC76, AF76),
    _xlpm.ints, CHOOSE({1,2,3,4,5,6}, R76, U76, X76, AA76, AD76, AG76),
    _xlpm.limit, -0.00001*_xlpm.slopes + 0.1086*_xlpm.slopes + 63.253,
    _xlpm.valid, (_xlpm.vals &gt;= 0) * (_xlpm.ints &lt;= _xlpm.limit),
    _xlpm.target, MIN(_xlfn._xlws.FILTER(_xlpm.vals, _xlpm.valid)),
    IFERROR(
        _xlfn.XLOOKUP(_xlpm.target, _xlpm.vals, _xlpm.vals),
        CHOOSE({1,2,3,4,5,6}, S$1, V$1, Y$1, AB$1, AE$1, AH$1)
    )
)</f>
        <v>0.61666268275807601</v>
      </c>
    </row>
    <row r="77" spans="1:36" x14ac:dyDescent="0.45">
      <c r="I77">
        <v>75</v>
      </c>
      <c r="J77">
        <v>25.4</v>
      </c>
      <c r="K77">
        <f t="shared" si="24"/>
        <v>25.4</v>
      </c>
      <c r="L77">
        <f t="shared" si="23"/>
        <v>7.0555555555555554E-3</v>
      </c>
      <c r="M77">
        <v>4.96</v>
      </c>
      <c r="N77">
        <f t="shared" si="25"/>
        <v>4.96</v>
      </c>
      <c r="O77">
        <f t="shared" si="26"/>
        <v>330.0776427943274</v>
      </c>
      <c r="P77">
        <f t="shared" si="27"/>
        <v>1056.2484569418477</v>
      </c>
      <c r="Q77">
        <f t="shared" si="28"/>
        <v>4837.6179327936625</v>
      </c>
      <c r="R77">
        <f t="shared" si="29"/>
        <v>9.790874707791497</v>
      </c>
      <c r="S77">
        <f t="shared" si="30"/>
        <v>3.5435015509605412</v>
      </c>
      <c r="T77">
        <f t="shared" si="31"/>
        <v>3126.4954325478693</v>
      </c>
      <c r="U77">
        <f t="shared" si="32"/>
        <v>15.149393973542246</v>
      </c>
      <c r="V77">
        <f t="shared" si="33"/>
        <v>1.3027846299912289</v>
      </c>
      <c r="W77">
        <f t="shared" si="34"/>
        <v>2017.4345527589292</v>
      </c>
      <c r="X77">
        <f t="shared" si="35"/>
        <v>23.477594849049765</v>
      </c>
      <c r="Y77">
        <f t="shared" si="36"/>
        <v>0.83629988104403541</v>
      </c>
      <c r="Z77">
        <f t="shared" si="37"/>
        <v>1520.9977779962608</v>
      </c>
      <c r="AA77">
        <f t="shared" si="38"/>
        <v>31.140420945614618</v>
      </c>
      <c r="AB77">
        <f t="shared" si="39"/>
        <v>0.75327023263326731</v>
      </c>
      <c r="AC77">
        <f t="shared" si="40"/>
        <v>6000</v>
      </c>
      <c r="AD77">
        <f t="shared" si="41"/>
        <v>7.8940851773580087</v>
      </c>
      <c r="AE77">
        <f t="shared" si="42"/>
        <v>6.7575721870838716</v>
      </c>
      <c r="AF77">
        <f t="shared" si="43"/>
        <v>6000</v>
      </c>
      <c r="AG77">
        <f t="shared" si="44"/>
        <v>7.8940851773580087</v>
      </c>
      <c r="AH77">
        <f t="shared" si="45"/>
        <v>6.7575721870838716</v>
      </c>
      <c r="AI77" cm="1">
        <f t="array" ref="AI77">_xlfn.LET(
    _xlpm.vals,   _xlfn.HSTACK(S77,V77,Y77,AB77,AE77,AH77),
    _xlpm.ints,   _xlfn.HSTACK(R77,U77,X77,AA77,AD77,AG77),
    _xlpm.slopes, _xlfn.HSTACK(Q77,T77,W77,Z77,AC77,AF77),
    _xlpm.limit,  -0.00001*_xlpm.slopes + 0.1086*_xlpm.slopes + 63.253,
    _xlpm.mask,   (_xlpm.vals&gt;=0) * (_xlpm.ints&lt;=_xlpm.limit),
    _xlpm.validVals, _xlfn._xlws.FILTER(_xlpm.vals, _xlpm.mask),
    _xlpm.minVal, MIN(_xlpm.validVals),
    IFERROR( _xlfn.XMATCH(_xlpm.minVal, _xlpm.vals), "" )
)</f>
        <v>4</v>
      </c>
      <c r="AJ77" cm="1">
        <f t="array" ref="AJ77">_xlfn.LET(
    _xlpm.vals, CHOOSE({1,2,3,4,5,6}, S77, V77, Y77, AB77, AE77, AH77),
    _xlpm.slopes, CHOOSE({1,2,3,4,5,6}, Q77, T77, W77, Z77, AC77, AF77),
    _xlpm.ints, CHOOSE({1,2,3,4,5,6}, R77, U77, X77, AA77, AD77, AG77),
    _xlpm.limit, -0.00001*_xlpm.slopes + 0.1086*_xlpm.slopes + 63.253,
    _xlpm.valid, (_xlpm.vals &gt;= 0) * (_xlpm.ints &lt;= _xlpm.limit),
    _xlpm.target, MIN(_xlfn._xlws.FILTER(_xlpm.vals, _xlpm.valid)),
    IFERROR(
        _xlfn.XLOOKUP(_xlpm.target, _xlpm.vals, _xlpm.vals),
        CHOOSE({1,2,3,4,5,6}, S$1, V$1, Y$1, AB$1, AE$1, AH$1)
    )
)</f>
        <v>0.75327023263326731</v>
      </c>
    </row>
    <row r="78" spans="1:36" x14ac:dyDescent="0.45">
      <c r="I78">
        <v>76</v>
      </c>
      <c r="J78">
        <v>25.5</v>
      </c>
      <c r="K78">
        <f t="shared" si="24"/>
        <v>25.5</v>
      </c>
      <c r="L78">
        <f t="shared" si="23"/>
        <v>7.083333333333333E-3</v>
      </c>
      <c r="M78">
        <v>6.53</v>
      </c>
      <c r="N78">
        <f t="shared" si="25"/>
        <v>6.53</v>
      </c>
      <c r="O78">
        <f t="shared" si="26"/>
        <v>331.37716107304522</v>
      </c>
      <c r="P78">
        <f t="shared" si="27"/>
        <v>1060.4069154337446</v>
      </c>
      <c r="Q78">
        <f t="shared" si="28"/>
        <v>4856.6636726865509</v>
      </c>
      <c r="R78">
        <f t="shared" si="29"/>
        <v>12.839453358505006</v>
      </c>
      <c r="S78">
        <f t="shared" si="30"/>
        <v>3.6296161931844555</v>
      </c>
      <c r="T78">
        <f t="shared" si="31"/>
        <v>3138.8044696838842</v>
      </c>
      <c r="U78">
        <f t="shared" si="32"/>
        <v>19.866451480389504</v>
      </c>
      <c r="V78">
        <f t="shared" si="33"/>
        <v>1.395142234942818</v>
      </c>
      <c r="W78">
        <f t="shared" si="34"/>
        <v>2025.3772084784521</v>
      </c>
      <c r="X78">
        <f t="shared" si="35"/>
        <v>30.787799152854944</v>
      </c>
      <c r="Y78">
        <f t="shared" si="36"/>
        <v>0.95034393628420932</v>
      </c>
      <c r="Z78">
        <f t="shared" si="37"/>
        <v>1526.9859582245922</v>
      </c>
      <c r="AA78">
        <f t="shared" si="38"/>
        <v>40.836594709689543</v>
      </c>
      <c r="AB78">
        <f t="shared" si="39"/>
        <v>0.88200554538788356</v>
      </c>
      <c r="AC78">
        <f t="shared" si="40"/>
        <v>6000</v>
      </c>
      <c r="AD78">
        <f t="shared" si="41"/>
        <v>10.392817783900766</v>
      </c>
      <c r="AE78">
        <f t="shared" si="42"/>
        <v>6.779962795652656</v>
      </c>
      <c r="AF78">
        <f t="shared" si="43"/>
        <v>6000</v>
      </c>
      <c r="AG78">
        <f t="shared" si="44"/>
        <v>10.392817783900766</v>
      </c>
      <c r="AH78">
        <f t="shared" si="45"/>
        <v>6.779962795652656</v>
      </c>
      <c r="AI78" cm="1">
        <f t="array" ref="AI78">_xlfn.LET(
    _xlpm.vals,   _xlfn.HSTACK(S78,V78,Y78,AB78,AE78,AH78),
    _xlpm.ints,   _xlfn.HSTACK(R78,U78,X78,AA78,AD78,AG78),
    _xlpm.slopes, _xlfn.HSTACK(Q78,T78,W78,Z78,AC78,AF78),
    _xlpm.limit,  -0.00001*_xlpm.slopes + 0.1086*_xlpm.slopes + 63.253,
    _xlpm.mask,   (_xlpm.vals&gt;=0) * (_xlpm.ints&lt;=_xlpm.limit),
    _xlpm.validVals, _xlfn._xlws.FILTER(_xlpm.vals, _xlpm.mask),
    _xlpm.minVal, MIN(_xlpm.validVals),
    IFERROR( _xlfn.XMATCH(_xlpm.minVal, _xlpm.vals), "" )
)</f>
        <v>4</v>
      </c>
      <c r="AJ78" cm="1">
        <f t="array" ref="AJ78">_xlfn.LET(
    _xlpm.vals, CHOOSE({1,2,3,4,5,6}, S78, V78, Y78, AB78, AE78, AH78),
    _xlpm.slopes, CHOOSE({1,2,3,4,5,6}, Q78, T78, W78, Z78, AC78, AF78),
    _xlpm.ints, CHOOSE({1,2,3,4,5,6}, R78, U78, X78, AA78, AD78, AG78),
    _xlpm.limit, -0.00001*_xlpm.slopes + 0.1086*_xlpm.slopes + 63.253,
    _xlpm.valid, (_xlpm.vals &gt;= 0) * (_xlpm.ints &lt;= _xlpm.limit),
    _xlpm.target, MIN(_xlfn._xlws.FILTER(_xlpm.vals, _xlpm.valid)),
    IFERROR(
        _xlfn.XLOOKUP(_xlpm.target, _xlpm.vals, _xlpm.vals),
        CHOOSE({1,2,3,4,5,6}, S$1, V$1, Y$1, AB$1, AE$1, AH$1)
    )
)</f>
        <v>0.88200554538788356</v>
      </c>
    </row>
    <row r="79" spans="1:36" x14ac:dyDescent="0.45">
      <c r="I79">
        <v>77</v>
      </c>
      <c r="J79">
        <v>26</v>
      </c>
      <c r="K79">
        <f t="shared" si="24"/>
        <v>26</v>
      </c>
      <c r="L79">
        <f t="shared" si="23"/>
        <v>7.2222222222222219E-3</v>
      </c>
      <c r="M79">
        <v>8.19</v>
      </c>
      <c r="N79">
        <f t="shared" si="25"/>
        <v>8.19</v>
      </c>
      <c r="O79">
        <f t="shared" si="26"/>
        <v>337.87475246663439</v>
      </c>
      <c r="P79">
        <f t="shared" si="27"/>
        <v>1081.1992078932301</v>
      </c>
      <c r="Q79">
        <f t="shared" si="28"/>
        <v>4951.8923721509937</v>
      </c>
      <c r="R79">
        <f t="shared" si="29"/>
        <v>15.793707366338658</v>
      </c>
      <c r="S79">
        <f t="shared" si="30"/>
        <v>3.8820419727434028</v>
      </c>
      <c r="T79">
        <f t="shared" si="31"/>
        <v>3200.3496553639611</v>
      </c>
      <c r="U79">
        <f t="shared" si="32"/>
        <v>24.437560722240221</v>
      </c>
      <c r="V79">
        <f t="shared" si="33"/>
        <v>1.5286156965978774</v>
      </c>
      <c r="W79">
        <f t="shared" si="34"/>
        <v>2065.0904870760696</v>
      </c>
      <c r="X79">
        <f t="shared" si="35"/>
        <v>37.871821852267566</v>
      </c>
      <c r="Y79">
        <f t="shared" si="36"/>
        <v>1.0821471809465437</v>
      </c>
      <c r="Z79">
        <f t="shared" si="37"/>
        <v>1556.9268593662514</v>
      </c>
      <c r="AA79">
        <f t="shared" si="38"/>
        <v>50.232763706827122</v>
      </c>
      <c r="AB79">
        <f t="shared" si="39"/>
        <v>1.0261193202483028</v>
      </c>
      <c r="AC79">
        <f t="shared" si="40"/>
        <v>6000</v>
      </c>
      <c r="AD79">
        <f t="shared" si="41"/>
        <v>13.034789839226228</v>
      </c>
      <c r="AE79">
        <f t="shared" si="42"/>
        <v>6.8057615298991276</v>
      </c>
      <c r="AF79">
        <f t="shared" si="43"/>
        <v>6000</v>
      </c>
      <c r="AG79">
        <f t="shared" si="44"/>
        <v>13.034789839226228</v>
      </c>
      <c r="AH79">
        <f t="shared" si="45"/>
        <v>6.8057615298991276</v>
      </c>
      <c r="AI79" cm="1">
        <f t="array" ref="AI79">_xlfn.LET(
    _xlpm.vals,   _xlfn.HSTACK(S79,V79,Y79,AB79,AE79,AH79),
    _xlpm.ints,   _xlfn.HSTACK(R79,U79,X79,AA79,AD79,AG79),
    _xlpm.slopes, _xlfn.HSTACK(Q79,T79,W79,Z79,AC79,AF79),
    _xlpm.limit,  -0.00001*_xlpm.slopes + 0.1086*_xlpm.slopes + 63.253,
    _xlpm.mask,   (_xlpm.vals&gt;=0) * (_xlpm.ints&lt;=_xlpm.limit),
    _xlpm.validVals, _xlfn._xlws.FILTER(_xlpm.vals, _xlpm.mask),
    _xlpm.minVal, MIN(_xlpm.validVals),
    IFERROR( _xlfn.XMATCH(_xlpm.minVal, _xlpm.vals), "" )
)</f>
        <v>4</v>
      </c>
      <c r="AJ79" cm="1">
        <f t="array" ref="AJ79">_xlfn.LET(
    _xlpm.vals, CHOOSE({1,2,3,4,5,6}, S79, V79, Y79, AB79, AE79, AH79),
    _xlpm.slopes, CHOOSE({1,2,3,4,5,6}, Q79, T79, W79, Z79, AC79, AF79),
    _xlpm.ints, CHOOSE({1,2,3,4,5,6}, R79, U79, X79, AA79, AD79, AG79),
    _xlpm.limit, -0.00001*_xlpm.slopes + 0.1086*_xlpm.slopes + 63.253,
    _xlpm.valid, (_xlpm.vals &gt;= 0) * (_xlpm.ints &lt;= _xlpm.limit),
    _xlpm.target, MIN(_xlfn._xlws.FILTER(_xlpm.vals, _xlpm.valid)),
    IFERROR(
        _xlfn.XLOOKUP(_xlpm.target, _xlpm.vals, _xlpm.vals),
        CHOOSE({1,2,3,4,5,6}, S$1, V$1, Y$1, AB$1, AE$1, AH$1)
    )
)</f>
        <v>1.0261193202483028</v>
      </c>
    </row>
    <row r="80" spans="1:36" x14ac:dyDescent="0.45">
      <c r="I80">
        <v>78</v>
      </c>
      <c r="J80">
        <v>26.1</v>
      </c>
      <c r="K80">
        <f t="shared" si="24"/>
        <v>26.1</v>
      </c>
      <c r="L80">
        <f t="shared" si="23"/>
        <v>7.2500000000000004E-3</v>
      </c>
      <c r="M80">
        <v>5.36</v>
      </c>
      <c r="N80">
        <f t="shared" si="25"/>
        <v>5.36</v>
      </c>
      <c r="O80">
        <f t="shared" si="26"/>
        <v>339.17427074535226</v>
      </c>
      <c r="P80">
        <f t="shared" si="27"/>
        <v>1085.3576663851272</v>
      </c>
      <c r="Q80">
        <f t="shared" si="28"/>
        <v>4970.9381120438829</v>
      </c>
      <c r="R80">
        <f t="shared" si="29"/>
        <v>10.296694214386086</v>
      </c>
      <c r="S80">
        <f t="shared" si="30"/>
        <v>3.8414130774089781</v>
      </c>
      <c r="T80">
        <f t="shared" si="31"/>
        <v>3212.6586924999765</v>
      </c>
      <c r="U80">
        <f t="shared" si="32"/>
        <v>15.932047129016309</v>
      </c>
      <c r="V80">
        <f t="shared" si="33"/>
        <v>1.3840361572725788</v>
      </c>
      <c r="W80">
        <f t="shared" si="34"/>
        <v>2073.033142795593</v>
      </c>
      <c r="X80">
        <f t="shared" si="35"/>
        <v>24.690502357009567</v>
      </c>
      <c r="Y80">
        <f t="shared" si="36"/>
        <v>0.87660650325139367</v>
      </c>
      <c r="Z80">
        <f t="shared" si="37"/>
        <v>1562.915039594583</v>
      </c>
      <c r="AA80">
        <f t="shared" si="38"/>
        <v>32.749207987422416</v>
      </c>
      <c r="AB80">
        <f t="shared" si="39"/>
        <v>0.79020301969298101</v>
      </c>
      <c r="AC80">
        <f t="shared" si="40"/>
        <v>6000</v>
      </c>
      <c r="AD80">
        <f t="shared" si="41"/>
        <v>8.5307049497255907</v>
      </c>
      <c r="AE80">
        <f t="shared" si="42"/>
        <v>6.7630895010327086</v>
      </c>
      <c r="AF80">
        <f t="shared" si="43"/>
        <v>6000</v>
      </c>
      <c r="AG80">
        <f t="shared" si="44"/>
        <v>8.5307049497255907</v>
      </c>
      <c r="AH80">
        <f t="shared" si="45"/>
        <v>6.7630895010327086</v>
      </c>
      <c r="AI80" cm="1">
        <f t="array" ref="AI80">_xlfn.LET(
    _xlpm.vals,   _xlfn.HSTACK(S80,V80,Y80,AB80,AE80,AH80),
    _xlpm.ints,   _xlfn.HSTACK(R80,U80,X80,AA80,AD80,AG80),
    _xlpm.slopes, _xlfn.HSTACK(Q80,T80,W80,Z80,AC80,AF80),
    _xlpm.limit,  -0.00001*_xlpm.slopes + 0.1086*_xlpm.slopes + 63.253,
    _xlpm.mask,   (_xlpm.vals&gt;=0) * (_xlpm.ints&lt;=_xlpm.limit),
    _xlpm.validVals, _xlfn._xlws.FILTER(_xlpm.vals, _xlpm.mask),
    _xlpm.minVal, MIN(_xlpm.validVals),
    IFERROR( _xlfn.XMATCH(_xlpm.minVal, _xlpm.vals), "" )
)</f>
        <v>4</v>
      </c>
      <c r="AJ80" cm="1">
        <f t="array" ref="AJ80">_xlfn.LET(
    _xlpm.vals, CHOOSE({1,2,3,4,5,6}, S80, V80, Y80, AB80, AE80, AH80),
    _xlpm.slopes, CHOOSE({1,2,3,4,5,6}, Q80, T80, W80, Z80, AC80, AF80),
    _xlpm.ints, CHOOSE({1,2,3,4,5,6}, R80, U80, X80, AA80, AD80, AG80),
    _xlpm.limit, -0.00001*_xlpm.slopes + 0.1086*_xlpm.slopes + 63.253,
    _xlpm.valid, (_xlpm.vals &gt;= 0) * (_xlpm.ints &lt;= _xlpm.limit),
    _xlpm.target, MIN(_xlfn._xlws.FILTER(_xlpm.vals, _xlpm.valid)),
    IFERROR(
        _xlfn.XLOOKUP(_xlpm.target, _xlpm.vals, _xlpm.vals),
        CHOOSE({1,2,3,4,5,6}, S$1, V$1, Y$1, AB$1, AE$1, AH$1)
    )
)</f>
        <v>0.79020301969298101</v>
      </c>
    </row>
    <row r="81" spans="9:36" x14ac:dyDescent="0.45">
      <c r="I81">
        <v>79</v>
      </c>
      <c r="J81">
        <v>25.8</v>
      </c>
      <c r="K81">
        <f t="shared" si="24"/>
        <v>25.8</v>
      </c>
      <c r="L81">
        <f t="shared" si="23"/>
        <v>7.1666666666666667E-3</v>
      </c>
      <c r="M81">
        <v>-0.85</v>
      </c>
      <c r="N81">
        <f t="shared" si="25"/>
        <v>0</v>
      </c>
      <c r="O81">
        <f t="shared" si="26"/>
        <v>335.27571590919877</v>
      </c>
      <c r="P81">
        <f t="shared" si="27"/>
        <v>1072.8822909094361</v>
      </c>
      <c r="Q81">
        <f t="shared" si="28"/>
        <v>4913.8008923652169</v>
      </c>
      <c r="R81">
        <f t="shared" si="29"/>
        <v>0</v>
      </c>
      <c r="S81">
        <f t="shared" si="30"/>
        <v>3.5794900144567636</v>
      </c>
      <c r="T81">
        <f t="shared" si="31"/>
        <v>3175.7315810919308</v>
      </c>
      <c r="U81">
        <f t="shared" si="32"/>
        <v>0</v>
      </c>
      <c r="V81">
        <f t="shared" si="33"/>
        <v>1.103083724472762</v>
      </c>
      <c r="W81">
        <f t="shared" si="34"/>
        <v>2049.2051756370229</v>
      </c>
      <c r="X81">
        <f t="shared" si="35"/>
        <v>0</v>
      </c>
      <c r="Y81">
        <f t="shared" si="36"/>
        <v>0.53897756733345525</v>
      </c>
      <c r="Z81">
        <f t="shared" si="37"/>
        <v>1544.9504989095878</v>
      </c>
      <c r="AA81">
        <f t="shared" si="38"/>
        <v>0</v>
      </c>
      <c r="AB81">
        <f t="shared" si="39"/>
        <v>0.41839820802931155</v>
      </c>
      <c r="AC81">
        <f t="shared" si="40"/>
        <v>6000</v>
      </c>
      <c r="AD81">
        <f t="shared" si="41"/>
        <v>0</v>
      </c>
      <c r="AE81">
        <f t="shared" si="42"/>
        <v>6.7000407999999982</v>
      </c>
      <c r="AF81">
        <f t="shared" si="43"/>
        <v>6000</v>
      </c>
      <c r="AG81">
        <f t="shared" si="44"/>
        <v>0</v>
      </c>
      <c r="AH81">
        <f t="shared" si="45"/>
        <v>6.7000407999999982</v>
      </c>
      <c r="AI81" cm="1">
        <f t="array" ref="AI81">_xlfn.LET(
    _xlpm.vals,   _xlfn.HSTACK(S81,V81,Y81,AB81,AE81,AH81),
    _xlpm.ints,   _xlfn.HSTACK(R81,U81,X81,AA81,AD81,AG81),
    _xlpm.slopes, _xlfn.HSTACK(Q81,T81,W81,Z81,AC81,AF81),
    _xlpm.limit,  -0.00001*_xlpm.slopes + 0.1086*_xlpm.slopes + 63.253,
    _xlpm.mask,   (_xlpm.vals&gt;=0) * (_xlpm.ints&lt;=_xlpm.limit),
    _xlpm.validVals, _xlfn._xlws.FILTER(_xlpm.vals, _xlpm.mask),
    _xlpm.minVal, MIN(_xlpm.validVals),
    IFERROR( _xlfn.XMATCH(_xlpm.minVal, _xlpm.vals), "" )
)</f>
        <v>4</v>
      </c>
      <c r="AJ81" cm="1">
        <f t="array" ref="AJ81">_xlfn.LET(
    _xlpm.vals, CHOOSE({1,2,3,4,5,6}, S81, V81, Y81, AB81, AE81, AH81),
    _xlpm.slopes, CHOOSE({1,2,3,4,5,6}, Q81, T81, W81, Z81, AC81, AF81),
    _xlpm.ints, CHOOSE({1,2,3,4,5,6}, R81, U81, X81, AA81, AD81, AG81),
    _xlpm.limit, -0.00001*_xlpm.slopes + 0.1086*_xlpm.slopes + 63.253,
    _xlpm.valid, (_xlpm.vals &gt;= 0) * (_xlpm.ints &lt;= _xlpm.limit),
    _xlpm.target, MIN(_xlfn._xlws.FILTER(_xlpm.vals, _xlpm.valid)),
    IFERROR(
        _xlfn.XLOOKUP(_xlpm.target, _xlpm.vals, _xlpm.vals),
        CHOOSE({1,2,3,4,5,6}, S$1, V$1, Y$1, AB$1, AE$1, AH$1)
    )
)</f>
        <v>0.41839820802931155</v>
      </c>
    </row>
    <row r="82" spans="9:36" x14ac:dyDescent="0.45">
      <c r="I82">
        <v>80</v>
      </c>
      <c r="J82">
        <v>26</v>
      </c>
      <c r="K82">
        <f t="shared" si="24"/>
        <v>26</v>
      </c>
      <c r="L82">
        <f t="shared" si="23"/>
        <v>7.2222222222222219E-3</v>
      </c>
      <c r="M82">
        <v>9.1199999999999992</v>
      </c>
      <c r="N82">
        <f t="shared" si="25"/>
        <v>9.1199999999999992</v>
      </c>
      <c r="O82">
        <f t="shared" si="26"/>
        <v>337.87475246663439</v>
      </c>
      <c r="P82">
        <f t="shared" si="27"/>
        <v>1081.1992078932301</v>
      </c>
      <c r="Q82">
        <f t="shared" si="28"/>
        <v>4951.8923721509937</v>
      </c>
      <c r="R82">
        <f t="shared" si="29"/>
        <v>17.587132012333161</v>
      </c>
      <c r="S82">
        <f t="shared" si="30"/>
        <v>3.9109229938228949</v>
      </c>
      <c r="T82">
        <f t="shared" si="31"/>
        <v>3200.3496553639611</v>
      </c>
      <c r="U82">
        <f t="shared" si="32"/>
        <v>27.212521829893873</v>
      </c>
      <c r="V82">
        <f t="shared" si="33"/>
        <v>1.5817469878546409</v>
      </c>
      <c r="W82">
        <f t="shared" si="34"/>
        <v>2065.0904870760696</v>
      </c>
      <c r="X82">
        <f t="shared" si="35"/>
        <v>42.172285139521392</v>
      </c>
      <c r="Y82">
        <f t="shared" si="36"/>
        <v>1.1540914754647733</v>
      </c>
      <c r="Z82">
        <f t="shared" si="37"/>
        <v>1556.9268593662514</v>
      </c>
      <c r="AA82">
        <f t="shared" si="38"/>
        <v>55.936850428115186</v>
      </c>
      <c r="AB82">
        <f t="shared" si="39"/>
        <v>1.1076604877056839</v>
      </c>
      <c r="AC82">
        <f t="shared" si="40"/>
        <v>6000</v>
      </c>
      <c r="AD82">
        <f t="shared" si="41"/>
        <v>14.514930809980855</v>
      </c>
      <c r="AE82">
        <f t="shared" si="42"/>
        <v>6.8211554246362676</v>
      </c>
      <c r="AF82">
        <f t="shared" si="43"/>
        <v>6000</v>
      </c>
      <c r="AG82">
        <f t="shared" si="44"/>
        <v>14.514930809980855</v>
      </c>
      <c r="AH82">
        <f t="shared" si="45"/>
        <v>6.8211554246362676</v>
      </c>
      <c r="AI82" cm="1">
        <f t="array" ref="AI82">_xlfn.LET(
    _xlpm.vals,   _xlfn.HSTACK(S82,V82,Y82,AB82,AE82,AH82),
    _xlpm.ints,   _xlfn.HSTACK(R82,U82,X82,AA82,AD82,AG82),
    _xlpm.slopes, _xlfn.HSTACK(Q82,T82,W82,Z82,AC82,AF82),
    _xlpm.limit,  -0.00001*_xlpm.slopes + 0.1086*_xlpm.slopes + 63.253,
    _xlpm.mask,   (_xlpm.vals&gt;=0) * (_xlpm.ints&lt;=_xlpm.limit),
    _xlpm.validVals, _xlfn._xlws.FILTER(_xlpm.vals, _xlpm.mask),
    _xlpm.minVal, MIN(_xlpm.validVals),
    IFERROR( _xlfn.XMATCH(_xlpm.minVal, _xlpm.vals), "" )
)</f>
        <v>4</v>
      </c>
      <c r="AJ82" cm="1">
        <f t="array" ref="AJ82">_xlfn.LET(
    _xlpm.vals, CHOOSE({1,2,3,4,5,6}, S82, V82, Y82, AB82, AE82, AH82),
    _xlpm.slopes, CHOOSE({1,2,3,4,5,6}, Q82, T82, W82, Z82, AC82, AF82),
    _xlpm.ints, CHOOSE({1,2,3,4,5,6}, R82, U82, X82, AA82, AD82, AG82),
    _xlpm.limit, -0.00001*_xlpm.slopes + 0.1086*_xlpm.slopes + 63.253,
    _xlpm.valid, (_xlpm.vals &gt;= 0) * (_xlpm.ints &lt;= _xlpm.limit),
    _xlpm.target, MIN(_xlfn._xlws.FILTER(_xlpm.vals, _xlpm.valid)),
    IFERROR(
        _xlfn.XLOOKUP(_xlpm.target, _xlpm.vals, _xlpm.vals),
        CHOOSE({1,2,3,4,5,6}, S$1, V$1, Y$1, AB$1, AE$1, AH$1)
    )
)</f>
        <v>1.1076604877056839</v>
      </c>
    </row>
    <row r="83" spans="9:36" x14ac:dyDescent="0.45">
      <c r="I83">
        <v>81</v>
      </c>
      <c r="J83">
        <v>26.6</v>
      </c>
      <c r="K83">
        <f t="shared" si="24"/>
        <v>26.6</v>
      </c>
      <c r="L83">
        <f t="shared" si="23"/>
        <v>7.3888888888888893E-3</v>
      </c>
      <c r="M83">
        <v>11.89</v>
      </c>
      <c r="N83">
        <f t="shared" si="25"/>
        <v>11.89</v>
      </c>
      <c r="O83">
        <f t="shared" si="26"/>
        <v>345.67186213894132</v>
      </c>
      <c r="P83">
        <f t="shared" si="27"/>
        <v>1106.1499588446122</v>
      </c>
      <c r="Q83">
        <f t="shared" si="28"/>
        <v>5066.1668115083239</v>
      </c>
      <c r="R83">
        <f t="shared" si="29"/>
        <v>22.411645851028368</v>
      </c>
      <c r="S83">
        <f t="shared" si="30"/>
        <v>4.2498229583719942</v>
      </c>
      <c r="T83">
        <f t="shared" si="31"/>
        <v>3274.203878180052</v>
      </c>
      <c r="U83">
        <f t="shared" si="32"/>
        <v>34.677479053280379</v>
      </c>
      <c r="V83">
        <f t="shared" si="33"/>
        <v>1.7941742150427291</v>
      </c>
      <c r="W83">
        <f t="shared" si="34"/>
        <v>2112.7464213932094</v>
      </c>
      <c r="X83">
        <f t="shared" si="35"/>
        <v>53.741014658486868</v>
      </c>
      <c r="Y83">
        <f t="shared" si="36"/>
        <v>1.3823018923783059</v>
      </c>
      <c r="Z83">
        <f t="shared" si="37"/>
        <v>1592.8559407362416</v>
      </c>
      <c r="AA83">
        <f t="shared" si="38"/>
        <v>71.281484720631894</v>
      </c>
      <c r="AB83">
        <f t="shared" si="39"/>
        <v>1.356393997676701</v>
      </c>
      <c r="AC83">
        <f t="shared" si="40"/>
        <v>6000</v>
      </c>
      <c r="AD83">
        <f t="shared" si="41"/>
        <v>18.923522733626356</v>
      </c>
      <c r="AE83">
        <f t="shared" si="42"/>
        <v>6.8709303754186859</v>
      </c>
      <c r="AF83">
        <f t="shared" si="43"/>
        <v>6000</v>
      </c>
      <c r="AG83">
        <f t="shared" si="44"/>
        <v>18.923522733626356</v>
      </c>
      <c r="AH83">
        <f t="shared" si="45"/>
        <v>6.8709303754186859</v>
      </c>
      <c r="AI83" cm="1">
        <f t="array" ref="AI83">_xlfn.LET(
    _xlpm.vals,   _xlfn.HSTACK(S83,V83,Y83,AB83,AE83,AH83),
    _xlpm.ints,   _xlfn.HSTACK(R83,U83,X83,AA83,AD83,AG83),
    _xlpm.slopes, _xlfn.HSTACK(Q83,T83,W83,Z83,AC83,AF83),
    _xlpm.limit,  -0.00001*_xlpm.slopes + 0.1086*_xlpm.slopes + 63.253,
    _xlpm.mask,   (_xlpm.vals&gt;=0) * (_xlpm.ints&lt;=_xlpm.limit),
    _xlpm.validVals, _xlfn._xlws.FILTER(_xlpm.vals, _xlpm.mask),
    _xlpm.minVal, MIN(_xlpm.validVals),
    IFERROR( _xlfn.XMATCH(_xlpm.minVal, _xlpm.vals), "" )
)</f>
        <v>4</v>
      </c>
      <c r="AJ83" cm="1">
        <f t="array" ref="AJ83">_xlfn.LET(
    _xlpm.vals, CHOOSE({1,2,3,4,5,6}, S83, V83, Y83, AB83, AE83, AH83),
    _xlpm.slopes, CHOOSE({1,2,3,4,5,6}, Q83, T83, W83, Z83, AC83, AF83),
    _xlpm.ints, CHOOSE({1,2,3,4,5,6}, R83, U83, X83, AA83, AD83, AG83),
    _xlpm.limit, -0.00001*_xlpm.slopes + 0.1086*_xlpm.slopes + 63.253,
    _xlpm.valid, (_xlpm.vals &gt;= 0) * (_xlpm.ints &lt;= _xlpm.limit),
    _xlpm.target, MIN(_xlfn._xlws.FILTER(_xlpm.vals, _xlpm.valid)),
    IFERROR(
        _xlfn.XLOOKUP(_xlpm.target, _xlpm.vals, _xlpm.vals),
        CHOOSE({1,2,3,4,5,6}, S$1, V$1, Y$1, AB$1, AE$1, AH$1)
    )
)</f>
        <v>1.356393997676701</v>
      </c>
    </row>
    <row r="84" spans="9:36" x14ac:dyDescent="0.45">
      <c r="I84">
        <v>82</v>
      </c>
      <c r="J84">
        <v>27.5</v>
      </c>
      <c r="K84">
        <f t="shared" si="24"/>
        <v>27.5</v>
      </c>
      <c r="L84">
        <f t="shared" si="23"/>
        <v>7.6388888888888886E-3</v>
      </c>
      <c r="M84">
        <v>13.91</v>
      </c>
      <c r="N84">
        <f t="shared" si="25"/>
        <v>13.91</v>
      </c>
      <c r="O84">
        <f t="shared" si="26"/>
        <v>357.36752664740175</v>
      </c>
      <c r="P84">
        <f t="shared" si="27"/>
        <v>1143.5760852716855</v>
      </c>
      <c r="Q84">
        <f t="shared" si="28"/>
        <v>5237.5784705443202</v>
      </c>
      <c r="R84">
        <f t="shared" si="29"/>
        <v>25.361093156221731</v>
      </c>
      <c r="S84">
        <f t="shared" si="30"/>
        <v>4.711978131761593</v>
      </c>
      <c r="T84">
        <f t="shared" si="31"/>
        <v>3384.985212404189</v>
      </c>
      <c r="U84">
        <f t="shared" si="32"/>
        <v>39.241150897126879</v>
      </c>
      <c r="V84">
        <f t="shared" si="33"/>
        <v>1.9916241086138127</v>
      </c>
      <c r="W84">
        <f t="shared" si="34"/>
        <v>2184.2303228689193</v>
      </c>
      <c r="X84">
        <f t="shared" si="35"/>
        <v>60.813511337955788</v>
      </c>
      <c r="Y84">
        <f t="shared" si="36"/>
        <v>1.5560238146735113</v>
      </c>
      <c r="Z84">
        <f t="shared" si="37"/>
        <v>1646.7495627912272</v>
      </c>
      <c r="AA84">
        <f t="shared" si="38"/>
        <v>80.662365732983019</v>
      </c>
      <c r="AB84">
        <f t="shared" si="39"/>
        <v>1.5380902288933962</v>
      </c>
      <c r="AC84">
        <f t="shared" si="40"/>
        <v>6000</v>
      </c>
      <c r="AD84">
        <f t="shared" si="41"/>
        <v>22.138452584082643</v>
      </c>
      <c r="AE84">
        <f t="shared" si="42"/>
        <v>6.9108555975700243</v>
      </c>
      <c r="AF84">
        <f t="shared" si="43"/>
        <v>6000</v>
      </c>
      <c r="AG84">
        <f t="shared" si="44"/>
        <v>22.138452584082643</v>
      </c>
      <c r="AH84">
        <f t="shared" si="45"/>
        <v>6.9108555975700243</v>
      </c>
      <c r="AI84" cm="1">
        <f t="array" ref="AI84">_xlfn.LET(
    _xlpm.vals,   _xlfn.HSTACK(S84,V84,Y84,AB84,AE84,AH84),
    _xlpm.ints,   _xlfn.HSTACK(R84,U84,X84,AA84,AD84,AG84),
    _xlpm.slopes, _xlfn.HSTACK(Q84,T84,W84,Z84,AC84,AF84),
    _xlpm.limit,  -0.00001*_xlpm.slopes + 0.1086*_xlpm.slopes + 63.253,
    _xlpm.mask,   (_xlpm.vals&gt;=0) * (_xlpm.ints&lt;=_xlpm.limit),
    _xlpm.validVals, _xlfn._xlws.FILTER(_xlpm.vals, _xlpm.mask),
    _xlpm.minVal, MIN(_xlpm.validVals),
    IFERROR( _xlfn.XMATCH(_xlpm.minVal, _xlpm.vals), "" )
)</f>
        <v>4</v>
      </c>
      <c r="AJ84" cm="1">
        <f t="array" ref="AJ84">_xlfn.LET(
    _xlpm.vals, CHOOSE({1,2,3,4,5,6}, S84, V84, Y84, AB84, AE84, AH84),
    _xlpm.slopes, CHOOSE({1,2,3,4,5,6}, Q84, T84, W84, Z84, AC84, AF84),
    _xlpm.ints, CHOOSE({1,2,3,4,5,6}, R84, U84, X84, AA84, AD84, AG84),
    _xlpm.limit, -0.00001*_xlpm.slopes + 0.1086*_xlpm.slopes + 63.253,
    _xlpm.valid, (_xlpm.vals &gt;= 0) * (_xlpm.ints &lt;= _xlpm.limit),
    _xlpm.target, MIN(_xlfn._xlws.FILTER(_xlpm.vals, _xlpm.valid)),
    IFERROR(
        _xlfn.XLOOKUP(_xlpm.target, _xlpm.vals, _xlpm.vals),
        CHOOSE({1,2,3,4,5,6}, S$1, V$1, Y$1, AB$1, AE$1, AH$1)
    )
)</f>
        <v>1.5380902288933962</v>
      </c>
    </row>
    <row r="85" spans="9:36" x14ac:dyDescent="0.45">
      <c r="I85">
        <v>83</v>
      </c>
      <c r="J85">
        <v>28.6</v>
      </c>
      <c r="K85">
        <f t="shared" si="24"/>
        <v>28.6</v>
      </c>
      <c r="L85">
        <f t="shared" si="23"/>
        <v>7.9444444444444449E-3</v>
      </c>
      <c r="M85">
        <v>15.74</v>
      </c>
      <c r="N85">
        <f t="shared" si="25"/>
        <v>15.74</v>
      </c>
      <c r="O85">
        <f t="shared" si="26"/>
        <v>371.6622277132978</v>
      </c>
      <c r="P85">
        <f t="shared" si="27"/>
        <v>1189.3191286825529</v>
      </c>
      <c r="Q85">
        <f t="shared" si="28"/>
        <v>5447.0816093660924</v>
      </c>
      <c r="R85">
        <f t="shared" si="29"/>
        <v>27.593845481870414</v>
      </c>
      <c r="S85">
        <f t="shared" si="30"/>
        <v>5.295658756699039</v>
      </c>
      <c r="T85">
        <f t="shared" si="31"/>
        <v>3520.3846209003564</v>
      </c>
      <c r="U85">
        <f t="shared" si="32"/>
        <v>42.695882536137333</v>
      </c>
      <c r="V85">
        <f t="shared" si="33"/>
        <v>2.201007206929888</v>
      </c>
      <c r="W85">
        <f t="shared" si="34"/>
        <v>2271.5995357836759</v>
      </c>
      <c r="X85">
        <f t="shared" si="35"/>
        <v>66.167440998411777</v>
      </c>
      <c r="Y85">
        <f t="shared" si="36"/>
        <v>1.7160857690348235</v>
      </c>
      <c r="Z85">
        <f t="shared" si="37"/>
        <v>1712.6195453028761</v>
      </c>
      <c r="AA85">
        <f t="shared" si="38"/>
        <v>87.763758546504505</v>
      </c>
      <c r="AB85">
        <f t="shared" si="39"/>
        <v>1.7008164107911423</v>
      </c>
      <c r="AC85">
        <f t="shared" si="40"/>
        <v>6000</v>
      </c>
      <c r="AD85">
        <f t="shared" si="41"/>
        <v>25.050988042664326</v>
      </c>
      <c r="AE85">
        <f t="shared" si="42"/>
        <v>6.9496012857672484</v>
      </c>
      <c r="AF85">
        <f t="shared" si="43"/>
        <v>6000</v>
      </c>
      <c r="AG85">
        <f t="shared" si="44"/>
        <v>25.050988042664326</v>
      </c>
      <c r="AH85">
        <f t="shared" si="45"/>
        <v>6.9496012857672484</v>
      </c>
      <c r="AI85" cm="1">
        <f t="array" ref="AI85">_xlfn.LET(
    _xlpm.vals,   _xlfn.HSTACK(S85,V85,Y85,AB85,AE85,AH85),
    _xlpm.ints,   _xlfn.HSTACK(R85,U85,X85,AA85,AD85,AG85),
    _xlpm.slopes, _xlfn.HSTACK(Q85,T85,W85,Z85,AC85,AF85),
    _xlpm.limit,  -0.00001*_xlpm.slopes + 0.1086*_xlpm.slopes + 63.253,
    _xlpm.mask,   (_xlpm.vals&gt;=0) * (_xlpm.ints&lt;=_xlpm.limit),
    _xlpm.validVals, _xlfn._xlws.FILTER(_xlpm.vals, _xlpm.mask),
    _xlpm.minVal, MIN(_xlpm.validVals),
    IFERROR( _xlfn.XMATCH(_xlpm.minVal, _xlpm.vals), "" )
)</f>
        <v>4</v>
      </c>
      <c r="AJ85" cm="1">
        <f t="array" ref="AJ85">_xlfn.LET(
    _xlpm.vals, CHOOSE({1,2,3,4,5,6}, S85, V85, Y85, AB85, AE85, AH85),
    _xlpm.slopes, CHOOSE({1,2,3,4,5,6}, Q85, T85, W85, Z85, AC85, AF85),
    _xlpm.ints, CHOOSE({1,2,3,4,5,6}, R85, U85, X85, AA85, AD85, AG85),
    _xlpm.limit, -0.00001*_xlpm.slopes + 0.1086*_xlpm.slopes + 63.253,
    _xlpm.valid, (_xlpm.vals &gt;= 0) * (_xlpm.ints &lt;= _xlpm.limit),
    _xlpm.target, MIN(_xlfn._xlws.FILTER(_xlpm.vals, _xlpm.valid)),
    IFERROR(
        _xlfn.XLOOKUP(_xlpm.target, _xlpm.vals, _xlpm.vals),
        CHOOSE({1,2,3,4,5,6}, S$1, V$1, Y$1, AB$1, AE$1, AH$1)
    )
)</f>
        <v>1.7008164107911423</v>
      </c>
    </row>
    <row r="86" spans="9:36" x14ac:dyDescent="0.45">
      <c r="I86">
        <v>84</v>
      </c>
      <c r="J86">
        <v>29.1</v>
      </c>
      <c r="K86">
        <f t="shared" si="24"/>
        <v>29.1</v>
      </c>
      <c r="L86">
        <f t="shared" si="23"/>
        <v>8.083333333333333E-3</v>
      </c>
      <c r="M86">
        <v>9.8800000000000008</v>
      </c>
      <c r="N86">
        <f t="shared" si="25"/>
        <v>9.8800000000000008</v>
      </c>
      <c r="O86">
        <f t="shared" si="26"/>
        <v>378.15981910688697</v>
      </c>
      <c r="P86">
        <f t="shared" si="27"/>
        <v>1210.1114211420384</v>
      </c>
      <c r="Q86">
        <f t="shared" si="28"/>
        <v>5542.3103088305361</v>
      </c>
      <c r="R86">
        <f t="shared" si="29"/>
        <v>17.02305446783679</v>
      </c>
      <c r="S86">
        <f t="shared" si="30"/>
        <v>5.3982361913206418</v>
      </c>
      <c r="T86">
        <f t="shared" si="31"/>
        <v>3581.9298065804337</v>
      </c>
      <c r="U86">
        <f t="shared" si="32"/>
        <v>26.339726169828548</v>
      </c>
      <c r="V86">
        <f t="shared" si="33"/>
        <v>1.9190460038870933</v>
      </c>
      <c r="W86">
        <f t="shared" si="34"/>
        <v>2311.3128143812933</v>
      </c>
      <c r="X86">
        <f t="shared" si="35"/>
        <v>40.81968034695943</v>
      </c>
      <c r="Y86">
        <f t="shared" si="36"/>
        <v>1.2577256823353375</v>
      </c>
      <c r="Z86">
        <f t="shared" si="37"/>
        <v>1742.5604464445353</v>
      </c>
      <c r="AA86">
        <f t="shared" si="38"/>
        <v>54.142770460203124</v>
      </c>
      <c r="AB86">
        <f t="shared" si="39"/>
        <v>1.1831248480325975</v>
      </c>
      <c r="AC86">
        <f t="shared" si="40"/>
        <v>6000</v>
      </c>
      <c r="AD86">
        <f t="shared" si="41"/>
        <v>15.72450837747926</v>
      </c>
      <c r="AE86">
        <f t="shared" si="42"/>
        <v>6.8342307949808614</v>
      </c>
      <c r="AF86">
        <f t="shared" si="43"/>
        <v>6000</v>
      </c>
      <c r="AG86">
        <f t="shared" si="44"/>
        <v>15.72450837747926</v>
      </c>
      <c r="AH86">
        <f t="shared" si="45"/>
        <v>6.8342307949808614</v>
      </c>
      <c r="AI86" cm="1">
        <f t="array" ref="AI86">_xlfn.LET(
    _xlpm.vals,   _xlfn.HSTACK(S86,V86,Y86,AB86,AE86,AH86),
    _xlpm.ints,   _xlfn.HSTACK(R86,U86,X86,AA86,AD86,AG86),
    _xlpm.slopes, _xlfn.HSTACK(Q86,T86,W86,Z86,AC86,AF86),
    _xlpm.limit,  -0.00001*_xlpm.slopes + 0.1086*_xlpm.slopes + 63.253,
    _xlpm.mask,   (_xlpm.vals&gt;=0) * (_xlpm.ints&lt;=_xlpm.limit),
    _xlpm.validVals, _xlfn._xlws.FILTER(_xlpm.vals, _xlpm.mask),
    _xlpm.minVal, MIN(_xlpm.validVals),
    IFERROR( _xlfn.XMATCH(_xlpm.minVal, _xlpm.vals), "" )
)</f>
        <v>4</v>
      </c>
      <c r="AJ86" cm="1">
        <f t="array" ref="AJ86">_xlfn.LET(
    _xlpm.vals, CHOOSE({1,2,3,4,5,6}, S86, V86, Y86, AB86, AE86, AH86),
    _xlpm.slopes, CHOOSE({1,2,3,4,5,6}, Q86, T86, W86, Z86, AC86, AF86),
    _xlpm.ints, CHOOSE({1,2,3,4,5,6}, R86, U86, X86, AA86, AD86, AG86),
    _xlpm.limit, -0.00001*_xlpm.slopes + 0.1086*_xlpm.slopes + 63.253,
    _xlpm.valid, (_xlpm.vals &gt;= 0) * (_xlpm.ints &lt;= _xlpm.limit),
    _xlpm.target, MIN(_xlfn._xlws.FILTER(_xlpm.vals, _xlpm.valid)),
    IFERROR(
        _xlfn.XLOOKUP(_xlpm.target, _xlpm.vals, _xlpm.vals),
        CHOOSE({1,2,3,4,5,6}, S$1, V$1, Y$1, AB$1, AE$1, AH$1)
    )
)</f>
        <v>1.1831248480325975</v>
      </c>
    </row>
    <row r="87" spans="9:36" x14ac:dyDescent="0.45">
      <c r="I87">
        <v>85</v>
      </c>
      <c r="J87">
        <v>29.5</v>
      </c>
      <c r="K87">
        <f t="shared" si="24"/>
        <v>29.5</v>
      </c>
      <c r="L87">
        <f t="shared" si="23"/>
        <v>8.1944444444444452E-3</v>
      </c>
      <c r="M87">
        <v>7.44</v>
      </c>
      <c r="N87">
        <f t="shared" si="25"/>
        <v>7.44</v>
      </c>
      <c r="O87">
        <f t="shared" si="26"/>
        <v>383.35789222175828</v>
      </c>
      <c r="P87">
        <f t="shared" si="27"/>
        <v>1226.7452551096264</v>
      </c>
      <c r="Q87">
        <f t="shared" si="28"/>
        <v>5618.4932684020896</v>
      </c>
      <c r="R87">
        <f t="shared" si="29"/>
        <v>12.645163605656133</v>
      </c>
      <c r="S87">
        <f t="shared" si="30"/>
        <v>5.5648967151492714</v>
      </c>
      <c r="T87">
        <f t="shared" si="31"/>
        <v>3631.1659551244943</v>
      </c>
      <c r="U87">
        <f t="shared" si="32"/>
        <v>19.565827470913884</v>
      </c>
      <c r="V87">
        <f t="shared" si="33"/>
        <v>1.8411766405599264</v>
      </c>
      <c r="W87">
        <f t="shared" si="34"/>
        <v>2343.0834372593863</v>
      </c>
      <c r="X87">
        <f t="shared" si="35"/>
        <v>30.32191063555241</v>
      </c>
      <c r="Y87">
        <f t="shared" si="36"/>
        <v>1.0892742414453866</v>
      </c>
      <c r="Z87">
        <f t="shared" si="37"/>
        <v>1766.5131673578619</v>
      </c>
      <c r="AA87">
        <f t="shared" si="38"/>
        <v>40.21864535687854</v>
      </c>
      <c r="AB87">
        <f t="shared" si="39"/>
        <v>0.9811612150879796</v>
      </c>
      <c r="AC87">
        <f t="shared" si="40"/>
        <v>6000</v>
      </c>
      <c r="AD87">
        <f t="shared" si="41"/>
        <v>11.841127766037014</v>
      </c>
      <c r="AE87">
        <f t="shared" si="42"/>
        <v>6.7938374110268027</v>
      </c>
      <c r="AF87">
        <f t="shared" si="43"/>
        <v>6000</v>
      </c>
      <c r="AG87">
        <f t="shared" si="44"/>
        <v>11.841127766037014</v>
      </c>
      <c r="AH87">
        <f t="shared" si="45"/>
        <v>6.7938374110268027</v>
      </c>
      <c r="AI87" cm="1">
        <f t="array" ref="AI87">_xlfn.LET(
    _xlpm.vals,   _xlfn.HSTACK(S87,V87,Y87,AB87,AE87,AH87),
    _xlpm.ints,   _xlfn.HSTACK(R87,U87,X87,AA87,AD87,AG87),
    _xlpm.slopes, _xlfn.HSTACK(Q87,T87,W87,Z87,AC87,AF87),
    _xlpm.limit,  -0.00001*_xlpm.slopes + 0.1086*_xlpm.slopes + 63.253,
    _xlpm.mask,   (_xlpm.vals&gt;=0) * (_xlpm.ints&lt;=_xlpm.limit),
    _xlpm.validVals, _xlfn._xlws.FILTER(_xlpm.vals, _xlpm.mask),
    _xlpm.minVal, MIN(_xlpm.validVals),
    IFERROR( _xlfn.XMATCH(_xlpm.minVal, _xlpm.vals), "" )
)</f>
        <v>4</v>
      </c>
      <c r="AJ87" cm="1">
        <f t="array" ref="AJ87">_xlfn.LET(
    _xlpm.vals, CHOOSE({1,2,3,4,5,6}, S87, V87, Y87, AB87, AE87, AH87),
    _xlpm.slopes, CHOOSE({1,2,3,4,5,6}, Q87, T87, W87, Z87, AC87, AF87),
    _xlpm.ints, CHOOSE({1,2,3,4,5,6}, R87, U87, X87, AA87, AD87, AG87),
    _xlpm.limit, -0.00001*_xlpm.slopes + 0.1086*_xlpm.slopes + 63.253,
    _xlpm.valid, (_xlpm.vals &gt;= 0) * (_xlpm.ints &lt;= _xlpm.limit),
    _xlpm.target, MIN(_xlfn._xlws.FILTER(_xlpm.vals, _xlpm.valid)),
    IFERROR(
        _xlfn.XLOOKUP(_xlpm.target, _xlpm.vals, _xlpm.vals),
        CHOOSE({1,2,3,4,5,6}, S$1, V$1, Y$1, AB$1, AE$1, AH$1)
    )
)</f>
        <v>0.9811612150879796</v>
      </c>
    </row>
    <row r="88" spans="9:36" x14ac:dyDescent="0.45">
      <c r="I88">
        <v>86</v>
      </c>
      <c r="J88">
        <v>29.9</v>
      </c>
      <c r="K88">
        <f t="shared" si="24"/>
        <v>29.9</v>
      </c>
      <c r="L88">
        <f t="shared" si="23"/>
        <v>8.3055555555555556E-3</v>
      </c>
      <c r="M88">
        <v>8.11</v>
      </c>
      <c r="N88">
        <f t="shared" si="25"/>
        <v>8.11</v>
      </c>
      <c r="O88">
        <f t="shared" si="26"/>
        <v>388.55596533662953</v>
      </c>
      <c r="P88">
        <f t="shared" si="27"/>
        <v>1243.3790890772145</v>
      </c>
      <c r="Q88">
        <f t="shared" si="28"/>
        <v>5694.6762279736422</v>
      </c>
      <c r="R88">
        <f t="shared" si="29"/>
        <v>13.599508068270588</v>
      </c>
      <c r="S88">
        <f t="shared" si="30"/>
        <v>5.8081690476435481</v>
      </c>
      <c r="T88">
        <f t="shared" si="31"/>
        <v>3680.4021036685549</v>
      </c>
      <c r="U88">
        <f t="shared" si="32"/>
        <v>21.042482078607868</v>
      </c>
      <c r="V88">
        <f t="shared" si="33"/>
        <v>1.9222257793280089</v>
      </c>
      <c r="W88">
        <f t="shared" si="34"/>
        <v>2374.8540601374798</v>
      </c>
      <c r="X88">
        <f t="shared" si="35"/>
        <v>32.610338718680254</v>
      </c>
      <c r="Y88">
        <f t="shared" si="36"/>
        <v>1.1449322560129613</v>
      </c>
      <c r="Z88">
        <f t="shared" si="37"/>
        <v>1790.4658882711888</v>
      </c>
      <c r="AA88">
        <f t="shared" si="38"/>
        <v>43.253990939360619</v>
      </c>
      <c r="AB88">
        <f t="shared" si="39"/>
        <v>1.0383019943215803</v>
      </c>
      <c r="AC88">
        <f t="shared" si="40"/>
        <v>6000</v>
      </c>
      <c r="AD88">
        <f t="shared" si="41"/>
        <v>12.90746588475271</v>
      </c>
      <c r="AE88">
        <f t="shared" si="42"/>
        <v>6.8044686902519889</v>
      </c>
      <c r="AF88">
        <f t="shared" si="43"/>
        <v>6000</v>
      </c>
      <c r="AG88">
        <f t="shared" si="44"/>
        <v>12.90746588475271</v>
      </c>
      <c r="AH88">
        <f t="shared" si="45"/>
        <v>6.8044686902519889</v>
      </c>
      <c r="AI88" cm="1">
        <f t="array" ref="AI88">_xlfn.LET(
    _xlpm.vals,   _xlfn.HSTACK(S88,V88,Y88,AB88,AE88,AH88),
    _xlpm.ints,   _xlfn.HSTACK(R88,U88,X88,AA88,AD88,AG88),
    _xlpm.slopes, _xlfn.HSTACK(Q88,T88,W88,Z88,AC88,AF88),
    _xlpm.limit,  -0.00001*_xlpm.slopes + 0.1086*_xlpm.slopes + 63.253,
    _xlpm.mask,   (_xlpm.vals&gt;=0) * (_xlpm.ints&lt;=_xlpm.limit),
    _xlpm.validVals, _xlfn._xlws.FILTER(_xlpm.vals, _xlpm.mask),
    _xlpm.minVal, MIN(_xlpm.validVals),
    IFERROR( _xlfn.XMATCH(_xlpm.minVal, _xlpm.vals), "" )
)</f>
        <v>4</v>
      </c>
      <c r="AJ88" cm="1">
        <f t="array" ref="AJ88">_xlfn.LET(
    _xlpm.vals, CHOOSE({1,2,3,4,5,6}, S88, V88, Y88, AB88, AE88, AH88),
    _xlpm.slopes, CHOOSE({1,2,3,4,5,6}, Q88, T88, W88, Z88, AC88, AF88),
    _xlpm.ints, CHOOSE({1,2,3,4,5,6}, R88, U88, X88, AA88, AD88, AG88),
    _xlpm.limit, -0.00001*_xlpm.slopes + 0.1086*_xlpm.slopes + 63.253,
    _xlpm.valid, (_xlpm.vals &gt;= 0) * (_xlpm.ints &lt;= _xlpm.limit),
    _xlpm.target, MIN(_xlfn._xlws.FILTER(_xlpm.vals, _xlpm.valid)),
    IFERROR(
        _xlfn.XLOOKUP(_xlpm.target, _xlpm.vals, _xlpm.vals),
        CHOOSE({1,2,3,4,5,6}, S$1, V$1, Y$1, AB$1, AE$1, AH$1)
    )
)</f>
        <v>1.0383019943215803</v>
      </c>
    </row>
    <row r="89" spans="9:36" x14ac:dyDescent="0.45">
      <c r="I89">
        <v>87</v>
      </c>
      <c r="J89">
        <v>30.1</v>
      </c>
      <c r="K89">
        <f t="shared" si="24"/>
        <v>30.1</v>
      </c>
      <c r="L89">
        <f t="shared" si="23"/>
        <v>8.3611111111111108E-3</v>
      </c>
      <c r="M89">
        <v>6.25</v>
      </c>
      <c r="N89">
        <f t="shared" si="25"/>
        <v>6.25</v>
      </c>
      <c r="O89">
        <f t="shared" si="26"/>
        <v>391.15500189406521</v>
      </c>
      <c r="P89">
        <f t="shared" si="27"/>
        <v>1251.6960060610088</v>
      </c>
      <c r="Q89">
        <f t="shared" si="28"/>
        <v>5732.7677077594208</v>
      </c>
      <c r="R89">
        <f t="shared" si="29"/>
        <v>10.410870752477626</v>
      </c>
      <c r="S89">
        <f t="shared" si="30"/>
        <v>5.890277253078926</v>
      </c>
      <c r="T89">
        <f t="shared" si="31"/>
        <v>3705.0201779405861</v>
      </c>
      <c r="U89">
        <f t="shared" si="32"/>
        <v>16.108712177820113</v>
      </c>
      <c r="V89">
        <f t="shared" si="33"/>
        <v>1.8590086188949775</v>
      </c>
      <c r="W89">
        <f t="shared" si="34"/>
        <v>2390.7393715765265</v>
      </c>
      <c r="X89">
        <f t="shared" si="35"/>
        <v>24.964286935260489</v>
      </c>
      <c r="Y89">
        <f t="shared" si="36"/>
        <v>1.0224902414642918</v>
      </c>
      <c r="Z89">
        <f t="shared" si="37"/>
        <v>1802.4422487278525</v>
      </c>
      <c r="AA89">
        <f t="shared" si="38"/>
        <v>33.112352809963568</v>
      </c>
      <c r="AB89">
        <f t="shared" si="39"/>
        <v>0.8917177386395343</v>
      </c>
      <c r="AC89">
        <f t="shared" si="40"/>
        <v>6000</v>
      </c>
      <c r="AD89">
        <f t="shared" si="41"/>
        <v>9.9471839432434592</v>
      </c>
      <c r="AE89">
        <f t="shared" si="42"/>
        <v>6.7758254598673711</v>
      </c>
      <c r="AF89">
        <f t="shared" si="43"/>
        <v>6000</v>
      </c>
      <c r="AG89">
        <f t="shared" si="44"/>
        <v>9.9471839432434592</v>
      </c>
      <c r="AH89">
        <f t="shared" si="45"/>
        <v>6.7758254598673711</v>
      </c>
      <c r="AI89" cm="1">
        <f t="array" ref="AI89">_xlfn.LET(
    _xlpm.vals,   _xlfn.HSTACK(S89,V89,Y89,AB89,AE89,AH89),
    _xlpm.ints,   _xlfn.HSTACK(R89,U89,X89,AA89,AD89,AG89),
    _xlpm.slopes, _xlfn.HSTACK(Q89,T89,W89,Z89,AC89,AF89),
    _xlpm.limit,  -0.00001*_xlpm.slopes + 0.1086*_xlpm.slopes + 63.253,
    _xlpm.mask,   (_xlpm.vals&gt;=0) * (_xlpm.ints&lt;=_xlpm.limit),
    _xlpm.validVals, _xlfn._xlws.FILTER(_xlpm.vals, _xlpm.mask),
    _xlpm.minVal, MIN(_xlpm.validVals),
    IFERROR( _xlfn.XMATCH(_xlpm.minVal, _xlpm.vals), "" )
)</f>
        <v>4</v>
      </c>
      <c r="AJ89" cm="1">
        <f t="array" ref="AJ89">_xlfn.LET(
    _xlpm.vals, CHOOSE({1,2,3,4,5,6}, S89, V89, Y89, AB89, AE89, AH89),
    _xlpm.slopes, CHOOSE({1,2,3,4,5,6}, Q89, T89, W89, Z89, AC89, AF89),
    _xlpm.ints, CHOOSE({1,2,3,4,5,6}, R89, U89, X89, AA89, AD89, AG89),
    _xlpm.limit, -0.00001*_xlpm.slopes + 0.1086*_xlpm.slopes + 63.253,
    _xlpm.valid, (_xlpm.vals &gt;= 0) * (_xlpm.ints &lt;= _xlpm.limit),
    _xlpm.target, MIN(_xlfn._xlws.FILTER(_xlpm.vals, _xlpm.valid)),
    IFERROR(
        _xlfn.XLOOKUP(_xlpm.target, _xlpm.vals, _xlpm.vals),
        CHOOSE({1,2,3,4,5,6}, S$1, V$1, Y$1, AB$1, AE$1, AH$1)
    )
)</f>
        <v>0.8917177386395343</v>
      </c>
    </row>
    <row r="90" spans="9:36" x14ac:dyDescent="0.45">
      <c r="I90">
        <v>88</v>
      </c>
      <c r="J90">
        <v>30.4</v>
      </c>
      <c r="K90">
        <f t="shared" si="24"/>
        <v>30.4</v>
      </c>
      <c r="L90">
        <f t="shared" si="23"/>
        <v>8.4444444444444437E-3</v>
      </c>
      <c r="M90">
        <v>6.42</v>
      </c>
      <c r="N90">
        <f t="shared" si="25"/>
        <v>6.42</v>
      </c>
      <c r="O90">
        <f t="shared" si="26"/>
        <v>395.05355673021865</v>
      </c>
      <c r="P90">
        <f t="shared" si="27"/>
        <v>1264.1713815366998</v>
      </c>
      <c r="Q90">
        <f t="shared" si="28"/>
        <v>5789.904927438085</v>
      </c>
      <c r="R90">
        <f t="shared" si="29"/>
        <v>10.58851308394885</v>
      </c>
      <c r="S90">
        <f t="shared" si="30"/>
        <v>6.0744590892303529</v>
      </c>
      <c r="T90">
        <f t="shared" si="31"/>
        <v>3741.9472893486313</v>
      </c>
      <c r="U90">
        <f t="shared" si="32"/>
        <v>16.383577677191127</v>
      </c>
      <c r="V90">
        <f t="shared" si="33"/>
        <v>1.9056861081829315</v>
      </c>
      <c r="W90">
        <f t="shared" si="34"/>
        <v>2414.5673387350967</v>
      </c>
      <c r="X90">
        <f t="shared" si="35"/>
        <v>25.390256504966356</v>
      </c>
      <c r="Y90">
        <f t="shared" si="36"/>
        <v>1.041314609570466</v>
      </c>
      <c r="Z90">
        <f t="shared" si="37"/>
        <v>1820.4067894128475</v>
      </c>
      <c r="AA90">
        <f t="shared" si="38"/>
        <v>33.677354114226212</v>
      </c>
      <c r="AB90">
        <f t="shared" si="39"/>
        <v>0.9074663111544049</v>
      </c>
      <c r="AC90">
        <f t="shared" si="40"/>
        <v>6000</v>
      </c>
      <c r="AD90">
        <f t="shared" si="41"/>
        <v>10.217747346499682</v>
      </c>
      <c r="AE90">
        <f t="shared" si="42"/>
        <v>6.7783299913665989</v>
      </c>
      <c r="AF90">
        <f t="shared" si="43"/>
        <v>6000</v>
      </c>
      <c r="AG90">
        <f t="shared" si="44"/>
        <v>10.217747346499682</v>
      </c>
      <c r="AH90">
        <f t="shared" si="45"/>
        <v>6.7783299913665989</v>
      </c>
      <c r="AI90" cm="1">
        <f t="array" ref="AI90">_xlfn.LET(
    _xlpm.vals,   _xlfn.HSTACK(S90,V90,Y90,AB90,AE90,AH90),
    _xlpm.ints,   _xlfn.HSTACK(R90,U90,X90,AA90,AD90,AG90),
    _xlpm.slopes, _xlfn.HSTACK(Q90,T90,W90,Z90,AC90,AF90),
    _xlpm.limit,  -0.00001*_xlpm.slopes + 0.1086*_xlpm.slopes + 63.253,
    _xlpm.mask,   (_xlpm.vals&gt;=0) * (_xlpm.ints&lt;=_xlpm.limit),
    _xlpm.validVals, _xlfn._xlws.FILTER(_xlpm.vals, _xlpm.mask),
    _xlpm.minVal, MIN(_xlpm.validVals),
    IFERROR( _xlfn.XMATCH(_xlpm.minVal, _xlpm.vals), "" )
)</f>
        <v>4</v>
      </c>
      <c r="AJ90" cm="1">
        <f t="array" ref="AJ90">_xlfn.LET(
    _xlpm.vals, CHOOSE({1,2,3,4,5,6}, S90, V90, Y90, AB90, AE90, AH90),
    _xlpm.slopes, CHOOSE({1,2,3,4,5,6}, Q90, T90, W90, Z90, AC90, AF90),
    _xlpm.ints, CHOOSE({1,2,3,4,5,6}, R90, U90, X90, AA90, AD90, AG90),
    _xlpm.limit, -0.00001*_xlpm.slopes + 0.1086*_xlpm.slopes + 63.253,
    _xlpm.valid, (_xlpm.vals &gt;= 0) * (_xlpm.ints &lt;= _xlpm.limit),
    _xlpm.target, MIN(_xlfn._xlws.FILTER(_xlpm.vals, _xlpm.valid)),
    IFERROR(
        _xlfn.XLOOKUP(_xlpm.target, _xlpm.vals, _xlpm.vals),
        CHOOSE({1,2,3,4,5,6}, S$1, V$1, Y$1, AB$1, AE$1, AH$1)
    )
)</f>
        <v>0.9074663111544049</v>
      </c>
    </row>
    <row r="91" spans="9:36" x14ac:dyDescent="0.45">
      <c r="I91">
        <v>89</v>
      </c>
      <c r="J91">
        <v>30.7</v>
      </c>
      <c r="K91">
        <f t="shared" si="24"/>
        <v>30.7</v>
      </c>
      <c r="L91">
        <f t="shared" si="23"/>
        <v>8.5277777777777782E-3</v>
      </c>
      <c r="M91">
        <v>7.2</v>
      </c>
      <c r="N91">
        <f t="shared" si="25"/>
        <v>7.2</v>
      </c>
      <c r="O91">
        <f t="shared" si="26"/>
        <v>398.95211156637214</v>
      </c>
      <c r="P91">
        <f t="shared" si="27"/>
        <v>1276.6467570123909</v>
      </c>
      <c r="Q91">
        <f t="shared" si="28"/>
        <v>5847.0421471167501</v>
      </c>
      <c r="R91">
        <f t="shared" si="29"/>
        <v>11.758925912583461</v>
      </c>
      <c r="S91">
        <f t="shared" si="30"/>
        <v>6.2732914281429277</v>
      </c>
      <c r="T91">
        <f t="shared" si="31"/>
        <v>3778.874400756677</v>
      </c>
      <c r="U91">
        <f t="shared" si="32"/>
        <v>18.194554283659542</v>
      </c>
      <c r="V91">
        <f t="shared" si="33"/>
        <v>1.9811967033541549</v>
      </c>
      <c r="W91">
        <f t="shared" si="34"/>
        <v>2438.3953058936668</v>
      </c>
      <c r="X91">
        <f t="shared" si="35"/>
        <v>28.196796167346726</v>
      </c>
      <c r="Y91">
        <f t="shared" si="36"/>
        <v>1.1010226872625146</v>
      </c>
      <c r="Z91">
        <f t="shared" si="37"/>
        <v>1838.3713300978429</v>
      </c>
      <c r="AA91">
        <f t="shared" si="38"/>
        <v>37.399917138633505</v>
      </c>
      <c r="AB91">
        <f t="shared" si="39"/>
        <v>0.97087681072921328</v>
      </c>
      <c r="AC91">
        <f t="shared" si="40"/>
        <v>6000</v>
      </c>
      <c r="AD91">
        <f t="shared" si="41"/>
        <v>11.459155902616464</v>
      </c>
      <c r="AE91">
        <f t="shared" si="42"/>
        <v>6.7901147914974045</v>
      </c>
      <c r="AF91">
        <f t="shared" si="43"/>
        <v>6000</v>
      </c>
      <c r="AG91">
        <f t="shared" si="44"/>
        <v>11.459155902616464</v>
      </c>
      <c r="AH91">
        <f t="shared" si="45"/>
        <v>6.7901147914974045</v>
      </c>
      <c r="AI91" cm="1">
        <f t="array" ref="AI91">_xlfn.LET(
    _xlpm.vals,   _xlfn.HSTACK(S91,V91,Y91,AB91,AE91,AH91),
    _xlpm.ints,   _xlfn.HSTACK(R91,U91,X91,AA91,AD91,AG91),
    _xlpm.slopes, _xlfn.HSTACK(Q91,T91,W91,Z91,AC91,AF91),
    _xlpm.limit,  -0.00001*_xlpm.slopes + 0.1086*_xlpm.slopes + 63.253,
    _xlpm.mask,   (_xlpm.vals&gt;=0) * (_xlpm.ints&lt;=_xlpm.limit),
    _xlpm.validVals, _xlfn._xlws.FILTER(_xlpm.vals, _xlpm.mask),
    _xlpm.minVal, MIN(_xlpm.validVals),
    IFERROR( _xlfn.XMATCH(_xlpm.minVal, _xlpm.vals), "" )
)</f>
        <v>4</v>
      </c>
      <c r="AJ91" cm="1">
        <f t="array" ref="AJ91">_xlfn.LET(
    _xlpm.vals, CHOOSE({1,2,3,4,5,6}, S91, V91, Y91, AB91, AE91, AH91),
    _xlpm.slopes, CHOOSE({1,2,3,4,5,6}, Q91, T91, W91, Z91, AC91, AF91),
    _xlpm.ints, CHOOSE({1,2,3,4,5,6}, R91, U91, X91, AA91, AD91, AG91),
    _xlpm.limit, -0.00001*_xlpm.slopes + 0.1086*_xlpm.slopes + 63.253,
    _xlpm.valid, (_xlpm.vals &gt;= 0) * (_xlpm.ints &lt;= _xlpm.limit),
    _xlpm.target, MIN(_xlfn._xlws.FILTER(_xlpm.vals, _xlpm.valid)),
    IFERROR(
        _xlfn.XLOOKUP(_xlpm.target, _xlpm.vals, _xlpm.vals),
        CHOOSE({1,2,3,4,5,6}, S$1, V$1, Y$1, AB$1, AE$1, AH$1)
    )
)</f>
        <v>0.97087681072921328</v>
      </c>
    </row>
    <row r="92" spans="9:36" x14ac:dyDescent="0.45">
      <c r="I92">
        <v>90</v>
      </c>
      <c r="J92">
        <v>30.6</v>
      </c>
      <c r="K92">
        <f t="shared" si="24"/>
        <v>30.6</v>
      </c>
      <c r="L92">
        <f t="shared" si="23"/>
        <v>8.5000000000000006E-3</v>
      </c>
      <c r="M92">
        <v>2.77</v>
      </c>
      <c r="N92">
        <f t="shared" si="25"/>
        <v>2.77</v>
      </c>
      <c r="O92">
        <f t="shared" si="26"/>
        <v>397.65259328765433</v>
      </c>
      <c r="P92">
        <f t="shared" si="27"/>
        <v>1272.488298520494</v>
      </c>
      <c r="Q92">
        <f t="shared" si="28"/>
        <v>5827.9964072238627</v>
      </c>
      <c r="R92">
        <f t="shared" si="29"/>
        <v>4.53870416067622</v>
      </c>
      <c r="S92">
        <f t="shared" si="30"/>
        <v>6.1407588365960777</v>
      </c>
      <c r="T92">
        <f t="shared" si="31"/>
        <v>3766.5653636206621</v>
      </c>
      <c r="U92">
        <f t="shared" si="32"/>
        <v>7.0227246810463129</v>
      </c>
      <c r="V92">
        <f t="shared" si="33"/>
        <v>1.7758357517858514</v>
      </c>
      <c r="W92">
        <f t="shared" si="34"/>
        <v>2430.4526501741434</v>
      </c>
      <c r="X92">
        <f t="shared" si="35"/>
        <v>10.883384846019418</v>
      </c>
      <c r="Y92">
        <f t="shared" si="36"/>
        <v>0.82083607246295853</v>
      </c>
      <c r="Z92">
        <f t="shared" si="37"/>
        <v>1832.3831498695113</v>
      </c>
      <c r="AA92">
        <f t="shared" si="38"/>
        <v>14.435600733261866</v>
      </c>
      <c r="AB92">
        <f t="shared" si="39"/>
        <v>0.64773801091570771</v>
      </c>
      <c r="AC92">
        <f t="shared" si="40"/>
        <v>6000</v>
      </c>
      <c r="AD92">
        <f t="shared" si="41"/>
        <v>4.4085919236455009</v>
      </c>
      <c r="AE92">
        <f t="shared" si="42"/>
        <v>6.7296648433142261</v>
      </c>
      <c r="AF92">
        <f t="shared" si="43"/>
        <v>6000</v>
      </c>
      <c r="AG92">
        <f t="shared" si="44"/>
        <v>4.4085919236455009</v>
      </c>
      <c r="AH92">
        <f t="shared" si="45"/>
        <v>6.7296648433142261</v>
      </c>
      <c r="AI92" cm="1">
        <f t="array" ref="AI92">_xlfn.LET(
    _xlpm.vals,   _xlfn.HSTACK(S92,V92,Y92,AB92,AE92,AH92),
    _xlpm.ints,   _xlfn.HSTACK(R92,U92,X92,AA92,AD92,AG92),
    _xlpm.slopes, _xlfn.HSTACK(Q92,T92,W92,Z92,AC92,AF92),
    _xlpm.limit,  -0.00001*_xlpm.slopes + 0.1086*_xlpm.slopes + 63.253,
    _xlpm.mask,   (_xlpm.vals&gt;=0) * (_xlpm.ints&lt;=_xlpm.limit),
    _xlpm.validVals, _xlfn._xlws.FILTER(_xlpm.vals, _xlpm.mask),
    _xlpm.minVal, MIN(_xlpm.validVals),
    IFERROR( _xlfn.XMATCH(_xlpm.minVal, _xlpm.vals), "" )
)</f>
        <v>4</v>
      </c>
      <c r="AJ92" cm="1">
        <f t="array" ref="AJ92">_xlfn.LET(
    _xlpm.vals, CHOOSE({1,2,3,4,5,6}, S92, V92, Y92, AB92, AE92, AH92),
    _xlpm.slopes, CHOOSE({1,2,3,4,5,6}, Q92, T92, W92, Z92, AC92, AF92),
    _xlpm.ints, CHOOSE({1,2,3,4,5,6}, R92, U92, X92, AA92, AD92, AG92),
    _xlpm.limit, -0.00001*_xlpm.slopes + 0.1086*_xlpm.slopes + 63.253,
    _xlpm.valid, (_xlpm.vals &gt;= 0) * (_xlpm.ints &lt;= _xlpm.limit),
    _xlpm.target, MIN(_xlfn._xlws.FILTER(_xlpm.vals, _xlpm.valid)),
    IFERROR(
        _xlfn.XLOOKUP(_xlpm.target, _xlpm.vals, _xlpm.vals),
        CHOOSE({1,2,3,4,5,6}, S$1, V$1, Y$1, AB$1, AE$1, AH$1)
    )
)</f>
        <v>0.64773801091570771</v>
      </c>
    </row>
    <row r="93" spans="9:36" x14ac:dyDescent="0.45">
      <c r="I93">
        <v>91</v>
      </c>
      <c r="J93">
        <v>30.4</v>
      </c>
      <c r="K93">
        <f t="shared" si="24"/>
        <v>30.4</v>
      </c>
      <c r="L93">
        <f t="shared" si="23"/>
        <v>8.4444444444444437E-3</v>
      </c>
      <c r="M93">
        <v>1.62</v>
      </c>
      <c r="N93">
        <f t="shared" si="25"/>
        <v>1.62</v>
      </c>
      <c r="O93">
        <f t="shared" si="26"/>
        <v>395.05355673021865</v>
      </c>
      <c r="P93">
        <f t="shared" si="27"/>
        <v>1264.1713815366998</v>
      </c>
      <c r="Q93">
        <f t="shared" si="28"/>
        <v>5789.904927438085</v>
      </c>
      <c r="R93">
        <f t="shared" si="29"/>
        <v>2.6718677875384951</v>
      </c>
      <c r="S93">
        <f t="shared" si="30"/>
        <v>5.9996765186710252</v>
      </c>
      <c r="T93">
        <f t="shared" si="31"/>
        <v>3741.9472893486313</v>
      </c>
      <c r="U93">
        <f t="shared" si="32"/>
        <v>4.1341738063940223</v>
      </c>
      <c r="V93">
        <f t="shared" si="33"/>
        <v>1.7025484434716256</v>
      </c>
      <c r="W93">
        <f t="shared" si="34"/>
        <v>2414.5673387350967</v>
      </c>
      <c r="X93">
        <f t="shared" si="35"/>
        <v>6.4068871554587998</v>
      </c>
      <c r="Y93">
        <f t="shared" si="36"/>
        <v>0.75031825742945057</v>
      </c>
      <c r="Z93">
        <f t="shared" si="37"/>
        <v>1820.4067894128475</v>
      </c>
      <c r="AA93">
        <f t="shared" si="38"/>
        <v>8.4980239353654916</v>
      </c>
      <c r="AB93">
        <f t="shared" si="39"/>
        <v>0.57207616985323562</v>
      </c>
      <c r="AC93">
        <f t="shared" si="40"/>
        <v>6000</v>
      </c>
      <c r="AD93">
        <f t="shared" si="41"/>
        <v>2.5783100780887045</v>
      </c>
      <c r="AE93">
        <f t="shared" si="42"/>
        <v>6.7165879100181138</v>
      </c>
      <c r="AF93">
        <f t="shared" si="43"/>
        <v>6000</v>
      </c>
      <c r="AG93">
        <f t="shared" si="44"/>
        <v>2.5783100780887045</v>
      </c>
      <c r="AH93">
        <f t="shared" si="45"/>
        <v>6.7165879100181138</v>
      </c>
      <c r="AI93" cm="1">
        <f t="array" ref="AI93">_xlfn.LET(
    _xlpm.vals,   _xlfn.HSTACK(S93,V93,Y93,AB93,AE93,AH93),
    _xlpm.ints,   _xlfn.HSTACK(R93,U93,X93,AA93,AD93,AG93),
    _xlpm.slopes, _xlfn.HSTACK(Q93,T93,W93,Z93,AC93,AF93),
    _xlpm.limit,  -0.00001*_xlpm.slopes + 0.1086*_xlpm.slopes + 63.253,
    _xlpm.mask,   (_xlpm.vals&gt;=0) * (_xlpm.ints&lt;=_xlpm.limit),
    _xlpm.validVals, _xlfn._xlws.FILTER(_xlpm.vals, _xlpm.mask),
    _xlpm.minVal, MIN(_xlpm.validVals),
    IFERROR( _xlfn.XMATCH(_xlpm.minVal, _xlpm.vals), "" )
)</f>
        <v>4</v>
      </c>
      <c r="AJ93" cm="1">
        <f t="array" ref="AJ93">_xlfn.LET(
    _xlpm.vals, CHOOSE({1,2,3,4,5,6}, S93, V93, Y93, AB93, AE93, AH93),
    _xlpm.slopes, CHOOSE({1,2,3,4,5,6}, Q93, T93, W93, Z93, AC93, AF93),
    _xlpm.ints, CHOOSE({1,2,3,4,5,6}, R93, U93, X93, AA93, AD93, AG93),
    _xlpm.limit, -0.00001*_xlpm.slopes + 0.1086*_xlpm.slopes + 63.253,
    _xlpm.valid, (_xlpm.vals &gt;= 0) * (_xlpm.ints &lt;= _xlpm.limit),
    _xlpm.target, MIN(_xlfn._xlws.FILTER(_xlpm.vals, _xlpm.valid)),
    IFERROR(
        _xlfn.XLOOKUP(_xlpm.target, _xlpm.vals, _xlpm.vals),
        CHOOSE({1,2,3,4,5,6}, S$1, V$1, Y$1, AB$1, AE$1, AH$1)
    )
)</f>
        <v>0.57207616985323562</v>
      </c>
    </row>
    <row r="94" spans="9:36" x14ac:dyDescent="0.45">
      <c r="I94">
        <v>92</v>
      </c>
      <c r="J94">
        <v>30.3</v>
      </c>
      <c r="K94">
        <f t="shared" si="24"/>
        <v>30.3</v>
      </c>
      <c r="L94">
        <f t="shared" si="23"/>
        <v>8.416666666666666E-3</v>
      </c>
      <c r="M94">
        <v>3.45</v>
      </c>
      <c r="N94">
        <f t="shared" si="25"/>
        <v>3.45</v>
      </c>
      <c r="O94">
        <f t="shared" si="26"/>
        <v>393.75403845150089</v>
      </c>
      <c r="P94">
        <f t="shared" si="27"/>
        <v>1260.0129230448028</v>
      </c>
      <c r="Q94">
        <f t="shared" si="28"/>
        <v>5770.8591875451975</v>
      </c>
      <c r="R94">
        <f t="shared" si="29"/>
        <v>5.7088679777744638</v>
      </c>
      <c r="S94">
        <f t="shared" si="30"/>
        <v>5.9642918686277868</v>
      </c>
      <c r="T94">
        <f t="shared" si="31"/>
        <v>3729.6382522126164</v>
      </c>
      <c r="U94">
        <f t="shared" si="32"/>
        <v>8.8333159926375142</v>
      </c>
      <c r="V94">
        <f t="shared" si="33"/>
        <v>1.7624969586783239</v>
      </c>
      <c r="W94">
        <f t="shared" si="34"/>
        <v>2406.6246830155733</v>
      </c>
      <c r="X94">
        <f t="shared" si="35"/>
        <v>13.689327402202643</v>
      </c>
      <c r="Y94">
        <f t="shared" si="36"/>
        <v>0.8516681044195048</v>
      </c>
      <c r="Z94">
        <f t="shared" si="37"/>
        <v>1814.4186091845161</v>
      </c>
      <c r="AA94">
        <f t="shared" si="38"/>
        <v>18.157371762643784</v>
      </c>
      <c r="AB94">
        <f t="shared" si="39"/>
        <v>0.68955368288365748</v>
      </c>
      <c r="AC94">
        <f t="shared" si="40"/>
        <v>6000</v>
      </c>
      <c r="AD94">
        <f t="shared" si="41"/>
        <v>5.4908455366703892</v>
      </c>
      <c r="AE94">
        <f t="shared" si="42"/>
        <v>6.7379110358266798</v>
      </c>
      <c r="AF94">
        <f t="shared" si="43"/>
        <v>6000</v>
      </c>
      <c r="AG94">
        <f t="shared" si="44"/>
        <v>5.4908455366703892</v>
      </c>
      <c r="AH94">
        <f t="shared" si="45"/>
        <v>6.7379110358266798</v>
      </c>
      <c r="AI94" cm="1">
        <f t="array" ref="AI94">_xlfn.LET(
    _xlpm.vals,   _xlfn.HSTACK(S94,V94,Y94,AB94,AE94,AH94),
    _xlpm.ints,   _xlfn.HSTACK(R94,U94,X94,AA94,AD94,AG94),
    _xlpm.slopes, _xlfn.HSTACK(Q94,T94,W94,Z94,AC94,AF94),
    _xlpm.limit,  -0.00001*_xlpm.slopes + 0.1086*_xlpm.slopes + 63.253,
    _xlpm.mask,   (_xlpm.vals&gt;=0) * (_xlpm.ints&lt;=_xlpm.limit),
    _xlpm.validVals, _xlfn._xlws.FILTER(_xlpm.vals, _xlpm.mask),
    _xlpm.minVal, MIN(_xlpm.validVals),
    IFERROR( _xlfn.XMATCH(_xlpm.minVal, _xlpm.vals), "" )
)</f>
        <v>4</v>
      </c>
      <c r="AJ94" cm="1">
        <f t="array" ref="AJ94">_xlfn.LET(
    _xlpm.vals, CHOOSE({1,2,3,4,5,6}, S94, V94, Y94, AB94, AE94, AH94),
    _xlpm.slopes, CHOOSE({1,2,3,4,5,6}, Q94, T94, W94, Z94, AC94, AF94),
    _xlpm.ints, CHOOSE({1,2,3,4,5,6}, R94, U94, X94, AA94, AD94, AG94),
    _xlpm.limit, -0.00001*_xlpm.slopes + 0.1086*_xlpm.slopes + 63.253,
    _xlpm.valid, (_xlpm.vals &gt;= 0) * (_xlpm.ints &lt;= _xlpm.limit),
    _xlpm.target, MIN(_xlfn._xlws.FILTER(_xlpm.vals, _xlpm.valid)),
    IFERROR(
        _xlfn.XLOOKUP(_xlpm.target, _xlpm.vals, _xlpm.vals),
        CHOOSE({1,2,3,4,5,6}, S$1, V$1, Y$1, AB$1, AE$1, AH$1)
    )
)</f>
        <v>0.68955368288365748</v>
      </c>
    </row>
    <row r="95" spans="9:36" x14ac:dyDescent="0.45">
      <c r="I95">
        <v>93</v>
      </c>
      <c r="J95">
        <v>30.3</v>
      </c>
      <c r="K95">
        <f t="shared" si="24"/>
        <v>30.3</v>
      </c>
      <c r="L95">
        <f t="shared" si="23"/>
        <v>8.416666666666666E-3</v>
      </c>
      <c r="M95">
        <v>5.16</v>
      </c>
      <c r="N95">
        <f t="shared" si="25"/>
        <v>5.16</v>
      </c>
      <c r="O95">
        <f t="shared" si="26"/>
        <v>393.75403845150089</v>
      </c>
      <c r="P95">
        <f t="shared" si="27"/>
        <v>1260.0129230448028</v>
      </c>
      <c r="Q95">
        <f t="shared" si="28"/>
        <v>5770.8591875451975</v>
      </c>
      <c r="R95">
        <f t="shared" si="29"/>
        <v>8.5384808015409366</v>
      </c>
      <c r="S95">
        <f t="shared" si="30"/>
        <v>5.9917830200933517</v>
      </c>
      <c r="T95">
        <f t="shared" si="31"/>
        <v>3729.6382522126164</v>
      </c>
      <c r="U95">
        <f t="shared" si="32"/>
        <v>13.211568267249152</v>
      </c>
      <c r="V95">
        <f t="shared" si="33"/>
        <v>1.8358980557098412</v>
      </c>
      <c r="W95">
        <f t="shared" si="34"/>
        <v>2406.6246830155733</v>
      </c>
      <c r="X95">
        <f t="shared" si="35"/>
        <v>20.47447228851178</v>
      </c>
      <c r="Y95">
        <f t="shared" si="36"/>
        <v>0.95690454964943072</v>
      </c>
      <c r="Z95">
        <f t="shared" si="37"/>
        <v>1814.4186091845161</v>
      </c>
      <c r="AA95">
        <f t="shared" si="38"/>
        <v>27.157112549345484</v>
      </c>
      <c r="AB95">
        <f t="shared" si="39"/>
        <v>0.81124874496089383</v>
      </c>
      <c r="AC95">
        <f t="shared" si="40"/>
        <v>6000</v>
      </c>
      <c r="AD95">
        <f t="shared" si="41"/>
        <v>8.2123950635418002</v>
      </c>
      <c r="AE95">
        <f t="shared" si="42"/>
        <v>6.7603147587043804</v>
      </c>
      <c r="AF95">
        <f t="shared" si="43"/>
        <v>6000</v>
      </c>
      <c r="AG95">
        <f t="shared" si="44"/>
        <v>8.2123950635418002</v>
      </c>
      <c r="AH95">
        <f t="shared" si="45"/>
        <v>6.7603147587043804</v>
      </c>
      <c r="AI95" cm="1">
        <f t="array" ref="AI95">_xlfn.LET(
    _xlpm.vals,   _xlfn.HSTACK(S95,V95,Y95,AB95,AE95,AH95),
    _xlpm.ints,   _xlfn.HSTACK(R95,U95,X95,AA95,AD95,AG95),
    _xlpm.slopes, _xlfn.HSTACK(Q95,T95,W95,Z95,AC95,AF95),
    _xlpm.limit,  -0.00001*_xlpm.slopes + 0.1086*_xlpm.slopes + 63.253,
    _xlpm.mask,   (_xlpm.vals&gt;=0) * (_xlpm.ints&lt;=_xlpm.limit),
    _xlpm.validVals, _xlfn._xlws.FILTER(_xlpm.vals, _xlpm.mask),
    _xlpm.minVal, MIN(_xlpm.validVals),
    IFERROR( _xlfn.XMATCH(_xlpm.minVal, _xlpm.vals), "" )
)</f>
        <v>4</v>
      </c>
      <c r="AJ95" cm="1">
        <f t="array" ref="AJ95">_xlfn.LET(
    _xlpm.vals, CHOOSE({1,2,3,4,5,6}, S95, V95, Y95, AB95, AE95, AH95),
    _xlpm.slopes, CHOOSE({1,2,3,4,5,6}, Q95, T95, W95, Z95, AC95, AF95),
    _xlpm.ints, CHOOSE({1,2,3,4,5,6}, R95, U95, X95, AA95, AD95, AG95),
    _xlpm.limit, -0.00001*_xlpm.slopes + 0.1086*_xlpm.slopes + 63.253,
    _xlpm.valid, (_xlpm.vals &gt;= 0) * (_xlpm.ints &lt;= _xlpm.limit),
    _xlpm.target, MIN(_xlfn._xlws.FILTER(_xlpm.vals, _xlpm.valid)),
    IFERROR(
        _xlfn.XLOOKUP(_xlpm.target, _xlpm.vals, _xlpm.vals),
        CHOOSE({1,2,3,4,5,6}, S$1, V$1, Y$1, AB$1, AE$1, AH$1)
    )
)</f>
        <v>0.81124874496089383</v>
      </c>
    </row>
    <row r="96" spans="9:36" x14ac:dyDescent="0.45">
      <c r="I96">
        <v>94</v>
      </c>
      <c r="J96">
        <v>30.9</v>
      </c>
      <c r="K96">
        <f t="shared" si="24"/>
        <v>30.9</v>
      </c>
      <c r="L96">
        <f t="shared" si="23"/>
        <v>8.5833333333333334E-3</v>
      </c>
      <c r="M96">
        <v>11.19</v>
      </c>
      <c r="N96">
        <f t="shared" si="25"/>
        <v>11.19</v>
      </c>
      <c r="O96">
        <f t="shared" si="26"/>
        <v>401.55114812380776</v>
      </c>
      <c r="P96">
        <f t="shared" si="27"/>
        <v>1284.963673996185</v>
      </c>
      <c r="Q96">
        <f t="shared" si="28"/>
        <v>5885.1336269025269</v>
      </c>
      <c r="R96">
        <f t="shared" si="29"/>
        <v>18.157043759113328</v>
      </c>
      <c r="S96">
        <f t="shared" si="30"/>
        <v>6.4729683851465065</v>
      </c>
      <c r="T96">
        <f t="shared" si="31"/>
        <v>3803.4924750287073</v>
      </c>
      <c r="U96">
        <f t="shared" si="32"/>
        <v>28.094344735384819</v>
      </c>
      <c r="V96">
        <f t="shared" si="33"/>
        <v>2.2011380591741854</v>
      </c>
      <c r="W96">
        <f t="shared" si="34"/>
        <v>2454.2806173327131</v>
      </c>
      <c r="X96">
        <f t="shared" si="35"/>
        <v>43.538879799339824</v>
      </c>
      <c r="Y96">
        <f t="shared" si="36"/>
        <v>1.3886063224766088</v>
      </c>
      <c r="Z96">
        <f t="shared" si="37"/>
        <v>1850.3476905545062</v>
      </c>
      <c r="AA96">
        <f t="shared" si="38"/>
        <v>57.749486400513241</v>
      </c>
      <c r="AB96">
        <f t="shared" si="39"/>
        <v>1.3018048345500017</v>
      </c>
      <c r="AC96">
        <f t="shared" si="40"/>
        <v>6000</v>
      </c>
      <c r="AD96">
        <f t="shared" si="41"/>
        <v>17.809438131983089</v>
      </c>
      <c r="AE96">
        <f t="shared" si="42"/>
        <v>6.8578031440303455</v>
      </c>
      <c r="AF96">
        <f t="shared" si="43"/>
        <v>6000</v>
      </c>
      <c r="AG96">
        <f t="shared" si="44"/>
        <v>17.809438131983089</v>
      </c>
      <c r="AH96">
        <f t="shared" si="45"/>
        <v>6.8578031440303455</v>
      </c>
      <c r="AI96" cm="1">
        <f t="array" ref="AI96">_xlfn.LET(
    _xlpm.vals,   _xlfn.HSTACK(S96,V96,Y96,AB96,AE96,AH96),
    _xlpm.ints,   _xlfn.HSTACK(R96,U96,X96,AA96,AD96,AG96),
    _xlpm.slopes, _xlfn.HSTACK(Q96,T96,W96,Z96,AC96,AF96),
    _xlpm.limit,  -0.00001*_xlpm.slopes + 0.1086*_xlpm.slopes + 63.253,
    _xlpm.mask,   (_xlpm.vals&gt;=0) * (_xlpm.ints&lt;=_xlpm.limit),
    _xlpm.validVals, _xlfn._xlws.FILTER(_xlpm.vals, _xlpm.mask),
    _xlpm.minVal, MIN(_xlpm.validVals),
    IFERROR( _xlfn.XMATCH(_xlpm.minVal, _xlpm.vals), "" )
)</f>
        <v>4</v>
      </c>
      <c r="AJ96" cm="1">
        <f t="array" ref="AJ96">_xlfn.LET(
    _xlpm.vals, CHOOSE({1,2,3,4,5,6}, S96, V96, Y96, AB96, AE96, AH96),
    _xlpm.slopes, CHOOSE({1,2,3,4,5,6}, Q96, T96, W96, Z96, AC96, AF96),
    _xlpm.ints, CHOOSE({1,2,3,4,5,6}, R96, U96, X96, AA96, AD96, AG96),
    _xlpm.limit, -0.00001*_xlpm.slopes + 0.1086*_xlpm.slopes + 63.253,
    _xlpm.valid, (_xlpm.vals &gt;= 0) * (_xlpm.ints &lt;= _xlpm.limit),
    _xlpm.target, MIN(_xlfn._xlws.FILTER(_xlpm.vals, _xlpm.valid)),
    IFERROR(
        _xlfn.XLOOKUP(_xlpm.target, _xlpm.vals, _xlpm.vals),
        CHOOSE({1,2,3,4,5,6}, S$1, V$1, Y$1, AB$1, AE$1, AH$1)
    )
)</f>
        <v>1.3018048345500017</v>
      </c>
    </row>
    <row r="97" spans="9:36" x14ac:dyDescent="0.45">
      <c r="I97">
        <v>95</v>
      </c>
      <c r="J97">
        <v>30.7</v>
      </c>
      <c r="K97">
        <f t="shared" si="24"/>
        <v>30.7</v>
      </c>
      <c r="L97">
        <f t="shared" si="23"/>
        <v>8.5277777777777782E-3</v>
      </c>
      <c r="M97">
        <v>1.23</v>
      </c>
      <c r="N97">
        <f t="shared" si="25"/>
        <v>1.23</v>
      </c>
      <c r="O97">
        <f t="shared" si="26"/>
        <v>398.95211156637214</v>
      </c>
      <c r="P97">
        <f t="shared" si="27"/>
        <v>1276.6467570123909</v>
      </c>
      <c r="Q97">
        <f t="shared" si="28"/>
        <v>5847.0421471167501</v>
      </c>
      <c r="R97">
        <f t="shared" si="29"/>
        <v>2.0088165100663411</v>
      </c>
      <c r="S97">
        <f t="shared" si="30"/>
        <v>6.1837451314917917</v>
      </c>
      <c r="T97">
        <f t="shared" si="31"/>
        <v>3778.874400756677</v>
      </c>
      <c r="U97">
        <f t="shared" si="32"/>
        <v>3.1082363567918385</v>
      </c>
      <c r="V97">
        <f t="shared" si="33"/>
        <v>1.7299222855827023</v>
      </c>
      <c r="W97">
        <f t="shared" si="34"/>
        <v>2438.3953058936668</v>
      </c>
      <c r="X97">
        <f t="shared" si="35"/>
        <v>4.8169526785883985</v>
      </c>
      <c r="Y97">
        <f t="shared" si="36"/>
        <v>0.73878089930850011</v>
      </c>
      <c r="Z97">
        <f t="shared" si="37"/>
        <v>1838.3713300978429</v>
      </c>
      <c r="AA97">
        <f t="shared" si="38"/>
        <v>6.3891525111832239</v>
      </c>
      <c r="AB97">
        <f t="shared" si="39"/>
        <v>0.55264879727506822</v>
      </c>
      <c r="AC97">
        <f t="shared" si="40"/>
        <v>6000</v>
      </c>
      <c r="AD97">
        <f t="shared" si="41"/>
        <v>1.9576058000303127</v>
      </c>
      <c r="AE97">
        <f t="shared" si="42"/>
        <v>6.7124029483836596</v>
      </c>
      <c r="AF97">
        <f t="shared" si="43"/>
        <v>6000</v>
      </c>
      <c r="AG97">
        <f t="shared" si="44"/>
        <v>1.9576058000303127</v>
      </c>
      <c r="AH97">
        <f t="shared" si="45"/>
        <v>6.7124029483836596</v>
      </c>
      <c r="AI97" cm="1">
        <f t="array" ref="AI97">_xlfn.LET(
    _xlpm.vals,   _xlfn.HSTACK(S97,V97,Y97,AB97,AE97,AH97),
    _xlpm.ints,   _xlfn.HSTACK(R97,U97,X97,AA97,AD97,AG97),
    _xlpm.slopes, _xlfn.HSTACK(Q97,T97,W97,Z97,AC97,AF97),
    _xlpm.limit,  -0.00001*_xlpm.slopes + 0.1086*_xlpm.slopes + 63.253,
    _xlpm.mask,   (_xlpm.vals&gt;=0) * (_xlpm.ints&lt;=_xlpm.limit),
    _xlpm.validVals, _xlfn._xlws.FILTER(_xlpm.vals, _xlpm.mask),
    _xlpm.minVal, MIN(_xlpm.validVals),
    IFERROR( _xlfn.XMATCH(_xlpm.minVal, _xlpm.vals), "" )
)</f>
        <v>4</v>
      </c>
      <c r="AJ97" cm="1">
        <f t="array" ref="AJ97">_xlfn.LET(
    _xlpm.vals, CHOOSE({1,2,3,4,5,6}, S97, V97, Y97, AB97, AE97, AH97),
    _xlpm.slopes, CHOOSE({1,2,3,4,5,6}, Q97, T97, W97, Z97, AC97, AF97),
    _xlpm.ints, CHOOSE({1,2,3,4,5,6}, R97, U97, X97, AA97, AD97, AG97),
    _xlpm.limit, -0.00001*_xlpm.slopes + 0.1086*_xlpm.slopes + 63.253,
    _xlpm.valid, (_xlpm.vals &gt;= 0) * (_xlpm.ints &lt;= _xlpm.limit),
    _xlpm.target, MIN(_xlfn._xlws.FILTER(_xlpm.vals, _xlpm.valid)),
    IFERROR(
        _xlfn.XLOOKUP(_xlpm.target, _xlpm.vals, _xlpm.vals),
        CHOOSE({1,2,3,4,5,6}, S$1, V$1, Y$1, AB$1, AE$1, AH$1)
    )
)</f>
        <v>0.55264879727506822</v>
      </c>
    </row>
    <row r="98" spans="9:36" x14ac:dyDescent="0.45">
      <c r="I98">
        <v>96</v>
      </c>
      <c r="J98">
        <v>30.3</v>
      </c>
      <c r="K98">
        <f t="shared" si="24"/>
        <v>30.3</v>
      </c>
      <c r="L98">
        <f t="shared" si="23"/>
        <v>8.416666666666666E-3</v>
      </c>
      <c r="M98">
        <v>-0.61</v>
      </c>
      <c r="N98">
        <f t="shared" si="25"/>
        <v>0</v>
      </c>
      <c r="O98">
        <f t="shared" si="26"/>
        <v>393.75403845150089</v>
      </c>
      <c r="P98">
        <f t="shared" si="27"/>
        <v>1260.0129230448028</v>
      </c>
      <c r="Q98">
        <f t="shared" si="28"/>
        <v>5770.8591875451975</v>
      </c>
      <c r="R98">
        <f t="shared" si="29"/>
        <v>0</v>
      </c>
      <c r="S98">
        <f t="shared" si="30"/>
        <v>5.9165150276442375</v>
      </c>
      <c r="T98">
        <f t="shared" si="31"/>
        <v>3729.6382522126164</v>
      </c>
      <c r="U98">
        <f t="shared" si="32"/>
        <v>0</v>
      </c>
      <c r="V98">
        <f t="shared" si="33"/>
        <v>1.6276559089263154</v>
      </c>
      <c r="W98">
        <f t="shared" si="34"/>
        <v>2406.6246830155733</v>
      </c>
      <c r="X98">
        <f t="shared" si="35"/>
        <v>0</v>
      </c>
      <c r="Y98">
        <f t="shared" si="36"/>
        <v>0.66245294339823291</v>
      </c>
      <c r="Z98">
        <f t="shared" si="37"/>
        <v>1814.4186091845161</v>
      </c>
      <c r="AA98">
        <f t="shared" si="38"/>
        <v>0</v>
      </c>
      <c r="AB98">
        <f t="shared" si="39"/>
        <v>0.47682999025269401</v>
      </c>
      <c r="AC98">
        <f t="shared" si="40"/>
        <v>6000</v>
      </c>
      <c r="AD98">
        <f t="shared" si="41"/>
        <v>0</v>
      </c>
      <c r="AE98">
        <f t="shared" si="42"/>
        <v>6.7000407999999982</v>
      </c>
      <c r="AF98">
        <f t="shared" si="43"/>
        <v>6000</v>
      </c>
      <c r="AG98">
        <f t="shared" si="44"/>
        <v>0</v>
      </c>
      <c r="AH98">
        <f t="shared" si="45"/>
        <v>6.7000407999999982</v>
      </c>
      <c r="AI98" cm="1">
        <f t="array" ref="AI98">_xlfn.LET(
    _xlpm.vals,   _xlfn.HSTACK(S98,V98,Y98,AB98,AE98,AH98),
    _xlpm.ints,   _xlfn.HSTACK(R98,U98,X98,AA98,AD98,AG98),
    _xlpm.slopes, _xlfn.HSTACK(Q98,T98,W98,Z98,AC98,AF98),
    _xlpm.limit,  -0.00001*_xlpm.slopes + 0.1086*_xlpm.slopes + 63.253,
    _xlpm.mask,   (_xlpm.vals&gt;=0) * (_xlpm.ints&lt;=_xlpm.limit),
    _xlpm.validVals, _xlfn._xlws.FILTER(_xlpm.vals, _xlpm.mask),
    _xlpm.minVal, MIN(_xlpm.validVals),
    IFERROR( _xlfn.XMATCH(_xlpm.minVal, _xlpm.vals), "" )
)</f>
        <v>4</v>
      </c>
      <c r="AJ98" cm="1">
        <f t="array" ref="AJ98">_xlfn.LET(
    _xlpm.vals, CHOOSE({1,2,3,4,5,6}, S98, V98, Y98, AB98, AE98, AH98),
    _xlpm.slopes, CHOOSE({1,2,3,4,5,6}, Q98, T98, W98, Z98, AC98, AF98),
    _xlpm.ints, CHOOSE({1,2,3,4,5,6}, R98, U98, X98, AA98, AD98, AG98),
    _xlpm.limit, -0.00001*_xlpm.slopes + 0.1086*_xlpm.slopes + 63.253,
    _xlpm.valid, (_xlpm.vals &gt;= 0) * (_xlpm.ints &lt;= _xlpm.limit),
    _xlpm.target, MIN(_xlfn._xlws.FILTER(_xlpm.vals, _xlpm.valid)),
    IFERROR(
        _xlfn.XLOOKUP(_xlpm.target, _xlpm.vals, _xlpm.vals),
        CHOOSE({1,2,3,4,5,6}, S$1, V$1, Y$1, AB$1, AE$1, AH$1)
    )
)</f>
        <v>0.47682999025269401</v>
      </c>
    </row>
    <row r="99" spans="9:36" x14ac:dyDescent="0.45">
      <c r="I99">
        <v>97</v>
      </c>
      <c r="J99">
        <v>29.9</v>
      </c>
      <c r="K99">
        <f t="shared" si="24"/>
        <v>29.9</v>
      </c>
      <c r="L99">
        <f t="shared" si="23"/>
        <v>8.3055555555555556E-3</v>
      </c>
      <c r="M99">
        <v>-0.52</v>
      </c>
      <c r="N99">
        <f t="shared" si="25"/>
        <v>0</v>
      </c>
      <c r="O99">
        <f t="shared" si="26"/>
        <v>388.55596533662953</v>
      </c>
      <c r="P99">
        <f t="shared" si="27"/>
        <v>1243.3790890772145</v>
      </c>
      <c r="Q99">
        <f t="shared" si="28"/>
        <v>5694.6762279736422</v>
      </c>
      <c r="R99">
        <f t="shared" si="29"/>
        <v>0</v>
      </c>
      <c r="S99">
        <f t="shared" si="30"/>
        <v>5.6717206159476579</v>
      </c>
      <c r="T99">
        <f t="shared" si="31"/>
        <v>3680.4021036685549</v>
      </c>
      <c r="U99">
        <f t="shared" si="32"/>
        <v>0</v>
      </c>
      <c r="V99">
        <f t="shared" si="33"/>
        <v>1.5724772049009061</v>
      </c>
      <c r="W99">
        <f t="shared" si="34"/>
        <v>2374.8540601374798</v>
      </c>
      <c r="X99">
        <f t="shared" si="35"/>
        <v>0</v>
      </c>
      <c r="Y99">
        <f t="shared" si="36"/>
        <v>0.64978727133160263</v>
      </c>
      <c r="Z99">
        <f t="shared" si="37"/>
        <v>1790.4658882711888</v>
      </c>
      <c r="AA99">
        <f t="shared" si="38"/>
        <v>0</v>
      </c>
      <c r="AB99">
        <f t="shared" si="39"/>
        <v>0.47115116862977952</v>
      </c>
      <c r="AC99">
        <f t="shared" si="40"/>
        <v>6000</v>
      </c>
      <c r="AD99">
        <f t="shared" si="41"/>
        <v>0</v>
      </c>
      <c r="AE99">
        <f t="shared" si="42"/>
        <v>6.7000407999999982</v>
      </c>
      <c r="AF99">
        <f t="shared" si="43"/>
        <v>6000</v>
      </c>
      <c r="AG99">
        <f t="shared" si="44"/>
        <v>0</v>
      </c>
      <c r="AH99">
        <f t="shared" si="45"/>
        <v>6.7000407999999982</v>
      </c>
      <c r="AI99" cm="1">
        <f t="array" ref="AI99">_xlfn.LET(
    _xlpm.vals,   _xlfn.HSTACK(S99,V99,Y99,AB99,AE99,AH99),
    _xlpm.ints,   _xlfn.HSTACK(R99,U99,X99,AA99,AD99,AG99),
    _xlpm.slopes, _xlfn.HSTACK(Q99,T99,W99,Z99,AC99,AF99),
    _xlpm.limit,  -0.00001*_xlpm.slopes + 0.1086*_xlpm.slopes + 63.253,
    _xlpm.mask,   (_xlpm.vals&gt;=0) * (_xlpm.ints&lt;=_xlpm.limit),
    _xlpm.validVals, _xlfn._xlws.FILTER(_xlpm.vals, _xlpm.mask),
    _xlpm.minVal, MIN(_xlpm.validVals),
    IFERROR( _xlfn.XMATCH(_xlpm.minVal, _xlpm.vals), "" )
)</f>
        <v>4</v>
      </c>
      <c r="AJ99" cm="1">
        <f t="array" ref="AJ99">_xlfn.LET(
    _xlpm.vals, CHOOSE({1,2,3,4,5,6}, S99, V99, Y99, AB99, AE99, AH99),
    _xlpm.slopes, CHOOSE({1,2,3,4,5,6}, Q99, T99, W99, Z99, AC99, AF99),
    _xlpm.ints, CHOOSE({1,2,3,4,5,6}, R99, U99, X99, AA99, AD99, AG99),
    _xlpm.limit, -0.00001*_xlpm.slopes + 0.1086*_xlpm.slopes + 63.253,
    _xlpm.valid, (_xlpm.vals &gt;= 0) * (_xlpm.ints &lt;= _xlpm.limit),
    _xlpm.target, MIN(_xlfn._xlws.FILTER(_xlpm.vals, _xlpm.valid)),
    IFERROR(
        _xlfn.XLOOKUP(_xlpm.target, _xlpm.vals, _xlpm.vals),
        CHOOSE({1,2,3,4,5,6}, S$1, V$1, Y$1, AB$1, AE$1, AH$1)
    )
)</f>
        <v>0.47115116862977952</v>
      </c>
    </row>
    <row r="100" spans="9:36" x14ac:dyDescent="0.45">
      <c r="I100">
        <v>98</v>
      </c>
      <c r="J100">
        <v>30</v>
      </c>
      <c r="K100">
        <f t="shared" si="24"/>
        <v>30</v>
      </c>
      <c r="L100">
        <f t="shared" si="23"/>
        <v>8.3333333333333332E-3</v>
      </c>
      <c r="M100">
        <v>8.7799999999999994</v>
      </c>
      <c r="N100">
        <f t="shared" si="25"/>
        <v>8.7799999999999994</v>
      </c>
      <c r="O100">
        <f t="shared" si="26"/>
        <v>389.85548361534734</v>
      </c>
      <c r="P100">
        <f t="shared" si="27"/>
        <v>1247.5375475691117</v>
      </c>
      <c r="Q100">
        <f t="shared" si="28"/>
        <v>5713.7219678665315</v>
      </c>
      <c r="R100">
        <f t="shared" si="29"/>
        <v>14.673941870524171</v>
      </c>
      <c r="S100">
        <f t="shared" si="30"/>
        <v>5.8802492221762961</v>
      </c>
      <c r="T100">
        <f t="shared" si="31"/>
        <v>3692.7111408045703</v>
      </c>
      <c r="U100">
        <f t="shared" si="32"/>
        <v>22.704950596959698</v>
      </c>
      <c r="V100">
        <f t="shared" si="33"/>
        <v>1.9674526015280998</v>
      </c>
      <c r="W100">
        <f t="shared" si="34"/>
        <v>2382.7967158570032</v>
      </c>
      <c r="X100">
        <f t="shared" si="35"/>
        <v>35.186729720942786</v>
      </c>
      <c r="Y100">
        <f t="shared" si="36"/>
        <v>1.1946014214417415</v>
      </c>
      <c r="Z100">
        <f t="shared" si="37"/>
        <v>1796.4540684995206</v>
      </c>
      <c r="AA100">
        <f t="shared" si="38"/>
        <v>46.671287338194944</v>
      </c>
      <c r="AB100">
        <f t="shared" si="39"/>
        <v>1.0941477510555149</v>
      </c>
      <c r="AC100">
        <f t="shared" si="40"/>
        <v>6000</v>
      </c>
      <c r="AD100">
        <f t="shared" si="41"/>
        <v>13.973804003468411</v>
      </c>
      <c r="AE100">
        <f t="shared" si="42"/>
        <v>6.8154498651769462</v>
      </c>
      <c r="AF100">
        <f t="shared" si="43"/>
        <v>6000</v>
      </c>
      <c r="AG100">
        <f t="shared" si="44"/>
        <v>13.973804003468411</v>
      </c>
      <c r="AH100">
        <f t="shared" si="45"/>
        <v>6.8154498651769462</v>
      </c>
      <c r="AI100" cm="1">
        <f t="array" ref="AI100">_xlfn.LET(
    _xlpm.vals,   _xlfn.HSTACK(S100,V100,Y100,AB100,AE100,AH100),
    _xlpm.ints,   _xlfn.HSTACK(R100,U100,X100,AA100,AD100,AG100),
    _xlpm.slopes, _xlfn.HSTACK(Q100,T100,W100,Z100,AC100,AF100),
    _xlpm.limit,  -0.00001*_xlpm.slopes + 0.1086*_xlpm.slopes + 63.253,
    _xlpm.mask,   (_xlpm.vals&gt;=0) * (_xlpm.ints&lt;=_xlpm.limit),
    _xlpm.validVals, _xlfn._xlws.FILTER(_xlpm.vals, _xlpm.mask),
    _xlpm.minVal, MIN(_xlpm.validVals),
    IFERROR( _xlfn.XMATCH(_xlpm.minVal, _xlpm.vals), "" )
)</f>
        <v>4</v>
      </c>
      <c r="AJ100" cm="1">
        <f t="array" ref="AJ100">_xlfn.LET(
    _xlpm.vals, CHOOSE({1,2,3,4,5,6}, S100, V100, Y100, AB100, AE100, AH100),
    _xlpm.slopes, CHOOSE({1,2,3,4,5,6}, Q100, T100, W100, Z100, AC100, AF100),
    _xlpm.ints, CHOOSE({1,2,3,4,5,6}, R100, U100, X100, AA100, AD100, AG100),
    _xlpm.limit, -0.00001*_xlpm.slopes + 0.1086*_xlpm.slopes + 63.253,
    _xlpm.valid, (_xlpm.vals &gt;= 0) * (_xlpm.ints &lt;= _xlpm.limit),
    _xlpm.target, MIN(_xlfn._xlws.FILTER(_xlpm.vals, _xlpm.valid)),
    IFERROR(
        _xlfn.XLOOKUP(_xlpm.target, _xlpm.vals, _xlpm.vals),
        CHOOSE({1,2,3,4,5,6}, S$1, V$1, Y$1, AB$1, AE$1, AH$1)
    )
)</f>
        <v>1.0941477510555149</v>
      </c>
    </row>
    <row r="101" spans="9:36" x14ac:dyDescent="0.45">
      <c r="I101">
        <v>99</v>
      </c>
      <c r="J101">
        <v>30.4</v>
      </c>
      <c r="K101">
        <f t="shared" si="24"/>
        <v>30.4</v>
      </c>
      <c r="L101">
        <f t="shared" si="23"/>
        <v>8.4444444444444437E-3</v>
      </c>
      <c r="M101">
        <v>7.52</v>
      </c>
      <c r="N101">
        <f t="shared" si="25"/>
        <v>7.52</v>
      </c>
      <c r="O101">
        <f t="shared" si="26"/>
        <v>395.05355673021865</v>
      </c>
      <c r="P101">
        <f t="shared" si="27"/>
        <v>1264.1713815366998</v>
      </c>
      <c r="Q101">
        <f t="shared" si="28"/>
        <v>5789.904927438085</v>
      </c>
      <c r="R101">
        <f t="shared" si="29"/>
        <v>12.402744297709557</v>
      </c>
      <c r="S101">
        <f t="shared" si="30"/>
        <v>6.0943177904228554</v>
      </c>
      <c r="T101">
        <f t="shared" si="31"/>
        <v>3741.9472893486313</v>
      </c>
      <c r="U101">
        <f t="shared" si="32"/>
        <v>19.190732730915464</v>
      </c>
      <c r="V101">
        <f t="shared" si="33"/>
        <v>1.956787782487075</v>
      </c>
      <c r="W101">
        <f t="shared" si="34"/>
        <v>2414.5673387350967</v>
      </c>
      <c r="X101">
        <f t="shared" si="35"/>
        <v>29.740611980895171</v>
      </c>
      <c r="Y101">
        <f t="shared" si="36"/>
        <v>1.1154188674029037</v>
      </c>
      <c r="Z101">
        <f t="shared" si="37"/>
        <v>1820.4067894128475</v>
      </c>
      <c r="AA101">
        <f t="shared" si="38"/>
        <v>39.447617280215127</v>
      </c>
      <c r="AB101">
        <f t="shared" si="39"/>
        <v>0.99397292836559403</v>
      </c>
      <c r="AC101">
        <f t="shared" si="40"/>
        <v>6000</v>
      </c>
      <c r="AD101">
        <f t="shared" si="41"/>
        <v>11.968451720510529</v>
      </c>
      <c r="AE101">
        <f t="shared" si="42"/>
        <v>6.7950883390671777</v>
      </c>
      <c r="AF101">
        <f t="shared" si="43"/>
        <v>6000</v>
      </c>
      <c r="AG101">
        <f t="shared" si="44"/>
        <v>11.968451720510529</v>
      </c>
      <c r="AH101">
        <f t="shared" si="45"/>
        <v>6.7950883390671777</v>
      </c>
      <c r="AI101" cm="1">
        <f t="array" ref="AI101">_xlfn.LET(
    _xlpm.vals,   _xlfn.HSTACK(S101,V101,Y101,AB101,AE101,AH101),
    _xlpm.ints,   _xlfn.HSTACK(R101,U101,X101,AA101,AD101,AG101),
    _xlpm.slopes, _xlfn.HSTACK(Q101,T101,W101,Z101,AC101,AF101),
    _xlpm.limit,  -0.00001*_xlpm.slopes + 0.1086*_xlpm.slopes + 63.253,
    _xlpm.mask,   (_xlpm.vals&gt;=0) * (_xlpm.ints&lt;=_xlpm.limit),
    _xlpm.validVals, _xlfn._xlws.FILTER(_xlpm.vals, _xlpm.mask),
    _xlpm.minVal, MIN(_xlpm.validVals),
    IFERROR( _xlfn.XMATCH(_xlpm.minVal, _xlpm.vals), "" )
)</f>
        <v>4</v>
      </c>
      <c r="AJ101" cm="1">
        <f t="array" ref="AJ101">_xlfn.LET(
    _xlpm.vals, CHOOSE({1,2,3,4,5,6}, S101, V101, Y101, AB101, AE101, AH101),
    _xlpm.slopes, CHOOSE({1,2,3,4,5,6}, Q101, T101, W101, Z101, AC101, AF101),
    _xlpm.ints, CHOOSE({1,2,3,4,5,6}, R101, U101, X101, AA101, AD101, AG101),
    _xlpm.limit, -0.00001*_xlpm.slopes + 0.1086*_xlpm.slopes + 63.253,
    _xlpm.valid, (_xlpm.vals &gt;= 0) * (_xlpm.ints &lt;= _xlpm.limit),
    _xlpm.target, MIN(_xlfn._xlws.FILTER(_xlpm.vals, _xlpm.valid)),
    IFERROR(
        _xlfn.XLOOKUP(_xlpm.target, _xlpm.vals, _xlpm.vals),
        CHOOSE({1,2,3,4,5,6}, S$1, V$1, Y$1, AB$1, AE$1, AH$1)
    )
)</f>
        <v>0.99397292836559403</v>
      </c>
    </row>
    <row r="102" spans="9:36" x14ac:dyDescent="0.45">
      <c r="I102">
        <v>100</v>
      </c>
      <c r="J102">
        <v>30.7</v>
      </c>
      <c r="K102">
        <f t="shared" si="24"/>
        <v>30.7</v>
      </c>
      <c r="L102">
        <f t="shared" si="23"/>
        <v>8.5277777777777782E-3</v>
      </c>
      <c r="M102">
        <v>7.37</v>
      </c>
      <c r="N102">
        <f t="shared" si="25"/>
        <v>7.37</v>
      </c>
      <c r="O102">
        <f t="shared" si="26"/>
        <v>398.95211156637214</v>
      </c>
      <c r="P102">
        <f t="shared" si="27"/>
        <v>1276.6467570123909</v>
      </c>
      <c r="Q102">
        <f t="shared" si="28"/>
        <v>5847.0421471167501</v>
      </c>
      <c r="R102">
        <f t="shared" si="29"/>
        <v>12.036567218852792</v>
      </c>
      <c r="S102">
        <f t="shared" si="30"/>
        <v>6.2762735355901675</v>
      </c>
      <c r="T102">
        <f t="shared" si="31"/>
        <v>3778.874400756677</v>
      </c>
      <c r="U102">
        <f t="shared" si="32"/>
        <v>18.624147926468172</v>
      </c>
      <c r="V102">
        <f t="shared" si="33"/>
        <v>1.9890738581976102</v>
      </c>
      <c r="W102">
        <f t="shared" si="34"/>
        <v>2438.3953058936668</v>
      </c>
      <c r="X102">
        <f t="shared" si="35"/>
        <v>28.862553854631301</v>
      </c>
      <c r="Y102">
        <f t="shared" si="36"/>
        <v>1.1125134307116931</v>
      </c>
      <c r="Z102">
        <f t="shared" si="37"/>
        <v>1838.3713300978429</v>
      </c>
      <c r="AA102">
        <f t="shared" si="38"/>
        <v>38.282970737740129</v>
      </c>
      <c r="AB102">
        <f t="shared" si="39"/>
        <v>0.98431330617760959</v>
      </c>
      <c r="AC102">
        <f t="shared" si="40"/>
        <v>6000</v>
      </c>
      <c r="AD102">
        <f t="shared" si="41"/>
        <v>11.729719305872687</v>
      </c>
      <c r="AE102">
        <f t="shared" si="42"/>
        <v>6.7927469705540799</v>
      </c>
      <c r="AF102">
        <f t="shared" si="43"/>
        <v>6000</v>
      </c>
      <c r="AG102">
        <f t="shared" si="44"/>
        <v>11.729719305872687</v>
      </c>
      <c r="AH102">
        <f t="shared" si="45"/>
        <v>6.7927469705540799</v>
      </c>
      <c r="AI102" cm="1">
        <f t="array" ref="AI102">_xlfn.LET(
    _xlpm.vals,   _xlfn.HSTACK(S102,V102,Y102,AB102,AE102,AH102),
    _xlpm.ints,   _xlfn.HSTACK(R102,U102,X102,AA102,AD102,AG102),
    _xlpm.slopes, _xlfn.HSTACK(Q102,T102,W102,Z102,AC102,AF102),
    _xlpm.limit,  -0.00001*_xlpm.slopes + 0.1086*_xlpm.slopes + 63.253,
    _xlpm.mask,   (_xlpm.vals&gt;=0) * (_xlpm.ints&lt;=_xlpm.limit),
    _xlpm.validVals, _xlfn._xlws.FILTER(_xlpm.vals, _xlpm.mask),
    _xlpm.minVal, MIN(_xlpm.validVals),
    IFERROR( _xlfn.XMATCH(_xlpm.minVal, _xlpm.vals), "" )
)</f>
        <v>4</v>
      </c>
      <c r="AJ102" cm="1">
        <f t="array" ref="AJ102">_xlfn.LET(
    _xlpm.vals, CHOOSE({1,2,3,4,5,6}, S102, V102, Y102, AB102, AE102, AH102),
    _xlpm.slopes, CHOOSE({1,2,3,4,5,6}, Q102, T102, W102, Z102, AC102, AF102),
    _xlpm.ints, CHOOSE({1,2,3,4,5,6}, R102, U102, X102, AA102, AD102, AG102),
    _xlpm.limit, -0.00001*_xlpm.slopes + 0.1086*_xlpm.slopes + 63.253,
    _xlpm.valid, (_xlpm.vals &gt;= 0) * (_xlpm.ints &lt;= _xlpm.limit),
    _xlpm.target, MIN(_xlfn._xlws.FILTER(_xlpm.vals, _xlpm.valid)),
    IFERROR(
        _xlfn.XLOOKUP(_xlpm.target, _xlpm.vals, _xlpm.vals),
        CHOOSE({1,2,3,4,5,6}, S$1, V$1, Y$1, AB$1, AE$1, AH$1)
    )
)</f>
        <v>0.98431330617760959</v>
      </c>
    </row>
    <row r="103" spans="9:36" x14ac:dyDescent="0.45">
      <c r="I103">
        <v>101</v>
      </c>
      <c r="J103">
        <v>30.8</v>
      </c>
      <c r="K103">
        <f t="shared" si="24"/>
        <v>30.8</v>
      </c>
      <c r="L103">
        <f t="shared" si="23"/>
        <v>8.5555555555555558E-3</v>
      </c>
      <c r="M103">
        <v>4.8600000000000003</v>
      </c>
      <c r="N103">
        <f t="shared" si="25"/>
        <v>4.8600000000000003</v>
      </c>
      <c r="O103">
        <f t="shared" si="26"/>
        <v>400.25162984508995</v>
      </c>
      <c r="P103">
        <f t="shared" si="27"/>
        <v>1280.8052155042878</v>
      </c>
      <c r="Q103">
        <f t="shared" si="28"/>
        <v>5866.0878870096385</v>
      </c>
      <c r="R103">
        <f t="shared" si="29"/>
        <v>7.911504617646453</v>
      </c>
      <c r="S103">
        <f t="shared" si="30"/>
        <v>6.2978350443414799</v>
      </c>
      <c r="T103">
        <f t="shared" si="31"/>
        <v>3791.1834378926919</v>
      </c>
      <c r="U103">
        <f t="shared" si="32"/>
        <v>12.241449712439445</v>
      </c>
      <c r="V103">
        <f t="shared" si="33"/>
        <v>1.8904979012662169</v>
      </c>
      <c r="W103">
        <f t="shared" si="34"/>
        <v>2446.3379616131897</v>
      </c>
      <c r="X103">
        <f t="shared" si="35"/>
        <v>18.971042486293591</v>
      </c>
      <c r="Y103">
        <f t="shared" si="36"/>
        <v>0.95185683329654203</v>
      </c>
      <c r="Z103">
        <f t="shared" si="37"/>
        <v>1844.3595103261744</v>
      </c>
      <c r="AA103">
        <f t="shared" si="38"/>
        <v>25.162979964458863</v>
      </c>
      <c r="AB103">
        <f t="shared" si="39"/>
        <v>0.79456437690020443</v>
      </c>
      <c r="AC103">
        <f t="shared" si="40"/>
        <v>6000</v>
      </c>
      <c r="AD103">
        <f t="shared" si="41"/>
        <v>7.7349302342661135</v>
      </c>
      <c r="AE103">
        <f t="shared" si="42"/>
        <v>6.7562129863198708</v>
      </c>
      <c r="AF103">
        <f t="shared" si="43"/>
        <v>6000</v>
      </c>
      <c r="AG103">
        <f t="shared" si="44"/>
        <v>7.7349302342661135</v>
      </c>
      <c r="AH103">
        <f t="shared" si="45"/>
        <v>6.7562129863198708</v>
      </c>
      <c r="AI103" cm="1">
        <f t="array" ref="AI103">_xlfn.LET(
    _xlpm.vals,   _xlfn.HSTACK(S103,V103,Y103,AB103,AE103,AH103),
    _xlpm.ints,   _xlfn.HSTACK(R103,U103,X103,AA103,AD103,AG103),
    _xlpm.slopes, _xlfn.HSTACK(Q103,T103,W103,Z103,AC103,AF103),
    _xlpm.limit,  -0.00001*_xlpm.slopes + 0.1086*_xlpm.slopes + 63.253,
    _xlpm.mask,   (_xlpm.vals&gt;=0) * (_xlpm.ints&lt;=_xlpm.limit),
    _xlpm.validVals, _xlfn._xlws.FILTER(_xlpm.vals, _xlpm.mask),
    _xlpm.minVal, MIN(_xlpm.validVals),
    IFERROR( _xlfn.XMATCH(_xlpm.minVal, _xlpm.vals), "" )
)</f>
        <v>4</v>
      </c>
      <c r="AJ103" cm="1">
        <f t="array" ref="AJ103">_xlfn.LET(
    _xlpm.vals, CHOOSE({1,2,3,4,5,6}, S103, V103, Y103, AB103, AE103, AH103),
    _xlpm.slopes, CHOOSE({1,2,3,4,5,6}, Q103, T103, W103, Z103, AC103, AF103),
    _xlpm.ints, CHOOSE({1,2,3,4,5,6}, R103, U103, X103, AA103, AD103, AG103),
    _xlpm.limit, -0.00001*_xlpm.slopes + 0.1086*_xlpm.slopes + 63.253,
    _xlpm.valid, (_xlpm.vals &gt;= 0) * (_xlpm.ints &lt;= _xlpm.limit),
    _xlpm.target, MIN(_xlfn._xlws.FILTER(_xlpm.vals, _xlpm.valid)),
    IFERROR(
        _xlfn.XLOOKUP(_xlpm.target, _xlpm.vals, _xlpm.vals),
        CHOOSE({1,2,3,4,5,6}, S$1, V$1, Y$1, AB$1, AE$1, AH$1)
    )
)</f>
        <v>0.79456437690020443</v>
      </c>
    </row>
    <row r="104" spans="9:36" x14ac:dyDescent="0.45">
      <c r="I104">
        <v>102</v>
      </c>
      <c r="J104">
        <v>30.9</v>
      </c>
      <c r="K104">
        <f t="shared" si="24"/>
        <v>30.9</v>
      </c>
      <c r="L104">
        <f t="shared" si="23"/>
        <v>8.5833333333333334E-3</v>
      </c>
      <c r="M104">
        <v>5.04</v>
      </c>
      <c r="N104">
        <f t="shared" si="25"/>
        <v>5.04</v>
      </c>
      <c r="O104">
        <f t="shared" si="26"/>
        <v>401.55114812380776</v>
      </c>
      <c r="P104">
        <f t="shared" si="27"/>
        <v>1284.963673996185</v>
      </c>
      <c r="Q104">
        <f t="shared" si="28"/>
        <v>5885.1336269025269</v>
      </c>
      <c r="R104">
        <f t="shared" si="29"/>
        <v>8.1779714518258437</v>
      </c>
      <c r="S104">
        <f t="shared" si="30"/>
        <v>6.3642440807332363</v>
      </c>
      <c r="T104">
        <f t="shared" si="31"/>
        <v>3803.4924750287073</v>
      </c>
      <c r="U104">
        <f t="shared" si="32"/>
        <v>12.653753124784583</v>
      </c>
      <c r="V104">
        <f t="shared" si="33"/>
        <v>1.912109311959878</v>
      </c>
      <c r="W104">
        <f t="shared" si="34"/>
        <v>2454.2806173327131</v>
      </c>
      <c r="X104">
        <f t="shared" si="35"/>
        <v>19.610004842598098</v>
      </c>
      <c r="Y104">
        <f t="shared" si="36"/>
        <v>0.96593124690577137</v>
      </c>
      <c r="Z104">
        <f t="shared" si="37"/>
        <v>1850.3476905545062</v>
      </c>
      <c r="AA104">
        <f t="shared" si="38"/>
        <v>26.010492534279422</v>
      </c>
      <c r="AB104">
        <f t="shared" si="39"/>
        <v>0.80871639646825444</v>
      </c>
      <c r="AC104">
        <f t="shared" si="40"/>
        <v>6000</v>
      </c>
      <c r="AD104">
        <f t="shared" si="41"/>
        <v>8.0214091318315255</v>
      </c>
      <c r="AE104">
        <f t="shared" si="42"/>
        <v>6.7586653509400243</v>
      </c>
      <c r="AF104">
        <f t="shared" si="43"/>
        <v>6000</v>
      </c>
      <c r="AG104">
        <f t="shared" si="44"/>
        <v>8.0214091318315255</v>
      </c>
      <c r="AH104">
        <f t="shared" si="45"/>
        <v>6.7586653509400243</v>
      </c>
      <c r="AI104" cm="1">
        <f t="array" ref="AI104">_xlfn.LET(
    _xlpm.vals,   _xlfn.HSTACK(S104,V104,Y104,AB104,AE104,AH104),
    _xlpm.ints,   _xlfn.HSTACK(R104,U104,X104,AA104,AD104,AG104),
    _xlpm.slopes, _xlfn.HSTACK(Q104,T104,W104,Z104,AC104,AF104),
    _xlpm.limit,  -0.00001*_xlpm.slopes + 0.1086*_xlpm.slopes + 63.253,
    _xlpm.mask,   (_xlpm.vals&gt;=0) * (_xlpm.ints&lt;=_xlpm.limit),
    _xlpm.validVals, _xlfn._xlws.FILTER(_xlpm.vals, _xlpm.mask),
    _xlpm.minVal, MIN(_xlpm.validVals),
    IFERROR( _xlfn.XMATCH(_xlpm.minVal, _xlpm.vals), "" )
)</f>
        <v>4</v>
      </c>
      <c r="AJ104" cm="1">
        <f t="array" ref="AJ104">_xlfn.LET(
    _xlpm.vals, CHOOSE({1,2,3,4,5,6}, S104, V104, Y104, AB104, AE104, AH104),
    _xlpm.slopes, CHOOSE({1,2,3,4,5,6}, Q104, T104, W104, Z104, AC104, AF104),
    _xlpm.ints, CHOOSE({1,2,3,4,5,6}, R104, U104, X104, AA104, AD104, AG104),
    _xlpm.limit, -0.00001*_xlpm.slopes + 0.1086*_xlpm.slopes + 63.253,
    _xlpm.valid, (_xlpm.vals &gt;= 0) * (_xlpm.ints &lt;= _xlpm.limit),
    _xlpm.target, MIN(_xlfn._xlws.FILTER(_xlpm.vals, _xlpm.valid)),
    IFERROR(
        _xlfn.XLOOKUP(_xlpm.target, _xlpm.vals, _xlpm.vals),
        CHOOSE({1,2,3,4,5,6}, S$1, V$1, Y$1, AB$1, AE$1, AH$1)
    )
)</f>
        <v>0.80871639646825444</v>
      </c>
    </row>
    <row r="105" spans="9:36" x14ac:dyDescent="0.45">
      <c r="I105">
        <v>103</v>
      </c>
      <c r="J105">
        <v>30.9</v>
      </c>
      <c r="K105">
        <f t="shared" si="24"/>
        <v>30.9</v>
      </c>
      <c r="L105">
        <f t="shared" si="23"/>
        <v>8.5833333333333334E-3</v>
      </c>
      <c r="M105">
        <v>3.54</v>
      </c>
      <c r="N105">
        <f t="shared" si="25"/>
        <v>3.54</v>
      </c>
      <c r="O105">
        <f t="shared" si="26"/>
        <v>401.55114812380776</v>
      </c>
      <c r="P105">
        <f t="shared" si="27"/>
        <v>1284.963673996185</v>
      </c>
      <c r="Q105">
        <f t="shared" si="28"/>
        <v>5885.1336269025269</v>
      </c>
      <c r="R105">
        <f t="shared" si="29"/>
        <v>5.7440513768776755</v>
      </c>
      <c r="S105">
        <f t="shared" si="30"/>
        <v>6.3423736273509741</v>
      </c>
      <c r="T105">
        <f t="shared" si="31"/>
        <v>3803.4924750287073</v>
      </c>
      <c r="U105">
        <f t="shared" si="32"/>
        <v>8.8877551709796485</v>
      </c>
      <c r="V105">
        <f t="shared" si="33"/>
        <v>1.8492406385059466</v>
      </c>
      <c r="W105">
        <f t="shared" si="34"/>
        <v>2454.2806173327131</v>
      </c>
      <c r="X105">
        <f t="shared" si="35"/>
        <v>13.773693877539142</v>
      </c>
      <c r="Y105">
        <f t="shared" si="36"/>
        <v>0.8747445325187726</v>
      </c>
      <c r="Z105">
        <f t="shared" si="37"/>
        <v>1850.3476905545062</v>
      </c>
      <c r="AA105">
        <f t="shared" si="38"/>
        <v>18.269274518124831</v>
      </c>
      <c r="AB105">
        <f t="shared" si="39"/>
        <v>0.70297616738043134</v>
      </c>
      <c r="AC105">
        <f t="shared" si="40"/>
        <v>6000</v>
      </c>
      <c r="AD105">
        <f t="shared" si="41"/>
        <v>5.6340849854530948</v>
      </c>
      <c r="AE105">
        <f t="shared" si="42"/>
        <v>6.7390308673037866</v>
      </c>
      <c r="AF105">
        <f t="shared" si="43"/>
        <v>6000</v>
      </c>
      <c r="AG105">
        <f t="shared" si="44"/>
        <v>5.6340849854530948</v>
      </c>
      <c r="AH105">
        <f t="shared" si="45"/>
        <v>6.7390308673037866</v>
      </c>
      <c r="AI105" cm="1">
        <f t="array" ref="AI105">_xlfn.LET(
    _xlpm.vals,   _xlfn.HSTACK(S105,V105,Y105,AB105,AE105,AH105),
    _xlpm.ints,   _xlfn.HSTACK(R105,U105,X105,AA105,AD105,AG105),
    _xlpm.slopes, _xlfn.HSTACK(Q105,T105,W105,Z105,AC105,AF105),
    _xlpm.limit,  -0.00001*_xlpm.slopes + 0.1086*_xlpm.slopes + 63.253,
    _xlpm.mask,   (_xlpm.vals&gt;=0) * (_xlpm.ints&lt;=_xlpm.limit),
    _xlpm.validVals, _xlfn._xlws.FILTER(_xlpm.vals, _xlpm.mask),
    _xlpm.minVal, MIN(_xlpm.validVals),
    IFERROR( _xlfn.XMATCH(_xlpm.minVal, _xlpm.vals), "" )
)</f>
        <v>4</v>
      </c>
      <c r="AJ105" cm="1">
        <f t="array" ref="AJ105">_xlfn.LET(
    _xlpm.vals, CHOOSE({1,2,3,4,5,6}, S105, V105, Y105, AB105, AE105, AH105),
    _xlpm.slopes, CHOOSE({1,2,3,4,5,6}, Q105, T105, W105, Z105, AC105, AF105),
    _xlpm.ints, CHOOSE({1,2,3,4,5,6}, R105, U105, X105, AA105, AD105, AG105),
    _xlpm.limit, -0.00001*_xlpm.slopes + 0.1086*_xlpm.slopes + 63.253,
    _xlpm.valid, (_xlpm.vals &gt;= 0) * (_xlpm.ints &lt;= _xlpm.limit),
    _xlpm.target, MIN(_xlfn._xlws.FILTER(_xlpm.vals, _xlpm.valid)),
    IFERROR(
        _xlfn.XLOOKUP(_xlpm.target, _xlpm.vals, _xlpm.vals),
        CHOOSE({1,2,3,4,5,6}, S$1, V$1, Y$1, AB$1, AE$1, AH$1)
    )
)</f>
        <v>0.70297616738043134</v>
      </c>
    </row>
    <row r="106" spans="9:36" x14ac:dyDescent="0.45">
      <c r="I106">
        <v>104</v>
      </c>
      <c r="J106">
        <v>30.5</v>
      </c>
      <c r="K106">
        <f t="shared" si="24"/>
        <v>30.5</v>
      </c>
      <c r="L106">
        <f t="shared" si="23"/>
        <v>8.472222222222223E-3</v>
      </c>
      <c r="M106">
        <v>-0.97</v>
      </c>
      <c r="N106">
        <f t="shared" si="25"/>
        <v>0</v>
      </c>
      <c r="O106">
        <f t="shared" si="26"/>
        <v>396.35307500893651</v>
      </c>
      <c r="P106">
        <f t="shared" si="27"/>
        <v>1268.3298400285969</v>
      </c>
      <c r="Q106">
        <f t="shared" si="28"/>
        <v>5808.9506673309743</v>
      </c>
      <c r="R106">
        <f t="shared" si="29"/>
        <v>0</v>
      </c>
      <c r="S106">
        <f t="shared" si="30"/>
        <v>6.0418114017089266</v>
      </c>
      <c r="T106">
        <f t="shared" si="31"/>
        <v>3754.2563264846467</v>
      </c>
      <c r="U106">
        <f t="shared" si="32"/>
        <v>0</v>
      </c>
      <c r="V106">
        <f t="shared" si="33"/>
        <v>1.6559215026279053</v>
      </c>
      <c r="W106">
        <f t="shared" si="34"/>
        <v>2422.50999445462</v>
      </c>
      <c r="X106">
        <f t="shared" si="35"/>
        <v>0</v>
      </c>
      <c r="Y106">
        <f t="shared" si="36"/>
        <v>0.66892304622438259</v>
      </c>
      <c r="Z106">
        <f t="shared" si="37"/>
        <v>1826.3949696411794</v>
      </c>
      <c r="AA106">
        <f t="shared" si="38"/>
        <v>0</v>
      </c>
      <c r="AB106">
        <f t="shared" si="39"/>
        <v>0.47971070950888101</v>
      </c>
      <c r="AC106">
        <f t="shared" si="40"/>
        <v>6000</v>
      </c>
      <c r="AD106">
        <f t="shared" si="41"/>
        <v>0</v>
      </c>
      <c r="AE106">
        <f t="shared" si="42"/>
        <v>6.7000407999999982</v>
      </c>
      <c r="AF106">
        <f t="shared" si="43"/>
        <v>6000</v>
      </c>
      <c r="AG106">
        <f t="shared" si="44"/>
        <v>0</v>
      </c>
      <c r="AH106">
        <f t="shared" si="45"/>
        <v>6.7000407999999982</v>
      </c>
      <c r="AI106" cm="1">
        <f t="array" ref="AI106">_xlfn.LET(
    _xlpm.vals,   _xlfn.HSTACK(S106,V106,Y106,AB106,AE106,AH106),
    _xlpm.ints,   _xlfn.HSTACK(R106,U106,X106,AA106,AD106,AG106),
    _xlpm.slopes, _xlfn.HSTACK(Q106,T106,W106,Z106,AC106,AF106),
    _xlpm.limit,  -0.00001*_xlpm.slopes + 0.1086*_xlpm.slopes + 63.253,
    _xlpm.mask,   (_xlpm.vals&gt;=0) * (_xlpm.ints&lt;=_xlpm.limit),
    _xlpm.validVals, _xlfn._xlws.FILTER(_xlpm.vals, _xlpm.mask),
    _xlpm.minVal, MIN(_xlpm.validVals),
    IFERROR( _xlfn.XMATCH(_xlpm.minVal, _xlpm.vals), "" )
)</f>
        <v>4</v>
      </c>
      <c r="AJ106" cm="1">
        <f t="array" ref="AJ106">_xlfn.LET(
    _xlpm.vals, CHOOSE({1,2,3,4,5,6}, S106, V106, Y106, AB106, AE106, AH106),
    _xlpm.slopes, CHOOSE({1,2,3,4,5,6}, Q106, T106, W106, Z106, AC106, AF106),
    _xlpm.ints, CHOOSE({1,2,3,4,5,6}, R106, U106, X106, AA106, AD106, AG106),
    _xlpm.limit, -0.00001*_xlpm.slopes + 0.1086*_xlpm.slopes + 63.253,
    _xlpm.valid, (_xlpm.vals &gt;= 0) * (_xlpm.ints &lt;= _xlpm.limit),
    _xlpm.target, MIN(_xlfn._xlws.FILTER(_xlpm.vals, _xlpm.valid)),
    IFERROR(
        _xlfn.XLOOKUP(_xlpm.target, _xlpm.vals, _xlpm.vals),
        CHOOSE({1,2,3,4,5,6}, S$1, V$1, Y$1, AB$1, AE$1, AH$1)
    )
)</f>
        <v>0.47971070950888101</v>
      </c>
    </row>
    <row r="107" spans="9:36" x14ac:dyDescent="0.45">
      <c r="I107">
        <v>105</v>
      </c>
      <c r="J107">
        <v>30.1</v>
      </c>
      <c r="K107">
        <f t="shared" si="24"/>
        <v>30.1</v>
      </c>
      <c r="L107">
        <f t="shared" si="23"/>
        <v>8.3611111111111108E-3</v>
      </c>
      <c r="M107">
        <v>-1.24</v>
      </c>
      <c r="N107">
        <f t="shared" si="25"/>
        <v>0</v>
      </c>
      <c r="O107">
        <f t="shared" si="26"/>
        <v>391.15500189406521</v>
      </c>
      <c r="P107">
        <f t="shared" si="27"/>
        <v>1251.6960060610088</v>
      </c>
      <c r="Q107">
        <f t="shared" si="28"/>
        <v>5732.7677077594208</v>
      </c>
      <c r="R107">
        <f t="shared" si="29"/>
        <v>0</v>
      </c>
      <c r="S107">
        <f t="shared" si="30"/>
        <v>5.7931567528069978</v>
      </c>
      <c r="T107">
        <f t="shared" si="31"/>
        <v>3705.0201779405861</v>
      </c>
      <c r="U107">
        <f t="shared" si="32"/>
        <v>0</v>
      </c>
      <c r="V107">
        <f t="shared" si="33"/>
        <v>1.5998425792484332</v>
      </c>
      <c r="W107">
        <f t="shared" si="34"/>
        <v>2390.7393715765265</v>
      </c>
      <c r="X107">
        <f t="shared" si="35"/>
        <v>0</v>
      </c>
      <c r="Y107">
        <f t="shared" si="36"/>
        <v>0.65607473764466795</v>
      </c>
      <c r="Z107">
        <f t="shared" si="37"/>
        <v>1802.4422487278525</v>
      </c>
      <c r="AA107">
        <f t="shared" si="38"/>
        <v>0</v>
      </c>
      <c r="AB107">
        <f t="shared" si="39"/>
        <v>0.47397697532202526</v>
      </c>
      <c r="AC107">
        <f t="shared" si="40"/>
        <v>6000</v>
      </c>
      <c r="AD107">
        <f t="shared" si="41"/>
        <v>0</v>
      </c>
      <c r="AE107">
        <f t="shared" si="42"/>
        <v>6.7000407999999982</v>
      </c>
      <c r="AF107">
        <f t="shared" si="43"/>
        <v>6000</v>
      </c>
      <c r="AG107">
        <f t="shared" si="44"/>
        <v>0</v>
      </c>
      <c r="AH107">
        <f t="shared" si="45"/>
        <v>6.7000407999999982</v>
      </c>
      <c r="AI107" cm="1">
        <f t="array" ref="AI107">_xlfn.LET(
    _xlpm.vals,   _xlfn.HSTACK(S107,V107,Y107,AB107,AE107,AH107),
    _xlpm.ints,   _xlfn.HSTACK(R107,U107,X107,AA107,AD107,AG107),
    _xlpm.slopes, _xlfn.HSTACK(Q107,T107,W107,Z107,AC107,AF107),
    _xlpm.limit,  -0.00001*_xlpm.slopes + 0.1086*_xlpm.slopes + 63.253,
    _xlpm.mask,   (_xlpm.vals&gt;=0) * (_xlpm.ints&lt;=_xlpm.limit),
    _xlpm.validVals, _xlfn._xlws.FILTER(_xlpm.vals, _xlpm.mask),
    _xlpm.minVal, MIN(_xlpm.validVals),
    IFERROR( _xlfn.XMATCH(_xlpm.minVal, _xlpm.vals), "" )
)</f>
        <v>4</v>
      </c>
      <c r="AJ107" cm="1">
        <f t="array" ref="AJ107">_xlfn.LET(
    _xlpm.vals, CHOOSE({1,2,3,4,5,6}, S107, V107, Y107, AB107, AE107, AH107),
    _xlpm.slopes, CHOOSE({1,2,3,4,5,6}, Q107, T107, W107, Z107, AC107, AF107),
    _xlpm.ints, CHOOSE({1,2,3,4,5,6}, R107, U107, X107, AA107, AD107, AG107),
    _xlpm.limit, -0.00001*_xlpm.slopes + 0.1086*_xlpm.slopes + 63.253,
    _xlpm.valid, (_xlpm.vals &gt;= 0) * (_xlpm.ints &lt;= _xlpm.limit),
    _xlpm.target, MIN(_xlfn._xlws.FILTER(_xlpm.vals, _xlpm.valid)),
    IFERROR(
        _xlfn.XLOOKUP(_xlpm.target, _xlpm.vals, _xlpm.vals),
        CHOOSE({1,2,3,4,5,6}, S$1, V$1, Y$1, AB$1, AE$1, AH$1)
    )
)</f>
        <v>0.47397697532202526</v>
      </c>
    </row>
    <row r="108" spans="9:36" x14ac:dyDescent="0.45">
      <c r="I108">
        <v>106</v>
      </c>
      <c r="J108">
        <v>30</v>
      </c>
      <c r="K108">
        <f t="shared" si="24"/>
        <v>30</v>
      </c>
      <c r="L108">
        <f t="shared" si="23"/>
        <v>8.3333333333333332E-3</v>
      </c>
      <c r="M108">
        <v>8.9700000000000006</v>
      </c>
      <c r="N108">
        <f t="shared" si="25"/>
        <v>8.9700000000000006</v>
      </c>
      <c r="O108">
        <f t="shared" si="26"/>
        <v>389.85548361534734</v>
      </c>
      <c r="P108">
        <f t="shared" si="27"/>
        <v>1247.5375475691117</v>
      </c>
      <c r="Q108">
        <f t="shared" si="28"/>
        <v>5713.7219678665315</v>
      </c>
      <c r="R108">
        <f t="shared" si="29"/>
        <v>14.991487309635742</v>
      </c>
      <c r="S108">
        <f t="shared" si="30"/>
        <v>5.8841727733048135</v>
      </c>
      <c r="T108">
        <f t="shared" si="31"/>
        <v>3692.7111408045703</v>
      </c>
      <c r="U108">
        <f t="shared" si="32"/>
        <v>23.196287796666116</v>
      </c>
      <c r="V108">
        <f t="shared" si="33"/>
        <v>1.9768958008816102</v>
      </c>
      <c r="W108">
        <f t="shared" si="34"/>
        <v>2382.7967158570032</v>
      </c>
      <c r="X108">
        <f t="shared" si="35"/>
        <v>35.94817375818414</v>
      </c>
      <c r="Y108">
        <f t="shared" si="36"/>
        <v>1.2082146114769066</v>
      </c>
      <c r="Z108">
        <f t="shared" si="37"/>
        <v>1796.4540684995206</v>
      </c>
      <c r="AA108">
        <f t="shared" si="38"/>
        <v>47.681258248702576</v>
      </c>
      <c r="AB108">
        <f t="shared" si="39"/>
        <v>1.1099634997029404</v>
      </c>
      <c r="AC108">
        <f t="shared" si="40"/>
        <v>6000</v>
      </c>
      <c r="AD108">
        <f t="shared" si="41"/>
        <v>14.276198395343012</v>
      </c>
      <c r="AE108">
        <f t="shared" si="42"/>
        <v>6.8186272603646412</v>
      </c>
      <c r="AF108">
        <f t="shared" si="43"/>
        <v>6000</v>
      </c>
      <c r="AG108">
        <f t="shared" si="44"/>
        <v>14.276198395343012</v>
      </c>
      <c r="AH108">
        <f t="shared" si="45"/>
        <v>6.8186272603646412</v>
      </c>
      <c r="AI108" cm="1">
        <f t="array" ref="AI108">_xlfn.LET(
    _xlpm.vals,   _xlfn.HSTACK(S108,V108,Y108,AB108,AE108,AH108),
    _xlpm.ints,   _xlfn.HSTACK(R108,U108,X108,AA108,AD108,AG108),
    _xlpm.slopes, _xlfn.HSTACK(Q108,T108,W108,Z108,AC108,AF108),
    _xlpm.limit,  -0.00001*_xlpm.slopes + 0.1086*_xlpm.slopes + 63.253,
    _xlpm.mask,   (_xlpm.vals&gt;=0) * (_xlpm.ints&lt;=_xlpm.limit),
    _xlpm.validVals, _xlfn._xlws.FILTER(_xlpm.vals, _xlpm.mask),
    _xlpm.minVal, MIN(_xlpm.validVals),
    IFERROR( _xlfn.XMATCH(_xlpm.minVal, _xlpm.vals), "" )
)</f>
        <v>4</v>
      </c>
      <c r="AJ108" cm="1">
        <f t="array" ref="AJ108">_xlfn.LET(
    _xlpm.vals, CHOOSE({1,2,3,4,5,6}, S108, V108, Y108, AB108, AE108, AH108),
    _xlpm.slopes, CHOOSE({1,2,3,4,5,6}, Q108, T108, W108, Z108, AC108, AF108),
    _xlpm.ints, CHOOSE({1,2,3,4,5,6}, R108, U108, X108, AA108, AD108, AG108),
    _xlpm.limit, -0.00001*_xlpm.slopes + 0.1086*_xlpm.slopes + 63.253,
    _xlpm.valid, (_xlpm.vals &gt;= 0) * (_xlpm.ints &lt;= _xlpm.limit),
    _xlpm.target, MIN(_xlfn._xlws.FILTER(_xlpm.vals, _xlpm.valid)),
    IFERROR(
        _xlfn.XLOOKUP(_xlpm.target, _xlpm.vals, _xlpm.vals),
        CHOOSE({1,2,3,4,5,6}, S$1, V$1, Y$1, AB$1, AE$1, AH$1)
    )
)</f>
        <v>1.1099634997029404</v>
      </c>
    </row>
    <row r="109" spans="9:36" x14ac:dyDescent="0.45">
      <c r="I109">
        <v>107</v>
      </c>
      <c r="J109">
        <v>30.3</v>
      </c>
      <c r="K109">
        <f t="shared" si="24"/>
        <v>30.3</v>
      </c>
      <c r="L109">
        <f t="shared" si="23"/>
        <v>8.416666666666666E-3</v>
      </c>
      <c r="M109">
        <v>5.92</v>
      </c>
      <c r="N109">
        <f t="shared" si="25"/>
        <v>5.92</v>
      </c>
      <c r="O109">
        <f t="shared" si="26"/>
        <v>393.75403845150089</v>
      </c>
      <c r="P109">
        <f t="shared" si="27"/>
        <v>1260.0129230448028</v>
      </c>
      <c r="Q109">
        <f t="shared" si="28"/>
        <v>5770.8591875451975</v>
      </c>
      <c r="R109">
        <f t="shared" si="29"/>
        <v>9.7960865009927023</v>
      </c>
      <c r="S109">
        <f t="shared" si="30"/>
        <v>6.0047944634497208</v>
      </c>
      <c r="T109">
        <f t="shared" si="31"/>
        <v>3729.6382522126164</v>
      </c>
      <c r="U109">
        <f t="shared" si="32"/>
        <v>15.157458167076546</v>
      </c>
      <c r="V109">
        <f t="shared" si="33"/>
        <v>1.8698529736027687</v>
      </c>
      <c r="W109">
        <f t="shared" si="34"/>
        <v>2406.6246830155733</v>
      </c>
      <c r="X109">
        <f t="shared" si="35"/>
        <v>23.490092237982505</v>
      </c>
      <c r="Y109">
        <f t="shared" si="36"/>
        <v>1.0058711416805441</v>
      </c>
      <c r="Z109">
        <f t="shared" si="37"/>
        <v>1814.4186091845161</v>
      </c>
      <c r="AA109">
        <f t="shared" si="38"/>
        <v>31.15699734343513</v>
      </c>
      <c r="AB109">
        <f t="shared" si="39"/>
        <v>0.86823088364537582</v>
      </c>
      <c r="AC109">
        <f t="shared" si="40"/>
        <v>6000</v>
      </c>
      <c r="AD109">
        <f t="shared" si="41"/>
        <v>9.4219726310402052</v>
      </c>
      <c r="AE109">
        <f t="shared" si="42"/>
        <v>6.771029354871664</v>
      </c>
      <c r="AF109">
        <f t="shared" si="43"/>
        <v>6000</v>
      </c>
      <c r="AG109">
        <f t="shared" si="44"/>
        <v>9.4219726310402052</v>
      </c>
      <c r="AH109">
        <f t="shared" si="45"/>
        <v>6.771029354871664</v>
      </c>
      <c r="AI109" cm="1">
        <f t="array" ref="AI109">_xlfn.LET(
    _xlpm.vals,   _xlfn.HSTACK(S109,V109,Y109,AB109,AE109,AH109),
    _xlpm.ints,   _xlfn.HSTACK(R109,U109,X109,AA109,AD109,AG109),
    _xlpm.slopes, _xlfn.HSTACK(Q109,T109,W109,Z109,AC109,AF109),
    _xlpm.limit,  -0.00001*_xlpm.slopes + 0.1086*_xlpm.slopes + 63.253,
    _xlpm.mask,   (_xlpm.vals&gt;=0) * (_xlpm.ints&lt;=_xlpm.limit),
    _xlpm.validVals, _xlfn._xlws.FILTER(_xlpm.vals, _xlpm.mask),
    _xlpm.minVal, MIN(_xlpm.validVals),
    IFERROR( _xlfn.XMATCH(_xlpm.minVal, _xlpm.vals), "" )
)</f>
        <v>4</v>
      </c>
      <c r="AJ109" cm="1">
        <f t="array" ref="AJ109">_xlfn.LET(
    _xlpm.vals, CHOOSE({1,2,3,4,5,6}, S109, V109, Y109, AB109, AE109, AH109),
    _xlpm.slopes, CHOOSE({1,2,3,4,5,6}, Q109, T109, W109, Z109, AC109, AF109),
    _xlpm.ints, CHOOSE({1,2,3,4,5,6}, R109, U109, X109, AA109, AD109, AG109),
    _xlpm.limit, -0.00001*_xlpm.slopes + 0.1086*_xlpm.slopes + 63.253,
    _xlpm.valid, (_xlpm.vals &gt;= 0) * (_xlpm.ints &lt;= _xlpm.limit),
    _xlpm.target, MIN(_xlfn._xlws.FILTER(_xlpm.vals, _xlpm.valid)),
    IFERROR(
        _xlfn.XLOOKUP(_xlpm.target, _xlpm.vals, _xlpm.vals),
        CHOOSE({1,2,3,4,5,6}, S$1, V$1, Y$1, AB$1, AE$1, AH$1)
    )
)</f>
        <v>0.86823088364537582</v>
      </c>
    </row>
    <row r="110" spans="9:36" x14ac:dyDescent="0.45">
      <c r="I110">
        <v>108</v>
      </c>
      <c r="J110">
        <v>30.8</v>
      </c>
      <c r="K110">
        <f t="shared" si="24"/>
        <v>30.8</v>
      </c>
      <c r="L110">
        <f t="shared" si="23"/>
        <v>8.5555555555555558E-3</v>
      </c>
      <c r="M110">
        <v>10.6</v>
      </c>
      <c r="N110">
        <f t="shared" si="25"/>
        <v>10.6</v>
      </c>
      <c r="O110">
        <f t="shared" si="26"/>
        <v>400.25162984508995</v>
      </c>
      <c r="P110">
        <f t="shared" si="27"/>
        <v>1280.8052155042878</v>
      </c>
      <c r="Q110">
        <f t="shared" si="28"/>
        <v>5866.0878870096385</v>
      </c>
      <c r="R110">
        <f t="shared" si="29"/>
        <v>17.255545050833828</v>
      </c>
      <c r="S110">
        <f t="shared" si="30"/>
        <v>6.399036891434486</v>
      </c>
      <c r="T110">
        <f t="shared" si="31"/>
        <v>3791.1834378926919</v>
      </c>
      <c r="U110">
        <f t="shared" si="32"/>
        <v>26.699458220546941</v>
      </c>
      <c r="V110">
        <f t="shared" si="33"/>
        <v>2.1584993245602804</v>
      </c>
      <c r="W110">
        <f t="shared" si="34"/>
        <v>2446.3379616131897</v>
      </c>
      <c r="X110">
        <f t="shared" si="35"/>
        <v>41.377170854879026</v>
      </c>
      <c r="Y110">
        <f t="shared" si="36"/>
        <v>1.3430801946204816</v>
      </c>
      <c r="Z110">
        <f t="shared" si="37"/>
        <v>1844.3595103261744</v>
      </c>
      <c r="AA110">
        <f t="shared" si="38"/>
        <v>54.882219675568713</v>
      </c>
      <c r="AB110">
        <f t="shared" si="39"/>
        <v>1.2510527029336511</v>
      </c>
      <c r="AC110">
        <f t="shared" si="40"/>
        <v>6000</v>
      </c>
      <c r="AD110">
        <f t="shared" si="41"/>
        <v>16.870423967740905</v>
      </c>
      <c r="AE110">
        <f t="shared" si="42"/>
        <v>6.8470254060686955</v>
      </c>
      <c r="AF110">
        <f t="shared" si="43"/>
        <v>6000</v>
      </c>
      <c r="AG110">
        <f t="shared" si="44"/>
        <v>16.870423967740905</v>
      </c>
      <c r="AH110">
        <f t="shared" si="45"/>
        <v>6.8470254060686955</v>
      </c>
      <c r="AI110" cm="1">
        <f t="array" ref="AI110">_xlfn.LET(
    _xlpm.vals,   _xlfn.HSTACK(S110,V110,Y110,AB110,AE110,AH110),
    _xlpm.ints,   _xlfn.HSTACK(R110,U110,X110,AA110,AD110,AG110),
    _xlpm.slopes, _xlfn.HSTACK(Q110,T110,W110,Z110,AC110,AF110),
    _xlpm.limit,  -0.00001*_xlpm.slopes + 0.1086*_xlpm.slopes + 63.253,
    _xlpm.mask,   (_xlpm.vals&gt;=0) * (_xlpm.ints&lt;=_xlpm.limit),
    _xlpm.validVals, _xlfn._xlws.FILTER(_xlpm.vals, _xlpm.mask),
    _xlpm.minVal, MIN(_xlpm.validVals),
    IFERROR( _xlfn.XMATCH(_xlpm.minVal, _xlpm.vals), "" )
)</f>
        <v>4</v>
      </c>
      <c r="AJ110" cm="1">
        <f t="array" ref="AJ110">_xlfn.LET(
    _xlpm.vals, CHOOSE({1,2,3,4,5,6}, S110, V110, Y110, AB110, AE110, AH110),
    _xlpm.slopes, CHOOSE({1,2,3,4,5,6}, Q110, T110, W110, Z110, AC110, AF110),
    _xlpm.ints, CHOOSE({1,2,3,4,5,6}, R110, U110, X110, AA110, AD110, AG110),
    _xlpm.limit, -0.00001*_xlpm.slopes + 0.1086*_xlpm.slopes + 63.253,
    _xlpm.valid, (_xlpm.vals &gt;= 0) * (_xlpm.ints &lt;= _xlpm.limit),
    _xlpm.target, MIN(_xlfn._xlws.FILTER(_xlpm.vals, _xlpm.valid)),
    IFERROR(
        _xlfn.XLOOKUP(_xlpm.target, _xlpm.vals, _xlpm.vals),
        CHOOSE({1,2,3,4,5,6}, S$1, V$1, Y$1, AB$1, AE$1, AH$1)
    )
)</f>
        <v>1.2510527029336511</v>
      </c>
    </row>
    <row r="111" spans="9:36" x14ac:dyDescent="0.45">
      <c r="I111">
        <v>109</v>
      </c>
      <c r="J111">
        <v>31.4</v>
      </c>
      <c r="K111">
        <f t="shared" si="24"/>
        <v>31.4</v>
      </c>
      <c r="L111">
        <f t="shared" si="23"/>
        <v>8.7222222222222215E-3</v>
      </c>
      <c r="M111">
        <v>9.2899999999999991</v>
      </c>
      <c r="N111">
        <f t="shared" si="25"/>
        <v>9.2899999999999991</v>
      </c>
      <c r="O111">
        <f t="shared" si="26"/>
        <v>408.04873951739688</v>
      </c>
      <c r="P111">
        <f t="shared" si="27"/>
        <v>1305.7559664556702</v>
      </c>
      <c r="Q111">
        <f t="shared" si="28"/>
        <v>5980.3623263669697</v>
      </c>
      <c r="R111">
        <f t="shared" si="29"/>
        <v>14.834045236405434</v>
      </c>
      <c r="S111">
        <f t="shared" si="30"/>
        <v>6.7564325145881234</v>
      </c>
      <c r="T111">
        <f t="shared" si="31"/>
        <v>3865.0376607087837</v>
      </c>
      <c r="U111">
        <f t="shared" si="32"/>
        <v>22.952678102275978</v>
      </c>
      <c r="V111">
        <f t="shared" si="33"/>
        <v>2.174040618094577</v>
      </c>
      <c r="W111">
        <f t="shared" si="34"/>
        <v>2493.9938959303299</v>
      </c>
      <c r="X111">
        <f t="shared" si="35"/>
        <v>35.570642504050731</v>
      </c>
      <c r="Y111">
        <f t="shared" si="36"/>
        <v>1.2621926417236264</v>
      </c>
      <c r="Z111">
        <f t="shared" si="37"/>
        <v>1880.288591696165</v>
      </c>
      <c r="AA111">
        <f t="shared" si="38"/>
        <v>47.180504988011727</v>
      </c>
      <c r="AB111">
        <f t="shared" si="39"/>
        <v>1.1443777180347665</v>
      </c>
      <c r="AC111">
        <f t="shared" si="40"/>
        <v>6000</v>
      </c>
      <c r="AD111">
        <f t="shared" si="41"/>
        <v>14.785494213237078</v>
      </c>
      <c r="AE111">
        <f t="shared" si="42"/>
        <v>6.8240416459245452</v>
      </c>
      <c r="AF111">
        <f t="shared" si="43"/>
        <v>6000</v>
      </c>
      <c r="AG111">
        <f t="shared" si="44"/>
        <v>14.785494213237078</v>
      </c>
      <c r="AH111">
        <f t="shared" si="45"/>
        <v>6.8240416459245452</v>
      </c>
      <c r="AI111" cm="1">
        <f t="array" ref="AI111">_xlfn.LET(
    _xlpm.vals,   _xlfn.HSTACK(S111,V111,Y111,AB111,AE111,AH111),
    _xlpm.ints,   _xlfn.HSTACK(R111,U111,X111,AA111,AD111,AG111),
    _xlpm.slopes, _xlfn.HSTACK(Q111,T111,W111,Z111,AC111,AF111),
    _xlpm.limit,  -0.00001*_xlpm.slopes + 0.1086*_xlpm.slopes + 63.253,
    _xlpm.mask,   (_xlpm.vals&gt;=0) * (_xlpm.ints&lt;=_xlpm.limit),
    _xlpm.validVals, _xlfn._xlws.FILTER(_xlpm.vals, _xlpm.mask),
    _xlpm.minVal, MIN(_xlpm.validVals),
    IFERROR( _xlfn.XMATCH(_xlpm.minVal, _xlpm.vals), "" )
)</f>
        <v>4</v>
      </c>
      <c r="AJ111" cm="1">
        <f t="array" ref="AJ111">_xlfn.LET(
    _xlpm.vals, CHOOSE({1,2,3,4,5,6}, S111, V111, Y111, AB111, AE111, AH111),
    _xlpm.slopes, CHOOSE({1,2,3,4,5,6}, Q111, T111, W111, Z111, AC111, AF111),
    _xlpm.ints, CHOOSE({1,2,3,4,5,6}, R111, U111, X111, AA111, AD111, AG111),
    _xlpm.limit, -0.00001*_xlpm.slopes + 0.1086*_xlpm.slopes + 63.253,
    _xlpm.valid, (_xlpm.vals &gt;= 0) * (_xlpm.ints &lt;= _xlpm.limit),
    _xlpm.target, MIN(_xlfn._xlws.FILTER(_xlpm.vals, _xlpm.valid)),
    IFERROR(
        _xlfn.XLOOKUP(_xlpm.target, _xlpm.vals, _xlpm.vals),
        CHOOSE({1,2,3,4,5,6}, S$1, V$1, Y$1, AB$1, AE$1, AH$1)
    )
)</f>
        <v>1.1443777180347665</v>
      </c>
    </row>
    <row r="112" spans="9:36" x14ac:dyDescent="0.45">
      <c r="I112">
        <v>110</v>
      </c>
      <c r="J112">
        <v>31.9</v>
      </c>
      <c r="K112">
        <f t="shared" si="24"/>
        <v>31.9</v>
      </c>
      <c r="L112">
        <f t="shared" si="23"/>
        <v>8.8611111111111113E-3</v>
      </c>
      <c r="M112">
        <v>9.4600000000000009</v>
      </c>
      <c r="N112">
        <f t="shared" si="25"/>
        <v>9.4600000000000009</v>
      </c>
      <c r="O112">
        <f t="shared" si="26"/>
        <v>414.546330910986</v>
      </c>
      <c r="P112">
        <f t="shared" si="27"/>
        <v>1326.5482589151552</v>
      </c>
      <c r="Q112">
        <f t="shared" si="28"/>
        <v>6075.5910258314107</v>
      </c>
      <c r="R112">
        <f t="shared" si="29"/>
        <v>14.868733809579913</v>
      </c>
      <c r="S112">
        <f t="shared" si="30"/>
        <v>7.0920882947676214</v>
      </c>
      <c r="T112">
        <f t="shared" si="31"/>
        <v>3926.5828463888593</v>
      </c>
      <c r="U112">
        <f t="shared" si="32"/>
        <v>23.006351637795944</v>
      </c>
      <c r="V112">
        <f t="shared" si="33"/>
        <v>2.2522865237687997</v>
      </c>
      <c r="W112">
        <f t="shared" si="34"/>
        <v>2533.7071745279463</v>
      </c>
      <c r="X112">
        <f t="shared" si="35"/>
        <v>35.653822433442933</v>
      </c>
      <c r="Y112">
        <f t="shared" si="36"/>
        <v>1.2862840474916395</v>
      </c>
      <c r="Z112">
        <f t="shared" si="37"/>
        <v>1910.2294928378235</v>
      </c>
      <c r="AA112">
        <f t="shared" si="38"/>
        <v>47.290833922136109</v>
      </c>
      <c r="AB112">
        <f t="shared" si="39"/>
        <v>1.1614163339302461</v>
      </c>
      <c r="AC112">
        <f t="shared" si="40"/>
        <v>6000</v>
      </c>
      <c r="AD112">
        <f t="shared" si="41"/>
        <v>15.0560576164933</v>
      </c>
      <c r="AE112">
        <f t="shared" si="42"/>
        <v>6.8269501064788702</v>
      </c>
      <c r="AF112">
        <f t="shared" si="43"/>
        <v>6000</v>
      </c>
      <c r="AG112">
        <f t="shared" si="44"/>
        <v>15.0560576164933</v>
      </c>
      <c r="AH112">
        <f t="shared" si="45"/>
        <v>6.8269501064788702</v>
      </c>
      <c r="AI112" cm="1">
        <f t="array" ref="AI112">_xlfn.LET(
    _xlpm.vals,   _xlfn.HSTACK(S112,V112,Y112,AB112,AE112,AH112),
    _xlpm.ints,   _xlfn.HSTACK(R112,U112,X112,AA112,AD112,AG112),
    _xlpm.slopes, _xlfn.HSTACK(Q112,T112,W112,Z112,AC112,AF112),
    _xlpm.limit,  -0.00001*_xlpm.slopes + 0.1086*_xlpm.slopes + 63.253,
    _xlpm.mask,   (_xlpm.vals&gt;=0) * (_xlpm.ints&lt;=_xlpm.limit),
    _xlpm.validVals, _xlfn._xlws.FILTER(_xlpm.vals, _xlpm.mask),
    _xlpm.minVal, MIN(_xlpm.validVals),
    IFERROR( _xlfn.XMATCH(_xlpm.minVal, _xlpm.vals), "" )
)</f>
        <v>4</v>
      </c>
      <c r="AJ112" cm="1">
        <f t="array" ref="AJ112">_xlfn.LET(
    _xlpm.vals, CHOOSE({1,2,3,4,5,6}, S112, V112, Y112, AB112, AE112, AH112),
    _xlpm.slopes, CHOOSE({1,2,3,4,5,6}, Q112, T112, W112, Z112, AC112, AF112),
    _xlpm.ints, CHOOSE({1,2,3,4,5,6}, R112, U112, X112, AA112, AD112, AG112),
    _xlpm.limit, -0.00001*_xlpm.slopes + 0.1086*_xlpm.slopes + 63.253,
    _xlpm.valid, (_xlpm.vals &gt;= 0) * (_xlpm.ints &lt;= _xlpm.limit),
    _xlpm.target, MIN(_xlfn._xlws.FILTER(_xlpm.vals, _xlpm.valid)),
    IFERROR(
        _xlfn.XLOOKUP(_xlpm.target, _xlpm.vals, _xlpm.vals),
        CHOOSE({1,2,3,4,5,6}, S$1, V$1, Y$1, AB$1, AE$1, AH$1)
    )
)</f>
        <v>1.1614163339302461</v>
      </c>
    </row>
    <row r="113" spans="9:36" x14ac:dyDescent="0.45">
      <c r="I113">
        <v>111</v>
      </c>
      <c r="J113">
        <v>32.200000000000003</v>
      </c>
      <c r="K113">
        <f t="shared" si="24"/>
        <v>32.200000000000003</v>
      </c>
      <c r="L113">
        <f t="shared" si="23"/>
        <v>8.9444444444444458E-3</v>
      </c>
      <c r="M113">
        <v>6.38</v>
      </c>
      <c r="N113">
        <f t="shared" si="25"/>
        <v>6.38</v>
      </c>
      <c r="O113">
        <f t="shared" si="26"/>
        <v>418.44488574713949</v>
      </c>
      <c r="P113">
        <f t="shared" si="27"/>
        <v>1339.0236343908464</v>
      </c>
      <c r="Q113">
        <f t="shared" si="28"/>
        <v>6132.7282455100767</v>
      </c>
      <c r="R113">
        <f t="shared" si="29"/>
        <v>9.9343244599468257</v>
      </c>
      <c r="S113">
        <f t="shared" si="30"/>
        <v>7.2542067293095807</v>
      </c>
      <c r="T113">
        <f t="shared" si="31"/>
        <v>3963.5099577969054</v>
      </c>
      <c r="U113">
        <f t="shared" si="32"/>
        <v>15.371353387350156</v>
      </c>
      <c r="V113">
        <f t="shared" si="33"/>
        <v>2.1590042536627481</v>
      </c>
      <c r="W113">
        <f t="shared" si="34"/>
        <v>2557.5351416865165</v>
      </c>
      <c r="X113">
        <f t="shared" si="35"/>
        <v>23.821573835893435</v>
      </c>
      <c r="Y113">
        <f t="shared" si="36"/>
        <v>1.0885216033336707</v>
      </c>
      <c r="Z113">
        <f t="shared" si="37"/>
        <v>1928.1940335228187</v>
      </c>
      <c r="AA113">
        <f t="shared" si="38"/>
        <v>31.596670851775325</v>
      </c>
      <c r="AB113">
        <f t="shared" si="39"/>
        <v>0.92150002460772085</v>
      </c>
      <c r="AC113">
        <f t="shared" si="40"/>
        <v>6000</v>
      </c>
      <c r="AD113">
        <f t="shared" si="41"/>
        <v>10.154085369262923</v>
      </c>
      <c r="AE113">
        <f t="shared" si="42"/>
        <v>6.7777386247691052</v>
      </c>
      <c r="AF113">
        <f t="shared" si="43"/>
        <v>6000</v>
      </c>
      <c r="AG113">
        <f t="shared" si="44"/>
        <v>10.154085369262923</v>
      </c>
      <c r="AH113">
        <f t="shared" si="45"/>
        <v>6.7777386247691052</v>
      </c>
      <c r="AI113" cm="1">
        <f t="array" ref="AI113">_xlfn.LET(
    _xlpm.vals,   _xlfn.HSTACK(S113,V113,Y113,AB113,AE113,AH113),
    _xlpm.ints,   _xlfn.HSTACK(R113,U113,X113,AA113,AD113,AG113),
    _xlpm.slopes, _xlfn.HSTACK(Q113,T113,W113,Z113,AC113,AF113),
    _xlpm.limit,  -0.00001*_xlpm.slopes + 0.1086*_xlpm.slopes + 63.253,
    _xlpm.mask,   (_xlpm.vals&gt;=0) * (_xlpm.ints&lt;=_xlpm.limit),
    _xlpm.validVals, _xlfn._xlws.FILTER(_xlpm.vals, _xlpm.mask),
    _xlpm.minVal, MIN(_xlpm.validVals),
    IFERROR( _xlfn.XMATCH(_xlpm.minVal, _xlpm.vals), "" )
)</f>
        <v>4</v>
      </c>
      <c r="AJ113" cm="1">
        <f t="array" ref="AJ113">_xlfn.LET(
    _xlpm.vals, CHOOSE({1,2,3,4,5,6}, S113, V113, Y113, AB113, AE113, AH113),
    _xlpm.slopes, CHOOSE({1,2,3,4,5,6}, Q113, T113, W113, Z113, AC113, AF113),
    _xlpm.ints, CHOOSE({1,2,3,4,5,6}, R113, U113, X113, AA113, AD113, AG113),
    _xlpm.limit, -0.00001*_xlpm.slopes + 0.1086*_xlpm.slopes + 63.253,
    _xlpm.valid, (_xlpm.vals &gt;= 0) * (_xlpm.ints &lt;= _xlpm.limit),
    _xlpm.target, MIN(_xlfn._xlws.FILTER(_xlpm.vals, _xlpm.valid)),
    IFERROR(
        _xlfn.XLOOKUP(_xlpm.target, _xlpm.vals, _xlpm.vals),
        CHOOSE({1,2,3,4,5,6}, S$1, V$1, Y$1, AB$1, AE$1, AH$1)
    )
)</f>
        <v>0.92150002460772085</v>
      </c>
    </row>
    <row r="114" spans="9:36" x14ac:dyDescent="0.45">
      <c r="I114">
        <v>112</v>
      </c>
      <c r="J114">
        <v>32.200000000000003</v>
      </c>
      <c r="K114">
        <f t="shared" si="24"/>
        <v>32.200000000000003</v>
      </c>
      <c r="L114">
        <f t="shared" si="23"/>
        <v>8.9444444444444458E-3</v>
      </c>
      <c r="M114">
        <v>5.98</v>
      </c>
      <c r="N114">
        <f t="shared" si="25"/>
        <v>5.98</v>
      </c>
      <c r="O114">
        <f t="shared" si="26"/>
        <v>418.44488574713949</v>
      </c>
      <c r="P114">
        <f t="shared" si="27"/>
        <v>1339.0236343908464</v>
      </c>
      <c r="Q114">
        <f t="shared" si="28"/>
        <v>6132.7282455100767</v>
      </c>
      <c r="R114">
        <f t="shared" si="29"/>
        <v>9.3114828010159911</v>
      </c>
      <c r="S114">
        <f t="shared" si="30"/>
        <v>7.249067027885193</v>
      </c>
      <c r="T114">
        <f t="shared" si="31"/>
        <v>3963.5099577969054</v>
      </c>
      <c r="U114">
        <f t="shared" si="32"/>
        <v>14.407632171842311</v>
      </c>
      <c r="V114">
        <f t="shared" si="33"/>
        <v>2.1421042404545187</v>
      </c>
      <c r="W114">
        <f t="shared" si="34"/>
        <v>2557.5351416865165</v>
      </c>
      <c r="X114">
        <f t="shared" si="35"/>
        <v>22.328058234896982</v>
      </c>
      <c r="Y114">
        <f t="shared" si="36"/>
        <v>1.0631932744415209</v>
      </c>
      <c r="Z114">
        <f t="shared" si="37"/>
        <v>1928.1940335228187</v>
      </c>
      <c r="AA114">
        <f t="shared" si="38"/>
        <v>29.615688353231416</v>
      </c>
      <c r="AB114">
        <f t="shared" si="39"/>
        <v>0.8916974459234055</v>
      </c>
      <c r="AC114">
        <f t="shared" si="40"/>
        <v>6000</v>
      </c>
      <c r="AD114">
        <f t="shared" si="41"/>
        <v>9.5174655968953417</v>
      </c>
      <c r="AE114">
        <f t="shared" si="42"/>
        <v>6.7718949200379397</v>
      </c>
      <c r="AF114">
        <f t="shared" si="43"/>
        <v>6000</v>
      </c>
      <c r="AG114">
        <f t="shared" si="44"/>
        <v>9.5174655968953417</v>
      </c>
      <c r="AH114">
        <f t="shared" si="45"/>
        <v>6.7718949200379397</v>
      </c>
      <c r="AI114" cm="1">
        <f t="array" ref="AI114">_xlfn.LET(
    _xlpm.vals,   _xlfn.HSTACK(S114,V114,Y114,AB114,AE114,AH114),
    _xlpm.ints,   _xlfn.HSTACK(R114,U114,X114,AA114,AD114,AG114),
    _xlpm.slopes, _xlfn.HSTACK(Q114,T114,W114,Z114,AC114,AF114),
    _xlpm.limit,  -0.00001*_xlpm.slopes + 0.1086*_xlpm.slopes + 63.253,
    _xlpm.mask,   (_xlpm.vals&gt;=0) * (_xlpm.ints&lt;=_xlpm.limit),
    _xlpm.validVals, _xlfn._xlws.FILTER(_xlpm.vals, _xlpm.mask),
    _xlpm.minVal, MIN(_xlpm.validVals),
    IFERROR( _xlfn.XMATCH(_xlpm.minVal, _xlpm.vals), "" )
)</f>
        <v>4</v>
      </c>
      <c r="AJ114" cm="1">
        <f t="array" ref="AJ114">_xlfn.LET(
    _xlpm.vals, CHOOSE({1,2,3,4,5,6}, S114, V114, Y114, AB114, AE114, AH114),
    _xlpm.slopes, CHOOSE({1,2,3,4,5,6}, Q114, T114, W114, Z114, AC114, AF114),
    _xlpm.ints, CHOOSE({1,2,3,4,5,6}, R114, U114, X114, AA114, AD114, AG114),
    _xlpm.limit, -0.00001*_xlpm.slopes + 0.1086*_xlpm.slopes + 63.253,
    _xlpm.valid, (_xlpm.vals &gt;= 0) * (_xlpm.ints &lt;= _xlpm.limit),
    _xlpm.target, MIN(_xlfn._xlws.FILTER(_xlpm.vals, _xlpm.valid)),
    IFERROR(
        _xlfn.XLOOKUP(_xlpm.target, _xlpm.vals, _xlpm.vals),
        CHOOSE({1,2,3,4,5,6}, S$1, V$1, Y$1, AB$1, AE$1, AH$1)
    )
)</f>
        <v>0.8916974459234055</v>
      </c>
    </row>
    <row r="115" spans="9:36" x14ac:dyDescent="0.45">
      <c r="I115">
        <v>113</v>
      </c>
      <c r="J115">
        <v>32.1</v>
      </c>
      <c r="K115">
        <f t="shared" si="24"/>
        <v>32.1</v>
      </c>
      <c r="L115">
        <f t="shared" si="23"/>
        <v>8.9166666666666665E-3</v>
      </c>
      <c r="M115">
        <v>4.6399999999999997</v>
      </c>
      <c r="N115">
        <f t="shared" si="25"/>
        <v>4.6399999999999997</v>
      </c>
      <c r="O115">
        <f t="shared" si="26"/>
        <v>417.14536746842168</v>
      </c>
      <c r="P115">
        <f t="shared" si="27"/>
        <v>1334.8651758989495</v>
      </c>
      <c r="Q115">
        <f t="shared" si="28"/>
        <v>6113.6825056171883</v>
      </c>
      <c r="R115">
        <f t="shared" si="29"/>
        <v>7.2474709172537581</v>
      </c>
      <c r="S115">
        <f t="shared" si="30"/>
        <v>7.1624085818363055</v>
      </c>
      <c r="T115">
        <f t="shared" si="31"/>
        <v>3951.2009206608905</v>
      </c>
      <c r="U115">
        <f t="shared" si="32"/>
        <v>11.213992162507505</v>
      </c>
      <c r="V115">
        <f t="shared" si="33"/>
        <v>2.0715101748824396</v>
      </c>
      <c r="W115">
        <f t="shared" si="34"/>
        <v>2549.5924859669935</v>
      </c>
      <c r="X115">
        <f t="shared" si="35"/>
        <v>17.378752251844091</v>
      </c>
      <c r="Y115">
        <f t="shared" si="36"/>
        <v>0.97758729138186617</v>
      </c>
      <c r="Z115">
        <f t="shared" si="37"/>
        <v>1922.2058532944873</v>
      </c>
      <c r="AA115">
        <f t="shared" si="38"/>
        <v>23.050983889598758</v>
      </c>
      <c r="AB115">
        <f t="shared" si="39"/>
        <v>0.79380469473477455</v>
      </c>
      <c r="AC115">
        <f t="shared" si="40"/>
        <v>6000</v>
      </c>
      <c r="AD115">
        <f t="shared" si="41"/>
        <v>7.3847893594639435</v>
      </c>
      <c r="AE115">
        <f t="shared" si="42"/>
        <v>6.7532511555407044</v>
      </c>
      <c r="AF115">
        <f t="shared" si="43"/>
        <v>6000</v>
      </c>
      <c r="AG115">
        <f t="shared" si="44"/>
        <v>7.3847893594639435</v>
      </c>
      <c r="AH115">
        <f t="shared" si="45"/>
        <v>6.7532511555407044</v>
      </c>
      <c r="AI115" cm="1">
        <f t="array" ref="AI115">_xlfn.LET(
    _xlpm.vals,   _xlfn.HSTACK(S115,V115,Y115,AB115,AE115,AH115),
    _xlpm.ints,   _xlfn.HSTACK(R115,U115,X115,AA115,AD115,AG115),
    _xlpm.slopes, _xlfn.HSTACK(Q115,T115,W115,Z115,AC115,AF115),
    _xlpm.limit,  -0.00001*_xlpm.slopes + 0.1086*_xlpm.slopes + 63.253,
    _xlpm.mask,   (_xlpm.vals&gt;=0) * (_xlpm.ints&lt;=_xlpm.limit),
    _xlpm.validVals, _xlfn._xlws.FILTER(_xlpm.vals, _xlpm.mask),
    _xlpm.minVal, MIN(_xlpm.validVals),
    IFERROR( _xlfn.XMATCH(_xlpm.minVal, _xlpm.vals), "" )
)</f>
        <v>4</v>
      </c>
      <c r="AJ115" cm="1">
        <f t="array" ref="AJ115">_xlfn.LET(
    _xlpm.vals, CHOOSE({1,2,3,4,5,6}, S115, V115, Y115, AB115, AE115, AH115),
    _xlpm.slopes, CHOOSE({1,2,3,4,5,6}, Q115, T115, W115, Z115, AC115, AF115),
    _xlpm.ints, CHOOSE({1,2,3,4,5,6}, R115, U115, X115, AA115, AD115, AG115),
    _xlpm.limit, -0.00001*_xlpm.slopes + 0.1086*_xlpm.slopes + 63.253,
    _xlpm.valid, (_xlpm.vals &gt;= 0) * (_xlpm.ints &lt;= _xlpm.limit),
    _xlpm.target, MIN(_xlfn._xlws.FILTER(_xlpm.vals, _xlpm.valid)),
    IFERROR(
        _xlfn.XLOOKUP(_xlpm.target, _xlpm.vals, _xlpm.vals),
        CHOOSE({1,2,3,4,5,6}, S$1, V$1, Y$1, AB$1, AE$1, AH$1)
    )
)</f>
        <v>0.79380469473477455</v>
      </c>
    </row>
    <row r="116" spans="9:36" x14ac:dyDescent="0.45">
      <c r="I116">
        <v>114</v>
      </c>
      <c r="J116">
        <v>31.2</v>
      </c>
      <c r="K116">
        <f t="shared" si="24"/>
        <v>31.2</v>
      </c>
      <c r="L116">
        <f t="shared" si="23"/>
        <v>8.6666666666666663E-3</v>
      </c>
      <c r="M116">
        <v>-0.01</v>
      </c>
      <c r="N116">
        <f t="shared" si="25"/>
        <v>0</v>
      </c>
      <c r="O116">
        <f t="shared" si="26"/>
        <v>405.44970295996126</v>
      </c>
      <c r="P116">
        <f t="shared" si="27"/>
        <v>1297.4390494718762</v>
      </c>
      <c r="Q116">
        <f t="shared" si="28"/>
        <v>5942.2708465811929</v>
      </c>
      <c r="R116">
        <f t="shared" si="29"/>
        <v>0</v>
      </c>
      <c r="S116">
        <f t="shared" si="30"/>
        <v>6.495841682891716</v>
      </c>
      <c r="T116">
        <f t="shared" si="31"/>
        <v>3840.4195864367534</v>
      </c>
      <c r="U116">
        <f t="shared" si="32"/>
        <v>0</v>
      </c>
      <c r="V116">
        <f t="shared" si="33"/>
        <v>1.7584748665304413</v>
      </c>
      <c r="W116">
        <f t="shared" si="34"/>
        <v>2478.1085844912832</v>
      </c>
      <c r="X116">
        <f t="shared" si="35"/>
        <v>0</v>
      </c>
      <c r="Y116">
        <f t="shared" si="36"/>
        <v>0.6923088088757372</v>
      </c>
      <c r="Z116">
        <f t="shared" si="37"/>
        <v>1868.3122312395017</v>
      </c>
      <c r="AA116">
        <f t="shared" si="38"/>
        <v>0</v>
      </c>
      <c r="AB116">
        <f t="shared" si="39"/>
        <v>0.49001856072642686</v>
      </c>
      <c r="AC116">
        <f t="shared" si="40"/>
        <v>6000</v>
      </c>
      <c r="AD116">
        <f t="shared" si="41"/>
        <v>0</v>
      </c>
      <c r="AE116">
        <f t="shared" si="42"/>
        <v>6.7000407999999982</v>
      </c>
      <c r="AF116">
        <f t="shared" si="43"/>
        <v>6000</v>
      </c>
      <c r="AG116">
        <f t="shared" si="44"/>
        <v>0</v>
      </c>
      <c r="AH116">
        <f t="shared" si="45"/>
        <v>6.7000407999999982</v>
      </c>
      <c r="AI116" cm="1">
        <f t="array" ref="AI116">_xlfn.LET(
    _xlpm.vals,   _xlfn.HSTACK(S116,V116,Y116,AB116,AE116,AH116),
    _xlpm.ints,   _xlfn.HSTACK(R116,U116,X116,AA116,AD116,AG116),
    _xlpm.slopes, _xlfn.HSTACK(Q116,T116,W116,Z116,AC116,AF116),
    _xlpm.limit,  -0.00001*_xlpm.slopes + 0.1086*_xlpm.slopes + 63.253,
    _xlpm.mask,   (_xlpm.vals&gt;=0) * (_xlpm.ints&lt;=_xlpm.limit),
    _xlpm.validVals, _xlfn._xlws.FILTER(_xlpm.vals, _xlpm.mask),
    _xlpm.minVal, MIN(_xlpm.validVals),
    IFERROR( _xlfn.XMATCH(_xlpm.minVal, _xlpm.vals), "" )
)</f>
        <v>4</v>
      </c>
      <c r="AJ116" cm="1">
        <f t="array" ref="AJ116">_xlfn.LET(
    _xlpm.vals, CHOOSE({1,2,3,4,5,6}, S116, V116, Y116, AB116, AE116, AH116),
    _xlpm.slopes, CHOOSE({1,2,3,4,5,6}, Q116, T116, W116, Z116, AC116, AF116),
    _xlpm.ints, CHOOSE({1,2,3,4,5,6}, R116, U116, X116, AA116, AD116, AG116),
    _xlpm.limit, -0.00001*_xlpm.slopes + 0.1086*_xlpm.slopes + 63.253,
    _xlpm.valid, (_xlpm.vals &gt;= 0) * (_xlpm.ints &lt;= _xlpm.limit),
    _xlpm.target, MIN(_xlfn._xlws.FILTER(_xlpm.vals, _xlpm.valid)),
    IFERROR(
        _xlfn.XLOOKUP(_xlpm.target, _xlpm.vals, _xlpm.vals),
        CHOOSE({1,2,3,4,5,6}, S$1, V$1, Y$1, AB$1, AE$1, AH$1)
    )
)</f>
        <v>0.49001856072642686</v>
      </c>
    </row>
    <row r="117" spans="9:36" x14ac:dyDescent="0.45">
      <c r="I117">
        <v>115</v>
      </c>
      <c r="J117">
        <v>28.1</v>
      </c>
      <c r="K117">
        <f t="shared" si="24"/>
        <v>28.1</v>
      </c>
      <c r="L117">
        <f t="shared" si="23"/>
        <v>7.805555555555556E-3</v>
      </c>
      <c r="M117">
        <v>-0.82</v>
      </c>
      <c r="N117">
        <f t="shared" si="25"/>
        <v>0</v>
      </c>
      <c r="O117">
        <f t="shared" si="26"/>
        <v>365.16463631970868</v>
      </c>
      <c r="P117">
        <f t="shared" si="27"/>
        <v>1168.5268362230679</v>
      </c>
      <c r="Q117">
        <f t="shared" si="28"/>
        <v>5351.8529099016514</v>
      </c>
      <c r="R117">
        <f t="shared" si="29"/>
        <v>0</v>
      </c>
      <c r="S117">
        <f t="shared" si="30"/>
        <v>4.6626579870453231</v>
      </c>
      <c r="T117">
        <f t="shared" si="31"/>
        <v>3458.8394352202808</v>
      </c>
      <c r="U117">
        <f t="shared" si="32"/>
        <v>0</v>
      </c>
      <c r="V117">
        <f t="shared" si="33"/>
        <v>1.3456358912360828</v>
      </c>
      <c r="W117">
        <f t="shared" si="34"/>
        <v>2231.8862571860595</v>
      </c>
      <c r="X117">
        <f t="shared" si="35"/>
        <v>0</v>
      </c>
      <c r="Y117">
        <f t="shared" si="36"/>
        <v>0.59709234004248335</v>
      </c>
      <c r="Z117">
        <f t="shared" si="37"/>
        <v>1682.6786441612178</v>
      </c>
      <c r="AA117">
        <f t="shared" si="38"/>
        <v>0</v>
      </c>
      <c r="AB117">
        <f t="shared" si="39"/>
        <v>0.44686142475791013</v>
      </c>
      <c r="AC117">
        <f t="shared" si="40"/>
        <v>6000</v>
      </c>
      <c r="AD117">
        <f t="shared" si="41"/>
        <v>0</v>
      </c>
      <c r="AE117">
        <f t="shared" si="42"/>
        <v>6.7000407999999982</v>
      </c>
      <c r="AF117">
        <f t="shared" si="43"/>
        <v>6000</v>
      </c>
      <c r="AG117">
        <f t="shared" si="44"/>
        <v>0</v>
      </c>
      <c r="AH117">
        <f t="shared" si="45"/>
        <v>6.7000407999999982</v>
      </c>
      <c r="AI117" cm="1">
        <f t="array" ref="AI117">_xlfn.LET(
    _xlpm.vals,   _xlfn.HSTACK(S117,V117,Y117,AB117,AE117,AH117),
    _xlpm.ints,   _xlfn.HSTACK(R117,U117,X117,AA117,AD117,AG117),
    _xlpm.slopes, _xlfn.HSTACK(Q117,T117,W117,Z117,AC117,AF117),
    _xlpm.limit,  -0.00001*_xlpm.slopes + 0.1086*_xlpm.slopes + 63.253,
    _xlpm.mask,   (_xlpm.vals&gt;=0) * (_xlpm.ints&lt;=_xlpm.limit),
    _xlpm.validVals, _xlfn._xlws.FILTER(_xlpm.vals, _xlpm.mask),
    _xlpm.minVal, MIN(_xlpm.validVals),
    IFERROR( _xlfn.XMATCH(_xlpm.minVal, _xlpm.vals), "" )
)</f>
        <v>4</v>
      </c>
      <c r="AJ117" cm="1">
        <f t="array" ref="AJ117">_xlfn.LET(
    _xlpm.vals, CHOOSE({1,2,3,4,5,6}, S117, V117, Y117, AB117, AE117, AH117),
    _xlpm.slopes, CHOOSE({1,2,3,4,5,6}, Q117, T117, W117, Z117, AC117, AF117),
    _xlpm.ints, CHOOSE({1,2,3,4,5,6}, R117, U117, X117, AA117, AD117, AG117),
    _xlpm.limit, -0.00001*_xlpm.slopes + 0.1086*_xlpm.slopes + 63.253,
    _xlpm.valid, (_xlpm.vals &gt;= 0) * (_xlpm.ints &lt;= _xlpm.limit),
    _xlpm.target, MIN(_xlfn._xlws.FILTER(_xlpm.vals, _xlpm.valid)),
    IFERROR(
        _xlfn.XLOOKUP(_xlpm.target, _xlpm.vals, _xlpm.vals),
        CHOOSE({1,2,3,4,5,6}, S$1, V$1, Y$1, AB$1, AE$1, AH$1)
    )
)</f>
        <v>0.44686142475791013</v>
      </c>
    </row>
    <row r="118" spans="9:36" x14ac:dyDescent="0.45">
      <c r="I118">
        <v>116</v>
      </c>
      <c r="J118">
        <v>24.9</v>
      </c>
      <c r="K118">
        <f t="shared" si="24"/>
        <v>24.9</v>
      </c>
      <c r="L118">
        <f t="shared" si="23"/>
        <v>6.9166666666666664E-3</v>
      </c>
      <c r="M118">
        <v>-0.78</v>
      </c>
      <c r="N118">
        <f t="shared" si="25"/>
        <v>0</v>
      </c>
      <c r="O118">
        <f t="shared" si="26"/>
        <v>323.58005140073828</v>
      </c>
      <c r="P118">
        <f t="shared" si="27"/>
        <v>1035.4561644823625</v>
      </c>
      <c r="Q118">
        <f t="shared" si="28"/>
        <v>4742.3892333292206</v>
      </c>
      <c r="R118">
        <f t="shared" si="29"/>
        <v>0</v>
      </c>
      <c r="S118">
        <f t="shared" si="30"/>
        <v>3.213825382378749</v>
      </c>
      <c r="T118">
        <f t="shared" si="31"/>
        <v>3064.9502468677929</v>
      </c>
      <c r="U118">
        <f t="shared" si="32"/>
        <v>0</v>
      </c>
      <c r="V118">
        <f t="shared" si="33"/>
        <v>1.0213254005234986</v>
      </c>
      <c r="W118">
        <f t="shared" si="34"/>
        <v>1977.7212741613123</v>
      </c>
      <c r="X118">
        <f t="shared" si="35"/>
        <v>0</v>
      </c>
      <c r="Y118">
        <f t="shared" si="36"/>
        <v>0.51870485781884934</v>
      </c>
      <c r="Z118">
        <f t="shared" si="37"/>
        <v>1491.056876854602</v>
      </c>
      <c r="AA118">
        <f t="shared" si="38"/>
        <v>0</v>
      </c>
      <c r="AB118">
        <f t="shared" si="39"/>
        <v>0.40789762405788776</v>
      </c>
      <c r="AC118">
        <f t="shared" si="40"/>
        <v>6000</v>
      </c>
      <c r="AD118">
        <f t="shared" si="41"/>
        <v>0</v>
      </c>
      <c r="AE118">
        <f t="shared" si="42"/>
        <v>6.7000407999999982</v>
      </c>
      <c r="AF118">
        <f t="shared" si="43"/>
        <v>6000</v>
      </c>
      <c r="AG118">
        <f t="shared" si="44"/>
        <v>0</v>
      </c>
      <c r="AH118">
        <f t="shared" si="45"/>
        <v>6.7000407999999982</v>
      </c>
      <c r="AI118" cm="1">
        <f t="array" ref="AI118">_xlfn.LET(
    _xlpm.vals,   _xlfn.HSTACK(S118,V118,Y118,AB118,AE118,AH118),
    _xlpm.ints,   _xlfn.HSTACK(R118,U118,X118,AA118,AD118,AG118),
    _xlpm.slopes, _xlfn.HSTACK(Q118,T118,W118,Z118,AC118,AF118),
    _xlpm.limit,  -0.00001*_xlpm.slopes + 0.1086*_xlpm.slopes + 63.253,
    _xlpm.mask,   (_xlpm.vals&gt;=0) * (_xlpm.ints&lt;=_xlpm.limit),
    _xlpm.validVals, _xlfn._xlws.FILTER(_xlpm.vals, _xlpm.mask),
    _xlpm.minVal, MIN(_xlpm.validVals),
    IFERROR( _xlfn.XMATCH(_xlpm.minVal, _xlpm.vals), "" )
)</f>
        <v>4</v>
      </c>
      <c r="AJ118" cm="1">
        <f t="array" ref="AJ118">_xlfn.LET(
    _xlpm.vals, CHOOSE({1,2,3,4,5,6}, S118, V118, Y118, AB118, AE118, AH118),
    _xlpm.slopes, CHOOSE({1,2,3,4,5,6}, Q118, T118, W118, Z118, AC118, AF118),
    _xlpm.ints, CHOOSE({1,2,3,4,5,6}, R118, U118, X118, AA118, AD118, AG118),
    _xlpm.limit, -0.00001*_xlpm.slopes + 0.1086*_xlpm.slopes + 63.253,
    _xlpm.valid, (_xlpm.vals &gt;= 0) * (_xlpm.ints &lt;= _xlpm.limit),
    _xlpm.target, MIN(_xlfn._xlws.FILTER(_xlpm.vals, _xlpm.valid)),
    IFERROR(
        _xlfn.XLOOKUP(_xlpm.target, _xlpm.vals, _xlpm.vals),
        CHOOSE({1,2,3,4,5,6}, S$1, V$1, Y$1, AB$1, AE$1, AH$1)
    )
)</f>
        <v>0.40789762405788776</v>
      </c>
    </row>
    <row r="119" spans="9:36" x14ac:dyDescent="0.45">
      <c r="I119">
        <v>117</v>
      </c>
      <c r="J119">
        <v>21.3</v>
      </c>
      <c r="K119">
        <f t="shared" si="24"/>
        <v>21.3</v>
      </c>
      <c r="L119">
        <f t="shared" si="23"/>
        <v>5.9166666666666664E-3</v>
      </c>
      <c r="M119">
        <v>-1.05</v>
      </c>
      <c r="N119">
        <f t="shared" si="25"/>
        <v>0</v>
      </c>
      <c r="O119">
        <f t="shared" si="26"/>
        <v>276.79739336689664</v>
      </c>
      <c r="P119">
        <f t="shared" si="27"/>
        <v>885.75165877406926</v>
      </c>
      <c r="Q119">
        <f t="shared" si="28"/>
        <v>4056.7425971852372</v>
      </c>
      <c r="R119">
        <f t="shared" si="29"/>
        <v>0</v>
      </c>
      <c r="S119">
        <f t="shared" si="30"/>
        <v>2.0418191271197035</v>
      </c>
      <c r="T119">
        <f t="shared" si="31"/>
        <v>2621.8249099712448</v>
      </c>
      <c r="U119">
        <f t="shared" si="32"/>
        <v>0</v>
      </c>
      <c r="V119">
        <f t="shared" si="33"/>
        <v>0.75839149180761933</v>
      </c>
      <c r="W119">
        <f t="shared" si="34"/>
        <v>1691.7856682584722</v>
      </c>
      <c r="X119">
        <f t="shared" si="35"/>
        <v>0</v>
      </c>
      <c r="Y119">
        <f t="shared" si="36"/>
        <v>0.44883893129683383</v>
      </c>
      <c r="Z119">
        <f t="shared" si="37"/>
        <v>1275.4823886346596</v>
      </c>
      <c r="AA119">
        <f t="shared" si="38"/>
        <v>0</v>
      </c>
      <c r="AB119">
        <f t="shared" si="39"/>
        <v>0.36834099853159064</v>
      </c>
      <c r="AC119">
        <f t="shared" si="40"/>
        <v>6000</v>
      </c>
      <c r="AD119">
        <f t="shared" si="41"/>
        <v>0</v>
      </c>
      <c r="AE119">
        <f t="shared" si="42"/>
        <v>6.7000407999999982</v>
      </c>
      <c r="AF119">
        <f t="shared" si="43"/>
        <v>6000</v>
      </c>
      <c r="AG119">
        <f t="shared" si="44"/>
        <v>0</v>
      </c>
      <c r="AH119">
        <f t="shared" si="45"/>
        <v>6.7000407999999982</v>
      </c>
      <c r="AI119" cm="1">
        <f t="array" ref="AI119">_xlfn.LET(
    _xlpm.vals,   _xlfn.HSTACK(S119,V119,Y119,AB119,AE119,AH119),
    _xlpm.ints,   _xlfn.HSTACK(R119,U119,X119,AA119,AD119,AG119),
    _xlpm.slopes, _xlfn.HSTACK(Q119,T119,W119,Z119,AC119,AF119),
    _xlpm.limit,  -0.00001*_xlpm.slopes + 0.1086*_xlpm.slopes + 63.253,
    _xlpm.mask,   (_xlpm.vals&gt;=0) * (_xlpm.ints&lt;=_xlpm.limit),
    _xlpm.validVals, _xlfn._xlws.FILTER(_xlpm.vals, _xlpm.mask),
    _xlpm.minVal, MIN(_xlpm.validVals),
    IFERROR( _xlfn.XMATCH(_xlpm.minVal, _xlpm.vals), "" )
)</f>
        <v>4</v>
      </c>
      <c r="AJ119" cm="1">
        <f t="array" ref="AJ119">_xlfn.LET(
    _xlpm.vals, CHOOSE({1,2,3,4,5,6}, S119, V119, Y119, AB119, AE119, AH119),
    _xlpm.slopes, CHOOSE({1,2,3,4,5,6}, Q119, T119, W119, Z119, AC119, AF119),
    _xlpm.ints, CHOOSE({1,2,3,4,5,6}, R119, U119, X119, AA119, AD119, AG119),
    _xlpm.limit, -0.00001*_xlpm.slopes + 0.1086*_xlpm.slopes + 63.253,
    _xlpm.valid, (_xlpm.vals &gt;= 0) * (_xlpm.ints &lt;= _xlpm.limit),
    _xlpm.target, MIN(_xlfn._xlws.FILTER(_xlpm.vals, _xlpm.valid)),
    IFERROR(
        _xlfn.XLOOKUP(_xlpm.target, _xlpm.vals, _xlpm.vals),
        CHOOSE({1,2,3,4,5,6}, S$1, V$1, Y$1, AB$1, AE$1, AH$1)
    )
)</f>
        <v>0.36834099853159064</v>
      </c>
    </row>
    <row r="120" spans="9:36" x14ac:dyDescent="0.45">
      <c r="I120">
        <v>118</v>
      </c>
      <c r="J120">
        <v>18</v>
      </c>
      <c r="K120">
        <f t="shared" si="24"/>
        <v>18</v>
      </c>
      <c r="L120">
        <f t="shared" si="23"/>
        <v>5.0000000000000001E-3</v>
      </c>
      <c r="M120">
        <v>-0.87</v>
      </c>
      <c r="N120">
        <f t="shared" si="25"/>
        <v>0</v>
      </c>
      <c r="O120">
        <f t="shared" si="26"/>
        <v>233.91329016920844</v>
      </c>
      <c r="P120">
        <f t="shared" si="27"/>
        <v>748.52252854146707</v>
      </c>
      <c r="Q120">
        <f t="shared" si="28"/>
        <v>3428.2331807199193</v>
      </c>
      <c r="R120">
        <f t="shared" si="29"/>
        <v>0</v>
      </c>
      <c r="S120">
        <f t="shared" si="30"/>
        <v>1.3169493584681948</v>
      </c>
      <c r="T120">
        <f t="shared" si="31"/>
        <v>2215.6266844827423</v>
      </c>
      <c r="U120">
        <f t="shared" si="32"/>
        <v>0</v>
      </c>
      <c r="V120">
        <f t="shared" si="33"/>
        <v>0.59152128778162427</v>
      </c>
      <c r="W120">
        <f t="shared" si="34"/>
        <v>1429.6780295142021</v>
      </c>
      <c r="X120">
        <f t="shared" si="35"/>
        <v>0</v>
      </c>
      <c r="Y120">
        <f t="shared" si="36"/>
        <v>0.39628901867054278</v>
      </c>
      <c r="Z120">
        <f t="shared" si="37"/>
        <v>1077.8724410997124</v>
      </c>
      <c r="AA120">
        <f t="shared" si="38"/>
        <v>0</v>
      </c>
      <c r="AB120">
        <f t="shared" si="39"/>
        <v>0.33368275598589642</v>
      </c>
      <c r="AC120">
        <f t="shared" si="40"/>
        <v>6000</v>
      </c>
      <c r="AD120">
        <f t="shared" si="41"/>
        <v>0</v>
      </c>
      <c r="AE120">
        <f t="shared" si="42"/>
        <v>6.7000407999999982</v>
      </c>
      <c r="AF120">
        <f t="shared" si="43"/>
        <v>6000</v>
      </c>
      <c r="AG120">
        <f t="shared" si="44"/>
        <v>0</v>
      </c>
      <c r="AH120">
        <f t="shared" si="45"/>
        <v>6.7000407999999982</v>
      </c>
      <c r="AI120" cm="1">
        <f t="array" ref="AI120">_xlfn.LET(
    _xlpm.vals,   _xlfn.HSTACK(S120,V120,Y120,AB120,AE120,AH120),
    _xlpm.ints,   _xlfn.HSTACK(R120,U120,X120,AA120,AD120,AG120),
    _xlpm.slopes, _xlfn.HSTACK(Q120,T120,W120,Z120,AC120,AF120),
    _xlpm.limit,  -0.00001*_xlpm.slopes + 0.1086*_xlpm.slopes + 63.253,
    _xlpm.mask,   (_xlpm.vals&gt;=0) * (_xlpm.ints&lt;=_xlpm.limit),
    _xlpm.validVals, _xlfn._xlws.FILTER(_xlpm.vals, _xlpm.mask),
    _xlpm.minVal, MIN(_xlpm.validVals),
    IFERROR( _xlfn.XMATCH(_xlpm.minVal, _xlpm.vals), "" )
)</f>
        <v>4</v>
      </c>
      <c r="AJ120" cm="1">
        <f t="array" ref="AJ120">_xlfn.LET(
    _xlpm.vals, CHOOSE({1,2,3,4,5,6}, S120, V120, Y120, AB120, AE120, AH120),
    _xlpm.slopes, CHOOSE({1,2,3,4,5,6}, Q120, T120, W120, Z120, AC120, AF120),
    _xlpm.ints, CHOOSE({1,2,3,4,5,6}, R120, U120, X120, AA120, AD120, AG120),
    _xlpm.limit, -0.00001*_xlpm.slopes + 0.1086*_xlpm.slopes + 63.253,
    _xlpm.valid, (_xlpm.vals &gt;= 0) * (_xlpm.ints &lt;= _xlpm.limit),
    _xlpm.target, MIN(_xlfn._xlws.FILTER(_xlpm.vals, _xlpm.valid)),
    IFERROR(
        _xlfn.XLOOKUP(_xlpm.target, _xlpm.vals, _xlpm.vals),
        CHOOSE({1,2,3,4,5,6}, S$1, V$1, Y$1, AB$1, AE$1, AH$1)
    )
)</f>
        <v>0.33368275598589642</v>
      </c>
    </row>
    <row r="121" spans="9:36" x14ac:dyDescent="0.45">
      <c r="I121">
        <v>119</v>
      </c>
      <c r="J121">
        <v>14.9</v>
      </c>
      <c r="K121">
        <f t="shared" si="24"/>
        <v>14.9</v>
      </c>
      <c r="L121">
        <f t="shared" si="23"/>
        <v>4.138888888888889E-3</v>
      </c>
      <c r="M121">
        <v>-0.11</v>
      </c>
      <c r="N121">
        <f t="shared" si="25"/>
        <v>0</v>
      </c>
      <c r="O121">
        <f t="shared" si="26"/>
        <v>193.62822352895589</v>
      </c>
      <c r="P121">
        <f t="shared" si="27"/>
        <v>619.61031529265892</v>
      </c>
      <c r="Q121">
        <f t="shared" si="28"/>
        <v>2837.8152440403778</v>
      </c>
      <c r="R121">
        <f t="shared" si="29"/>
        <v>0</v>
      </c>
      <c r="S121">
        <f t="shared" si="30"/>
        <v>0.87453818466099142</v>
      </c>
      <c r="T121">
        <f t="shared" si="31"/>
        <v>1834.0465332662704</v>
      </c>
      <c r="U121">
        <f t="shared" si="32"/>
        <v>0</v>
      </c>
      <c r="V121">
        <f t="shared" si="33"/>
        <v>0.48156590164468727</v>
      </c>
      <c r="W121">
        <f t="shared" si="34"/>
        <v>1183.4557022089784</v>
      </c>
      <c r="X121">
        <f t="shared" si="35"/>
        <v>0</v>
      </c>
      <c r="Y121">
        <f t="shared" si="36"/>
        <v>0.35215391626047909</v>
      </c>
      <c r="Z121">
        <f t="shared" si="37"/>
        <v>6000</v>
      </c>
      <c r="AA121">
        <f t="shared" si="38"/>
        <v>0</v>
      </c>
      <c r="AB121">
        <f t="shared" si="39"/>
        <v>6.7000407999999982</v>
      </c>
      <c r="AC121">
        <f t="shared" si="40"/>
        <v>6000</v>
      </c>
      <c r="AD121">
        <f t="shared" si="41"/>
        <v>0</v>
      </c>
      <c r="AE121">
        <f t="shared" si="42"/>
        <v>6.7000407999999982</v>
      </c>
      <c r="AF121">
        <f t="shared" si="43"/>
        <v>6000</v>
      </c>
      <c r="AG121">
        <f t="shared" si="44"/>
        <v>0</v>
      </c>
      <c r="AH121">
        <f t="shared" si="45"/>
        <v>6.7000407999999982</v>
      </c>
      <c r="AI121" cm="1">
        <f t="array" ref="AI121">_xlfn.LET(
    _xlpm.vals,   _xlfn.HSTACK(S121,V121,Y121,AB121,AE121,AH121),
    _xlpm.ints,   _xlfn.HSTACK(R121,U121,X121,AA121,AD121,AG121),
    _xlpm.slopes, _xlfn.HSTACK(Q121,T121,W121,Z121,AC121,AF121),
    _xlpm.limit,  -0.00001*_xlpm.slopes + 0.1086*_xlpm.slopes + 63.253,
    _xlpm.mask,   (_xlpm.vals&gt;=0) * (_xlpm.ints&lt;=_xlpm.limit),
    _xlpm.validVals, _xlfn._xlws.FILTER(_xlpm.vals, _xlpm.mask),
    _xlpm.minVal, MIN(_xlpm.validVals),
    IFERROR( _xlfn.XMATCH(_xlpm.minVal, _xlpm.vals), "" )
)</f>
        <v>3</v>
      </c>
      <c r="AJ121" cm="1">
        <f t="array" ref="AJ121">_xlfn.LET(
    _xlpm.vals, CHOOSE({1,2,3,4,5,6}, S121, V121, Y121, AB121, AE121, AH121),
    _xlpm.slopes, CHOOSE({1,2,3,4,5,6}, Q121, T121, W121, Z121, AC121, AF121),
    _xlpm.ints, CHOOSE({1,2,3,4,5,6}, R121, U121, X121, AA121, AD121, AG121),
    _xlpm.limit, -0.00001*_xlpm.slopes + 0.1086*_xlpm.slopes + 63.253,
    _xlpm.valid, (_xlpm.vals &gt;= 0) * (_xlpm.ints &lt;= _xlpm.limit),
    _xlpm.target, MIN(_xlfn._xlws.FILTER(_xlpm.vals, _xlpm.valid)),
    IFERROR(
        _xlfn.XLOOKUP(_xlpm.target, _xlpm.vals, _xlpm.vals),
        CHOOSE({1,2,3,4,5,6}, S$1, V$1, Y$1, AB$1, AE$1, AH$1)
    )
)</f>
        <v>0.35215391626047909</v>
      </c>
    </row>
    <row r="122" spans="9:36" x14ac:dyDescent="0.45">
      <c r="I122">
        <v>120</v>
      </c>
      <c r="J122">
        <v>11.4</v>
      </c>
      <c r="K122">
        <f t="shared" si="24"/>
        <v>11.4</v>
      </c>
      <c r="L122">
        <f t="shared" si="23"/>
        <v>3.1666666666666666E-3</v>
      </c>
      <c r="M122">
        <v>-0.89</v>
      </c>
      <c r="N122">
        <f t="shared" si="25"/>
        <v>0</v>
      </c>
      <c r="O122">
        <f t="shared" si="26"/>
        <v>148.14508377383203</v>
      </c>
      <c r="P122">
        <f t="shared" si="27"/>
        <v>474.06426807626252</v>
      </c>
      <c r="Q122">
        <f t="shared" si="28"/>
        <v>2171.2143477892823</v>
      </c>
      <c r="R122">
        <f t="shared" si="29"/>
        <v>0</v>
      </c>
      <c r="S122">
        <f t="shared" si="30"/>
        <v>0.57671687752718381</v>
      </c>
      <c r="T122">
        <f t="shared" si="31"/>
        <v>1403.230233505737</v>
      </c>
      <c r="U122">
        <f t="shared" si="32"/>
        <v>0</v>
      </c>
      <c r="V122">
        <f t="shared" si="33"/>
        <v>0.3913861263063827</v>
      </c>
      <c r="W122">
        <f t="shared" si="34"/>
        <v>6000</v>
      </c>
      <c r="X122">
        <f t="shared" si="35"/>
        <v>0</v>
      </c>
      <c r="Y122">
        <f t="shared" si="36"/>
        <v>6.7000407999999982</v>
      </c>
      <c r="Z122">
        <f t="shared" si="37"/>
        <v>6000</v>
      </c>
      <c r="AA122">
        <f t="shared" si="38"/>
        <v>0</v>
      </c>
      <c r="AB122">
        <f t="shared" si="39"/>
        <v>6.7000407999999982</v>
      </c>
      <c r="AC122">
        <f t="shared" si="40"/>
        <v>6000</v>
      </c>
      <c r="AD122">
        <f t="shared" si="41"/>
        <v>0</v>
      </c>
      <c r="AE122">
        <f t="shared" si="42"/>
        <v>6.7000407999999982</v>
      </c>
      <c r="AF122">
        <f t="shared" si="43"/>
        <v>6000</v>
      </c>
      <c r="AG122">
        <f t="shared" si="44"/>
        <v>0</v>
      </c>
      <c r="AH122">
        <f t="shared" si="45"/>
        <v>6.7000407999999982</v>
      </c>
      <c r="AI122" cm="1">
        <f t="array" ref="AI122">_xlfn.LET(
    _xlpm.vals,   _xlfn.HSTACK(S122,V122,Y122,AB122,AE122,AH122),
    _xlpm.ints,   _xlfn.HSTACK(R122,U122,X122,AA122,AD122,AG122),
    _xlpm.slopes, _xlfn.HSTACK(Q122,T122,W122,Z122,AC122,AF122),
    _xlpm.limit,  -0.00001*_xlpm.slopes + 0.1086*_xlpm.slopes + 63.253,
    _xlpm.mask,   (_xlpm.vals&gt;=0) * (_xlpm.ints&lt;=_xlpm.limit),
    _xlpm.validVals, _xlfn._xlws.FILTER(_xlpm.vals, _xlpm.mask),
    _xlpm.minVal, MIN(_xlpm.validVals),
    IFERROR( _xlfn.XMATCH(_xlpm.minVal, _xlpm.vals), "" )
)</f>
        <v>2</v>
      </c>
      <c r="AJ122" cm="1">
        <f t="array" ref="AJ122">_xlfn.LET(
    _xlpm.vals, CHOOSE({1,2,3,4,5,6}, S122, V122, Y122, AB122, AE122, AH122),
    _xlpm.slopes, CHOOSE({1,2,3,4,5,6}, Q122, T122, W122, Z122, AC122, AF122),
    _xlpm.ints, CHOOSE({1,2,3,4,5,6}, R122, U122, X122, AA122, AD122, AG122),
    _xlpm.limit, -0.00001*_xlpm.slopes + 0.1086*_xlpm.slopes + 63.253,
    _xlpm.valid, (_xlpm.vals &gt;= 0) * (_xlpm.ints &lt;= _xlpm.limit),
    _xlpm.target, MIN(_xlfn._xlws.FILTER(_xlpm.vals, _xlpm.valid)),
    IFERROR(
        _xlfn.XLOOKUP(_xlpm.target, _xlpm.vals, _xlpm.vals),
        CHOOSE({1,2,3,4,5,6}, S$1, V$1, Y$1, AB$1, AE$1, AH$1)
    )
)</f>
        <v>0.3913861263063827</v>
      </c>
    </row>
    <row r="123" spans="9:36" x14ac:dyDescent="0.45">
      <c r="I123">
        <v>121</v>
      </c>
      <c r="J123">
        <v>8.1999999999999993</v>
      </c>
      <c r="K123">
        <f t="shared" si="24"/>
        <v>8.1999999999999993</v>
      </c>
      <c r="L123">
        <f t="shared" si="23"/>
        <v>2.2777777777777774E-3</v>
      </c>
      <c r="M123">
        <v>-0.45</v>
      </c>
      <c r="N123">
        <f t="shared" si="25"/>
        <v>0</v>
      </c>
      <c r="O123">
        <f t="shared" si="26"/>
        <v>106.56049885486161</v>
      </c>
      <c r="P123">
        <f t="shared" si="27"/>
        <v>340.99359633555719</v>
      </c>
      <c r="Q123">
        <f t="shared" si="28"/>
        <v>1561.750671216852</v>
      </c>
      <c r="R123">
        <f t="shared" si="29"/>
        <v>0</v>
      </c>
      <c r="S123">
        <f t="shared" si="30"/>
        <v>0.42173790554200474</v>
      </c>
      <c r="T123">
        <f t="shared" si="31"/>
        <v>1009.3410451532493</v>
      </c>
      <c r="U123">
        <f t="shared" si="32"/>
        <v>0</v>
      </c>
      <c r="V123">
        <f t="shared" si="33"/>
        <v>0.3215982014248191</v>
      </c>
      <c r="W123">
        <f t="shared" si="34"/>
        <v>6000</v>
      </c>
      <c r="X123">
        <f t="shared" si="35"/>
        <v>0</v>
      </c>
      <c r="Y123">
        <f t="shared" si="36"/>
        <v>6.7000407999999982</v>
      </c>
      <c r="Z123">
        <f t="shared" si="37"/>
        <v>6000</v>
      </c>
      <c r="AA123">
        <f t="shared" si="38"/>
        <v>0</v>
      </c>
      <c r="AB123">
        <f t="shared" si="39"/>
        <v>6.7000407999999982</v>
      </c>
      <c r="AC123">
        <f t="shared" si="40"/>
        <v>6000</v>
      </c>
      <c r="AD123">
        <f t="shared" si="41"/>
        <v>0</v>
      </c>
      <c r="AE123">
        <f t="shared" si="42"/>
        <v>6.7000407999999982</v>
      </c>
      <c r="AF123">
        <f t="shared" si="43"/>
        <v>6000</v>
      </c>
      <c r="AG123">
        <f t="shared" si="44"/>
        <v>0</v>
      </c>
      <c r="AH123">
        <f t="shared" si="45"/>
        <v>6.7000407999999982</v>
      </c>
      <c r="AI123" cm="1">
        <f t="array" ref="AI123">_xlfn.LET(
    _xlpm.vals,   _xlfn.HSTACK(S123,V123,Y123,AB123,AE123,AH123),
    _xlpm.ints,   _xlfn.HSTACK(R123,U123,X123,AA123,AD123,AG123),
    _xlpm.slopes, _xlfn.HSTACK(Q123,T123,W123,Z123,AC123,AF123),
    _xlpm.limit,  -0.00001*_xlpm.slopes + 0.1086*_xlpm.slopes + 63.253,
    _xlpm.mask,   (_xlpm.vals&gt;=0) * (_xlpm.ints&lt;=_xlpm.limit),
    _xlpm.validVals, _xlfn._xlws.FILTER(_xlpm.vals, _xlpm.mask),
    _xlpm.minVal, MIN(_xlpm.validVals),
    IFERROR( _xlfn.XMATCH(_xlpm.minVal, _xlpm.vals), "" )
)</f>
        <v>2</v>
      </c>
      <c r="AJ123" cm="1">
        <f t="array" ref="AJ123">_xlfn.LET(
    _xlpm.vals, CHOOSE({1,2,3,4,5,6}, S123, V123, Y123, AB123, AE123, AH123),
    _xlpm.slopes, CHOOSE({1,2,3,4,5,6}, Q123, T123, W123, Z123, AC123, AF123),
    _xlpm.ints, CHOOSE({1,2,3,4,5,6}, R123, U123, X123, AA123, AD123, AG123),
    _xlpm.limit, -0.00001*_xlpm.slopes + 0.1086*_xlpm.slopes + 63.253,
    _xlpm.valid, (_xlpm.vals &gt;= 0) * (_xlpm.ints &lt;= _xlpm.limit),
    _xlpm.target, MIN(_xlfn._xlws.FILTER(_xlpm.vals, _xlpm.valid)),
    IFERROR(
        _xlfn.XLOOKUP(_xlpm.target, _xlpm.vals, _xlpm.vals),
        CHOOSE({1,2,3,4,5,6}, S$1, V$1, Y$1, AB$1, AE$1, AH$1)
    )
)</f>
        <v>0.3215982014248191</v>
      </c>
    </row>
    <row r="124" spans="9:36" x14ac:dyDescent="0.45">
      <c r="I124">
        <v>122</v>
      </c>
      <c r="J124">
        <v>4.8</v>
      </c>
      <c r="K124">
        <f t="shared" si="24"/>
        <v>4.8</v>
      </c>
      <c r="L124">
        <f t="shared" si="23"/>
        <v>1.3333333333333333E-3</v>
      </c>
      <c r="M124">
        <v>0.76</v>
      </c>
      <c r="N124">
        <f t="shared" si="25"/>
        <v>0.76</v>
      </c>
      <c r="O124">
        <f t="shared" si="26"/>
        <v>62.376877378455568</v>
      </c>
      <c r="P124">
        <f t="shared" si="27"/>
        <v>199.60600761105783</v>
      </c>
      <c r="Q124">
        <f t="shared" si="28"/>
        <v>1000</v>
      </c>
      <c r="R124">
        <f t="shared" si="29"/>
        <v>7.2574654049904277</v>
      </c>
      <c r="S124">
        <f t="shared" si="30"/>
        <v>0.36449414199242058</v>
      </c>
      <c r="T124">
        <f t="shared" si="31"/>
        <v>6000</v>
      </c>
      <c r="U124">
        <f t="shared" si="32"/>
        <v>1.2095775674984046</v>
      </c>
      <c r="V124">
        <f t="shared" si="33"/>
        <v>6.7075288024362294</v>
      </c>
      <c r="W124">
        <f t="shared" si="34"/>
        <v>6000</v>
      </c>
      <c r="X124">
        <f t="shared" si="35"/>
        <v>1.2095775674984046</v>
      </c>
      <c r="Y124">
        <f t="shared" si="36"/>
        <v>6.7075288024362294</v>
      </c>
      <c r="Z124">
        <f t="shared" si="37"/>
        <v>6000</v>
      </c>
      <c r="AA124">
        <f t="shared" si="38"/>
        <v>1.2095775674984046</v>
      </c>
      <c r="AB124">
        <f t="shared" si="39"/>
        <v>6.7075288024362294</v>
      </c>
      <c r="AC124">
        <f t="shared" si="40"/>
        <v>6000</v>
      </c>
      <c r="AD124">
        <f t="shared" si="41"/>
        <v>1.2095775674984046</v>
      </c>
      <c r="AE124">
        <f t="shared" si="42"/>
        <v>6.7075288024362294</v>
      </c>
      <c r="AF124">
        <f t="shared" si="43"/>
        <v>6000</v>
      </c>
      <c r="AG124">
        <f t="shared" si="44"/>
        <v>1.2095775674984046</v>
      </c>
      <c r="AH124">
        <f t="shared" si="45"/>
        <v>6.7075288024362294</v>
      </c>
      <c r="AI124" cm="1">
        <f t="array" ref="AI124">_xlfn.LET(
    _xlpm.vals,   _xlfn.HSTACK(S124,V124,Y124,AB124,AE124,AH124),
    _xlpm.ints,   _xlfn.HSTACK(R124,U124,X124,AA124,AD124,AG124),
    _xlpm.slopes, _xlfn.HSTACK(Q124,T124,W124,Z124,AC124,AF124),
    _xlpm.limit,  -0.00001*_xlpm.slopes + 0.1086*_xlpm.slopes + 63.253,
    _xlpm.mask,   (_xlpm.vals&gt;=0) * (_xlpm.ints&lt;=_xlpm.limit),
    _xlpm.validVals, _xlfn._xlws.FILTER(_xlpm.vals, _xlpm.mask),
    _xlpm.minVal, MIN(_xlpm.validVals),
    IFERROR( _xlfn.XMATCH(_xlpm.minVal, _xlpm.vals), "" )
)</f>
        <v>1</v>
      </c>
      <c r="AJ124" cm="1">
        <f t="array" ref="AJ124">_xlfn.LET(
    _xlpm.vals, CHOOSE({1,2,3,4,5,6}, S124, V124, Y124, AB124, AE124, AH124),
    _xlpm.slopes, CHOOSE({1,2,3,4,5,6}, Q124, T124, W124, Z124, AC124, AF124),
    _xlpm.ints, CHOOSE({1,2,3,4,5,6}, R124, U124, X124, AA124, AD124, AG124),
    _xlpm.limit, -0.00001*_xlpm.slopes + 0.1086*_xlpm.slopes + 63.253,
    _xlpm.valid, (_xlpm.vals &gt;= 0) * (_xlpm.ints &lt;= _xlpm.limit),
    _xlpm.target, MIN(_xlfn._xlws.FILTER(_xlpm.vals, _xlpm.valid)),
    IFERROR(
        _xlfn.XLOOKUP(_xlpm.target, _xlpm.vals, _xlpm.vals),
        CHOOSE({1,2,3,4,5,6}, S$1, V$1, Y$1, AB$1, AE$1, AH$1)
    )
)</f>
        <v>0.36449414199242058</v>
      </c>
    </row>
    <row r="125" spans="9:36" x14ac:dyDescent="0.45">
      <c r="I125">
        <v>123</v>
      </c>
      <c r="J125">
        <v>1.9</v>
      </c>
      <c r="K125">
        <f t="shared" si="24"/>
        <v>1.9</v>
      </c>
      <c r="L125">
        <f t="shared" si="23"/>
        <v>5.2777777777777773E-4</v>
      </c>
      <c r="M125">
        <v>0.94</v>
      </c>
      <c r="N125">
        <f t="shared" si="25"/>
        <v>0.94</v>
      </c>
      <c r="O125">
        <f t="shared" si="26"/>
        <v>24.690847295638665</v>
      </c>
      <c r="P125">
        <f t="shared" si="27"/>
        <v>79.010711346043735</v>
      </c>
      <c r="Q125">
        <f t="shared" si="28"/>
        <v>1000</v>
      </c>
      <c r="R125">
        <f t="shared" si="29"/>
        <v>8.9763387903828971</v>
      </c>
      <c r="S125">
        <f t="shared" si="30"/>
        <v>0.37597381066607521</v>
      </c>
      <c r="T125">
        <f t="shared" si="31"/>
        <v>6000</v>
      </c>
      <c r="U125">
        <f t="shared" si="32"/>
        <v>1.4960564650638162</v>
      </c>
      <c r="V125">
        <f t="shared" si="33"/>
        <v>6.7093735867418705</v>
      </c>
      <c r="W125">
        <f t="shared" si="34"/>
        <v>6000</v>
      </c>
      <c r="X125">
        <f t="shared" si="35"/>
        <v>1.4960564650638162</v>
      </c>
      <c r="Y125">
        <f t="shared" si="36"/>
        <v>6.7093735867418705</v>
      </c>
      <c r="Z125">
        <f t="shared" si="37"/>
        <v>6000</v>
      </c>
      <c r="AA125">
        <f t="shared" si="38"/>
        <v>1.4960564650638162</v>
      </c>
      <c r="AB125">
        <f t="shared" si="39"/>
        <v>6.7093735867418705</v>
      </c>
      <c r="AC125">
        <f t="shared" si="40"/>
        <v>6000</v>
      </c>
      <c r="AD125">
        <f t="shared" si="41"/>
        <v>1.4960564650638162</v>
      </c>
      <c r="AE125">
        <f t="shared" si="42"/>
        <v>6.7093735867418705</v>
      </c>
      <c r="AF125">
        <f t="shared" si="43"/>
        <v>6000</v>
      </c>
      <c r="AG125">
        <f t="shared" si="44"/>
        <v>1.4960564650638162</v>
      </c>
      <c r="AH125">
        <f t="shared" si="45"/>
        <v>6.7093735867418705</v>
      </c>
      <c r="AI125" cm="1">
        <f t="array" ref="AI125">_xlfn.LET(
    _xlpm.vals,   _xlfn.HSTACK(S125,V125,Y125,AB125,AE125,AH125),
    _xlpm.ints,   _xlfn.HSTACK(R125,U125,X125,AA125,AD125,AG125),
    _xlpm.slopes, _xlfn.HSTACK(Q125,T125,W125,Z125,AC125,AF125),
    _xlpm.limit,  -0.00001*_xlpm.slopes + 0.1086*_xlpm.slopes + 63.253,
    _xlpm.mask,   (_xlpm.vals&gt;=0) * (_xlpm.ints&lt;=_xlpm.limit),
    _xlpm.validVals, _xlfn._xlws.FILTER(_xlpm.vals, _xlpm.mask),
    _xlpm.minVal, MIN(_xlpm.validVals),
    IFERROR( _xlfn.XMATCH(_xlpm.minVal, _xlpm.vals), "" )
)</f>
        <v>1</v>
      </c>
      <c r="AJ125" cm="1">
        <f t="array" ref="AJ125">_xlfn.LET(
    _xlpm.vals, CHOOSE({1,2,3,4,5,6}, S125, V125, Y125, AB125, AE125, AH125),
    _xlpm.slopes, CHOOSE({1,2,3,4,5,6}, Q125, T125, W125, Z125, AC125, AF125),
    _xlpm.ints, CHOOSE({1,2,3,4,5,6}, R125, U125, X125, AA125, AD125, AG125),
    _xlpm.limit, -0.00001*_xlpm.slopes + 0.1086*_xlpm.slopes + 63.253,
    _xlpm.valid, (_xlpm.vals &gt;= 0) * (_xlpm.ints &lt;= _xlpm.limit),
    _xlpm.target, MIN(_xlfn._xlws.FILTER(_xlpm.vals, _xlpm.valid)),
    IFERROR(
        _xlfn.XLOOKUP(_xlpm.target, _xlpm.vals, _xlpm.vals),
        CHOOSE({1,2,3,4,5,6}, S$1, V$1, Y$1, AB$1, AE$1, AH$1)
    )
)</f>
        <v>0.37597381066607521</v>
      </c>
    </row>
    <row r="126" spans="9:36" x14ac:dyDescent="0.45">
      <c r="I126">
        <v>124</v>
      </c>
      <c r="J126">
        <v>-0.1</v>
      </c>
      <c r="K126">
        <f t="shared" si="24"/>
        <v>0</v>
      </c>
      <c r="L126">
        <f t="shared" si="23"/>
        <v>0</v>
      </c>
      <c r="M126">
        <v>1.36</v>
      </c>
      <c r="N126">
        <f t="shared" si="25"/>
        <v>1.36</v>
      </c>
      <c r="O126">
        <f t="shared" si="26"/>
        <v>0</v>
      </c>
      <c r="P126">
        <f t="shared" si="27"/>
        <v>0</v>
      </c>
      <c r="Q126">
        <f t="shared" si="28"/>
        <v>1000</v>
      </c>
      <c r="R126">
        <f t="shared" si="29"/>
        <v>12.987043356298662</v>
      </c>
      <c r="S126">
        <f t="shared" si="30"/>
        <v>0.40403668247424895</v>
      </c>
      <c r="T126">
        <f t="shared" si="31"/>
        <v>6000</v>
      </c>
      <c r="U126">
        <f t="shared" si="32"/>
        <v>2.1645072260497766</v>
      </c>
      <c r="V126">
        <f t="shared" si="33"/>
        <v>6.7137838093919529</v>
      </c>
      <c r="W126">
        <f t="shared" si="34"/>
        <v>6000</v>
      </c>
      <c r="X126">
        <f t="shared" si="35"/>
        <v>2.1645072260497766</v>
      </c>
      <c r="Y126">
        <f t="shared" si="36"/>
        <v>6.7137838093919529</v>
      </c>
      <c r="Z126">
        <f t="shared" si="37"/>
        <v>6000</v>
      </c>
      <c r="AA126">
        <f t="shared" si="38"/>
        <v>2.1645072260497766</v>
      </c>
      <c r="AB126">
        <f t="shared" si="39"/>
        <v>6.7137838093919529</v>
      </c>
      <c r="AC126">
        <f t="shared" si="40"/>
        <v>6000</v>
      </c>
      <c r="AD126">
        <f t="shared" si="41"/>
        <v>2.1645072260497766</v>
      </c>
      <c r="AE126">
        <f t="shared" si="42"/>
        <v>6.7137838093919529</v>
      </c>
      <c r="AF126">
        <f t="shared" si="43"/>
        <v>6000</v>
      </c>
      <c r="AG126">
        <f t="shared" si="44"/>
        <v>2.1645072260497766</v>
      </c>
      <c r="AH126">
        <f t="shared" si="45"/>
        <v>6.7137838093919529</v>
      </c>
      <c r="AI126" cm="1">
        <f t="array" ref="AI126">_xlfn.LET(
    _xlpm.vals,   _xlfn.HSTACK(S126,V126,Y126,AB126,AE126,AH126),
    _xlpm.ints,   _xlfn.HSTACK(R126,U126,X126,AA126,AD126,AG126),
    _xlpm.slopes, _xlfn.HSTACK(Q126,T126,W126,Z126,AC126,AF126),
    _xlpm.limit,  -0.00001*_xlpm.slopes + 0.1086*_xlpm.slopes + 63.253,
    _xlpm.mask,   (_xlpm.vals&gt;=0) * (_xlpm.ints&lt;=_xlpm.limit),
    _xlpm.validVals, _xlfn._xlws.FILTER(_xlpm.vals, _xlpm.mask),
    _xlpm.minVal, MIN(_xlpm.validVals),
    IFERROR( _xlfn.XMATCH(_xlpm.minVal, _xlpm.vals), "" )
)</f>
        <v>1</v>
      </c>
      <c r="AJ126" cm="1">
        <f t="array" ref="AJ126">_xlfn.LET(
    _xlpm.vals, CHOOSE({1,2,3,4,5,6}, S126, V126, Y126, AB126, AE126, AH126),
    _xlpm.slopes, CHOOSE({1,2,3,4,5,6}, Q126, T126, W126, Z126, AC126, AF126),
    _xlpm.ints, CHOOSE({1,2,3,4,5,6}, R126, U126, X126, AA126, AD126, AG126),
    _xlpm.limit, -0.00001*_xlpm.slopes + 0.1086*_xlpm.slopes + 63.253,
    _xlpm.valid, (_xlpm.vals &gt;= 0) * (_xlpm.ints &lt;= _xlpm.limit),
    _xlpm.target, MIN(_xlfn._xlws.FILTER(_xlpm.vals, _xlpm.valid)),
    IFERROR(
        _xlfn.XLOOKUP(_xlpm.target, _xlpm.vals, _xlpm.vals),
        CHOOSE({1,2,3,4,5,6}, S$1, V$1, Y$1, AB$1, AE$1, AH$1)
    )
)</f>
        <v>0.40403668247424895</v>
      </c>
    </row>
    <row r="127" spans="9:36" x14ac:dyDescent="0.45">
      <c r="I127">
        <v>125</v>
      </c>
      <c r="J127">
        <v>0</v>
      </c>
      <c r="K127">
        <f t="shared" si="24"/>
        <v>0</v>
      </c>
      <c r="L127">
        <f t="shared" si="23"/>
        <v>0</v>
      </c>
      <c r="M127">
        <v>0.85</v>
      </c>
      <c r="N127">
        <f t="shared" si="25"/>
        <v>0.85</v>
      </c>
      <c r="O127">
        <f t="shared" si="26"/>
        <v>0</v>
      </c>
      <c r="P127">
        <f t="shared" si="27"/>
        <v>0</v>
      </c>
      <c r="Q127">
        <f t="shared" si="28"/>
        <v>1000</v>
      </c>
      <c r="R127">
        <f t="shared" si="29"/>
        <v>8.1169020976866637</v>
      </c>
      <c r="S127">
        <f t="shared" si="30"/>
        <v>0.37019167955230636</v>
      </c>
      <c r="T127">
        <f t="shared" si="31"/>
        <v>6000</v>
      </c>
      <c r="U127">
        <f t="shared" si="32"/>
        <v>1.3528170162811104</v>
      </c>
      <c r="V127">
        <f t="shared" si="33"/>
        <v>6.7084477904634747</v>
      </c>
      <c r="W127">
        <f t="shared" si="34"/>
        <v>6000</v>
      </c>
      <c r="X127">
        <f t="shared" si="35"/>
        <v>1.3528170162811104</v>
      </c>
      <c r="Y127">
        <f t="shared" si="36"/>
        <v>6.7084477904634747</v>
      </c>
      <c r="Z127">
        <f t="shared" si="37"/>
        <v>6000</v>
      </c>
      <c r="AA127">
        <f t="shared" si="38"/>
        <v>1.3528170162811104</v>
      </c>
      <c r="AB127">
        <f t="shared" si="39"/>
        <v>6.7084477904634747</v>
      </c>
      <c r="AC127">
        <f t="shared" si="40"/>
        <v>6000</v>
      </c>
      <c r="AD127">
        <f t="shared" si="41"/>
        <v>1.3528170162811104</v>
      </c>
      <c r="AE127">
        <f t="shared" si="42"/>
        <v>6.7084477904634747</v>
      </c>
      <c r="AF127">
        <f t="shared" si="43"/>
        <v>6000</v>
      </c>
      <c r="AG127">
        <f t="shared" si="44"/>
        <v>1.3528170162811104</v>
      </c>
      <c r="AH127">
        <f t="shared" si="45"/>
        <v>6.7084477904634747</v>
      </c>
      <c r="AI127" cm="1">
        <f t="array" ref="AI127">_xlfn.LET(
    _xlpm.vals,   _xlfn.HSTACK(S127,V127,Y127,AB127,AE127,AH127),
    _xlpm.ints,   _xlfn.HSTACK(R127,U127,X127,AA127,AD127,AG127),
    _xlpm.slopes, _xlfn.HSTACK(Q127,T127,W127,Z127,AC127,AF127),
    _xlpm.limit,  -0.00001*_xlpm.slopes + 0.1086*_xlpm.slopes + 63.253,
    _xlpm.mask,   (_xlpm.vals&gt;=0) * (_xlpm.ints&lt;=_xlpm.limit),
    _xlpm.validVals, _xlfn._xlws.FILTER(_xlpm.vals, _xlpm.mask),
    _xlpm.minVal, MIN(_xlpm.validVals),
    IFERROR( _xlfn.XMATCH(_xlpm.minVal, _xlpm.vals), "" )
)</f>
        <v>1</v>
      </c>
      <c r="AJ127" cm="1">
        <f t="array" ref="AJ127">_xlfn.LET(
    _xlpm.vals, CHOOSE({1,2,3,4,5,6}, S127, V127, Y127, AB127, AE127, AH127),
    _xlpm.slopes, CHOOSE({1,2,3,4,5,6}, Q127, T127, W127, Z127, AC127, AF127),
    _xlpm.ints, CHOOSE({1,2,3,4,5,6}, R127, U127, X127, AA127, AD127, AG127),
    _xlpm.limit, -0.00001*_xlpm.slopes + 0.1086*_xlpm.slopes + 63.253,
    _xlpm.valid, (_xlpm.vals &gt;= 0) * (_xlpm.ints &lt;= _xlpm.limit),
    _xlpm.target, MIN(_xlfn._xlws.FILTER(_xlpm.vals, _xlpm.valid)),
    IFERROR(
        _xlfn.XLOOKUP(_xlpm.target, _xlpm.vals, _xlpm.vals),
        CHOOSE({1,2,3,4,5,6}, S$1, V$1, Y$1, AB$1, AE$1, AH$1)
    )
)</f>
        <v>0.37019167955230636</v>
      </c>
    </row>
    <row r="128" spans="9:36" x14ac:dyDescent="0.45">
      <c r="I128">
        <v>126</v>
      </c>
      <c r="J128">
        <v>0</v>
      </c>
      <c r="K128">
        <f t="shared" si="24"/>
        <v>0</v>
      </c>
      <c r="L128">
        <f t="shared" si="23"/>
        <v>0</v>
      </c>
      <c r="M128">
        <v>0.41</v>
      </c>
      <c r="N128">
        <f t="shared" si="25"/>
        <v>0.41</v>
      </c>
      <c r="O128">
        <f t="shared" si="26"/>
        <v>0</v>
      </c>
      <c r="P128">
        <f t="shared" si="27"/>
        <v>0</v>
      </c>
      <c r="Q128">
        <f t="shared" si="28"/>
        <v>1000</v>
      </c>
      <c r="R128">
        <f t="shared" si="29"/>
        <v>3.9152116000606259</v>
      </c>
      <c r="S128">
        <f t="shared" si="30"/>
        <v>0.34316593054057326</v>
      </c>
      <c r="T128">
        <f t="shared" si="31"/>
        <v>6000</v>
      </c>
      <c r="U128">
        <f t="shared" si="32"/>
        <v>0.65253526667677086</v>
      </c>
      <c r="V128">
        <f t="shared" si="33"/>
        <v>6.7040197949559364</v>
      </c>
      <c r="W128">
        <f t="shared" si="34"/>
        <v>6000</v>
      </c>
      <c r="X128">
        <f t="shared" si="35"/>
        <v>0.65253526667677086</v>
      </c>
      <c r="Y128">
        <f t="shared" si="36"/>
        <v>6.7040197949559364</v>
      </c>
      <c r="Z128">
        <f t="shared" si="37"/>
        <v>6000</v>
      </c>
      <c r="AA128">
        <f t="shared" si="38"/>
        <v>0.65253526667677086</v>
      </c>
      <c r="AB128">
        <f t="shared" si="39"/>
        <v>6.7040197949559364</v>
      </c>
      <c r="AC128">
        <f t="shared" si="40"/>
        <v>6000</v>
      </c>
      <c r="AD128">
        <f t="shared" si="41"/>
        <v>0.65253526667677086</v>
      </c>
      <c r="AE128">
        <f t="shared" si="42"/>
        <v>6.7040197949559364</v>
      </c>
      <c r="AF128">
        <f t="shared" si="43"/>
        <v>6000</v>
      </c>
      <c r="AG128">
        <f t="shared" si="44"/>
        <v>0.65253526667677086</v>
      </c>
      <c r="AH128">
        <f t="shared" si="45"/>
        <v>6.7040197949559364</v>
      </c>
      <c r="AI128" cm="1">
        <f t="array" ref="AI128">_xlfn.LET(
    _xlpm.vals,   _xlfn.HSTACK(S128,V128,Y128,AB128,AE128,AH128),
    _xlpm.ints,   _xlfn.HSTACK(R128,U128,X128,AA128,AD128,AG128),
    _xlpm.slopes, _xlfn.HSTACK(Q128,T128,W128,Z128,AC128,AF128),
    _xlpm.limit,  -0.00001*_xlpm.slopes + 0.1086*_xlpm.slopes + 63.253,
    _xlpm.mask,   (_xlpm.vals&gt;=0) * (_xlpm.ints&lt;=_xlpm.limit),
    _xlpm.validVals, _xlfn._xlws.FILTER(_xlpm.vals, _xlpm.mask),
    _xlpm.minVal, MIN(_xlpm.validVals),
    IFERROR( _xlfn.XMATCH(_xlpm.minVal, _xlpm.vals), "" )
)</f>
        <v>1</v>
      </c>
      <c r="AJ128" cm="1">
        <f t="array" ref="AJ128">_xlfn.LET(
    _xlpm.vals, CHOOSE({1,2,3,4,5,6}, S128, V128, Y128, AB128, AE128, AH128),
    _xlpm.slopes, CHOOSE({1,2,3,4,5,6}, Q128, T128, W128, Z128, AC128, AF128),
    _xlpm.ints, CHOOSE({1,2,3,4,5,6}, R128, U128, X128, AA128, AD128, AG128),
    _xlpm.limit, -0.00001*_xlpm.slopes + 0.1086*_xlpm.slopes + 63.253,
    _xlpm.valid, (_xlpm.vals &gt;= 0) * (_xlpm.ints &lt;= _xlpm.limit),
    _xlpm.target, MIN(_xlfn._xlws.FILTER(_xlpm.vals, _xlpm.valid)),
    IFERROR(
        _xlfn.XLOOKUP(_xlpm.target, _xlpm.vals, _xlpm.vals),
        CHOOSE({1,2,3,4,5,6}, S$1, V$1, Y$1, AB$1, AE$1, AH$1)
    )
)</f>
        <v>0.34316593054057326</v>
      </c>
    </row>
    <row r="129" spans="9:36" x14ac:dyDescent="0.45">
      <c r="I129">
        <v>127</v>
      </c>
      <c r="J129">
        <v>0</v>
      </c>
      <c r="K129">
        <f t="shared" si="24"/>
        <v>0</v>
      </c>
      <c r="L129">
        <f t="shared" si="23"/>
        <v>0</v>
      </c>
      <c r="M129">
        <v>1.05</v>
      </c>
      <c r="N129">
        <f t="shared" si="25"/>
        <v>1.05</v>
      </c>
      <c r="O129">
        <f t="shared" si="26"/>
        <v>0</v>
      </c>
      <c r="P129">
        <f t="shared" si="27"/>
        <v>0</v>
      </c>
      <c r="Q129">
        <f t="shared" si="28"/>
        <v>1000</v>
      </c>
      <c r="R129">
        <f t="shared" si="29"/>
        <v>10.026761414789407</v>
      </c>
      <c r="S129">
        <f t="shared" si="30"/>
        <v>0.38315380779630781</v>
      </c>
      <c r="T129">
        <f t="shared" si="31"/>
        <v>6000</v>
      </c>
      <c r="U129">
        <f t="shared" si="32"/>
        <v>1.6711269024649011</v>
      </c>
      <c r="V129">
        <f t="shared" si="33"/>
        <v>6.7105143523546333</v>
      </c>
      <c r="W129">
        <f t="shared" si="34"/>
        <v>6000</v>
      </c>
      <c r="X129">
        <f t="shared" si="35"/>
        <v>1.6711269024649011</v>
      </c>
      <c r="Y129">
        <f t="shared" si="36"/>
        <v>6.7105143523546333</v>
      </c>
      <c r="Z129">
        <f t="shared" si="37"/>
        <v>6000</v>
      </c>
      <c r="AA129">
        <f t="shared" si="38"/>
        <v>1.6711269024649011</v>
      </c>
      <c r="AB129">
        <f t="shared" si="39"/>
        <v>6.7105143523546333</v>
      </c>
      <c r="AC129">
        <f t="shared" si="40"/>
        <v>6000</v>
      </c>
      <c r="AD129">
        <f t="shared" si="41"/>
        <v>1.6711269024649011</v>
      </c>
      <c r="AE129">
        <f t="shared" si="42"/>
        <v>6.7105143523546333</v>
      </c>
      <c r="AF129">
        <f t="shared" si="43"/>
        <v>6000</v>
      </c>
      <c r="AG129">
        <f t="shared" si="44"/>
        <v>1.6711269024649011</v>
      </c>
      <c r="AH129">
        <f t="shared" si="45"/>
        <v>6.7105143523546333</v>
      </c>
      <c r="AI129" cm="1">
        <f t="array" ref="AI129">_xlfn.LET(
    _xlpm.vals,   _xlfn.HSTACK(S129,V129,Y129,AB129,AE129,AH129),
    _xlpm.ints,   _xlfn.HSTACK(R129,U129,X129,AA129,AD129,AG129),
    _xlpm.slopes, _xlfn.HSTACK(Q129,T129,W129,Z129,AC129,AF129),
    _xlpm.limit,  -0.00001*_xlpm.slopes + 0.1086*_xlpm.slopes + 63.253,
    _xlpm.mask,   (_xlpm.vals&gt;=0) * (_xlpm.ints&lt;=_xlpm.limit),
    _xlpm.validVals, _xlfn._xlws.FILTER(_xlpm.vals, _xlpm.mask),
    _xlpm.minVal, MIN(_xlpm.validVals),
    IFERROR( _xlfn.XMATCH(_xlpm.minVal, _xlpm.vals), "" )
)</f>
        <v>1</v>
      </c>
      <c r="AJ129" cm="1">
        <f t="array" ref="AJ129">_xlfn.LET(
    _xlpm.vals, CHOOSE({1,2,3,4,5,6}, S129, V129, Y129, AB129, AE129, AH129),
    _xlpm.slopes, CHOOSE({1,2,3,4,5,6}, Q129, T129, W129, Z129, AC129, AF129),
    _xlpm.ints, CHOOSE({1,2,3,4,5,6}, R129, U129, X129, AA129, AD129, AG129),
    _xlpm.limit, -0.00001*_xlpm.slopes + 0.1086*_xlpm.slopes + 63.253,
    _xlpm.valid, (_xlpm.vals &gt;= 0) * (_xlpm.ints &lt;= _xlpm.limit),
    _xlpm.target, MIN(_xlfn._xlws.FILTER(_xlpm.vals, _xlpm.valid)),
    IFERROR(
        _xlfn.XLOOKUP(_xlpm.target, _xlpm.vals, _xlpm.vals),
        CHOOSE({1,2,3,4,5,6}, S$1, V$1, Y$1, AB$1, AE$1, AH$1)
    )
)</f>
        <v>0.38315380779630781</v>
      </c>
    </row>
    <row r="130" spans="9:36" x14ac:dyDescent="0.45">
      <c r="I130">
        <v>128</v>
      </c>
      <c r="J130">
        <v>0</v>
      </c>
      <c r="K130">
        <f t="shared" si="24"/>
        <v>0</v>
      </c>
      <c r="L130">
        <f t="shared" ref="L130:L193" si="46">K130*(1/3600)</f>
        <v>0</v>
      </c>
      <c r="M130">
        <v>0.59</v>
      </c>
      <c r="N130">
        <f t="shared" si="25"/>
        <v>0.59</v>
      </c>
      <c r="O130">
        <f t="shared" si="26"/>
        <v>0</v>
      </c>
      <c r="P130">
        <f t="shared" si="27"/>
        <v>0</v>
      </c>
      <c r="Q130">
        <f t="shared" si="28"/>
        <v>1000</v>
      </c>
      <c r="R130">
        <f t="shared" si="29"/>
        <v>5.6340849854530957</v>
      </c>
      <c r="S130">
        <f t="shared" si="30"/>
        <v>0.3539676162304512</v>
      </c>
      <c r="T130">
        <f t="shared" si="31"/>
        <v>6000</v>
      </c>
      <c r="U130">
        <f t="shared" si="32"/>
        <v>0.93901416424218254</v>
      </c>
      <c r="V130">
        <f t="shared" si="33"/>
        <v>6.7058115334511479</v>
      </c>
      <c r="W130">
        <f t="shared" si="34"/>
        <v>6000</v>
      </c>
      <c r="X130">
        <f t="shared" si="35"/>
        <v>0.93901416424218254</v>
      </c>
      <c r="Y130">
        <f t="shared" si="36"/>
        <v>6.7058115334511479</v>
      </c>
      <c r="Z130">
        <f t="shared" si="37"/>
        <v>6000</v>
      </c>
      <c r="AA130">
        <f t="shared" si="38"/>
        <v>0.93901416424218254</v>
      </c>
      <c r="AB130">
        <f t="shared" si="39"/>
        <v>6.7058115334511479</v>
      </c>
      <c r="AC130">
        <f t="shared" si="40"/>
        <v>6000</v>
      </c>
      <c r="AD130">
        <f t="shared" si="41"/>
        <v>0.93901416424218254</v>
      </c>
      <c r="AE130">
        <f t="shared" si="42"/>
        <v>6.7058115334511479</v>
      </c>
      <c r="AF130">
        <f t="shared" si="43"/>
        <v>6000</v>
      </c>
      <c r="AG130">
        <f t="shared" si="44"/>
        <v>0.93901416424218254</v>
      </c>
      <c r="AH130">
        <f t="shared" si="45"/>
        <v>6.7058115334511479</v>
      </c>
      <c r="AI130" cm="1">
        <f t="array" ref="AI130">_xlfn.LET(
    _xlpm.vals,   _xlfn.HSTACK(S130,V130,Y130,AB130,AE130,AH130),
    _xlpm.ints,   _xlfn.HSTACK(R130,U130,X130,AA130,AD130,AG130),
    _xlpm.slopes, _xlfn.HSTACK(Q130,T130,W130,Z130,AC130,AF130),
    _xlpm.limit,  -0.00001*_xlpm.slopes + 0.1086*_xlpm.slopes + 63.253,
    _xlpm.mask,   (_xlpm.vals&gt;=0) * (_xlpm.ints&lt;=_xlpm.limit),
    _xlpm.validVals, _xlfn._xlws.FILTER(_xlpm.vals, _xlpm.mask),
    _xlpm.minVal, MIN(_xlpm.validVals),
    IFERROR( _xlfn.XMATCH(_xlpm.minVal, _xlpm.vals), "" )
)</f>
        <v>1</v>
      </c>
      <c r="AJ130" cm="1">
        <f t="array" ref="AJ130">_xlfn.LET(
    _xlpm.vals, CHOOSE({1,2,3,4,5,6}, S130, V130, Y130, AB130, AE130, AH130),
    _xlpm.slopes, CHOOSE({1,2,3,4,5,6}, Q130, T130, W130, Z130, AC130, AF130),
    _xlpm.ints, CHOOSE({1,2,3,4,5,6}, R130, U130, X130, AA130, AD130, AG130),
    _xlpm.limit, -0.00001*_xlpm.slopes + 0.1086*_xlpm.slopes + 63.253,
    _xlpm.valid, (_xlpm.vals &gt;= 0) * (_xlpm.ints &lt;= _xlpm.limit),
    _xlpm.target, MIN(_xlfn._xlws.FILTER(_xlpm.vals, _xlpm.valid)),
    IFERROR(
        _xlfn.XLOOKUP(_xlpm.target, _xlpm.vals, _xlpm.vals),
        CHOOSE({1,2,3,4,5,6}, S$1, V$1, Y$1, AB$1, AE$1, AH$1)
    )
)</f>
        <v>0.3539676162304512</v>
      </c>
    </row>
    <row r="131" spans="9:36" x14ac:dyDescent="0.45">
      <c r="I131">
        <v>129</v>
      </c>
      <c r="J131">
        <v>0</v>
      </c>
      <c r="K131">
        <f t="shared" ref="K131:K194" si="47">IF(J131&lt;0,0,J131)</f>
        <v>0</v>
      </c>
      <c r="L131">
        <f t="shared" si="46"/>
        <v>0</v>
      </c>
      <c r="M131">
        <v>0.56000000000000005</v>
      </c>
      <c r="N131">
        <f t="shared" ref="N131:N194" si="48">IF(M131&lt;0,0,M131)</f>
        <v>0.56000000000000005</v>
      </c>
      <c r="O131">
        <f t="shared" ref="O131:O194" si="49">(K131*0.44704*60)/(PI()*$B$2)</f>
        <v>0</v>
      </c>
      <c r="P131">
        <f t="shared" ref="P131:P194" si="50">O131*3.2</f>
        <v>0</v>
      </c>
      <c r="Q131">
        <f t="shared" ref="Q131:Q194" si="51">IF(4.58*P131&lt;1000,1000,4.58*P131)</f>
        <v>1000</v>
      </c>
      <c r="R131">
        <f t="shared" ref="R131:R194" si="52">(1000*N131*60)/(Q131*2*PI())</f>
        <v>5.3476060878876837</v>
      </c>
      <c r="S131">
        <f t="shared" ref="S131:S194" si="53">(0.072946 + (0.000364279 * Q131) + (-0.00248749 * R131) + (0.00000951906 * Q131 * R131) + (-0.000000165418 * Q131^2) + (0.000045414 * R131^2) + (-0.00000000135106 * Q131^2 * R131) + (0.0000000203184 * Q131 * R131^2) + (0.0000000000481318 * Q131^3) + (-0.00000034778 * R131^3))</f>
        <v>0.3521424879034038</v>
      </c>
      <c r="T131">
        <f t="shared" ref="T131:T194" si="54">IF(2.96*P131&lt;1000,6000,2.96*P131)</f>
        <v>6000</v>
      </c>
      <c r="U131">
        <f t="shared" ref="U131:U194" si="55">(1000*N131*60)/(T131*2*PI())</f>
        <v>0.89126768131461398</v>
      </c>
      <c r="V131">
        <f t="shared" ref="V131:V194" si="56">(0.072946 + (0.000364279 * T131) + (-0.00248749 * U131) + (0.00000951906 * T131 * U131) + (-0.000000165418 * T131^2) + (0.000045414 * U131^2) + (-0.00000000135106 * T131^2 * U131) + (0.0000000203184 * T131 * U131^2) + (0.0000000000481318 * T131^3) + (-0.00000034778 * U131^3))</f>
        <v>6.7055110129415834</v>
      </c>
      <c r="W131">
        <f t="shared" ref="W131:W194" si="57">IF(1.91*P131&lt;1000,6000,1.91*P131)</f>
        <v>6000</v>
      </c>
      <c r="X131">
        <f t="shared" ref="X131:X194" si="58">(1000*N131*60)/(W131*2*PI())</f>
        <v>0.89126768131461398</v>
      </c>
      <c r="Y131">
        <f t="shared" ref="Y131:Y194" si="59">(0.072946 + (0.000364279 * W131) + (-0.00248749 * X131) + (0.00000951906 * W131 * X131) + (-0.000000165418 * W131^2) + (0.000045414 * X131^2) + (-0.00000000135106 * W131^2 * X131) + (0.0000000203184 * W131 * X131^2) + (0.0000000000481318 * W131^3) + (-0.00000034778 * X131^3))</f>
        <v>6.7055110129415834</v>
      </c>
      <c r="Z131">
        <f t="shared" ref="Z131:Z194" si="60">IF(1.44*P131&lt;1000,6000,1.44*P131)</f>
        <v>6000</v>
      </c>
      <c r="AA131">
        <f t="shared" ref="AA131:AA194" si="61">(1000*N131*60)/(Z131*2*PI())</f>
        <v>0.89126768131461398</v>
      </c>
      <c r="AB131">
        <f t="shared" ref="AB131:AB194" si="62">(0.072946 + (0.000364279 * Z131) + (-0.00248749 * AA131) + (0.00000951906 * Z131 * AA131) + (-0.000000165418 * Z131^2) + (0.000045414 * AA131^2) + (-0.00000000135106 * Z131^2 * AA131) + (0.0000000203184 * Z131 * AA131^2) + (0.0000000000481318 * Z131^3) + (-0.00000034778 * AA131^3))</f>
        <v>6.7055110129415834</v>
      </c>
      <c r="AC131">
        <f t="shared" ref="AC131:AC194" si="63">IF(0.74*P131&lt;1000,6000,0.74*P131)</f>
        <v>6000</v>
      </c>
      <c r="AD131">
        <f t="shared" ref="AD131:AD194" si="64">(1000*N131*60)/(AC131*2*PI())</f>
        <v>0.89126768131461398</v>
      </c>
      <c r="AE131">
        <f t="shared" ref="AE131:AE194" si="65">(0.072946 + (0.000364279 * AC131) + (-0.00248749 * AD131) + (0.00000951906 * AC131 * AD131) + (-0.000000165418 * AC131^2) + (0.000045414 * AD131^2) + (-0.00000000135106 * AC131^2 * AD131) + (0.0000000203184 * AC131 * AD131^2) + (0.0000000000481318 * AC131^3) + (-0.00000034778 * AD131^3))</f>
        <v>6.7055110129415834</v>
      </c>
      <c r="AF131">
        <f t="shared" ref="AF131:AF194" si="66">IF(0.68*P131&lt;1000,6000,0.68*P131)</f>
        <v>6000</v>
      </c>
      <c r="AG131">
        <f t="shared" ref="AG131:AG194" si="67">(1000*N131*60)/(AF131*2*PI())</f>
        <v>0.89126768131461398</v>
      </c>
      <c r="AH131">
        <f t="shared" ref="AH131:AH194" si="68">(0.072946 + (0.000364279 * AF131) + (-0.00248749 * AG131) + (0.00000951906 * AF131 * AG131) + (-0.000000165418 * AF131^2) + (0.000045414 * AG131^2) + (-0.00000000135106 * AF131^2 * AG131) + (0.0000000203184 * AF131 * AG131^2) + (0.0000000000481318 * AF131^3) + (-0.00000034778 * AG131^3))</f>
        <v>6.7055110129415834</v>
      </c>
      <c r="AI131" cm="1">
        <f t="array" ref="AI131">_xlfn.LET(
    _xlpm.vals,   _xlfn.HSTACK(S131,V131,Y131,AB131,AE131,AH131),
    _xlpm.ints,   _xlfn.HSTACK(R131,U131,X131,AA131,AD131,AG131),
    _xlpm.slopes, _xlfn.HSTACK(Q131,T131,W131,Z131,AC131,AF131),
    _xlpm.limit,  -0.00001*_xlpm.slopes + 0.1086*_xlpm.slopes + 63.253,
    _xlpm.mask,   (_xlpm.vals&gt;=0) * (_xlpm.ints&lt;=_xlpm.limit),
    _xlpm.validVals, _xlfn._xlws.FILTER(_xlpm.vals, _xlpm.mask),
    _xlpm.minVal, MIN(_xlpm.validVals),
    IFERROR( _xlfn.XMATCH(_xlpm.minVal, _xlpm.vals), "" )
)</f>
        <v>1</v>
      </c>
      <c r="AJ131" cm="1">
        <f t="array" ref="AJ131">_xlfn.LET(
    _xlpm.vals, CHOOSE({1,2,3,4,5,6}, S131, V131, Y131, AB131, AE131, AH131),
    _xlpm.slopes, CHOOSE({1,2,3,4,5,6}, Q131, T131, W131, Z131, AC131, AF131),
    _xlpm.ints, CHOOSE({1,2,3,4,5,6}, R131, U131, X131, AA131, AD131, AG131),
    _xlpm.limit, -0.00001*_xlpm.slopes + 0.1086*_xlpm.slopes + 63.253,
    _xlpm.valid, (_xlpm.vals &gt;= 0) * (_xlpm.ints &lt;= _xlpm.limit),
    _xlpm.target, MIN(_xlfn._xlws.FILTER(_xlpm.vals, _xlpm.valid)),
    IFERROR(
        _xlfn.XLOOKUP(_xlpm.target, _xlpm.vals, _xlpm.vals),
        CHOOSE({1,2,3,4,5,6}, S$1, V$1, Y$1, AB$1, AE$1, AH$1)
    )
)</f>
        <v>0.3521424879034038</v>
      </c>
    </row>
    <row r="132" spans="9:36" x14ac:dyDescent="0.45">
      <c r="I132">
        <v>130</v>
      </c>
      <c r="J132">
        <v>0</v>
      </c>
      <c r="K132">
        <f t="shared" si="47"/>
        <v>0</v>
      </c>
      <c r="L132">
        <f t="shared" si="46"/>
        <v>0</v>
      </c>
      <c r="M132">
        <v>0.73</v>
      </c>
      <c r="N132">
        <f t="shared" si="48"/>
        <v>0.73</v>
      </c>
      <c r="O132">
        <f t="shared" si="49"/>
        <v>0</v>
      </c>
      <c r="P132">
        <f t="shared" si="50"/>
        <v>0</v>
      </c>
      <c r="Q132">
        <f t="shared" si="51"/>
        <v>1000</v>
      </c>
      <c r="R132">
        <f t="shared" si="52"/>
        <v>6.9709865074250166</v>
      </c>
      <c r="S132">
        <f t="shared" si="53"/>
        <v>0.36261399032326708</v>
      </c>
      <c r="T132">
        <f t="shared" si="54"/>
        <v>6000</v>
      </c>
      <c r="U132">
        <f t="shared" si="55"/>
        <v>1.1618310845708359</v>
      </c>
      <c r="V132">
        <f t="shared" si="56"/>
        <v>6.707223987098466</v>
      </c>
      <c r="W132">
        <f t="shared" si="57"/>
        <v>6000</v>
      </c>
      <c r="X132">
        <f t="shared" si="58"/>
        <v>1.1618310845708359</v>
      </c>
      <c r="Y132">
        <f t="shared" si="59"/>
        <v>6.707223987098466</v>
      </c>
      <c r="Z132">
        <f t="shared" si="60"/>
        <v>6000</v>
      </c>
      <c r="AA132">
        <f t="shared" si="61"/>
        <v>1.1618310845708359</v>
      </c>
      <c r="AB132">
        <f t="shared" si="62"/>
        <v>6.707223987098466</v>
      </c>
      <c r="AC132">
        <f t="shared" si="63"/>
        <v>6000</v>
      </c>
      <c r="AD132">
        <f t="shared" si="64"/>
        <v>1.1618310845708359</v>
      </c>
      <c r="AE132">
        <f t="shared" si="65"/>
        <v>6.707223987098466</v>
      </c>
      <c r="AF132">
        <f t="shared" si="66"/>
        <v>6000</v>
      </c>
      <c r="AG132">
        <f t="shared" si="67"/>
        <v>1.1618310845708359</v>
      </c>
      <c r="AH132">
        <f t="shared" si="68"/>
        <v>6.707223987098466</v>
      </c>
      <c r="AI132" cm="1">
        <f t="array" ref="AI132">_xlfn.LET(
    _xlpm.vals,   _xlfn.HSTACK(S132,V132,Y132,AB132,AE132,AH132),
    _xlpm.ints,   _xlfn.HSTACK(R132,U132,X132,AA132,AD132,AG132),
    _xlpm.slopes, _xlfn.HSTACK(Q132,T132,W132,Z132,AC132,AF132),
    _xlpm.limit,  -0.00001*_xlpm.slopes + 0.1086*_xlpm.slopes + 63.253,
    _xlpm.mask,   (_xlpm.vals&gt;=0) * (_xlpm.ints&lt;=_xlpm.limit),
    _xlpm.validVals, _xlfn._xlws.FILTER(_xlpm.vals, _xlpm.mask),
    _xlpm.minVal, MIN(_xlpm.validVals),
    IFERROR( _xlfn.XMATCH(_xlpm.minVal, _xlpm.vals), "" )
)</f>
        <v>1</v>
      </c>
      <c r="AJ132" cm="1">
        <f t="array" ref="AJ132">_xlfn.LET(
    _xlpm.vals, CHOOSE({1,2,3,4,5,6}, S132, V132, Y132, AB132, AE132, AH132),
    _xlpm.slopes, CHOOSE({1,2,3,4,5,6}, Q132, T132, W132, Z132, AC132, AF132),
    _xlpm.ints, CHOOSE({1,2,3,4,5,6}, R132, U132, X132, AA132, AD132, AG132),
    _xlpm.limit, -0.00001*_xlpm.slopes + 0.1086*_xlpm.slopes + 63.253,
    _xlpm.valid, (_xlpm.vals &gt;= 0) * (_xlpm.ints &lt;= _xlpm.limit),
    _xlpm.target, MIN(_xlfn._xlws.FILTER(_xlpm.vals, _xlpm.valid)),
    IFERROR(
        _xlfn.XLOOKUP(_xlpm.target, _xlpm.vals, _xlpm.vals),
        CHOOSE({1,2,3,4,5,6}, S$1, V$1, Y$1, AB$1, AE$1, AH$1)
    )
)</f>
        <v>0.36261399032326708</v>
      </c>
    </row>
    <row r="133" spans="9:36" x14ac:dyDescent="0.45">
      <c r="I133">
        <v>131</v>
      </c>
      <c r="J133">
        <v>0</v>
      </c>
      <c r="K133">
        <f t="shared" si="47"/>
        <v>0</v>
      </c>
      <c r="L133">
        <f t="shared" si="46"/>
        <v>0</v>
      </c>
      <c r="M133">
        <v>0.82</v>
      </c>
      <c r="N133">
        <f t="shared" si="48"/>
        <v>0.82</v>
      </c>
      <c r="O133">
        <f t="shared" si="49"/>
        <v>0</v>
      </c>
      <c r="P133">
        <f t="shared" si="50"/>
        <v>0</v>
      </c>
      <c r="Q133">
        <f t="shared" si="51"/>
        <v>1000</v>
      </c>
      <c r="R133">
        <f t="shared" si="52"/>
        <v>7.8304232001212517</v>
      </c>
      <c r="S133">
        <f t="shared" si="53"/>
        <v>0.36828303566764287</v>
      </c>
      <c r="T133">
        <f t="shared" si="54"/>
        <v>6000</v>
      </c>
      <c r="U133">
        <f t="shared" si="55"/>
        <v>1.3050705333535417</v>
      </c>
      <c r="V133">
        <f t="shared" si="56"/>
        <v>6.7081407043458654</v>
      </c>
      <c r="W133">
        <f t="shared" si="57"/>
        <v>6000</v>
      </c>
      <c r="X133">
        <f t="shared" si="58"/>
        <v>1.3050705333535417</v>
      </c>
      <c r="Y133">
        <f t="shared" si="59"/>
        <v>6.7081407043458654</v>
      </c>
      <c r="Z133">
        <f t="shared" si="60"/>
        <v>6000</v>
      </c>
      <c r="AA133">
        <f t="shared" si="61"/>
        <v>1.3050705333535417</v>
      </c>
      <c r="AB133">
        <f t="shared" si="62"/>
        <v>6.7081407043458654</v>
      </c>
      <c r="AC133">
        <f t="shared" si="63"/>
        <v>6000</v>
      </c>
      <c r="AD133">
        <f t="shared" si="64"/>
        <v>1.3050705333535417</v>
      </c>
      <c r="AE133">
        <f t="shared" si="65"/>
        <v>6.7081407043458654</v>
      </c>
      <c r="AF133">
        <f t="shared" si="66"/>
        <v>6000</v>
      </c>
      <c r="AG133">
        <f t="shared" si="67"/>
        <v>1.3050705333535417</v>
      </c>
      <c r="AH133">
        <f t="shared" si="68"/>
        <v>6.7081407043458654</v>
      </c>
      <c r="AI133" cm="1">
        <f t="array" ref="AI133">_xlfn.LET(
    _xlpm.vals,   _xlfn.HSTACK(S133,V133,Y133,AB133,AE133,AH133),
    _xlpm.ints,   _xlfn.HSTACK(R133,U133,X133,AA133,AD133,AG133),
    _xlpm.slopes, _xlfn.HSTACK(Q133,T133,W133,Z133,AC133,AF133),
    _xlpm.limit,  -0.00001*_xlpm.slopes + 0.1086*_xlpm.slopes + 63.253,
    _xlpm.mask,   (_xlpm.vals&gt;=0) * (_xlpm.ints&lt;=_xlpm.limit),
    _xlpm.validVals, _xlfn._xlws.FILTER(_xlpm.vals, _xlpm.mask),
    _xlpm.minVal, MIN(_xlpm.validVals),
    IFERROR( _xlfn.XMATCH(_xlpm.minVal, _xlpm.vals), "" )
)</f>
        <v>1</v>
      </c>
      <c r="AJ133" cm="1">
        <f t="array" ref="AJ133">_xlfn.LET(
    _xlpm.vals, CHOOSE({1,2,3,4,5,6}, S133, V133, Y133, AB133, AE133, AH133),
    _xlpm.slopes, CHOOSE({1,2,3,4,5,6}, Q133, T133, W133, Z133, AC133, AF133),
    _xlpm.ints, CHOOSE({1,2,3,4,5,6}, R133, U133, X133, AA133, AD133, AG133),
    _xlpm.limit, -0.00001*_xlpm.slopes + 0.1086*_xlpm.slopes + 63.253,
    _xlpm.valid, (_xlpm.vals &gt;= 0) * (_xlpm.ints &lt;= _xlpm.limit),
    _xlpm.target, MIN(_xlfn._xlws.FILTER(_xlpm.vals, _xlpm.valid)),
    IFERROR(
        _xlfn.XLOOKUP(_xlpm.target, _xlpm.vals, _xlpm.vals),
        CHOOSE({1,2,3,4,5,6}, S$1, V$1, Y$1, AB$1, AE$1, AH$1)
    )
)</f>
        <v>0.36828303566764287</v>
      </c>
    </row>
    <row r="134" spans="9:36" x14ac:dyDescent="0.45">
      <c r="I134">
        <v>132</v>
      </c>
      <c r="J134">
        <v>0</v>
      </c>
      <c r="K134">
        <f t="shared" si="47"/>
        <v>0</v>
      </c>
      <c r="L134">
        <f t="shared" si="46"/>
        <v>0</v>
      </c>
      <c r="M134">
        <v>0.46</v>
      </c>
      <c r="N134">
        <f t="shared" si="48"/>
        <v>0.46</v>
      </c>
      <c r="O134">
        <f t="shared" si="49"/>
        <v>0</v>
      </c>
      <c r="P134">
        <f t="shared" si="50"/>
        <v>0</v>
      </c>
      <c r="Q134">
        <f t="shared" si="51"/>
        <v>1000</v>
      </c>
      <c r="R134">
        <f t="shared" si="52"/>
        <v>4.3926764293363121</v>
      </c>
      <c r="S134">
        <f t="shared" si="53"/>
        <v>0.34613031128109145</v>
      </c>
      <c r="T134">
        <f t="shared" si="54"/>
        <v>6000</v>
      </c>
      <c r="U134">
        <f t="shared" si="55"/>
        <v>0.73211273822271861</v>
      </c>
      <c r="V134">
        <f t="shared" si="56"/>
        <v>6.704514758454228</v>
      </c>
      <c r="W134">
        <f t="shared" si="57"/>
        <v>6000</v>
      </c>
      <c r="X134">
        <f t="shared" si="58"/>
        <v>0.73211273822271861</v>
      </c>
      <c r="Y134">
        <f t="shared" si="59"/>
        <v>6.704514758454228</v>
      </c>
      <c r="Z134">
        <f t="shared" si="60"/>
        <v>6000</v>
      </c>
      <c r="AA134">
        <f t="shared" si="61"/>
        <v>0.73211273822271861</v>
      </c>
      <c r="AB134">
        <f t="shared" si="62"/>
        <v>6.704514758454228</v>
      </c>
      <c r="AC134">
        <f t="shared" si="63"/>
        <v>6000</v>
      </c>
      <c r="AD134">
        <f t="shared" si="64"/>
        <v>0.73211273822271861</v>
      </c>
      <c r="AE134">
        <f t="shared" si="65"/>
        <v>6.704514758454228</v>
      </c>
      <c r="AF134">
        <f t="shared" si="66"/>
        <v>6000</v>
      </c>
      <c r="AG134">
        <f t="shared" si="67"/>
        <v>0.73211273822271861</v>
      </c>
      <c r="AH134">
        <f t="shared" si="68"/>
        <v>6.704514758454228</v>
      </c>
      <c r="AI134" cm="1">
        <f t="array" ref="AI134">_xlfn.LET(
    _xlpm.vals,   _xlfn.HSTACK(S134,V134,Y134,AB134,AE134,AH134),
    _xlpm.ints,   _xlfn.HSTACK(R134,U134,X134,AA134,AD134,AG134),
    _xlpm.slopes, _xlfn.HSTACK(Q134,T134,W134,Z134,AC134,AF134),
    _xlpm.limit,  -0.00001*_xlpm.slopes + 0.1086*_xlpm.slopes + 63.253,
    _xlpm.mask,   (_xlpm.vals&gt;=0) * (_xlpm.ints&lt;=_xlpm.limit),
    _xlpm.validVals, _xlfn._xlws.FILTER(_xlpm.vals, _xlpm.mask),
    _xlpm.minVal, MIN(_xlpm.validVals),
    IFERROR( _xlfn.XMATCH(_xlpm.minVal, _xlpm.vals), "" )
)</f>
        <v>1</v>
      </c>
      <c r="AJ134" cm="1">
        <f t="array" ref="AJ134">_xlfn.LET(
    _xlpm.vals, CHOOSE({1,2,3,4,5,6}, S134, V134, Y134, AB134, AE134, AH134),
    _xlpm.slopes, CHOOSE({1,2,3,4,5,6}, Q134, T134, W134, Z134, AC134, AF134),
    _xlpm.ints, CHOOSE({1,2,3,4,5,6}, R134, U134, X134, AA134, AD134, AG134),
    _xlpm.limit, -0.00001*_xlpm.slopes + 0.1086*_xlpm.slopes + 63.253,
    _xlpm.valid, (_xlpm.vals &gt;= 0) * (_xlpm.ints &lt;= _xlpm.limit),
    _xlpm.target, MIN(_xlfn._xlws.FILTER(_xlpm.vals, _xlpm.valid)),
    IFERROR(
        _xlfn.XLOOKUP(_xlpm.target, _xlpm.vals, _xlpm.vals),
        CHOOSE({1,2,3,4,5,6}, S$1, V$1, Y$1, AB$1, AE$1, AH$1)
    )
)</f>
        <v>0.34613031128109145</v>
      </c>
    </row>
    <row r="135" spans="9:36" x14ac:dyDescent="0.45">
      <c r="I135">
        <v>133</v>
      </c>
      <c r="J135">
        <v>0</v>
      </c>
      <c r="K135">
        <f t="shared" si="47"/>
        <v>0</v>
      </c>
      <c r="L135">
        <f t="shared" si="46"/>
        <v>0</v>
      </c>
      <c r="M135">
        <v>0.98</v>
      </c>
      <c r="N135">
        <f t="shared" si="48"/>
        <v>0.98</v>
      </c>
      <c r="O135">
        <f t="shared" si="49"/>
        <v>0</v>
      </c>
      <c r="P135">
        <f t="shared" si="50"/>
        <v>0</v>
      </c>
      <c r="Q135">
        <f t="shared" si="51"/>
        <v>1000</v>
      </c>
      <c r="R135">
        <f t="shared" si="52"/>
        <v>9.3583106538034464</v>
      </c>
      <c r="S135">
        <f t="shared" si="53"/>
        <v>0.37857045374971388</v>
      </c>
      <c r="T135">
        <f t="shared" si="54"/>
        <v>6000</v>
      </c>
      <c r="U135">
        <f t="shared" si="55"/>
        <v>1.5597184423005743</v>
      </c>
      <c r="V135">
        <f t="shared" si="56"/>
        <v>6.7097872355151065</v>
      </c>
      <c r="W135">
        <f t="shared" si="57"/>
        <v>6000</v>
      </c>
      <c r="X135">
        <f t="shared" si="58"/>
        <v>1.5597184423005743</v>
      </c>
      <c r="Y135">
        <f t="shared" si="59"/>
        <v>6.7097872355151065</v>
      </c>
      <c r="Z135">
        <f t="shared" si="60"/>
        <v>6000</v>
      </c>
      <c r="AA135">
        <f t="shared" si="61"/>
        <v>1.5597184423005743</v>
      </c>
      <c r="AB135">
        <f t="shared" si="62"/>
        <v>6.7097872355151065</v>
      </c>
      <c r="AC135">
        <f t="shared" si="63"/>
        <v>6000</v>
      </c>
      <c r="AD135">
        <f t="shared" si="64"/>
        <v>1.5597184423005743</v>
      </c>
      <c r="AE135">
        <f t="shared" si="65"/>
        <v>6.7097872355151065</v>
      </c>
      <c r="AF135">
        <f t="shared" si="66"/>
        <v>6000</v>
      </c>
      <c r="AG135">
        <f t="shared" si="67"/>
        <v>1.5597184423005743</v>
      </c>
      <c r="AH135">
        <f t="shared" si="68"/>
        <v>6.7097872355151065</v>
      </c>
      <c r="AI135" cm="1">
        <f t="array" ref="AI135">_xlfn.LET(
    _xlpm.vals,   _xlfn.HSTACK(S135,V135,Y135,AB135,AE135,AH135),
    _xlpm.ints,   _xlfn.HSTACK(R135,U135,X135,AA135,AD135,AG135),
    _xlpm.slopes, _xlfn.HSTACK(Q135,T135,W135,Z135,AC135,AF135),
    _xlpm.limit,  -0.00001*_xlpm.slopes + 0.1086*_xlpm.slopes + 63.253,
    _xlpm.mask,   (_xlpm.vals&gt;=0) * (_xlpm.ints&lt;=_xlpm.limit),
    _xlpm.validVals, _xlfn._xlws.FILTER(_xlpm.vals, _xlpm.mask),
    _xlpm.minVal, MIN(_xlpm.validVals),
    IFERROR( _xlfn.XMATCH(_xlpm.minVal, _xlpm.vals), "" )
)</f>
        <v>1</v>
      </c>
      <c r="AJ135" cm="1">
        <f t="array" ref="AJ135">_xlfn.LET(
    _xlpm.vals, CHOOSE({1,2,3,4,5,6}, S135, V135, Y135, AB135, AE135, AH135),
    _xlpm.slopes, CHOOSE({1,2,3,4,5,6}, Q135, T135, W135, Z135, AC135, AF135),
    _xlpm.ints, CHOOSE({1,2,3,4,5,6}, R135, U135, X135, AA135, AD135, AG135),
    _xlpm.limit, -0.00001*_xlpm.slopes + 0.1086*_xlpm.slopes + 63.253,
    _xlpm.valid, (_xlpm.vals &gt;= 0) * (_xlpm.ints &lt;= _xlpm.limit),
    _xlpm.target, MIN(_xlfn._xlws.FILTER(_xlpm.vals, _xlpm.valid)),
    IFERROR(
        _xlfn.XLOOKUP(_xlpm.target, _xlpm.vals, _xlpm.vals),
        CHOOSE({1,2,3,4,5,6}, S$1, V$1, Y$1, AB$1, AE$1, AH$1)
    )
)</f>
        <v>0.37857045374971388</v>
      </c>
    </row>
    <row r="136" spans="9:36" x14ac:dyDescent="0.45">
      <c r="I136">
        <v>134</v>
      </c>
      <c r="J136">
        <v>0</v>
      </c>
      <c r="K136">
        <f t="shared" si="47"/>
        <v>0</v>
      </c>
      <c r="L136">
        <f t="shared" si="46"/>
        <v>0</v>
      </c>
      <c r="M136">
        <v>0.44</v>
      </c>
      <c r="N136">
        <f t="shared" si="48"/>
        <v>0.44</v>
      </c>
      <c r="O136">
        <f t="shared" si="49"/>
        <v>0</v>
      </c>
      <c r="P136">
        <f t="shared" si="50"/>
        <v>0</v>
      </c>
      <c r="Q136">
        <f t="shared" si="51"/>
        <v>1000</v>
      </c>
      <c r="R136">
        <f t="shared" si="52"/>
        <v>4.2016904976260374</v>
      </c>
      <c r="S136">
        <f t="shared" si="53"/>
        <v>0.34494120057447636</v>
      </c>
      <c r="T136">
        <f t="shared" si="54"/>
        <v>6000</v>
      </c>
      <c r="U136">
        <f t="shared" si="55"/>
        <v>0.70028174960433953</v>
      </c>
      <c r="V136">
        <f t="shared" si="56"/>
        <v>6.7043165198543333</v>
      </c>
      <c r="W136">
        <f t="shared" si="57"/>
        <v>6000</v>
      </c>
      <c r="X136">
        <f t="shared" si="58"/>
        <v>0.70028174960433953</v>
      </c>
      <c r="Y136">
        <f t="shared" si="59"/>
        <v>6.7043165198543333</v>
      </c>
      <c r="Z136">
        <f t="shared" si="60"/>
        <v>6000</v>
      </c>
      <c r="AA136">
        <f t="shared" si="61"/>
        <v>0.70028174960433953</v>
      </c>
      <c r="AB136">
        <f t="shared" si="62"/>
        <v>6.7043165198543333</v>
      </c>
      <c r="AC136">
        <f t="shared" si="63"/>
        <v>6000</v>
      </c>
      <c r="AD136">
        <f t="shared" si="64"/>
        <v>0.70028174960433953</v>
      </c>
      <c r="AE136">
        <f t="shared" si="65"/>
        <v>6.7043165198543333</v>
      </c>
      <c r="AF136">
        <f t="shared" si="66"/>
        <v>6000</v>
      </c>
      <c r="AG136">
        <f t="shared" si="67"/>
        <v>0.70028174960433953</v>
      </c>
      <c r="AH136">
        <f t="shared" si="68"/>
        <v>6.7043165198543333</v>
      </c>
      <c r="AI136" cm="1">
        <f t="array" ref="AI136">_xlfn.LET(
    _xlpm.vals,   _xlfn.HSTACK(S136,V136,Y136,AB136,AE136,AH136),
    _xlpm.ints,   _xlfn.HSTACK(R136,U136,X136,AA136,AD136,AG136),
    _xlpm.slopes, _xlfn.HSTACK(Q136,T136,W136,Z136,AC136,AF136),
    _xlpm.limit,  -0.00001*_xlpm.slopes + 0.1086*_xlpm.slopes + 63.253,
    _xlpm.mask,   (_xlpm.vals&gt;=0) * (_xlpm.ints&lt;=_xlpm.limit),
    _xlpm.validVals, _xlfn._xlws.FILTER(_xlpm.vals, _xlpm.mask),
    _xlpm.minVal, MIN(_xlpm.validVals),
    IFERROR( _xlfn.XMATCH(_xlpm.minVal, _xlpm.vals), "" )
)</f>
        <v>1</v>
      </c>
      <c r="AJ136" cm="1">
        <f t="array" ref="AJ136">_xlfn.LET(
    _xlpm.vals, CHOOSE({1,2,3,4,5,6}, S136, V136, Y136, AB136, AE136, AH136),
    _xlpm.slopes, CHOOSE({1,2,3,4,5,6}, Q136, T136, W136, Z136, AC136, AF136),
    _xlpm.ints, CHOOSE({1,2,3,4,5,6}, R136, U136, X136, AA136, AD136, AG136),
    _xlpm.limit, -0.00001*_xlpm.slopes + 0.1086*_xlpm.slopes + 63.253,
    _xlpm.valid, (_xlpm.vals &gt;= 0) * (_xlpm.ints &lt;= _xlpm.limit),
    _xlpm.target, MIN(_xlfn._xlws.FILTER(_xlpm.vals, _xlpm.valid)),
    IFERROR(
        _xlfn.XLOOKUP(_xlpm.target, _xlpm.vals, _xlpm.vals),
        CHOOSE({1,2,3,4,5,6}, S$1, V$1, Y$1, AB$1, AE$1, AH$1)
    )
)</f>
        <v>0.34494120057447636</v>
      </c>
    </row>
    <row r="137" spans="9:36" x14ac:dyDescent="0.45">
      <c r="I137">
        <v>135</v>
      </c>
      <c r="J137">
        <v>0</v>
      </c>
      <c r="K137">
        <f t="shared" si="47"/>
        <v>0</v>
      </c>
      <c r="L137">
        <f t="shared" si="46"/>
        <v>0</v>
      </c>
      <c r="M137">
        <v>0.88</v>
      </c>
      <c r="N137">
        <f t="shared" si="48"/>
        <v>0.88</v>
      </c>
      <c r="O137">
        <f t="shared" si="49"/>
        <v>0</v>
      </c>
      <c r="P137">
        <f t="shared" si="50"/>
        <v>0</v>
      </c>
      <c r="Q137">
        <f t="shared" si="51"/>
        <v>1000</v>
      </c>
      <c r="R137">
        <f t="shared" si="52"/>
        <v>8.4033809952520748</v>
      </c>
      <c r="S137">
        <f t="shared" si="53"/>
        <v>0.37210972272073473</v>
      </c>
      <c r="T137">
        <f t="shared" si="54"/>
        <v>6000</v>
      </c>
      <c r="U137">
        <f t="shared" si="55"/>
        <v>1.4005634992086791</v>
      </c>
      <c r="V137">
        <f t="shared" si="56"/>
        <v>6.7087556330534337</v>
      </c>
      <c r="W137">
        <f t="shared" si="57"/>
        <v>6000</v>
      </c>
      <c r="X137">
        <f t="shared" si="58"/>
        <v>1.4005634992086791</v>
      </c>
      <c r="Y137">
        <f t="shared" si="59"/>
        <v>6.7087556330534337</v>
      </c>
      <c r="Z137">
        <f t="shared" si="60"/>
        <v>6000</v>
      </c>
      <c r="AA137">
        <f t="shared" si="61"/>
        <v>1.4005634992086791</v>
      </c>
      <c r="AB137">
        <f t="shared" si="62"/>
        <v>6.7087556330534337</v>
      </c>
      <c r="AC137">
        <f t="shared" si="63"/>
        <v>6000</v>
      </c>
      <c r="AD137">
        <f t="shared" si="64"/>
        <v>1.4005634992086791</v>
      </c>
      <c r="AE137">
        <f t="shared" si="65"/>
        <v>6.7087556330534337</v>
      </c>
      <c r="AF137">
        <f t="shared" si="66"/>
        <v>6000</v>
      </c>
      <c r="AG137">
        <f t="shared" si="67"/>
        <v>1.4005634992086791</v>
      </c>
      <c r="AH137">
        <f t="shared" si="68"/>
        <v>6.7087556330534337</v>
      </c>
      <c r="AI137" cm="1">
        <f t="array" ref="AI137">_xlfn.LET(
    _xlpm.vals,   _xlfn.HSTACK(S137,V137,Y137,AB137,AE137,AH137),
    _xlpm.ints,   _xlfn.HSTACK(R137,U137,X137,AA137,AD137,AG137),
    _xlpm.slopes, _xlfn.HSTACK(Q137,T137,W137,Z137,AC137,AF137),
    _xlpm.limit,  -0.00001*_xlpm.slopes + 0.1086*_xlpm.slopes + 63.253,
    _xlpm.mask,   (_xlpm.vals&gt;=0) * (_xlpm.ints&lt;=_xlpm.limit),
    _xlpm.validVals, _xlfn._xlws.FILTER(_xlpm.vals, _xlpm.mask),
    _xlpm.minVal, MIN(_xlpm.validVals),
    IFERROR( _xlfn.XMATCH(_xlpm.minVal, _xlpm.vals), "" )
)</f>
        <v>1</v>
      </c>
      <c r="AJ137" cm="1">
        <f t="array" ref="AJ137">_xlfn.LET(
    _xlpm.vals, CHOOSE({1,2,3,4,5,6}, S137, V137, Y137, AB137, AE137, AH137),
    _xlpm.slopes, CHOOSE({1,2,3,4,5,6}, Q137, T137, W137, Z137, AC137, AF137),
    _xlpm.ints, CHOOSE({1,2,3,4,5,6}, R137, U137, X137, AA137, AD137, AG137),
    _xlpm.limit, -0.00001*_xlpm.slopes + 0.1086*_xlpm.slopes + 63.253,
    _xlpm.valid, (_xlpm.vals &gt;= 0) * (_xlpm.ints &lt;= _xlpm.limit),
    _xlpm.target, MIN(_xlfn._xlws.FILTER(_xlpm.vals, _xlpm.valid)),
    IFERROR(
        _xlfn.XLOOKUP(_xlpm.target, _xlpm.vals, _xlpm.vals),
        CHOOSE({1,2,3,4,5,6}, S$1, V$1, Y$1, AB$1, AE$1, AH$1)
    )
)</f>
        <v>0.37210972272073473</v>
      </c>
    </row>
    <row r="138" spans="9:36" x14ac:dyDescent="0.45">
      <c r="I138">
        <v>136</v>
      </c>
      <c r="J138">
        <v>0</v>
      </c>
      <c r="K138">
        <f t="shared" si="47"/>
        <v>0</v>
      </c>
      <c r="L138">
        <f t="shared" si="46"/>
        <v>0</v>
      </c>
      <c r="M138">
        <v>0.42</v>
      </c>
      <c r="N138">
        <f t="shared" si="48"/>
        <v>0.42</v>
      </c>
      <c r="O138">
        <f t="shared" si="49"/>
        <v>0</v>
      </c>
      <c r="P138">
        <f t="shared" si="50"/>
        <v>0</v>
      </c>
      <c r="Q138">
        <f t="shared" si="51"/>
        <v>1000</v>
      </c>
      <c r="R138">
        <f t="shared" si="52"/>
        <v>4.0107045659157627</v>
      </c>
      <c r="S138">
        <f t="shared" si="53"/>
        <v>0.3437565653256543</v>
      </c>
      <c r="T138">
        <f t="shared" si="54"/>
        <v>6000</v>
      </c>
      <c r="U138">
        <f t="shared" si="55"/>
        <v>0.66845076098596046</v>
      </c>
      <c r="V138">
        <f t="shared" si="56"/>
        <v>6.7041186188439923</v>
      </c>
      <c r="W138">
        <f t="shared" si="57"/>
        <v>6000</v>
      </c>
      <c r="X138">
        <f t="shared" si="58"/>
        <v>0.66845076098596046</v>
      </c>
      <c r="Y138">
        <f t="shared" si="59"/>
        <v>6.7041186188439923</v>
      </c>
      <c r="Z138">
        <f t="shared" si="60"/>
        <v>6000</v>
      </c>
      <c r="AA138">
        <f t="shared" si="61"/>
        <v>0.66845076098596046</v>
      </c>
      <c r="AB138">
        <f t="shared" si="62"/>
        <v>6.7041186188439923</v>
      </c>
      <c r="AC138">
        <f t="shared" si="63"/>
        <v>6000</v>
      </c>
      <c r="AD138">
        <f t="shared" si="64"/>
        <v>0.66845076098596046</v>
      </c>
      <c r="AE138">
        <f t="shared" si="65"/>
        <v>6.7041186188439923</v>
      </c>
      <c r="AF138">
        <f t="shared" si="66"/>
        <v>6000</v>
      </c>
      <c r="AG138">
        <f t="shared" si="67"/>
        <v>0.66845076098596046</v>
      </c>
      <c r="AH138">
        <f t="shared" si="68"/>
        <v>6.7041186188439923</v>
      </c>
      <c r="AI138" cm="1">
        <f t="array" ref="AI138">_xlfn.LET(
    _xlpm.vals,   _xlfn.HSTACK(S138,V138,Y138,AB138,AE138,AH138),
    _xlpm.ints,   _xlfn.HSTACK(R138,U138,X138,AA138,AD138,AG138),
    _xlpm.slopes, _xlfn.HSTACK(Q138,T138,W138,Z138,AC138,AF138),
    _xlpm.limit,  -0.00001*_xlpm.slopes + 0.1086*_xlpm.slopes + 63.253,
    _xlpm.mask,   (_xlpm.vals&gt;=0) * (_xlpm.ints&lt;=_xlpm.limit),
    _xlpm.validVals, _xlfn._xlws.FILTER(_xlpm.vals, _xlpm.mask),
    _xlpm.minVal, MIN(_xlpm.validVals),
    IFERROR( _xlfn.XMATCH(_xlpm.minVal, _xlpm.vals), "" )
)</f>
        <v>1</v>
      </c>
      <c r="AJ138" cm="1">
        <f t="array" ref="AJ138">_xlfn.LET(
    _xlpm.vals, CHOOSE({1,2,3,4,5,6}, S138, V138, Y138, AB138, AE138, AH138),
    _xlpm.slopes, CHOOSE({1,2,3,4,5,6}, Q138, T138, W138, Z138, AC138, AF138),
    _xlpm.ints, CHOOSE({1,2,3,4,5,6}, R138, U138, X138, AA138, AD138, AG138),
    _xlpm.limit, -0.00001*_xlpm.slopes + 0.1086*_xlpm.slopes + 63.253,
    _xlpm.valid, (_xlpm.vals &gt;= 0) * (_xlpm.ints &lt;= _xlpm.limit),
    _xlpm.target, MIN(_xlfn._xlws.FILTER(_xlpm.vals, _xlpm.valid)),
    IFERROR(
        _xlfn.XLOOKUP(_xlpm.target, _xlpm.vals, _xlpm.vals),
        CHOOSE({1,2,3,4,5,6}, S$1, V$1, Y$1, AB$1, AE$1, AH$1)
    )
)</f>
        <v>0.3437565653256543</v>
      </c>
    </row>
    <row r="139" spans="9:36" x14ac:dyDescent="0.45">
      <c r="I139">
        <v>137</v>
      </c>
      <c r="J139">
        <v>0</v>
      </c>
      <c r="K139">
        <f t="shared" si="47"/>
        <v>0</v>
      </c>
      <c r="L139">
        <f t="shared" si="46"/>
        <v>0</v>
      </c>
      <c r="M139">
        <v>0.91</v>
      </c>
      <c r="N139">
        <f t="shared" si="48"/>
        <v>0.91</v>
      </c>
      <c r="O139">
        <f t="shared" si="49"/>
        <v>0</v>
      </c>
      <c r="P139">
        <f t="shared" si="50"/>
        <v>0</v>
      </c>
      <c r="Q139">
        <f t="shared" si="51"/>
        <v>1000</v>
      </c>
      <c r="R139">
        <f t="shared" si="52"/>
        <v>8.6898598928174859</v>
      </c>
      <c r="S139">
        <f t="shared" si="53"/>
        <v>0.37403711611222523</v>
      </c>
      <c r="T139">
        <f t="shared" si="54"/>
        <v>6000</v>
      </c>
      <c r="U139">
        <f t="shared" si="55"/>
        <v>1.4483099821362477</v>
      </c>
      <c r="V139">
        <f t="shared" si="56"/>
        <v>6.7090642318886093</v>
      </c>
      <c r="W139">
        <f t="shared" si="57"/>
        <v>6000</v>
      </c>
      <c r="X139">
        <f t="shared" si="58"/>
        <v>1.4483099821362477</v>
      </c>
      <c r="Y139">
        <f t="shared" si="59"/>
        <v>6.7090642318886093</v>
      </c>
      <c r="Z139">
        <f t="shared" si="60"/>
        <v>6000</v>
      </c>
      <c r="AA139">
        <f t="shared" si="61"/>
        <v>1.4483099821362477</v>
      </c>
      <c r="AB139">
        <f t="shared" si="62"/>
        <v>6.7090642318886093</v>
      </c>
      <c r="AC139">
        <f t="shared" si="63"/>
        <v>6000</v>
      </c>
      <c r="AD139">
        <f t="shared" si="64"/>
        <v>1.4483099821362477</v>
      </c>
      <c r="AE139">
        <f t="shared" si="65"/>
        <v>6.7090642318886093</v>
      </c>
      <c r="AF139">
        <f t="shared" si="66"/>
        <v>6000</v>
      </c>
      <c r="AG139">
        <f t="shared" si="67"/>
        <v>1.4483099821362477</v>
      </c>
      <c r="AH139">
        <f t="shared" si="68"/>
        <v>6.7090642318886093</v>
      </c>
      <c r="AI139" cm="1">
        <f t="array" ref="AI139">_xlfn.LET(
    _xlpm.vals,   _xlfn.HSTACK(S139,V139,Y139,AB139,AE139,AH139),
    _xlpm.ints,   _xlfn.HSTACK(R139,U139,X139,AA139,AD139,AG139),
    _xlpm.slopes, _xlfn.HSTACK(Q139,T139,W139,Z139,AC139,AF139),
    _xlpm.limit,  -0.00001*_xlpm.slopes + 0.1086*_xlpm.slopes + 63.253,
    _xlpm.mask,   (_xlpm.vals&gt;=0) * (_xlpm.ints&lt;=_xlpm.limit),
    _xlpm.validVals, _xlfn._xlws.FILTER(_xlpm.vals, _xlpm.mask),
    _xlpm.minVal, MIN(_xlpm.validVals),
    IFERROR( _xlfn.XMATCH(_xlpm.minVal, _xlpm.vals), "" )
)</f>
        <v>1</v>
      </c>
      <c r="AJ139" cm="1">
        <f t="array" ref="AJ139">_xlfn.LET(
    _xlpm.vals, CHOOSE({1,2,3,4,5,6}, S139, V139, Y139, AB139, AE139, AH139),
    _xlpm.slopes, CHOOSE({1,2,3,4,5,6}, Q139, T139, W139, Z139, AC139, AF139),
    _xlpm.ints, CHOOSE({1,2,3,4,5,6}, R139, U139, X139, AA139, AD139, AG139),
    _xlpm.limit, -0.00001*_xlpm.slopes + 0.1086*_xlpm.slopes + 63.253,
    _xlpm.valid, (_xlpm.vals &gt;= 0) * (_xlpm.ints &lt;= _xlpm.limit),
    _xlpm.target, MIN(_xlfn._xlws.FILTER(_xlpm.vals, _xlpm.valid)),
    IFERROR(
        _xlfn.XLOOKUP(_xlpm.target, _xlpm.vals, _xlpm.vals),
        CHOOSE({1,2,3,4,5,6}, S$1, V$1, Y$1, AB$1, AE$1, AH$1)
    )
)</f>
        <v>0.37403711611222523</v>
      </c>
    </row>
    <row r="140" spans="9:36" x14ac:dyDescent="0.45">
      <c r="I140">
        <v>138</v>
      </c>
      <c r="J140">
        <v>0</v>
      </c>
      <c r="K140">
        <f t="shared" si="47"/>
        <v>0</v>
      </c>
      <c r="L140">
        <f t="shared" si="46"/>
        <v>0</v>
      </c>
      <c r="M140">
        <v>0.7</v>
      </c>
      <c r="N140">
        <f t="shared" si="48"/>
        <v>0.7</v>
      </c>
      <c r="O140">
        <f t="shared" si="49"/>
        <v>0</v>
      </c>
      <c r="P140">
        <f t="shared" si="50"/>
        <v>0</v>
      </c>
      <c r="Q140">
        <f t="shared" si="51"/>
        <v>1000</v>
      </c>
      <c r="R140">
        <f t="shared" si="52"/>
        <v>6.6845076098596046</v>
      </c>
      <c r="S140">
        <f t="shared" si="53"/>
        <v>0.36074343418068899</v>
      </c>
      <c r="T140">
        <f t="shared" si="54"/>
        <v>6000</v>
      </c>
      <c r="U140">
        <f t="shared" si="55"/>
        <v>1.1140846016432675</v>
      </c>
      <c r="V140">
        <f t="shared" si="56"/>
        <v>6.7069199291415869</v>
      </c>
      <c r="W140">
        <f t="shared" si="57"/>
        <v>6000</v>
      </c>
      <c r="X140">
        <f t="shared" si="58"/>
        <v>1.1140846016432675</v>
      </c>
      <c r="Y140">
        <f t="shared" si="59"/>
        <v>6.7069199291415869</v>
      </c>
      <c r="Z140">
        <f t="shared" si="60"/>
        <v>6000</v>
      </c>
      <c r="AA140">
        <f t="shared" si="61"/>
        <v>1.1140846016432675</v>
      </c>
      <c r="AB140">
        <f t="shared" si="62"/>
        <v>6.7069199291415869</v>
      </c>
      <c r="AC140">
        <f t="shared" si="63"/>
        <v>6000</v>
      </c>
      <c r="AD140">
        <f t="shared" si="64"/>
        <v>1.1140846016432675</v>
      </c>
      <c r="AE140">
        <f t="shared" si="65"/>
        <v>6.7069199291415869</v>
      </c>
      <c r="AF140">
        <f t="shared" si="66"/>
        <v>6000</v>
      </c>
      <c r="AG140">
        <f t="shared" si="67"/>
        <v>1.1140846016432675</v>
      </c>
      <c r="AH140">
        <f t="shared" si="68"/>
        <v>6.7069199291415869</v>
      </c>
      <c r="AI140" cm="1">
        <f t="array" ref="AI140">_xlfn.LET(
    _xlpm.vals,   _xlfn.HSTACK(S140,V140,Y140,AB140,AE140,AH140),
    _xlpm.ints,   _xlfn.HSTACK(R140,U140,X140,AA140,AD140,AG140),
    _xlpm.slopes, _xlfn.HSTACK(Q140,T140,W140,Z140,AC140,AF140),
    _xlpm.limit,  -0.00001*_xlpm.slopes + 0.1086*_xlpm.slopes + 63.253,
    _xlpm.mask,   (_xlpm.vals&gt;=0) * (_xlpm.ints&lt;=_xlpm.limit),
    _xlpm.validVals, _xlfn._xlws.FILTER(_xlpm.vals, _xlpm.mask),
    _xlpm.minVal, MIN(_xlpm.validVals),
    IFERROR( _xlfn.XMATCH(_xlpm.minVal, _xlpm.vals), "" )
)</f>
        <v>1</v>
      </c>
      <c r="AJ140" cm="1">
        <f t="array" ref="AJ140">_xlfn.LET(
    _xlpm.vals, CHOOSE({1,2,3,4,5,6}, S140, V140, Y140, AB140, AE140, AH140),
    _xlpm.slopes, CHOOSE({1,2,3,4,5,6}, Q140, T140, W140, Z140, AC140, AF140),
    _xlpm.ints, CHOOSE({1,2,3,4,5,6}, R140, U140, X140, AA140, AD140, AG140),
    _xlpm.limit, -0.00001*_xlpm.slopes + 0.1086*_xlpm.slopes + 63.253,
    _xlpm.valid, (_xlpm.vals &gt;= 0) * (_xlpm.ints &lt;= _xlpm.limit),
    _xlpm.target, MIN(_xlfn._xlws.FILTER(_xlpm.vals, _xlpm.valid)),
    IFERROR(
        _xlfn.XLOOKUP(_xlpm.target, _xlpm.vals, _xlpm.vals),
        CHOOSE({1,2,3,4,5,6}, S$1, V$1, Y$1, AB$1, AE$1, AH$1)
    )
)</f>
        <v>0.36074343418068899</v>
      </c>
    </row>
    <row r="141" spans="9:36" x14ac:dyDescent="0.45">
      <c r="I141">
        <v>139</v>
      </c>
      <c r="J141">
        <v>0</v>
      </c>
      <c r="K141">
        <f t="shared" si="47"/>
        <v>0</v>
      </c>
      <c r="L141">
        <f t="shared" si="46"/>
        <v>0</v>
      </c>
      <c r="M141">
        <v>0.42</v>
      </c>
      <c r="N141">
        <f t="shared" si="48"/>
        <v>0.42</v>
      </c>
      <c r="O141">
        <f t="shared" si="49"/>
        <v>0</v>
      </c>
      <c r="P141">
        <f t="shared" si="50"/>
        <v>0</v>
      </c>
      <c r="Q141">
        <f t="shared" si="51"/>
        <v>1000</v>
      </c>
      <c r="R141">
        <f t="shared" si="52"/>
        <v>4.0107045659157627</v>
      </c>
      <c r="S141">
        <f t="shared" si="53"/>
        <v>0.3437565653256543</v>
      </c>
      <c r="T141">
        <f t="shared" si="54"/>
        <v>6000</v>
      </c>
      <c r="U141">
        <f t="shared" si="55"/>
        <v>0.66845076098596046</v>
      </c>
      <c r="V141">
        <f t="shared" si="56"/>
        <v>6.7041186188439923</v>
      </c>
      <c r="W141">
        <f t="shared" si="57"/>
        <v>6000</v>
      </c>
      <c r="X141">
        <f t="shared" si="58"/>
        <v>0.66845076098596046</v>
      </c>
      <c r="Y141">
        <f t="shared" si="59"/>
        <v>6.7041186188439923</v>
      </c>
      <c r="Z141">
        <f t="shared" si="60"/>
        <v>6000</v>
      </c>
      <c r="AA141">
        <f t="shared" si="61"/>
        <v>0.66845076098596046</v>
      </c>
      <c r="AB141">
        <f t="shared" si="62"/>
        <v>6.7041186188439923</v>
      </c>
      <c r="AC141">
        <f t="shared" si="63"/>
        <v>6000</v>
      </c>
      <c r="AD141">
        <f t="shared" si="64"/>
        <v>0.66845076098596046</v>
      </c>
      <c r="AE141">
        <f t="shared" si="65"/>
        <v>6.7041186188439923</v>
      </c>
      <c r="AF141">
        <f t="shared" si="66"/>
        <v>6000</v>
      </c>
      <c r="AG141">
        <f t="shared" si="67"/>
        <v>0.66845076098596046</v>
      </c>
      <c r="AH141">
        <f t="shared" si="68"/>
        <v>6.7041186188439923</v>
      </c>
      <c r="AI141" cm="1">
        <f t="array" ref="AI141">_xlfn.LET(
    _xlpm.vals,   _xlfn.HSTACK(S141,V141,Y141,AB141,AE141,AH141),
    _xlpm.ints,   _xlfn.HSTACK(R141,U141,X141,AA141,AD141,AG141),
    _xlpm.slopes, _xlfn.HSTACK(Q141,T141,W141,Z141,AC141,AF141),
    _xlpm.limit,  -0.00001*_xlpm.slopes + 0.1086*_xlpm.slopes + 63.253,
    _xlpm.mask,   (_xlpm.vals&gt;=0) * (_xlpm.ints&lt;=_xlpm.limit),
    _xlpm.validVals, _xlfn._xlws.FILTER(_xlpm.vals, _xlpm.mask),
    _xlpm.minVal, MIN(_xlpm.validVals),
    IFERROR( _xlfn.XMATCH(_xlpm.minVal, _xlpm.vals), "" )
)</f>
        <v>1</v>
      </c>
      <c r="AJ141" cm="1">
        <f t="array" ref="AJ141">_xlfn.LET(
    _xlpm.vals, CHOOSE({1,2,3,4,5,6}, S141, V141, Y141, AB141, AE141, AH141),
    _xlpm.slopes, CHOOSE({1,2,3,4,5,6}, Q141, T141, W141, Z141, AC141, AF141),
    _xlpm.ints, CHOOSE({1,2,3,4,5,6}, R141, U141, X141, AA141, AD141, AG141),
    _xlpm.limit, -0.00001*_xlpm.slopes + 0.1086*_xlpm.slopes + 63.253,
    _xlpm.valid, (_xlpm.vals &gt;= 0) * (_xlpm.ints &lt;= _xlpm.limit),
    _xlpm.target, MIN(_xlfn._xlws.FILTER(_xlpm.vals, _xlpm.valid)),
    IFERROR(
        _xlfn.XLOOKUP(_xlpm.target, _xlpm.vals, _xlpm.vals),
        CHOOSE({1,2,3,4,5,6}, S$1, V$1, Y$1, AB$1, AE$1, AH$1)
    )
)</f>
        <v>0.3437565653256543</v>
      </c>
    </row>
    <row r="142" spans="9:36" x14ac:dyDescent="0.45">
      <c r="I142">
        <v>140</v>
      </c>
      <c r="J142">
        <v>0</v>
      </c>
      <c r="K142">
        <f t="shared" si="47"/>
        <v>0</v>
      </c>
      <c r="L142">
        <f t="shared" si="46"/>
        <v>0</v>
      </c>
      <c r="M142">
        <v>0.35</v>
      </c>
      <c r="N142">
        <f t="shared" si="48"/>
        <v>0.35</v>
      </c>
      <c r="O142">
        <f t="shared" si="49"/>
        <v>0</v>
      </c>
      <c r="P142">
        <f t="shared" si="50"/>
        <v>0</v>
      </c>
      <c r="Q142">
        <f t="shared" si="51"/>
        <v>1000</v>
      </c>
      <c r="R142">
        <f t="shared" si="52"/>
        <v>3.3422538049298023</v>
      </c>
      <c r="S142">
        <f t="shared" si="53"/>
        <v>0.33964579605567974</v>
      </c>
      <c r="T142">
        <f t="shared" si="54"/>
        <v>6000</v>
      </c>
      <c r="U142">
        <f t="shared" si="55"/>
        <v>0.55704230082163375</v>
      </c>
      <c r="V142">
        <f t="shared" si="56"/>
        <v>6.7034286247971728</v>
      </c>
      <c r="W142">
        <f t="shared" si="57"/>
        <v>6000</v>
      </c>
      <c r="X142">
        <f t="shared" si="58"/>
        <v>0.55704230082163375</v>
      </c>
      <c r="Y142">
        <f t="shared" si="59"/>
        <v>6.7034286247971728</v>
      </c>
      <c r="Z142">
        <f t="shared" si="60"/>
        <v>6000</v>
      </c>
      <c r="AA142">
        <f t="shared" si="61"/>
        <v>0.55704230082163375</v>
      </c>
      <c r="AB142">
        <f t="shared" si="62"/>
        <v>6.7034286247971728</v>
      </c>
      <c r="AC142">
        <f t="shared" si="63"/>
        <v>6000</v>
      </c>
      <c r="AD142">
        <f t="shared" si="64"/>
        <v>0.55704230082163375</v>
      </c>
      <c r="AE142">
        <f t="shared" si="65"/>
        <v>6.7034286247971728</v>
      </c>
      <c r="AF142">
        <f t="shared" si="66"/>
        <v>6000</v>
      </c>
      <c r="AG142">
        <f t="shared" si="67"/>
        <v>0.55704230082163375</v>
      </c>
      <c r="AH142">
        <f t="shared" si="68"/>
        <v>6.7034286247971728</v>
      </c>
      <c r="AI142" cm="1">
        <f t="array" ref="AI142">_xlfn.LET(
    _xlpm.vals,   _xlfn.HSTACK(S142,V142,Y142,AB142,AE142,AH142),
    _xlpm.ints,   _xlfn.HSTACK(R142,U142,X142,AA142,AD142,AG142),
    _xlpm.slopes, _xlfn.HSTACK(Q142,T142,W142,Z142,AC142,AF142),
    _xlpm.limit,  -0.00001*_xlpm.slopes + 0.1086*_xlpm.slopes + 63.253,
    _xlpm.mask,   (_xlpm.vals&gt;=0) * (_xlpm.ints&lt;=_xlpm.limit),
    _xlpm.validVals, _xlfn._xlws.FILTER(_xlpm.vals, _xlpm.mask),
    _xlpm.minVal, MIN(_xlpm.validVals),
    IFERROR( _xlfn.XMATCH(_xlpm.minVal, _xlpm.vals), "" )
)</f>
        <v>1</v>
      </c>
      <c r="AJ142" cm="1">
        <f t="array" ref="AJ142">_xlfn.LET(
    _xlpm.vals, CHOOSE({1,2,3,4,5,6}, S142, V142, Y142, AB142, AE142, AH142),
    _xlpm.slopes, CHOOSE({1,2,3,4,5,6}, Q142, T142, W142, Z142, AC142, AF142),
    _xlpm.ints, CHOOSE({1,2,3,4,5,6}, R142, U142, X142, AA142, AD142, AG142),
    _xlpm.limit, -0.00001*_xlpm.slopes + 0.1086*_xlpm.slopes + 63.253,
    _xlpm.valid, (_xlpm.vals &gt;= 0) * (_xlpm.ints &lt;= _xlpm.limit),
    _xlpm.target, MIN(_xlfn._xlws.FILTER(_xlpm.vals, _xlpm.valid)),
    IFERROR(
        _xlfn.XLOOKUP(_xlpm.target, _xlpm.vals, _xlpm.vals),
        CHOOSE({1,2,3,4,5,6}, S$1, V$1, Y$1, AB$1, AE$1, AH$1)
    )
)</f>
        <v>0.33964579605567974</v>
      </c>
    </row>
    <row r="143" spans="9:36" x14ac:dyDescent="0.45">
      <c r="I143">
        <v>141</v>
      </c>
      <c r="J143">
        <v>0</v>
      </c>
      <c r="K143">
        <f t="shared" si="47"/>
        <v>0</v>
      </c>
      <c r="L143">
        <f t="shared" si="46"/>
        <v>0</v>
      </c>
      <c r="M143">
        <v>0.21</v>
      </c>
      <c r="N143">
        <f t="shared" si="48"/>
        <v>0.21</v>
      </c>
      <c r="O143">
        <f t="shared" si="49"/>
        <v>0</v>
      </c>
      <c r="P143">
        <f t="shared" si="50"/>
        <v>0</v>
      </c>
      <c r="Q143">
        <f t="shared" si="51"/>
        <v>1000</v>
      </c>
      <c r="R143">
        <f t="shared" si="52"/>
        <v>2.0053522829578814</v>
      </c>
      <c r="S143">
        <f t="shared" si="53"/>
        <v>0.3315917578166801</v>
      </c>
      <c r="T143">
        <f t="shared" si="54"/>
        <v>6000</v>
      </c>
      <c r="U143">
        <f t="shared" si="55"/>
        <v>0.33422538049298023</v>
      </c>
      <c r="V143">
        <f t="shared" si="56"/>
        <v>6.7020610571346335</v>
      </c>
      <c r="W143">
        <f t="shared" si="57"/>
        <v>6000</v>
      </c>
      <c r="X143">
        <f t="shared" si="58"/>
        <v>0.33422538049298023</v>
      </c>
      <c r="Y143">
        <f t="shared" si="59"/>
        <v>6.7020610571346335</v>
      </c>
      <c r="Z143">
        <f t="shared" si="60"/>
        <v>6000</v>
      </c>
      <c r="AA143">
        <f t="shared" si="61"/>
        <v>0.33422538049298023</v>
      </c>
      <c r="AB143">
        <f t="shared" si="62"/>
        <v>6.7020610571346335</v>
      </c>
      <c r="AC143">
        <f t="shared" si="63"/>
        <v>6000</v>
      </c>
      <c r="AD143">
        <f t="shared" si="64"/>
        <v>0.33422538049298023</v>
      </c>
      <c r="AE143">
        <f t="shared" si="65"/>
        <v>6.7020610571346335</v>
      </c>
      <c r="AF143">
        <f t="shared" si="66"/>
        <v>6000</v>
      </c>
      <c r="AG143">
        <f t="shared" si="67"/>
        <v>0.33422538049298023</v>
      </c>
      <c r="AH143">
        <f t="shared" si="68"/>
        <v>6.7020610571346335</v>
      </c>
      <c r="AI143" cm="1">
        <f t="array" ref="AI143">_xlfn.LET(
    _xlpm.vals,   _xlfn.HSTACK(S143,V143,Y143,AB143,AE143,AH143),
    _xlpm.ints,   _xlfn.HSTACK(R143,U143,X143,AA143,AD143,AG143),
    _xlpm.slopes, _xlfn.HSTACK(Q143,T143,W143,Z143,AC143,AF143),
    _xlpm.limit,  -0.00001*_xlpm.slopes + 0.1086*_xlpm.slopes + 63.253,
    _xlpm.mask,   (_xlpm.vals&gt;=0) * (_xlpm.ints&lt;=_xlpm.limit),
    _xlpm.validVals, _xlfn._xlws.FILTER(_xlpm.vals, _xlpm.mask),
    _xlpm.minVal, MIN(_xlpm.validVals),
    IFERROR( _xlfn.XMATCH(_xlpm.minVal, _xlpm.vals), "" )
)</f>
        <v>1</v>
      </c>
      <c r="AJ143" cm="1">
        <f t="array" ref="AJ143">_xlfn.LET(
    _xlpm.vals, CHOOSE({1,2,3,4,5,6}, S143, V143, Y143, AB143, AE143, AH143),
    _xlpm.slopes, CHOOSE({1,2,3,4,5,6}, Q143, T143, W143, Z143, AC143, AF143),
    _xlpm.ints, CHOOSE({1,2,3,4,5,6}, R143, U143, X143, AA143, AD143, AG143),
    _xlpm.limit, -0.00001*_xlpm.slopes + 0.1086*_xlpm.slopes + 63.253,
    _xlpm.valid, (_xlpm.vals &gt;= 0) * (_xlpm.ints &lt;= _xlpm.limit),
    _xlpm.target, MIN(_xlfn._xlws.FILTER(_xlpm.vals, _xlpm.valid)),
    IFERROR(
        _xlfn.XLOOKUP(_xlpm.target, _xlpm.vals, _xlpm.vals),
        CHOOSE({1,2,3,4,5,6}, S$1, V$1, Y$1, AB$1, AE$1, AH$1)
    )
)</f>
        <v>0.3315917578166801</v>
      </c>
    </row>
    <row r="144" spans="9:36" x14ac:dyDescent="0.45">
      <c r="I144">
        <v>142</v>
      </c>
      <c r="J144">
        <v>0</v>
      </c>
      <c r="K144">
        <f t="shared" si="47"/>
        <v>0</v>
      </c>
      <c r="L144">
        <f t="shared" si="46"/>
        <v>0</v>
      </c>
      <c r="M144">
        <v>0.32</v>
      </c>
      <c r="N144">
        <f t="shared" si="48"/>
        <v>0.32</v>
      </c>
      <c r="O144">
        <f t="shared" si="49"/>
        <v>0</v>
      </c>
      <c r="P144">
        <f t="shared" si="50"/>
        <v>0</v>
      </c>
      <c r="Q144">
        <f t="shared" si="51"/>
        <v>1000</v>
      </c>
      <c r="R144">
        <f t="shared" si="52"/>
        <v>3.0557749073643907</v>
      </c>
      <c r="S144">
        <f t="shared" si="53"/>
        <v>0.3379010297260947</v>
      </c>
      <c r="T144">
        <f t="shared" si="54"/>
        <v>6000</v>
      </c>
      <c r="U144">
        <f t="shared" si="55"/>
        <v>0.50929581789406508</v>
      </c>
      <c r="V144">
        <f t="shared" si="56"/>
        <v>6.7031341799910731</v>
      </c>
      <c r="W144">
        <f t="shared" si="57"/>
        <v>6000</v>
      </c>
      <c r="X144">
        <f t="shared" si="58"/>
        <v>0.50929581789406508</v>
      </c>
      <c r="Y144">
        <f t="shared" si="59"/>
        <v>6.7031341799910731</v>
      </c>
      <c r="Z144">
        <f t="shared" si="60"/>
        <v>6000</v>
      </c>
      <c r="AA144">
        <f t="shared" si="61"/>
        <v>0.50929581789406508</v>
      </c>
      <c r="AB144">
        <f t="shared" si="62"/>
        <v>6.7031341799910731</v>
      </c>
      <c r="AC144">
        <f t="shared" si="63"/>
        <v>6000</v>
      </c>
      <c r="AD144">
        <f t="shared" si="64"/>
        <v>0.50929581789406508</v>
      </c>
      <c r="AE144">
        <f t="shared" si="65"/>
        <v>6.7031341799910731</v>
      </c>
      <c r="AF144">
        <f t="shared" si="66"/>
        <v>6000</v>
      </c>
      <c r="AG144">
        <f t="shared" si="67"/>
        <v>0.50929581789406508</v>
      </c>
      <c r="AH144">
        <f t="shared" si="68"/>
        <v>6.7031341799910731</v>
      </c>
      <c r="AI144" cm="1">
        <f t="array" ref="AI144">_xlfn.LET(
    _xlpm.vals,   _xlfn.HSTACK(S144,V144,Y144,AB144,AE144,AH144),
    _xlpm.ints,   _xlfn.HSTACK(R144,U144,X144,AA144,AD144,AG144),
    _xlpm.slopes, _xlfn.HSTACK(Q144,T144,W144,Z144,AC144,AF144),
    _xlpm.limit,  -0.00001*_xlpm.slopes + 0.1086*_xlpm.slopes + 63.253,
    _xlpm.mask,   (_xlpm.vals&gt;=0) * (_xlpm.ints&lt;=_xlpm.limit),
    _xlpm.validVals, _xlfn._xlws.FILTER(_xlpm.vals, _xlpm.mask),
    _xlpm.minVal, MIN(_xlpm.validVals),
    IFERROR( _xlfn.XMATCH(_xlpm.minVal, _xlpm.vals), "" )
)</f>
        <v>1</v>
      </c>
      <c r="AJ144" cm="1">
        <f t="array" ref="AJ144">_xlfn.LET(
    _xlpm.vals, CHOOSE({1,2,3,4,5,6}, S144, V144, Y144, AB144, AE144, AH144),
    _xlpm.slopes, CHOOSE({1,2,3,4,5,6}, Q144, T144, W144, Z144, AC144, AF144),
    _xlpm.ints, CHOOSE({1,2,3,4,5,6}, R144, U144, X144, AA144, AD144, AG144),
    _xlpm.limit, -0.00001*_xlpm.slopes + 0.1086*_xlpm.slopes + 63.253,
    _xlpm.valid, (_xlpm.vals &gt;= 0) * (_xlpm.ints &lt;= _xlpm.limit),
    _xlpm.target, MIN(_xlfn._xlws.FILTER(_xlpm.vals, _xlpm.valid)),
    IFERROR(
        _xlfn.XLOOKUP(_xlpm.target, _xlpm.vals, _xlpm.vals),
        CHOOSE({1,2,3,4,5,6}, S$1, V$1, Y$1, AB$1, AE$1, AH$1)
    )
)</f>
        <v>0.3379010297260947</v>
      </c>
    </row>
    <row r="145" spans="9:36" x14ac:dyDescent="0.45">
      <c r="I145">
        <v>143</v>
      </c>
      <c r="J145">
        <v>0</v>
      </c>
      <c r="K145">
        <f t="shared" si="47"/>
        <v>0</v>
      </c>
      <c r="L145">
        <f t="shared" si="46"/>
        <v>0</v>
      </c>
      <c r="M145">
        <v>0.28000000000000003</v>
      </c>
      <c r="N145">
        <f t="shared" si="48"/>
        <v>0.28000000000000003</v>
      </c>
      <c r="O145">
        <f t="shared" si="49"/>
        <v>0</v>
      </c>
      <c r="P145">
        <f t="shared" si="50"/>
        <v>0</v>
      </c>
      <c r="Q145">
        <f t="shared" si="51"/>
        <v>1000</v>
      </c>
      <c r="R145">
        <f t="shared" si="52"/>
        <v>2.6738030439438418</v>
      </c>
      <c r="S145">
        <f t="shared" si="53"/>
        <v>0.33559065246847841</v>
      </c>
      <c r="T145">
        <f t="shared" si="54"/>
        <v>6000</v>
      </c>
      <c r="U145">
        <f t="shared" si="55"/>
        <v>0.44563384065730699</v>
      </c>
      <c r="V145">
        <f t="shared" si="56"/>
        <v>6.7027427699322439</v>
      </c>
      <c r="W145">
        <f t="shared" si="57"/>
        <v>6000</v>
      </c>
      <c r="X145">
        <f t="shared" si="58"/>
        <v>0.44563384065730699</v>
      </c>
      <c r="Y145">
        <f t="shared" si="59"/>
        <v>6.7027427699322439</v>
      </c>
      <c r="Z145">
        <f t="shared" si="60"/>
        <v>6000</v>
      </c>
      <c r="AA145">
        <f t="shared" si="61"/>
        <v>0.44563384065730699</v>
      </c>
      <c r="AB145">
        <f t="shared" si="62"/>
        <v>6.7027427699322439</v>
      </c>
      <c r="AC145">
        <f t="shared" si="63"/>
        <v>6000</v>
      </c>
      <c r="AD145">
        <f t="shared" si="64"/>
        <v>0.44563384065730699</v>
      </c>
      <c r="AE145">
        <f t="shared" si="65"/>
        <v>6.7027427699322439</v>
      </c>
      <c r="AF145">
        <f t="shared" si="66"/>
        <v>6000</v>
      </c>
      <c r="AG145">
        <f t="shared" si="67"/>
        <v>0.44563384065730699</v>
      </c>
      <c r="AH145">
        <f t="shared" si="68"/>
        <v>6.7027427699322439</v>
      </c>
      <c r="AI145" cm="1">
        <f t="array" ref="AI145">_xlfn.LET(
    _xlpm.vals,   _xlfn.HSTACK(S145,V145,Y145,AB145,AE145,AH145),
    _xlpm.ints,   _xlfn.HSTACK(R145,U145,X145,AA145,AD145,AG145),
    _xlpm.slopes, _xlfn.HSTACK(Q145,T145,W145,Z145,AC145,AF145),
    _xlpm.limit,  -0.00001*_xlpm.slopes + 0.1086*_xlpm.slopes + 63.253,
    _xlpm.mask,   (_xlpm.vals&gt;=0) * (_xlpm.ints&lt;=_xlpm.limit),
    _xlpm.validVals, _xlfn._xlws.FILTER(_xlpm.vals, _xlpm.mask),
    _xlpm.minVal, MIN(_xlpm.validVals),
    IFERROR( _xlfn.XMATCH(_xlpm.minVal, _xlpm.vals), "" )
)</f>
        <v>1</v>
      </c>
      <c r="AJ145" cm="1">
        <f t="array" ref="AJ145">_xlfn.LET(
    _xlpm.vals, CHOOSE({1,2,3,4,5,6}, S145, V145, Y145, AB145, AE145, AH145),
    _xlpm.slopes, CHOOSE({1,2,3,4,5,6}, Q145, T145, W145, Z145, AC145, AF145),
    _xlpm.ints, CHOOSE({1,2,3,4,5,6}, R145, U145, X145, AA145, AD145, AG145),
    _xlpm.limit, -0.00001*_xlpm.slopes + 0.1086*_xlpm.slopes + 63.253,
    _xlpm.valid, (_xlpm.vals &gt;= 0) * (_xlpm.ints &lt;= _xlpm.limit),
    _xlpm.target, MIN(_xlfn._xlws.FILTER(_xlpm.vals, _xlpm.valid)),
    IFERROR(
        _xlfn.XLOOKUP(_xlpm.target, _xlpm.vals, _xlpm.vals),
        CHOOSE({1,2,3,4,5,6}, S$1, V$1, Y$1, AB$1, AE$1, AH$1)
    )
)</f>
        <v>0.33559065246847841</v>
      </c>
    </row>
    <row r="146" spans="9:36" x14ac:dyDescent="0.45">
      <c r="I146">
        <v>144</v>
      </c>
      <c r="J146">
        <v>0</v>
      </c>
      <c r="K146">
        <f t="shared" si="47"/>
        <v>0</v>
      </c>
      <c r="L146">
        <f t="shared" si="46"/>
        <v>0</v>
      </c>
      <c r="M146">
        <v>0.56999999999999995</v>
      </c>
      <c r="N146">
        <f t="shared" si="48"/>
        <v>0.56999999999999995</v>
      </c>
      <c r="O146">
        <f t="shared" si="49"/>
        <v>0</v>
      </c>
      <c r="P146">
        <f t="shared" si="50"/>
        <v>0</v>
      </c>
      <c r="Q146">
        <f t="shared" si="51"/>
        <v>1000</v>
      </c>
      <c r="R146">
        <f t="shared" si="52"/>
        <v>5.443099053742821</v>
      </c>
      <c r="S146">
        <f t="shared" si="53"/>
        <v>0.35274976937547881</v>
      </c>
      <c r="T146">
        <f t="shared" si="54"/>
        <v>6000</v>
      </c>
      <c r="U146">
        <f t="shared" si="55"/>
        <v>0.90718317562380346</v>
      </c>
      <c r="V146">
        <f t="shared" si="56"/>
        <v>6.7056111021595477</v>
      </c>
      <c r="W146">
        <f t="shared" si="57"/>
        <v>6000</v>
      </c>
      <c r="X146">
        <f t="shared" si="58"/>
        <v>0.90718317562380346</v>
      </c>
      <c r="Y146">
        <f t="shared" si="59"/>
        <v>6.7056111021595477</v>
      </c>
      <c r="Z146">
        <f t="shared" si="60"/>
        <v>6000</v>
      </c>
      <c r="AA146">
        <f t="shared" si="61"/>
        <v>0.90718317562380346</v>
      </c>
      <c r="AB146">
        <f t="shared" si="62"/>
        <v>6.7056111021595477</v>
      </c>
      <c r="AC146">
        <f t="shared" si="63"/>
        <v>6000</v>
      </c>
      <c r="AD146">
        <f t="shared" si="64"/>
        <v>0.90718317562380346</v>
      </c>
      <c r="AE146">
        <f t="shared" si="65"/>
        <v>6.7056111021595477</v>
      </c>
      <c r="AF146">
        <f t="shared" si="66"/>
        <v>6000</v>
      </c>
      <c r="AG146">
        <f t="shared" si="67"/>
        <v>0.90718317562380346</v>
      </c>
      <c r="AH146">
        <f t="shared" si="68"/>
        <v>6.7056111021595477</v>
      </c>
      <c r="AI146" cm="1">
        <f t="array" ref="AI146">_xlfn.LET(
    _xlpm.vals,   _xlfn.HSTACK(S146,V146,Y146,AB146,AE146,AH146),
    _xlpm.ints,   _xlfn.HSTACK(R146,U146,X146,AA146,AD146,AG146),
    _xlpm.slopes, _xlfn.HSTACK(Q146,T146,W146,Z146,AC146,AF146),
    _xlpm.limit,  -0.00001*_xlpm.slopes + 0.1086*_xlpm.slopes + 63.253,
    _xlpm.mask,   (_xlpm.vals&gt;=0) * (_xlpm.ints&lt;=_xlpm.limit),
    _xlpm.validVals, _xlfn._xlws.FILTER(_xlpm.vals, _xlpm.mask),
    _xlpm.minVal, MIN(_xlpm.validVals),
    IFERROR( _xlfn.XMATCH(_xlpm.minVal, _xlpm.vals), "" )
)</f>
        <v>1</v>
      </c>
      <c r="AJ146" cm="1">
        <f t="array" ref="AJ146">_xlfn.LET(
    _xlpm.vals, CHOOSE({1,2,3,4,5,6}, S146, V146, Y146, AB146, AE146, AH146),
    _xlpm.slopes, CHOOSE({1,2,3,4,5,6}, Q146, T146, W146, Z146, AC146, AF146),
    _xlpm.ints, CHOOSE({1,2,3,4,5,6}, R146, U146, X146, AA146, AD146, AG146),
    _xlpm.limit, -0.00001*_xlpm.slopes + 0.1086*_xlpm.slopes + 63.253,
    _xlpm.valid, (_xlpm.vals &gt;= 0) * (_xlpm.ints &lt;= _xlpm.limit),
    _xlpm.target, MIN(_xlfn._xlws.FILTER(_xlpm.vals, _xlpm.valid)),
    IFERROR(
        _xlfn.XLOOKUP(_xlpm.target, _xlpm.vals, _xlpm.vals),
        CHOOSE({1,2,3,4,5,6}, S$1, V$1, Y$1, AB$1, AE$1, AH$1)
    )
)</f>
        <v>0.35274976937547881</v>
      </c>
    </row>
    <row r="147" spans="9:36" x14ac:dyDescent="0.45">
      <c r="I147">
        <v>145</v>
      </c>
      <c r="J147">
        <v>0</v>
      </c>
      <c r="K147">
        <f t="shared" si="47"/>
        <v>0</v>
      </c>
      <c r="L147">
        <f t="shared" si="46"/>
        <v>0</v>
      </c>
      <c r="M147">
        <v>0.83</v>
      </c>
      <c r="N147">
        <f t="shared" si="48"/>
        <v>0.83</v>
      </c>
      <c r="O147">
        <f t="shared" si="49"/>
        <v>0</v>
      </c>
      <c r="P147">
        <f t="shared" si="50"/>
        <v>0</v>
      </c>
      <c r="Q147">
        <f t="shared" si="51"/>
        <v>1000</v>
      </c>
      <c r="R147">
        <f t="shared" si="52"/>
        <v>7.9259161659763882</v>
      </c>
      <c r="S147">
        <f t="shared" si="53"/>
        <v>0.36891820290256278</v>
      </c>
      <c r="T147">
        <f t="shared" si="54"/>
        <v>6000</v>
      </c>
      <c r="U147">
        <f t="shared" si="55"/>
        <v>1.3209860276627314</v>
      </c>
      <c r="V147">
        <f t="shared" si="56"/>
        <v>6.7082429823185636</v>
      </c>
      <c r="W147">
        <f t="shared" si="57"/>
        <v>6000</v>
      </c>
      <c r="X147">
        <f t="shared" si="58"/>
        <v>1.3209860276627314</v>
      </c>
      <c r="Y147">
        <f t="shared" si="59"/>
        <v>6.7082429823185636</v>
      </c>
      <c r="Z147">
        <f t="shared" si="60"/>
        <v>6000</v>
      </c>
      <c r="AA147">
        <f t="shared" si="61"/>
        <v>1.3209860276627314</v>
      </c>
      <c r="AB147">
        <f t="shared" si="62"/>
        <v>6.7082429823185636</v>
      </c>
      <c r="AC147">
        <f t="shared" si="63"/>
        <v>6000</v>
      </c>
      <c r="AD147">
        <f t="shared" si="64"/>
        <v>1.3209860276627314</v>
      </c>
      <c r="AE147">
        <f t="shared" si="65"/>
        <v>6.7082429823185636</v>
      </c>
      <c r="AF147">
        <f t="shared" si="66"/>
        <v>6000</v>
      </c>
      <c r="AG147">
        <f t="shared" si="67"/>
        <v>1.3209860276627314</v>
      </c>
      <c r="AH147">
        <f t="shared" si="68"/>
        <v>6.7082429823185636</v>
      </c>
      <c r="AI147" cm="1">
        <f t="array" ref="AI147">_xlfn.LET(
    _xlpm.vals,   _xlfn.HSTACK(S147,V147,Y147,AB147,AE147,AH147),
    _xlpm.ints,   _xlfn.HSTACK(R147,U147,X147,AA147,AD147,AG147),
    _xlpm.slopes, _xlfn.HSTACK(Q147,T147,W147,Z147,AC147,AF147),
    _xlpm.limit,  -0.00001*_xlpm.slopes + 0.1086*_xlpm.slopes + 63.253,
    _xlpm.mask,   (_xlpm.vals&gt;=0) * (_xlpm.ints&lt;=_xlpm.limit),
    _xlpm.validVals, _xlfn._xlws.FILTER(_xlpm.vals, _xlpm.mask),
    _xlpm.minVal, MIN(_xlpm.validVals),
    IFERROR( _xlfn.XMATCH(_xlpm.minVal, _xlpm.vals), "" )
)</f>
        <v>1</v>
      </c>
      <c r="AJ147" cm="1">
        <f t="array" ref="AJ147">_xlfn.LET(
    _xlpm.vals, CHOOSE({1,2,3,4,5,6}, S147, V147, Y147, AB147, AE147, AH147),
    _xlpm.slopes, CHOOSE({1,2,3,4,5,6}, Q147, T147, W147, Z147, AC147, AF147),
    _xlpm.ints, CHOOSE({1,2,3,4,5,6}, R147, U147, X147, AA147, AD147, AG147),
    _xlpm.limit, -0.00001*_xlpm.slopes + 0.1086*_xlpm.slopes + 63.253,
    _xlpm.valid, (_xlpm.vals &gt;= 0) * (_xlpm.ints &lt;= _xlpm.limit),
    _xlpm.target, MIN(_xlfn._xlws.FILTER(_xlpm.vals, _xlpm.valid)),
    IFERROR(
        _xlfn.XLOOKUP(_xlpm.target, _xlpm.vals, _xlpm.vals),
        CHOOSE({1,2,3,4,5,6}, S$1, V$1, Y$1, AB$1, AE$1, AH$1)
    )
)</f>
        <v>0.36891820290256278</v>
      </c>
    </row>
    <row r="148" spans="9:36" x14ac:dyDescent="0.45">
      <c r="I148">
        <v>146</v>
      </c>
      <c r="J148">
        <v>0</v>
      </c>
      <c r="K148">
        <f t="shared" si="47"/>
        <v>0</v>
      </c>
      <c r="L148">
        <f t="shared" si="46"/>
        <v>0</v>
      </c>
      <c r="M148">
        <v>0.71</v>
      </c>
      <c r="N148">
        <f t="shared" si="48"/>
        <v>0.71</v>
      </c>
      <c r="O148">
        <f t="shared" si="49"/>
        <v>0</v>
      </c>
      <c r="P148">
        <f t="shared" si="50"/>
        <v>0</v>
      </c>
      <c r="Q148">
        <f t="shared" si="51"/>
        <v>1000</v>
      </c>
      <c r="R148">
        <f t="shared" si="52"/>
        <v>6.7800005757147419</v>
      </c>
      <c r="S148">
        <f t="shared" si="53"/>
        <v>0.36136588369682382</v>
      </c>
      <c r="T148">
        <f t="shared" si="54"/>
        <v>6000</v>
      </c>
      <c r="U148">
        <f t="shared" si="55"/>
        <v>1.130000095952457</v>
      </c>
      <c r="V148">
        <f t="shared" si="56"/>
        <v>6.7070211976264291</v>
      </c>
      <c r="W148">
        <f t="shared" si="57"/>
        <v>6000</v>
      </c>
      <c r="X148">
        <f t="shared" si="58"/>
        <v>1.130000095952457</v>
      </c>
      <c r="Y148">
        <f t="shared" si="59"/>
        <v>6.7070211976264291</v>
      </c>
      <c r="Z148">
        <f t="shared" si="60"/>
        <v>6000</v>
      </c>
      <c r="AA148">
        <f t="shared" si="61"/>
        <v>1.130000095952457</v>
      </c>
      <c r="AB148">
        <f t="shared" si="62"/>
        <v>6.7070211976264291</v>
      </c>
      <c r="AC148">
        <f t="shared" si="63"/>
        <v>6000</v>
      </c>
      <c r="AD148">
        <f t="shared" si="64"/>
        <v>1.130000095952457</v>
      </c>
      <c r="AE148">
        <f t="shared" si="65"/>
        <v>6.7070211976264291</v>
      </c>
      <c r="AF148">
        <f t="shared" si="66"/>
        <v>6000</v>
      </c>
      <c r="AG148">
        <f t="shared" si="67"/>
        <v>1.130000095952457</v>
      </c>
      <c r="AH148">
        <f t="shared" si="68"/>
        <v>6.7070211976264291</v>
      </c>
      <c r="AI148" cm="1">
        <f t="array" ref="AI148">_xlfn.LET(
    _xlpm.vals,   _xlfn.HSTACK(S148,V148,Y148,AB148,AE148,AH148),
    _xlpm.ints,   _xlfn.HSTACK(R148,U148,X148,AA148,AD148,AG148),
    _xlpm.slopes, _xlfn.HSTACK(Q148,T148,W148,Z148,AC148,AF148),
    _xlpm.limit,  -0.00001*_xlpm.slopes + 0.1086*_xlpm.slopes + 63.253,
    _xlpm.mask,   (_xlpm.vals&gt;=0) * (_xlpm.ints&lt;=_xlpm.limit),
    _xlpm.validVals, _xlfn._xlws.FILTER(_xlpm.vals, _xlpm.mask),
    _xlpm.minVal, MIN(_xlpm.validVals),
    IFERROR( _xlfn.XMATCH(_xlpm.minVal, _xlpm.vals), "" )
)</f>
        <v>1</v>
      </c>
      <c r="AJ148" cm="1">
        <f t="array" ref="AJ148">_xlfn.LET(
    _xlpm.vals, CHOOSE({1,2,3,4,5,6}, S148, V148, Y148, AB148, AE148, AH148),
    _xlpm.slopes, CHOOSE({1,2,3,4,5,6}, Q148, T148, W148, Z148, AC148, AF148),
    _xlpm.ints, CHOOSE({1,2,3,4,5,6}, R148, U148, X148, AA148, AD148, AG148),
    _xlpm.limit, -0.00001*_xlpm.slopes + 0.1086*_xlpm.slopes + 63.253,
    _xlpm.valid, (_xlpm.vals &gt;= 0) * (_xlpm.ints &lt;= _xlpm.limit),
    _xlpm.target, MIN(_xlfn._xlws.FILTER(_xlpm.vals, _xlpm.valid)),
    IFERROR(
        _xlfn.XLOOKUP(_xlpm.target, _xlpm.vals, _xlpm.vals),
        CHOOSE({1,2,3,4,5,6}, S$1, V$1, Y$1, AB$1, AE$1, AH$1)
    )
)</f>
        <v>0.36136588369682382</v>
      </c>
    </row>
    <row r="149" spans="9:36" x14ac:dyDescent="0.45">
      <c r="I149">
        <v>147</v>
      </c>
      <c r="J149">
        <v>0</v>
      </c>
      <c r="K149">
        <f t="shared" si="47"/>
        <v>0</v>
      </c>
      <c r="L149">
        <f t="shared" si="46"/>
        <v>0</v>
      </c>
      <c r="M149">
        <v>0.77</v>
      </c>
      <c r="N149">
        <f t="shared" si="48"/>
        <v>0.77</v>
      </c>
      <c r="O149">
        <f t="shared" si="49"/>
        <v>0</v>
      </c>
      <c r="P149">
        <f t="shared" si="50"/>
        <v>0</v>
      </c>
      <c r="Q149">
        <f t="shared" si="51"/>
        <v>1000</v>
      </c>
      <c r="R149">
        <f t="shared" si="52"/>
        <v>7.352958370845565</v>
      </c>
      <c r="S149">
        <f t="shared" si="53"/>
        <v>0.36512298307508295</v>
      </c>
      <c r="T149">
        <f t="shared" si="54"/>
        <v>6000</v>
      </c>
      <c r="U149">
        <f t="shared" si="55"/>
        <v>1.2254930618075941</v>
      </c>
      <c r="V149">
        <f t="shared" si="56"/>
        <v>6.7076305758164212</v>
      </c>
      <c r="W149">
        <f t="shared" si="57"/>
        <v>6000</v>
      </c>
      <c r="X149">
        <f t="shared" si="58"/>
        <v>1.2254930618075941</v>
      </c>
      <c r="Y149">
        <f t="shared" si="59"/>
        <v>6.7076305758164212</v>
      </c>
      <c r="Z149">
        <f t="shared" si="60"/>
        <v>6000</v>
      </c>
      <c r="AA149">
        <f t="shared" si="61"/>
        <v>1.2254930618075941</v>
      </c>
      <c r="AB149">
        <f t="shared" si="62"/>
        <v>6.7076305758164212</v>
      </c>
      <c r="AC149">
        <f t="shared" si="63"/>
        <v>6000</v>
      </c>
      <c r="AD149">
        <f t="shared" si="64"/>
        <v>1.2254930618075941</v>
      </c>
      <c r="AE149">
        <f t="shared" si="65"/>
        <v>6.7076305758164212</v>
      </c>
      <c r="AF149">
        <f t="shared" si="66"/>
        <v>6000</v>
      </c>
      <c r="AG149">
        <f t="shared" si="67"/>
        <v>1.2254930618075941</v>
      </c>
      <c r="AH149">
        <f t="shared" si="68"/>
        <v>6.7076305758164212</v>
      </c>
      <c r="AI149" cm="1">
        <f t="array" ref="AI149">_xlfn.LET(
    _xlpm.vals,   _xlfn.HSTACK(S149,V149,Y149,AB149,AE149,AH149),
    _xlpm.ints,   _xlfn.HSTACK(R149,U149,X149,AA149,AD149,AG149),
    _xlpm.slopes, _xlfn.HSTACK(Q149,T149,W149,Z149,AC149,AF149),
    _xlpm.limit,  -0.00001*_xlpm.slopes + 0.1086*_xlpm.slopes + 63.253,
    _xlpm.mask,   (_xlpm.vals&gt;=0) * (_xlpm.ints&lt;=_xlpm.limit),
    _xlpm.validVals, _xlfn._xlws.FILTER(_xlpm.vals, _xlpm.mask),
    _xlpm.minVal, MIN(_xlpm.validVals),
    IFERROR( _xlfn.XMATCH(_xlpm.minVal, _xlpm.vals), "" )
)</f>
        <v>1</v>
      </c>
      <c r="AJ149" cm="1">
        <f t="array" ref="AJ149">_xlfn.LET(
    _xlpm.vals, CHOOSE({1,2,3,4,5,6}, S149, V149, Y149, AB149, AE149, AH149),
    _xlpm.slopes, CHOOSE({1,2,3,4,5,6}, Q149, T149, W149, Z149, AC149, AF149),
    _xlpm.ints, CHOOSE({1,2,3,4,5,6}, R149, U149, X149, AA149, AD149, AG149),
    _xlpm.limit, -0.00001*_xlpm.slopes + 0.1086*_xlpm.slopes + 63.253,
    _xlpm.valid, (_xlpm.vals &gt;= 0) * (_xlpm.ints &lt;= _xlpm.limit),
    _xlpm.target, MIN(_xlfn._xlws.FILTER(_xlpm.vals, _xlpm.valid)),
    IFERROR(
        _xlfn.XLOOKUP(_xlpm.target, _xlpm.vals, _xlpm.vals),
        CHOOSE({1,2,3,4,5,6}, S$1, V$1, Y$1, AB$1, AE$1, AH$1)
    )
)</f>
        <v>0.36512298307508295</v>
      </c>
    </row>
    <row r="150" spans="9:36" x14ac:dyDescent="0.45">
      <c r="I150">
        <v>148</v>
      </c>
      <c r="J150">
        <v>0</v>
      </c>
      <c r="K150">
        <f t="shared" si="47"/>
        <v>0</v>
      </c>
      <c r="L150">
        <f t="shared" si="46"/>
        <v>0</v>
      </c>
      <c r="M150">
        <v>0.5</v>
      </c>
      <c r="N150">
        <f t="shared" si="48"/>
        <v>0.5</v>
      </c>
      <c r="O150">
        <f t="shared" si="49"/>
        <v>0</v>
      </c>
      <c r="P150">
        <f t="shared" si="50"/>
        <v>0</v>
      </c>
      <c r="Q150">
        <f t="shared" si="51"/>
        <v>1000</v>
      </c>
      <c r="R150">
        <f t="shared" si="52"/>
        <v>4.7746482927568605</v>
      </c>
      <c r="S150">
        <f t="shared" si="53"/>
        <v>0.34852190092168239</v>
      </c>
      <c r="T150">
        <f t="shared" si="54"/>
        <v>6000</v>
      </c>
      <c r="U150">
        <f t="shared" si="55"/>
        <v>0.79577471545947676</v>
      </c>
      <c r="V150">
        <f t="shared" si="56"/>
        <v>6.7049122481534917</v>
      </c>
      <c r="W150">
        <f t="shared" si="57"/>
        <v>6000</v>
      </c>
      <c r="X150">
        <f t="shared" si="58"/>
        <v>0.79577471545947676</v>
      </c>
      <c r="Y150">
        <f t="shared" si="59"/>
        <v>6.7049122481534917</v>
      </c>
      <c r="Z150">
        <f t="shared" si="60"/>
        <v>6000</v>
      </c>
      <c r="AA150">
        <f t="shared" si="61"/>
        <v>0.79577471545947676</v>
      </c>
      <c r="AB150">
        <f t="shared" si="62"/>
        <v>6.7049122481534917</v>
      </c>
      <c r="AC150">
        <f t="shared" si="63"/>
        <v>6000</v>
      </c>
      <c r="AD150">
        <f t="shared" si="64"/>
        <v>0.79577471545947676</v>
      </c>
      <c r="AE150">
        <f t="shared" si="65"/>
        <v>6.7049122481534917</v>
      </c>
      <c r="AF150">
        <f t="shared" si="66"/>
        <v>6000</v>
      </c>
      <c r="AG150">
        <f t="shared" si="67"/>
        <v>0.79577471545947676</v>
      </c>
      <c r="AH150">
        <f t="shared" si="68"/>
        <v>6.7049122481534917</v>
      </c>
      <c r="AI150" cm="1">
        <f t="array" ref="AI150">_xlfn.LET(
    _xlpm.vals,   _xlfn.HSTACK(S150,V150,Y150,AB150,AE150,AH150),
    _xlpm.ints,   _xlfn.HSTACK(R150,U150,X150,AA150,AD150,AG150),
    _xlpm.slopes, _xlfn.HSTACK(Q150,T150,W150,Z150,AC150,AF150),
    _xlpm.limit,  -0.00001*_xlpm.slopes + 0.1086*_xlpm.slopes + 63.253,
    _xlpm.mask,   (_xlpm.vals&gt;=0) * (_xlpm.ints&lt;=_xlpm.limit),
    _xlpm.validVals, _xlfn._xlws.FILTER(_xlpm.vals, _xlpm.mask),
    _xlpm.minVal, MIN(_xlpm.validVals),
    IFERROR( _xlfn.XMATCH(_xlpm.minVal, _xlpm.vals), "" )
)</f>
        <v>1</v>
      </c>
      <c r="AJ150" cm="1">
        <f t="array" ref="AJ150">_xlfn.LET(
    _xlpm.vals, CHOOSE({1,2,3,4,5,6}, S150, V150, Y150, AB150, AE150, AH150),
    _xlpm.slopes, CHOOSE({1,2,3,4,5,6}, Q150, T150, W150, Z150, AC150, AF150),
    _xlpm.ints, CHOOSE({1,2,3,4,5,6}, R150, U150, X150, AA150, AD150, AG150),
    _xlpm.limit, -0.00001*_xlpm.slopes + 0.1086*_xlpm.slopes + 63.253,
    _xlpm.valid, (_xlpm.vals &gt;= 0) * (_xlpm.ints &lt;= _xlpm.limit),
    _xlpm.target, MIN(_xlfn._xlws.FILTER(_xlpm.vals, _xlpm.valid)),
    IFERROR(
        _xlfn.XLOOKUP(_xlpm.target, _xlpm.vals, _xlpm.vals),
        CHOOSE({1,2,3,4,5,6}, S$1, V$1, Y$1, AB$1, AE$1, AH$1)
    )
)</f>
        <v>0.34852190092168239</v>
      </c>
    </row>
    <row r="151" spans="9:36" x14ac:dyDescent="0.45">
      <c r="I151">
        <v>149</v>
      </c>
      <c r="J151">
        <v>0</v>
      </c>
      <c r="K151">
        <f t="shared" si="47"/>
        <v>0</v>
      </c>
      <c r="L151">
        <f t="shared" si="46"/>
        <v>0</v>
      </c>
      <c r="M151">
        <v>0.28999999999999998</v>
      </c>
      <c r="N151">
        <f t="shared" si="48"/>
        <v>0.28999999999999998</v>
      </c>
      <c r="O151">
        <f t="shared" si="49"/>
        <v>0</v>
      </c>
      <c r="P151">
        <f t="shared" si="50"/>
        <v>0</v>
      </c>
      <c r="Q151">
        <f t="shared" si="51"/>
        <v>1000</v>
      </c>
      <c r="R151">
        <f t="shared" si="52"/>
        <v>2.7692960097989792</v>
      </c>
      <c r="S151">
        <f t="shared" si="53"/>
        <v>0.33616652941935438</v>
      </c>
      <c r="T151">
        <f t="shared" si="54"/>
        <v>6000</v>
      </c>
      <c r="U151">
        <f t="shared" si="55"/>
        <v>0.46154933496649647</v>
      </c>
      <c r="V151">
        <f t="shared" si="56"/>
        <v>6.7028404956700021</v>
      </c>
      <c r="W151">
        <f t="shared" si="57"/>
        <v>6000</v>
      </c>
      <c r="X151">
        <f t="shared" si="58"/>
        <v>0.46154933496649647</v>
      </c>
      <c r="Y151">
        <f t="shared" si="59"/>
        <v>6.7028404956700021</v>
      </c>
      <c r="Z151">
        <f t="shared" si="60"/>
        <v>6000</v>
      </c>
      <c r="AA151">
        <f t="shared" si="61"/>
        <v>0.46154933496649647</v>
      </c>
      <c r="AB151">
        <f t="shared" si="62"/>
        <v>6.7028404956700021</v>
      </c>
      <c r="AC151">
        <f t="shared" si="63"/>
        <v>6000</v>
      </c>
      <c r="AD151">
        <f t="shared" si="64"/>
        <v>0.46154933496649647</v>
      </c>
      <c r="AE151">
        <f t="shared" si="65"/>
        <v>6.7028404956700021</v>
      </c>
      <c r="AF151">
        <f t="shared" si="66"/>
        <v>6000</v>
      </c>
      <c r="AG151">
        <f t="shared" si="67"/>
        <v>0.46154933496649647</v>
      </c>
      <c r="AH151">
        <f t="shared" si="68"/>
        <v>6.7028404956700021</v>
      </c>
      <c r="AI151" cm="1">
        <f t="array" ref="AI151">_xlfn.LET(
    _xlpm.vals,   _xlfn.HSTACK(S151,V151,Y151,AB151,AE151,AH151),
    _xlpm.ints,   _xlfn.HSTACK(R151,U151,X151,AA151,AD151,AG151),
    _xlpm.slopes, _xlfn.HSTACK(Q151,T151,W151,Z151,AC151,AF151),
    _xlpm.limit,  -0.00001*_xlpm.slopes + 0.1086*_xlpm.slopes + 63.253,
    _xlpm.mask,   (_xlpm.vals&gt;=0) * (_xlpm.ints&lt;=_xlpm.limit),
    _xlpm.validVals, _xlfn._xlws.FILTER(_xlpm.vals, _xlpm.mask),
    _xlpm.minVal, MIN(_xlpm.validVals),
    IFERROR( _xlfn.XMATCH(_xlpm.minVal, _xlpm.vals), "" )
)</f>
        <v>1</v>
      </c>
      <c r="AJ151" cm="1">
        <f t="array" ref="AJ151">_xlfn.LET(
    _xlpm.vals, CHOOSE({1,2,3,4,5,6}, S151, V151, Y151, AB151, AE151, AH151),
    _xlpm.slopes, CHOOSE({1,2,3,4,5,6}, Q151, T151, W151, Z151, AC151, AF151),
    _xlpm.ints, CHOOSE({1,2,3,4,5,6}, R151, U151, X151, AA151, AD151, AG151),
    _xlpm.limit, -0.00001*_xlpm.slopes + 0.1086*_xlpm.slopes + 63.253,
    _xlpm.valid, (_xlpm.vals &gt;= 0) * (_xlpm.ints &lt;= _xlpm.limit),
    _xlpm.target, MIN(_xlfn._xlws.FILTER(_xlpm.vals, _xlpm.valid)),
    IFERROR(
        _xlfn.XLOOKUP(_xlpm.target, _xlpm.vals, _xlpm.vals),
        CHOOSE({1,2,3,4,5,6}, S$1, V$1, Y$1, AB$1, AE$1, AH$1)
    )
)</f>
        <v>0.33616652941935438</v>
      </c>
    </row>
    <row r="152" spans="9:36" x14ac:dyDescent="0.45">
      <c r="I152">
        <v>150</v>
      </c>
      <c r="J152">
        <v>0</v>
      </c>
      <c r="K152">
        <f t="shared" si="47"/>
        <v>0</v>
      </c>
      <c r="L152">
        <f t="shared" si="46"/>
        <v>0</v>
      </c>
      <c r="M152">
        <v>0.39</v>
      </c>
      <c r="N152">
        <f t="shared" si="48"/>
        <v>0.39</v>
      </c>
      <c r="O152">
        <f t="shared" si="49"/>
        <v>0</v>
      </c>
      <c r="P152">
        <f t="shared" si="50"/>
        <v>0</v>
      </c>
      <c r="Q152">
        <f t="shared" si="51"/>
        <v>1000</v>
      </c>
      <c r="R152">
        <f t="shared" si="52"/>
        <v>3.7242256683503512</v>
      </c>
      <c r="S152">
        <f t="shared" si="53"/>
        <v>0.34198803573438646</v>
      </c>
      <c r="T152">
        <f t="shared" si="54"/>
        <v>6000</v>
      </c>
      <c r="U152">
        <f t="shared" si="55"/>
        <v>0.62070427805839179</v>
      </c>
      <c r="V152">
        <f t="shared" si="56"/>
        <v>6.7038224004561133</v>
      </c>
      <c r="W152">
        <f t="shared" si="57"/>
        <v>6000</v>
      </c>
      <c r="X152">
        <f t="shared" si="58"/>
        <v>0.62070427805839179</v>
      </c>
      <c r="Y152">
        <f t="shared" si="59"/>
        <v>6.7038224004561133</v>
      </c>
      <c r="Z152">
        <f t="shared" si="60"/>
        <v>6000</v>
      </c>
      <c r="AA152">
        <f t="shared" si="61"/>
        <v>0.62070427805839179</v>
      </c>
      <c r="AB152">
        <f t="shared" si="62"/>
        <v>6.7038224004561133</v>
      </c>
      <c r="AC152">
        <f t="shared" si="63"/>
        <v>6000</v>
      </c>
      <c r="AD152">
        <f t="shared" si="64"/>
        <v>0.62070427805839179</v>
      </c>
      <c r="AE152">
        <f t="shared" si="65"/>
        <v>6.7038224004561133</v>
      </c>
      <c r="AF152">
        <f t="shared" si="66"/>
        <v>6000</v>
      </c>
      <c r="AG152">
        <f t="shared" si="67"/>
        <v>0.62070427805839179</v>
      </c>
      <c r="AH152">
        <f t="shared" si="68"/>
        <v>6.7038224004561133</v>
      </c>
      <c r="AI152" cm="1">
        <f t="array" ref="AI152">_xlfn.LET(
    _xlpm.vals,   _xlfn.HSTACK(S152,V152,Y152,AB152,AE152,AH152),
    _xlpm.ints,   _xlfn.HSTACK(R152,U152,X152,AA152,AD152,AG152),
    _xlpm.slopes, _xlfn.HSTACK(Q152,T152,W152,Z152,AC152,AF152),
    _xlpm.limit,  -0.00001*_xlpm.slopes + 0.1086*_xlpm.slopes + 63.253,
    _xlpm.mask,   (_xlpm.vals&gt;=0) * (_xlpm.ints&lt;=_xlpm.limit),
    _xlpm.validVals, _xlfn._xlws.FILTER(_xlpm.vals, _xlpm.mask),
    _xlpm.minVal, MIN(_xlpm.validVals),
    IFERROR( _xlfn.XMATCH(_xlpm.minVal, _xlpm.vals), "" )
)</f>
        <v>1</v>
      </c>
      <c r="AJ152" cm="1">
        <f t="array" ref="AJ152">_xlfn.LET(
    _xlpm.vals, CHOOSE({1,2,3,4,5,6}, S152, V152, Y152, AB152, AE152, AH152),
    _xlpm.slopes, CHOOSE({1,2,3,4,5,6}, Q152, T152, W152, Z152, AC152, AF152),
    _xlpm.ints, CHOOSE({1,2,3,4,5,6}, R152, U152, X152, AA152, AD152, AG152),
    _xlpm.limit, -0.00001*_xlpm.slopes + 0.1086*_xlpm.slopes + 63.253,
    _xlpm.valid, (_xlpm.vals &gt;= 0) * (_xlpm.ints &lt;= _xlpm.limit),
    _xlpm.target, MIN(_xlfn._xlws.FILTER(_xlpm.vals, _xlpm.valid)),
    IFERROR(
        _xlfn.XLOOKUP(_xlpm.target, _xlpm.vals, _xlpm.vals),
        CHOOSE({1,2,3,4,5,6}, S$1, V$1, Y$1, AB$1, AE$1, AH$1)
    )
)</f>
        <v>0.34198803573438646</v>
      </c>
    </row>
    <row r="153" spans="9:36" x14ac:dyDescent="0.45">
      <c r="I153">
        <v>151</v>
      </c>
      <c r="J153">
        <v>0</v>
      </c>
      <c r="K153">
        <f t="shared" si="47"/>
        <v>0</v>
      </c>
      <c r="L153">
        <f t="shared" si="46"/>
        <v>0</v>
      </c>
      <c r="M153">
        <v>0.28999999999999998</v>
      </c>
      <c r="N153">
        <f t="shared" si="48"/>
        <v>0.28999999999999998</v>
      </c>
      <c r="O153">
        <f t="shared" si="49"/>
        <v>0</v>
      </c>
      <c r="P153">
        <f t="shared" si="50"/>
        <v>0</v>
      </c>
      <c r="Q153">
        <f t="shared" si="51"/>
        <v>1000</v>
      </c>
      <c r="R153">
        <f t="shared" si="52"/>
        <v>2.7692960097989792</v>
      </c>
      <c r="S153">
        <f t="shared" si="53"/>
        <v>0.33616652941935438</v>
      </c>
      <c r="T153">
        <f t="shared" si="54"/>
        <v>6000</v>
      </c>
      <c r="U153">
        <f t="shared" si="55"/>
        <v>0.46154933496649647</v>
      </c>
      <c r="V153">
        <f t="shared" si="56"/>
        <v>6.7028404956700021</v>
      </c>
      <c r="W153">
        <f t="shared" si="57"/>
        <v>6000</v>
      </c>
      <c r="X153">
        <f t="shared" si="58"/>
        <v>0.46154933496649647</v>
      </c>
      <c r="Y153">
        <f t="shared" si="59"/>
        <v>6.7028404956700021</v>
      </c>
      <c r="Z153">
        <f t="shared" si="60"/>
        <v>6000</v>
      </c>
      <c r="AA153">
        <f t="shared" si="61"/>
        <v>0.46154933496649647</v>
      </c>
      <c r="AB153">
        <f t="shared" si="62"/>
        <v>6.7028404956700021</v>
      </c>
      <c r="AC153">
        <f t="shared" si="63"/>
        <v>6000</v>
      </c>
      <c r="AD153">
        <f t="shared" si="64"/>
        <v>0.46154933496649647</v>
      </c>
      <c r="AE153">
        <f t="shared" si="65"/>
        <v>6.7028404956700021</v>
      </c>
      <c r="AF153">
        <f t="shared" si="66"/>
        <v>6000</v>
      </c>
      <c r="AG153">
        <f t="shared" si="67"/>
        <v>0.46154933496649647</v>
      </c>
      <c r="AH153">
        <f t="shared" si="68"/>
        <v>6.7028404956700021</v>
      </c>
      <c r="AI153" cm="1">
        <f t="array" ref="AI153">_xlfn.LET(
    _xlpm.vals,   _xlfn.HSTACK(S153,V153,Y153,AB153,AE153,AH153),
    _xlpm.ints,   _xlfn.HSTACK(R153,U153,X153,AA153,AD153,AG153),
    _xlpm.slopes, _xlfn.HSTACK(Q153,T153,W153,Z153,AC153,AF153),
    _xlpm.limit,  -0.00001*_xlpm.slopes + 0.1086*_xlpm.slopes + 63.253,
    _xlpm.mask,   (_xlpm.vals&gt;=0) * (_xlpm.ints&lt;=_xlpm.limit),
    _xlpm.validVals, _xlfn._xlws.FILTER(_xlpm.vals, _xlpm.mask),
    _xlpm.minVal, MIN(_xlpm.validVals),
    IFERROR( _xlfn.XMATCH(_xlpm.minVal, _xlpm.vals), "" )
)</f>
        <v>1</v>
      </c>
      <c r="AJ153" cm="1">
        <f t="array" ref="AJ153">_xlfn.LET(
    _xlpm.vals, CHOOSE({1,2,3,4,5,6}, S153, V153, Y153, AB153, AE153, AH153),
    _xlpm.slopes, CHOOSE({1,2,3,4,5,6}, Q153, T153, W153, Z153, AC153, AF153),
    _xlpm.ints, CHOOSE({1,2,3,4,5,6}, R153, U153, X153, AA153, AD153, AG153),
    _xlpm.limit, -0.00001*_xlpm.slopes + 0.1086*_xlpm.slopes + 63.253,
    _xlpm.valid, (_xlpm.vals &gt;= 0) * (_xlpm.ints &lt;= _xlpm.limit),
    _xlpm.target, MIN(_xlfn._xlws.FILTER(_xlpm.vals, _xlpm.valid)),
    IFERROR(
        _xlfn.XLOOKUP(_xlpm.target, _xlpm.vals, _xlpm.vals),
        CHOOSE({1,2,3,4,5,6}, S$1, V$1, Y$1, AB$1, AE$1, AH$1)
    )
)</f>
        <v>0.33616652941935438</v>
      </c>
    </row>
    <row r="154" spans="9:36" x14ac:dyDescent="0.45">
      <c r="I154">
        <v>152</v>
      </c>
      <c r="J154">
        <v>0</v>
      </c>
      <c r="K154">
        <f t="shared" si="47"/>
        <v>0</v>
      </c>
      <c r="L154">
        <f t="shared" si="46"/>
        <v>0</v>
      </c>
      <c r="M154">
        <v>0.33</v>
      </c>
      <c r="N154">
        <f t="shared" si="48"/>
        <v>0.33</v>
      </c>
      <c r="O154">
        <f t="shared" si="49"/>
        <v>0</v>
      </c>
      <c r="P154">
        <f t="shared" si="50"/>
        <v>0</v>
      </c>
      <c r="Q154">
        <f t="shared" si="51"/>
        <v>1000</v>
      </c>
      <c r="R154">
        <f t="shared" si="52"/>
        <v>3.1512678732195281</v>
      </c>
      <c r="S154">
        <f t="shared" si="53"/>
        <v>0.33848148025616892</v>
      </c>
      <c r="T154">
        <f t="shared" si="54"/>
        <v>6000</v>
      </c>
      <c r="U154">
        <f t="shared" si="55"/>
        <v>0.52521131220325468</v>
      </c>
      <c r="V154">
        <f t="shared" si="56"/>
        <v>6.7032322437726535</v>
      </c>
      <c r="W154">
        <f t="shared" si="57"/>
        <v>6000</v>
      </c>
      <c r="X154">
        <f t="shared" si="58"/>
        <v>0.52521131220325468</v>
      </c>
      <c r="Y154">
        <f t="shared" si="59"/>
        <v>6.7032322437726535</v>
      </c>
      <c r="Z154">
        <f t="shared" si="60"/>
        <v>6000</v>
      </c>
      <c r="AA154">
        <f t="shared" si="61"/>
        <v>0.52521131220325468</v>
      </c>
      <c r="AB154">
        <f t="shared" si="62"/>
        <v>6.7032322437726535</v>
      </c>
      <c r="AC154">
        <f t="shared" si="63"/>
        <v>6000</v>
      </c>
      <c r="AD154">
        <f t="shared" si="64"/>
        <v>0.52521131220325468</v>
      </c>
      <c r="AE154">
        <f t="shared" si="65"/>
        <v>6.7032322437726535</v>
      </c>
      <c r="AF154">
        <f t="shared" si="66"/>
        <v>6000</v>
      </c>
      <c r="AG154">
        <f t="shared" si="67"/>
        <v>0.52521131220325468</v>
      </c>
      <c r="AH154">
        <f t="shared" si="68"/>
        <v>6.7032322437726535</v>
      </c>
      <c r="AI154" cm="1">
        <f t="array" ref="AI154">_xlfn.LET(
    _xlpm.vals,   _xlfn.HSTACK(S154,V154,Y154,AB154,AE154,AH154),
    _xlpm.ints,   _xlfn.HSTACK(R154,U154,X154,AA154,AD154,AG154),
    _xlpm.slopes, _xlfn.HSTACK(Q154,T154,W154,Z154,AC154,AF154),
    _xlpm.limit,  -0.00001*_xlpm.slopes + 0.1086*_xlpm.slopes + 63.253,
    _xlpm.mask,   (_xlpm.vals&gt;=0) * (_xlpm.ints&lt;=_xlpm.limit),
    _xlpm.validVals, _xlfn._xlws.FILTER(_xlpm.vals, _xlpm.mask),
    _xlpm.minVal, MIN(_xlpm.validVals),
    IFERROR( _xlfn.XMATCH(_xlpm.minVal, _xlpm.vals), "" )
)</f>
        <v>1</v>
      </c>
      <c r="AJ154" cm="1">
        <f t="array" ref="AJ154">_xlfn.LET(
    _xlpm.vals, CHOOSE({1,2,3,4,5,6}, S154, V154, Y154, AB154, AE154, AH154),
    _xlpm.slopes, CHOOSE({1,2,3,4,5,6}, Q154, T154, W154, Z154, AC154, AF154),
    _xlpm.ints, CHOOSE({1,2,3,4,5,6}, R154, U154, X154, AA154, AD154, AG154),
    _xlpm.limit, -0.00001*_xlpm.slopes + 0.1086*_xlpm.slopes + 63.253,
    _xlpm.valid, (_xlpm.vals &gt;= 0) * (_xlpm.ints &lt;= _xlpm.limit),
    _xlpm.target, MIN(_xlfn._xlws.FILTER(_xlpm.vals, _xlpm.valid)),
    IFERROR(
        _xlfn.XLOOKUP(_xlpm.target, _xlpm.vals, _xlpm.vals),
        CHOOSE({1,2,3,4,5,6}, S$1, V$1, Y$1, AB$1, AE$1, AH$1)
    )
)</f>
        <v>0.33848148025616892</v>
      </c>
    </row>
    <row r="155" spans="9:36" x14ac:dyDescent="0.45">
      <c r="I155">
        <v>153</v>
      </c>
      <c r="J155">
        <v>0</v>
      </c>
      <c r="K155">
        <f t="shared" si="47"/>
        <v>0</v>
      </c>
      <c r="L155">
        <f t="shared" si="46"/>
        <v>0</v>
      </c>
      <c r="M155">
        <v>0.49</v>
      </c>
      <c r="N155">
        <f t="shared" si="48"/>
        <v>0.49</v>
      </c>
      <c r="O155">
        <f t="shared" si="49"/>
        <v>0</v>
      </c>
      <c r="P155">
        <f t="shared" si="50"/>
        <v>0</v>
      </c>
      <c r="Q155">
        <f t="shared" si="51"/>
        <v>1000</v>
      </c>
      <c r="R155">
        <f t="shared" si="52"/>
        <v>4.6791553269017232</v>
      </c>
      <c r="S155">
        <f t="shared" si="53"/>
        <v>0.34792233702577224</v>
      </c>
      <c r="T155">
        <f t="shared" si="54"/>
        <v>6000</v>
      </c>
      <c r="U155">
        <f t="shared" si="55"/>
        <v>0.77985922115028716</v>
      </c>
      <c r="V155">
        <f t="shared" si="56"/>
        <v>6.7048127491872718</v>
      </c>
      <c r="W155">
        <f t="shared" si="57"/>
        <v>6000</v>
      </c>
      <c r="X155">
        <f t="shared" si="58"/>
        <v>0.77985922115028716</v>
      </c>
      <c r="Y155">
        <f t="shared" si="59"/>
        <v>6.7048127491872718</v>
      </c>
      <c r="Z155">
        <f t="shared" si="60"/>
        <v>6000</v>
      </c>
      <c r="AA155">
        <f t="shared" si="61"/>
        <v>0.77985922115028716</v>
      </c>
      <c r="AB155">
        <f t="shared" si="62"/>
        <v>6.7048127491872718</v>
      </c>
      <c r="AC155">
        <f t="shared" si="63"/>
        <v>6000</v>
      </c>
      <c r="AD155">
        <f t="shared" si="64"/>
        <v>0.77985922115028716</v>
      </c>
      <c r="AE155">
        <f t="shared" si="65"/>
        <v>6.7048127491872718</v>
      </c>
      <c r="AF155">
        <f t="shared" si="66"/>
        <v>6000</v>
      </c>
      <c r="AG155">
        <f t="shared" si="67"/>
        <v>0.77985922115028716</v>
      </c>
      <c r="AH155">
        <f t="shared" si="68"/>
        <v>6.7048127491872718</v>
      </c>
      <c r="AI155" cm="1">
        <f t="array" ref="AI155">_xlfn.LET(
    _xlpm.vals,   _xlfn.HSTACK(S155,V155,Y155,AB155,AE155,AH155),
    _xlpm.ints,   _xlfn.HSTACK(R155,U155,X155,AA155,AD155,AG155),
    _xlpm.slopes, _xlfn.HSTACK(Q155,T155,W155,Z155,AC155,AF155),
    _xlpm.limit,  -0.00001*_xlpm.slopes + 0.1086*_xlpm.slopes + 63.253,
    _xlpm.mask,   (_xlpm.vals&gt;=0) * (_xlpm.ints&lt;=_xlpm.limit),
    _xlpm.validVals, _xlfn._xlws.FILTER(_xlpm.vals, _xlpm.mask),
    _xlpm.minVal, MIN(_xlpm.validVals),
    IFERROR( _xlfn.XMATCH(_xlpm.minVal, _xlpm.vals), "" )
)</f>
        <v>1</v>
      </c>
      <c r="AJ155" cm="1">
        <f t="array" ref="AJ155">_xlfn.LET(
    _xlpm.vals, CHOOSE({1,2,3,4,5,6}, S155, V155, Y155, AB155, AE155, AH155),
    _xlpm.slopes, CHOOSE({1,2,3,4,5,6}, Q155, T155, W155, Z155, AC155, AF155),
    _xlpm.ints, CHOOSE({1,2,3,4,5,6}, R155, U155, X155, AA155, AD155, AG155),
    _xlpm.limit, -0.00001*_xlpm.slopes + 0.1086*_xlpm.slopes + 63.253,
    _xlpm.valid, (_xlpm.vals &gt;= 0) * (_xlpm.ints &lt;= _xlpm.limit),
    _xlpm.target, MIN(_xlfn._xlws.FILTER(_xlpm.vals, _xlpm.valid)),
    IFERROR(
        _xlfn.XLOOKUP(_xlpm.target, _xlpm.vals, _xlpm.vals),
        CHOOSE({1,2,3,4,5,6}, S$1, V$1, Y$1, AB$1, AE$1, AH$1)
    )
)</f>
        <v>0.34792233702577224</v>
      </c>
    </row>
    <row r="156" spans="9:36" x14ac:dyDescent="0.45">
      <c r="I156">
        <v>154</v>
      </c>
      <c r="J156">
        <v>0</v>
      </c>
      <c r="K156">
        <f t="shared" si="47"/>
        <v>0</v>
      </c>
      <c r="L156">
        <f t="shared" si="46"/>
        <v>0</v>
      </c>
      <c r="M156">
        <v>0.84</v>
      </c>
      <c r="N156">
        <f t="shared" si="48"/>
        <v>0.84</v>
      </c>
      <c r="O156">
        <f t="shared" si="49"/>
        <v>0</v>
      </c>
      <c r="P156">
        <f t="shared" si="50"/>
        <v>0</v>
      </c>
      <c r="Q156">
        <f t="shared" si="51"/>
        <v>1000</v>
      </c>
      <c r="R156">
        <f t="shared" si="52"/>
        <v>8.0214091318315255</v>
      </c>
      <c r="S156">
        <f t="shared" si="53"/>
        <v>0.36955441813647172</v>
      </c>
      <c r="T156">
        <f t="shared" si="54"/>
        <v>6000</v>
      </c>
      <c r="U156">
        <f t="shared" si="55"/>
        <v>1.3369015219719209</v>
      </c>
      <c r="V156">
        <f t="shared" si="56"/>
        <v>6.7083453443605716</v>
      </c>
      <c r="W156">
        <f t="shared" si="57"/>
        <v>6000</v>
      </c>
      <c r="X156">
        <f t="shared" si="58"/>
        <v>1.3369015219719209</v>
      </c>
      <c r="Y156">
        <f t="shared" si="59"/>
        <v>6.7083453443605716</v>
      </c>
      <c r="Z156">
        <f t="shared" si="60"/>
        <v>6000</v>
      </c>
      <c r="AA156">
        <f t="shared" si="61"/>
        <v>1.3369015219719209</v>
      </c>
      <c r="AB156">
        <f t="shared" si="62"/>
        <v>6.7083453443605716</v>
      </c>
      <c r="AC156">
        <f t="shared" si="63"/>
        <v>6000</v>
      </c>
      <c r="AD156">
        <f t="shared" si="64"/>
        <v>1.3369015219719209</v>
      </c>
      <c r="AE156">
        <f t="shared" si="65"/>
        <v>6.7083453443605716</v>
      </c>
      <c r="AF156">
        <f t="shared" si="66"/>
        <v>6000</v>
      </c>
      <c r="AG156">
        <f t="shared" si="67"/>
        <v>1.3369015219719209</v>
      </c>
      <c r="AH156">
        <f t="shared" si="68"/>
        <v>6.7083453443605716</v>
      </c>
      <c r="AI156" cm="1">
        <f t="array" ref="AI156">_xlfn.LET(
    _xlpm.vals,   _xlfn.HSTACK(S156,V156,Y156,AB156,AE156,AH156),
    _xlpm.ints,   _xlfn.HSTACK(R156,U156,X156,AA156,AD156,AG156),
    _xlpm.slopes, _xlfn.HSTACK(Q156,T156,W156,Z156,AC156,AF156),
    _xlpm.limit,  -0.00001*_xlpm.slopes + 0.1086*_xlpm.slopes + 63.253,
    _xlpm.mask,   (_xlpm.vals&gt;=0) * (_xlpm.ints&lt;=_xlpm.limit),
    _xlpm.validVals, _xlfn._xlws.FILTER(_xlpm.vals, _xlpm.mask),
    _xlpm.minVal, MIN(_xlpm.validVals),
    IFERROR( _xlfn.XMATCH(_xlpm.minVal, _xlpm.vals), "" )
)</f>
        <v>1</v>
      </c>
      <c r="AJ156" cm="1">
        <f t="array" ref="AJ156">_xlfn.LET(
    _xlpm.vals, CHOOSE({1,2,3,4,5,6}, S156, V156, Y156, AB156, AE156, AH156),
    _xlpm.slopes, CHOOSE({1,2,3,4,5,6}, Q156, T156, W156, Z156, AC156, AF156),
    _xlpm.ints, CHOOSE({1,2,3,4,5,6}, R156, U156, X156, AA156, AD156, AG156),
    _xlpm.limit, -0.00001*_xlpm.slopes + 0.1086*_xlpm.slopes + 63.253,
    _xlpm.valid, (_xlpm.vals &gt;= 0) * (_xlpm.ints &lt;= _xlpm.limit),
    _xlpm.target, MIN(_xlfn._xlws.FILTER(_xlpm.vals, _xlpm.valid)),
    IFERROR(
        _xlfn.XLOOKUP(_xlpm.target, _xlpm.vals, _xlpm.vals),
        CHOOSE({1,2,3,4,5,6}, S$1, V$1, Y$1, AB$1, AE$1, AH$1)
    )
)</f>
        <v>0.36955441813647172</v>
      </c>
    </row>
    <row r="157" spans="9:36" x14ac:dyDescent="0.45">
      <c r="I157">
        <v>155</v>
      </c>
      <c r="J157">
        <v>0</v>
      </c>
      <c r="K157">
        <f t="shared" si="47"/>
        <v>0</v>
      </c>
      <c r="L157">
        <f t="shared" si="46"/>
        <v>0</v>
      </c>
      <c r="M157">
        <v>0.65</v>
      </c>
      <c r="N157">
        <f t="shared" si="48"/>
        <v>0.65</v>
      </c>
      <c r="O157">
        <f t="shared" si="49"/>
        <v>0</v>
      </c>
      <c r="P157">
        <f t="shared" si="50"/>
        <v>0</v>
      </c>
      <c r="Q157">
        <f t="shared" si="51"/>
        <v>1000</v>
      </c>
      <c r="R157">
        <f t="shared" si="52"/>
        <v>6.2070427805839188</v>
      </c>
      <c r="S157">
        <f t="shared" si="53"/>
        <v>0.35764729725340616</v>
      </c>
      <c r="T157">
        <f t="shared" si="54"/>
        <v>6000</v>
      </c>
      <c r="U157">
        <f t="shared" si="55"/>
        <v>1.0345071300973196</v>
      </c>
      <c r="V157">
        <f t="shared" si="56"/>
        <v>6.7064148495656495</v>
      </c>
      <c r="W157">
        <f t="shared" si="57"/>
        <v>6000</v>
      </c>
      <c r="X157">
        <f t="shared" si="58"/>
        <v>1.0345071300973196</v>
      </c>
      <c r="Y157">
        <f t="shared" si="59"/>
        <v>6.7064148495656495</v>
      </c>
      <c r="Z157">
        <f t="shared" si="60"/>
        <v>6000</v>
      </c>
      <c r="AA157">
        <f t="shared" si="61"/>
        <v>1.0345071300973196</v>
      </c>
      <c r="AB157">
        <f t="shared" si="62"/>
        <v>6.7064148495656495</v>
      </c>
      <c r="AC157">
        <f t="shared" si="63"/>
        <v>6000</v>
      </c>
      <c r="AD157">
        <f t="shared" si="64"/>
        <v>1.0345071300973196</v>
      </c>
      <c r="AE157">
        <f t="shared" si="65"/>
        <v>6.7064148495656495</v>
      </c>
      <c r="AF157">
        <f t="shared" si="66"/>
        <v>6000</v>
      </c>
      <c r="AG157">
        <f t="shared" si="67"/>
        <v>1.0345071300973196</v>
      </c>
      <c r="AH157">
        <f t="shared" si="68"/>
        <v>6.7064148495656495</v>
      </c>
      <c r="AI157" cm="1">
        <f t="array" ref="AI157">_xlfn.LET(
    _xlpm.vals,   _xlfn.HSTACK(S157,V157,Y157,AB157,AE157,AH157),
    _xlpm.ints,   _xlfn.HSTACK(R157,U157,X157,AA157,AD157,AG157),
    _xlpm.slopes, _xlfn.HSTACK(Q157,T157,W157,Z157,AC157,AF157),
    _xlpm.limit,  -0.00001*_xlpm.slopes + 0.1086*_xlpm.slopes + 63.253,
    _xlpm.mask,   (_xlpm.vals&gt;=0) * (_xlpm.ints&lt;=_xlpm.limit),
    _xlpm.validVals, _xlfn._xlws.FILTER(_xlpm.vals, _xlpm.mask),
    _xlpm.minVal, MIN(_xlpm.validVals),
    IFERROR( _xlfn.XMATCH(_xlpm.minVal, _xlpm.vals), "" )
)</f>
        <v>1</v>
      </c>
      <c r="AJ157" cm="1">
        <f t="array" ref="AJ157">_xlfn.LET(
    _xlpm.vals, CHOOSE({1,2,3,4,5,6}, S157, V157, Y157, AB157, AE157, AH157),
    _xlpm.slopes, CHOOSE({1,2,3,4,5,6}, Q157, T157, W157, Z157, AC157, AF157),
    _xlpm.ints, CHOOSE({1,2,3,4,5,6}, R157, U157, X157, AA157, AD157, AG157),
    _xlpm.limit, -0.00001*_xlpm.slopes + 0.1086*_xlpm.slopes + 63.253,
    _xlpm.valid, (_xlpm.vals &gt;= 0) * (_xlpm.ints &lt;= _xlpm.limit),
    _xlpm.target, MIN(_xlfn._xlws.FILTER(_xlpm.vals, _xlpm.valid)),
    IFERROR(
        _xlfn.XLOOKUP(_xlpm.target, _xlpm.vals, _xlpm.vals),
        CHOOSE({1,2,3,4,5,6}, S$1, V$1, Y$1, AB$1, AE$1, AH$1)
    )
)</f>
        <v>0.35764729725340616</v>
      </c>
    </row>
    <row r="158" spans="9:36" x14ac:dyDescent="0.45">
      <c r="I158">
        <v>156</v>
      </c>
      <c r="J158">
        <v>0</v>
      </c>
      <c r="K158">
        <f t="shared" si="47"/>
        <v>0</v>
      </c>
      <c r="L158">
        <f t="shared" si="46"/>
        <v>0</v>
      </c>
      <c r="M158">
        <v>0.72</v>
      </c>
      <c r="N158">
        <f t="shared" si="48"/>
        <v>0.72</v>
      </c>
      <c r="O158">
        <f t="shared" si="49"/>
        <v>0</v>
      </c>
      <c r="P158">
        <f t="shared" si="50"/>
        <v>0</v>
      </c>
      <c r="Q158">
        <f t="shared" si="51"/>
        <v>1000</v>
      </c>
      <c r="R158">
        <f t="shared" si="52"/>
        <v>6.8754935415698792</v>
      </c>
      <c r="S158">
        <f t="shared" si="53"/>
        <v>0.36198940301670424</v>
      </c>
      <c r="T158">
        <f t="shared" si="54"/>
        <v>6000</v>
      </c>
      <c r="U158">
        <f t="shared" si="55"/>
        <v>1.1459155902616465</v>
      </c>
      <c r="V158">
        <f t="shared" si="56"/>
        <v>6.7071225502815253</v>
      </c>
      <c r="W158">
        <f t="shared" si="57"/>
        <v>6000</v>
      </c>
      <c r="X158">
        <f t="shared" si="58"/>
        <v>1.1459155902616465</v>
      </c>
      <c r="Y158">
        <f t="shared" si="59"/>
        <v>6.7071225502815253</v>
      </c>
      <c r="Z158">
        <f t="shared" si="60"/>
        <v>6000</v>
      </c>
      <c r="AA158">
        <f t="shared" si="61"/>
        <v>1.1459155902616465</v>
      </c>
      <c r="AB158">
        <f t="shared" si="62"/>
        <v>6.7071225502815253</v>
      </c>
      <c r="AC158">
        <f t="shared" si="63"/>
        <v>6000</v>
      </c>
      <c r="AD158">
        <f t="shared" si="64"/>
        <v>1.1459155902616465</v>
      </c>
      <c r="AE158">
        <f t="shared" si="65"/>
        <v>6.7071225502815253</v>
      </c>
      <c r="AF158">
        <f t="shared" si="66"/>
        <v>6000</v>
      </c>
      <c r="AG158">
        <f t="shared" si="67"/>
        <v>1.1459155902616465</v>
      </c>
      <c r="AH158">
        <f t="shared" si="68"/>
        <v>6.7071225502815253</v>
      </c>
      <c r="AI158" cm="1">
        <f t="array" ref="AI158">_xlfn.LET(
    _xlpm.vals,   _xlfn.HSTACK(S158,V158,Y158,AB158,AE158,AH158),
    _xlpm.ints,   _xlfn.HSTACK(R158,U158,X158,AA158,AD158,AG158),
    _xlpm.slopes, _xlfn.HSTACK(Q158,T158,W158,Z158,AC158,AF158),
    _xlpm.limit,  -0.00001*_xlpm.slopes + 0.1086*_xlpm.slopes + 63.253,
    _xlpm.mask,   (_xlpm.vals&gt;=0) * (_xlpm.ints&lt;=_xlpm.limit),
    _xlpm.validVals, _xlfn._xlws.FILTER(_xlpm.vals, _xlpm.mask),
    _xlpm.minVal, MIN(_xlpm.validVals),
    IFERROR( _xlfn.XMATCH(_xlpm.minVal, _xlpm.vals), "" )
)</f>
        <v>1</v>
      </c>
      <c r="AJ158" cm="1">
        <f t="array" ref="AJ158">_xlfn.LET(
    _xlpm.vals, CHOOSE({1,2,3,4,5,6}, S158, V158, Y158, AB158, AE158, AH158),
    _xlpm.slopes, CHOOSE({1,2,3,4,5,6}, Q158, T158, W158, Z158, AC158, AF158),
    _xlpm.ints, CHOOSE({1,2,3,4,5,6}, R158, U158, X158, AA158, AD158, AG158),
    _xlpm.limit, -0.00001*_xlpm.slopes + 0.1086*_xlpm.slopes + 63.253,
    _xlpm.valid, (_xlpm.vals &gt;= 0) * (_xlpm.ints &lt;= _xlpm.limit),
    _xlpm.target, MIN(_xlfn._xlws.FILTER(_xlpm.vals, _xlpm.valid)),
    IFERROR(
        _xlfn.XLOOKUP(_xlpm.target, _xlpm.vals, _xlpm.vals),
        CHOOSE({1,2,3,4,5,6}, S$1, V$1, Y$1, AB$1, AE$1, AH$1)
    )
)</f>
        <v>0.36198940301670424</v>
      </c>
    </row>
    <row r="159" spans="9:36" x14ac:dyDescent="0.45">
      <c r="I159">
        <v>157</v>
      </c>
      <c r="J159">
        <v>0</v>
      </c>
      <c r="K159">
        <f t="shared" si="47"/>
        <v>0</v>
      </c>
      <c r="L159">
        <f t="shared" si="46"/>
        <v>0</v>
      </c>
      <c r="M159">
        <v>0.28999999999999998</v>
      </c>
      <c r="N159">
        <f t="shared" si="48"/>
        <v>0.28999999999999998</v>
      </c>
      <c r="O159">
        <f t="shared" si="49"/>
        <v>0</v>
      </c>
      <c r="P159">
        <f t="shared" si="50"/>
        <v>0</v>
      </c>
      <c r="Q159">
        <f t="shared" si="51"/>
        <v>1000</v>
      </c>
      <c r="R159">
        <f t="shared" si="52"/>
        <v>2.7692960097989792</v>
      </c>
      <c r="S159">
        <f t="shared" si="53"/>
        <v>0.33616652941935438</v>
      </c>
      <c r="T159">
        <f t="shared" si="54"/>
        <v>6000</v>
      </c>
      <c r="U159">
        <f t="shared" si="55"/>
        <v>0.46154933496649647</v>
      </c>
      <c r="V159">
        <f t="shared" si="56"/>
        <v>6.7028404956700021</v>
      </c>
      <c r="W159">
        <f t="shared" si="57"/>
        <v>6000</v>
      </c>
      <c r="X159">
        <f t="shared" si="58"/>
        <v>0.46154933496649647</v>
      </c>
      <c r="Y159">
        <f t="shared" si="59"/>
        <v>6.7028404956700021</v>
      </c>
      <c r="Z159">
        <f t="shared" si="60"/>
        <v>6000</v>
      </c>
      <c r="AA159">
        <f t="shared" si="61"/>
        <v>0.46154933496649647</v>
      </c>
      <c r="AB159">
        <f t="shared" si="62"/>
        <v>6.7028404956700021</v>
      </c>
      <c r="AC159">
        <f t="shared" si="63"/>
        <v>6000</v>
      </c>
      <c r="AD159">
        <f t="shared" si="64"/>
        <v>0.46154933496649647</v>
      </c>
      <c r="AE159">
        <f t="shared" si="65"/>
        <v>6.7028404956700021</v>
      </c>
      <c r="AF159">
        <f t="shared" si="66"/>
        <v>6000</v>
      </c>
      <c r="AG159">
        <f t="shared" si="67"/>
        <v>0.46154933496649647</v>
      </c>
      <c r="AH159">
        <f t="shared" si="68"/>
        <v>6.7028404956700021</v>
      </c>
      <c r="AI159" cm="1">
        <f t="array" ref="AI159">_xlfn.LET(
    _xlpm.vals,   _xlfn.HSTACK(S159,V159,Y159,AB159,AE159,AH159),
    _xlpm.ints,   _xlfn.HSTACK(R159,U159,X159,AA159,AD159,AG159),
    _xlpm.slopes, _xlfn.HSTACK(Q159,T159,W159,Z159,AC159,AF159),
    _xlpm.limit,  -0.00001*_xlpm.slopes + 0.1086*_xlpm.slopes + 63.253,
    _xlpm.mask,   (_xlpm.vals&gt;=0) * (_xlpm.ints&lt;=_xlpm.limit),
    _xlpm.validVals, _xlfn._xlws.FILTER(_xlpm.vals, _xlpm.mask),
    _xlpm.minVal, MIN(_xlpm.validVals),
    IFERROR( _xlfn.XMATCH(_xlpm.minVal, _xlpm.vals), "" )
)</f>
        <v>1</v>
      </c>
      <c r="AJ159" cm="1">
        <f t="array" ref="AJ159">_xlfn.LET(
    _xlpm.vals, CHOOSE({1,2,3,4,5,6}, S159, V159, Y159, AB159, AE159, AH159),
    _xlpm.slopes, CHOOSE({1,2,3,4,5,6}, Q159, T159, W159, Z159, AC159, AF159),
    _xlpm.ints, CHOOSE({1,2,3,4,5,6}, R159, U159, X159, AA159, AD159, AG159),
    _xlpm.limit, -0.00001*_xlpm.slopes + 0.1086*_xlpm.slopes + 63.253,
    _xlpm.valid, (_xlpm.vals &gt;= 0) * (_xlpm.ints &lt;= _xlpm.limit),
    _xlpm.target, MIN(_xlfn._xlws.FILTER(_xlpm.vals, _xlpm.valid)),
    IFERROR(
        _xlfn.XLOOKUP(_xlpm.target, _xlpm.vals, _xlpm.vals),
        CHOOSE({1,2,3,4,5,6}, S$1, V$1, Y$1, AB$1, AE$1, AH$1)
    )
)</f>
        <v>0.33616652941935438</v>
      </c>
    </row>
    <row r="160" spans="9:36" x14ac:dyDescent="0.45">
      <c r="I160">
        <v>158</v>
      </c>
      <c r="J160">
        <v>0</v>
      </c>
      <c r="K160">
        <f t="shared" si="47"/>
        <v>0</v>
      </c>
      <c r="L160">
        <f t="shared" si="46"/>
        <v>0</v>
      </c>
      <c r="M160">
        <v>0.18</v>
      </c>
      <c r="N160">
        <f t="shared" si="48"/>
        <v>0.18</v>
      </c>
      <c r="O160">
        <f t="shared" si="49"/>
        <v>0</v>
      </c>
      <c r="P160">
        <f t="shared" si="50"/>
        <v>0</v>
      </c>
      <c r="Q160">
        <f t="shared" si="51"/>
        <v>1000</v>
      </c>
      <c r="R160">
        <f t="shared" si="52"/>
        <v>1.7188733853924698</v>
      </c>
      <c r="S160">
        <f t="shared" si="53"/>
        <v>0.32989531933527033</v>
      </c>
      <c r="T160">
        <f t="shared" si="54"/>
        <v>6000</v>
      </c>
      <c r="U160">
        <f t="shared" si="55"/>
        <v>0.28647889756541162</v>
      </c>
      <c r="V160">
        <f t="shared" si="56"/>
        <v>6.7017701632019246</v>
      </c>
      <c r="W160">
        <f t="shared" si="57"/>
        <v>6000</v>
      </c>
      <c r="X160">
        <f t="shared" si="58"/>
        <v>0.28647889756541162</v>
      </c>
      <c r="Y160">
        <f t="shared" si="59"/>
        <v>6.7017701632019246</v>
      </c>
      <c r="Z160">
        <f t="shared" si="60"/>
        <v>6000</v>
      </c>
      <c r="AA160">
        <f t="shared" si="61"/>
        <v>0.28647889756541162</v>
      </c>
      <c r="AB160">
        <f t="shared" si="62"/>
        <v>6.7017701632019246</v>
      </c>
      <c r="AC160">
        <f t="shared" si="63"/>
        <v>6000</v>
      </c>
      <c r="AD160">
        <f t="shared" si="64"/>
        <v>0.28647889756541162</v>
      </c>
      <c r="AE160">
        <f t="shared" si="65"/>
        <v>6.7017701632019246</v>
      </c>
      <c r="AF160">
        <f t="shared" si="66"/>
        <v>6000</v>
      </c>
      <c r="AG160">
        <f t="shared" si="67"/>
        <v>0.28647889756541162</v>
      </c>
      <c r="AH160">
        <f t="shared" si="68"/>
        <v>6.7017701632019246</v>
      </c>
      <c r="AI160" cm="1">
        <f t="array" ref="AI160">_xlfn.LET(
    _xlpm.vals,   _xlfn.HSTACK(S160,V160,Y160,AB160,AE160,AH160),
    _xlpm.ints,   _xlfn.HSTACK(R160,U160,X160,AA160,AD160,AG160),
    _xlpm.slopes, _xlfn.HSTACK(Q160,T160,W160,Z160,AC160,AF160),
    _xlpm.limit,  -0.00001*_xlpm.slopes + 0.1086*_xlpm.slopes + 63.253,
    _xlpm.mask,   (_xlpm.vals&gt;=0) * (_xlpm.ints&lt;=_xlpm.limit),
    _xlpm.validVals, _xlfn._xlws.FILTER(_xlpm.vals, _xlpm.mask),
    _xlpm.minVal, MIN(_xlpm.validVals),
    IFERROR( _xlfn.XMATCH(_xlpm.minVal, _xlpm.vals), "" )
)</f>
        <v>1</v>
      </c>
      <c r="AJ160" cm="1">
        <f t="array" ref="AJ160">_xlfn.LET(
    _xlpm.vals, CHOOSE({1,2,3,4,5,6}, S160, V160, Y160, AB160, AE160, AH160),
    _xlpm.slopes, CHOOSE({1,2,3,4,5,6}, Q160, T160, W160, Z160, AC160, AF160),
    _xlpm.ints, CHOOSE({1,2,3,4,5,6}, R160, U160, X160, AA160, AD160, AG160),
    _xlpm.limit, -0.00001*_xlpm.slopes + 0.1086*_xlpm.slopes + 63.253,
    _xlpm.valid, (_xlpm.vals &gt;= 0) * (_xlpm.ints &lt;= _xlpm.limit),
    _xlpm.target, MIN(_xlfn._xlws.FILTER(_xlpm.vals, _xlpm.valid)),
    IFERROR(
        _xlfn.XLOOKUP(_xlpm.target, _xlpm.vals, _xlpm.vals),
        CHOOSE({1,2,3,4,5,6}, S$1, V$1, Y$1, AB$1, AE$1, AH$1)
    )
)</f>
        <v>0.32989531933527033</v>
      </c>
    </row>
    <row r="161" spans="9:36" x14ac:dyDescent="0.45">
      <c r="I161">
        <v>159</v>
      </c>
      <c r="J161">
        <v>0</v>
      </c>
      <c r="K161">
        <f t="shared" si="47"/>
        <v>0</v>
      </c>
      <c r="L161">
        <f t="shared" si="46"/>
        <v>0</v>
      </c>
      <c r="M161">
        <v>0.55000000000000004</v>
      </c>
      <c r="N161">
        <f t="shared" si="48"/>
        <v>0.55000000000000004</v>
      </c>
      <c r="O161">
        <f t="shared" si="49"/>
        <v>0</v>
      </c>
      <c r="P161">
        <f t="shared" si="50"/>
        <v>0</v>
      </c>
      <c r="Q161">
        <f t="shared" si="51"/>
        <v>1000</v>
      </c>
      <c r="R161">
        <f t="shared" si="52"/>
        <v>5.2521131220325463</v>
      </c>
      <c r="S161">
        <f t="shared" si="53"/>
        <v>0.35153630349102027</v>
      </c>
      <c r="T161">
        <f t="shared" si="54"/>
        <v>6000</v>
      </c>
      <c r="U161">
        <f t="shared" si="55"/>
        <v>0.87535218700542439</v>
      </c>
      <c r="V161">
        <f t="shared" si="56"/>
        <v>6.7054110080200608</v>
      </c>
      <c r="W161">
        <f t="shared" si="57"/>
        <v>6000</v>
      </c>
      <c r="X161">
        <f t="shared" si="58"/>
        <v>0.87535218700542439</v>
      </c>
      <c r="Y161">
        <f t="shared" si="59"/>
        <v>6.7054110080200608</v>
      </c>
      <c r="Z161">
        <f t="shared" si="60"/>
        <v>6000</v>
      </c>
      <c r="AA161">
        <f t="shared" si="61"/>
        <v>0.87535218700542439</v>
      </c>
      <c r="AB161">
        <f t="shared" si="62"/>
        <v>6.7054110080200608</v>
      </c>
      <c r="AC161">
        <f t="shared" si="63"/>
        <v>6000</v>
      </c>
      <c r="AD161">
        <f t="shared" si="64"/>
        <v>0.87535218700542439</v>
      </c>
      <c r="AE161">
        <f t="shared" si="65"/>
        <v>6.7054110080200608</v>
      </c>
      <c r="AF161">
        <f t="shared" si="66"/>
        <v>6000</v>
      </c>
      <c r="AG161">
        <f t="shared" si="67"/>
        <v>0.87535218700542439</v>
      </c>
      <c r="AH161">
        <f t="shared" si="68"/>
        <v>6.7054110080200608</v>
      </c>
      <c r="AI161" cm="1">
        <f t="array" ref="AI161">_xlfn.LET(
    _xlpm.vals,   _xlfn.HSTACK(S161,V161,Y161,AB161,AE161,AH161),
    _xlpm.ints,   _xlfn.HSTACK(R161,U161,X161,AA161,AD161,AG161),
    _xlpm.slopes, _xlfn.HSTACK(Q161,T161,W161,Z161,AC161,AF161),
    _xlpm.limit,  -0.00001*_xlpm.slopes + 0.1086*_xlpm.slopes + 63.253,
    _xlpm.mask,   (_xlpm.vals&gt;=0) * (_xlpm.ints&lt;=_xlpm.limit),
    _xlpm.validVals, _xlfn._xlws.FILTER(_xlpm.vals, _xlpm.mask),
    _xlpm.minVal, MIN(_xlpm.validVals),
    IFERROR( _xlfn.XMATCH(_xlpm.minVal, _xlpm.vals), "" )
)</f>
        <v>1</v>
      </c>
      <c r="AJ161" cm="1">
        <f t="array" ref="AJ161">_xlfn.LET(
    _xlpm.vals, CHOOSE({1,2,3,4,5,6}, S161, V161, Y161, AB161, AE161, AH161),
    _xlpm.slopes, CHOOSE({1,2,3,4,5,6}, Q161, T161, W161, Z161, AC161, AF161),
    _xlpm.ints, CHOOSE({1,2,3,4,5,6}, R161, U161, X161, AA161, AD161, AG161),
    _xlpm.limit, -0.00001*_xlpm.slopes + 0.1086*_xlpm.slopes + 63.253,
    _xlpm.valid, (_xlpm.vals &gt;= 0) * (_xlpm.ints &lt;= _xlpm.limit),
    _xlpm.target, MIN(_xlfn._xlws.FILTER(_xlpm.vals, _xlpm.valid)),
    IFERROR(
        _xlfn.XLOOKUP(_xlpm.target, _xlpm.vals, _xlpm.vals),
        CHOOSE({1,2,3,4,5,6}, S$1, V$1, Y$1, AB$1, AE$1, AH$1)
    )
)</f>
        <v>0.35153630349102027</v>
      </c>
    </row>
    <row r="162" spans="9:36" x14ac:dyDescent="0.45">
      <c r="I162">
        <v>160</v>
      </c>
      <c r="J162">
        <v>0</v>
      </c>
      <c r="K162">
        <f t="shared" si="47"/>
        <v>0</v>
      </c>
      <c r="L162">
        <f t="shared" si="46"/>
        <v>0</v>
      </c>
      <c r="M162">
        <v>0.74</v>
      </c>
      <c r="N162">
        <f t="shared" si="48"/>
        <v>0.74</v>
      </c>
      <c r="O162">
        <f t="shared" si="49"/>
        <v>0</v>
      </c>
      <c r="P162">
        <f t="shared" si="50"/>
        <v>0</v>
      </c>
      <c r="Q162">
        <f t="shared" si="51"/>
        <v>1000</v>
      </c>
      <c r="R162">
        <f t="shared" si="52"/>
        <v>7.0664794732801539</v>
      </c>
      <c r="S162">
        <f t="shared" si="53"/>
        <v>0.36323964379944956</v>
      </c>
      <c r="T162">
        <f t="shared" si="54"/>
        <v>6000</v>
      </c>
      <c r="U162">
        <f t="shared" si="55"/>
        <v>1.1777465788800257</v>
      </c>
      <c r="V162">
        <f t="shared" si="56"/>
        <v>6.7073255080688394</v>
      </c>
      <c r="W162">
        <f t="shared" si="57"/>
        <v>6000</v>
      </c>
      <c r="X162">
        <f t="shared" si="58"/>
        <v>1.1777465788800257</v>
      </c>
      <c r="Y162">
        <f t="shared" si="59"/>
        <v>6.7073255080688394</v>
      </c>
      <c r="Z162">
        <f t="shared" si="60"/>
        <v>6000</v>
      </c>
      <c r="AA162">
        <f t="shared" si="61"/>
        <v>1.1777465788800257</v>
      </c>
      <c r="AB162">
        <f t="shared" si="62"/>
        <v>6.7073255080688394</v>
      </c>
      <c r="AC162">
        <f t="shared" si="63"/>
        <v>6000</v>
      </c>
      <c r="AD162">
        <f t="shared" si="64"/>
        <v>1.1777465788800257</v>
      </c>
      <c r="AE162">
        <f t="shared" si="65"/>
        <v>6.7073255080688394</v>
      </c>
      <c r="AF162">
        <f t="shared" si="66"/>
        <v>6000</v>
      </c>
      <c r="AG162">
        <f t="shared" si="67"/>
        <v>1.1777465788800257</v>
      </c>
      <c r="AH162">
        <f t="shared" si="68"/>
        <v>6.7073255080688394</v>
      </c>
      <c r="AI162" cm="1">
        <f t="array" ref="AI162">_xlfn.LET(
    _xlpm.vals,   _xlfn.HSTACK(S162,V162,Y162,AB162,AE162,AH162),
    _xlpm.ints,   _xlfn.HSTACK(R162,U162,X162,AA162,AD162,AG162),
    _xlpm.slopes, _xlfn.HSTACK(Q162,T162,W162,Z162,AC162,AF162),
    _xlpm.limit,  -0.00001*_xlpm.slopes + 0.1086*_xlpm.slopes + 63.253,
    _xlpm.mask,   (_xlpm.vals&gt;=0) * (_xlpm.ints&lt;=_xlpm.limit),
    _xlpm.validVals, _xlfn._xlws.FILTER(_xlpm.vals, _xlpm.mask),
    _xlpm.minVal, MIN(_xlpm.validVals),
    IFERROR( _xlfn.XMATCH(_xlpm.minVal, _xlpm.vals), "" )
)</f>
        <v>1</v>
      </c>
      <c r="AJ162" cm="1">
        <f t="array" ref="AJ162">_xlfn.LET(
    _xlpm.vals, CHOOSE({1,2,3,4,5,6}, S162, V162, Y162, AB162, AE162, AH162),
    _xlpm.slopes, CHOOSE({1,2,3,4,5,6}, Q162, T162, W162, Z162, AC162, AF162),
    _xlpm.ints, CHOOSE({1,2,3,4,5,6}, R162, U162, X162, AA162, AD162, AG162),
    _xlpm.limit, -0.00001*_xlpm.slopes + 0.1086*_xlpm.slopes + 63.253,
    _xlpm.valid, (_xlpm.vals &gt;= 0) * (_xlpm.ints &lt;= _xlpm.limit),
    _xlpm.target, MIN(_xlfn._xlws.FILTER(_xlpm.vals, _xlpm.valid)),
    IFERROR(
        _xlfn.XLOOKUP(_xlpm.target, _xlpm.vals, _xlpm.vals),
        CHOOSE({1,2,3,4,5,6}, S$1, V$1, Y$1, AB$1, AE$1, AH$1)
    )
)</f>
        <v>0.36323964379944956</v>
      </c>
    </row>
    <row r="163" spans="9:36" x14ac:dyDescent="0.45">
      <c r="I163">
        <v>161</v>
      </c>
      <c r="J163">
        <v>0</v>
      </c>
      <c r="K163">
        <f t="shared" si="47"/>
        <v>0</v>
      </c>
      <c r="L163">
        <f t="shared" si="46"/>
        <v>0</v>
      </c>
      <c r="M163">
        <v>0.74</v>
      </c>
      <c r="N163">
        <f t="shared" si="48"/>
        <v>0.74</v>
      </c>
      <c r="O163">
        <f t="shared" si="49"/>
        <v>0</v>
      </c>
      <c r="P163">
        <f t="shared" si="50"/>
        <v>0</v>
      </c>
      <c r="Q163">
        <f t="shared" si="51"/>
        <v>1000</v>
      </c>
      <c r="R163">
        <f t="shared" si="52"/>
        <v>7.0664794732801539</v>
      </c>
      <c r="S163">
        <f t="shared" si="53"/>
        <v>0.36323964379944956</v>
      </c>
      <c r="T163">
        <f t="shared" si="54"/>
        <v>6000</v>
      </c>
      <c r="U163">
        <f t="shared" si="55"/>
        <v>1.1777465788800257</v>
      </c>
      <c r="V163">
        <f t="shared" si="56"/>
        <v>6.7073255080688394</v>
      </c>
      <c r="W163">
        <f t="shared" si="57"/>
        <v>6000</v>
      </c>
      <c r="X163">
        <f t="shared" si="58"/>
        <v>1.1777465788800257</v>
      </c>
      <c r="Y163">
        <f t="shared" si="59"/>
        <v>6.7073255080688394</v>
      </c>
      <c r="Z163">
        <f t="shared" si="60"/>
        <v>6000</v>
      </c>
      <c r="AA163">
        <f t="shared" si="61"/>
        <v>1.1777465788800257</v>
      </c>
      <c r="AB163">
        <f t="shared" si="62"/>
        <v>6.7073255080688394</v>
      </c>
      <c r="AC163">
        <f t="shared" si="63"/>
        <v>6000</v>
      </c>
      <c r="AD163">
        <f t="shared" si="64"/>
        <v>1.1777465788800257</v>
      </c>
      <c r="AE163">
        <f t="shared" si="65"/>
        <v>6.7073255080688394</v>
      </c>
      <c r="AF163">
        <f t="shared" si="66"/>
        <v>6000</v>
      </c>
      <c r="AG163">
        <f t="shared" si="67"/>
        <v>1.1777465788800257</v>
      </c>
      <c r="AH163">
        <f t="shared" si="68"/>
        <v>6.7073255080688394</v>
      </c>
      <c r="AI163" cm="1">
        <f t="array" ref="AI163">_xlfn.LET(
    _xlpm.vals,   _xlfn.HSTACK(S163,V163,Y163,AB163,AE163,AH163),
    _xlpm.ints,   _xlfn.HSTACK(R163,U163,X163,AA163,AD163,AG163),
    _xlpm.slopes, _xlfn.HSTACK(Q163,T163,W163,Z163,AC163,AF163),
    _xlpm.limit,  -0.00001*_xlpm.slopes + 0.1086*_xlpm.slopes + 63.253,
    _xlpm.mask,   (_xlpm.vals&gt;=0) * (_xlpm.ints&lt;=_xlpm.limit),
    _xlpm.validVals, _xlfn._xlws.FILTER(_xlpm.vals, _xlpm.mask),
    _xlpm.minVal, MIN(_xlpm.validVals),
    IFERROR( _xlfn.XMATCH(_xlpm.minVal, _xlpm.vals), "" )
)</f>
        <v>1</v>
      </c>
      <c r="AJ163" cm="1">
        <f t="array" ref="AJ163">_xlfn.LET(
    _xlpm.vals, CHOOSE({1,2,3,4,5,6}, S163, V163, Y163, AB163, AE163, AH163),
    _xlpm.slopes, CHOOSE({1,2,3,4,5,6}, Q163, T163, W163, Z163, AC163, AF163),
    _xlpm.ints, CHOOSE({1,2,3,4,5,6}, R163, U163, X163, AA163, AD163, AG163),
    _xlpm.limit, -0.00001*_xlpm.slopes + 0.1086*_xlpm.slopes + 63.253,
    _xlpm.valid, (_xlpm.vals &gt;= 0) * (_xlpm.ints &lt;= _xlpm.limit),
    _xlpm.target, MIN(_xlfn._xlws.FILTER(_xlpm.vals, _xlpm.valid)),
    IFERROR(
        _xlfn.XLOOKUP(_xlpm.target, _xlpm.vals, _xlpm.vals),
        CHOOSE({1,2,3,4,5,6}, S$1, V$1, Y$1, AB$1, AE$1, AH$1)
    )
)</f>
        <v>0.36323964379944956</v>
      </c>
    </row>
    <row r="164" spans="9:36" x14ac:dyDescent="0.45">
      <c r="I164">
        <v>162</v>
      </c>
      <c r="J164">
        <v>0.7</v>
      </c>
      <c r="K164">
        <f t="shared" si="47"/>
        <v>0.7</v>
      </c>
      <c r="L164">
        <f t="shared" si="46"/>
        <v>1.9444444444444443E-4</v>
      </c>
      <c r="M164">
        <v>0.46</v>
      </c>
      <c r="N164">
        <f t="shared" si="48"/>
        <v>0.46</v>
      </c>
      <c r="O164">
        <f t="shared" si="49"/>
        <v>9.0966279510247716</v>
      </c>
      <c r="P164">
        <f t="shared" si="50"/>
        <v>29.109209443279269</v>
      </c>
      <c r="Q164">
        <f t="shared" si="51"/>
        <v>1000</v>
      </c>
      <c r="R164">
        <f t="shared" si="52"/>
        <v>4.3926764293363121</v>
      </c>
      <c r="S164">
        <f t="shared" si="53"/>
        <v>0.34613031128109145</v>
      </c>
      <c r="T164">
        <f t="shared" si="54"/>
        <v>6000</v>
      </c>
      <c r="U164">
        <f t="shared" si="55"/>
        <v>0.73211273822271861</v>
      </c>
      <c r="V164">
        <f t="shared" si="56"/>
        <v>6.704514758454228</v>
      </c>
      <c r="W164">
        <f t="shared" si="57"/>
        <v>6000</v>
      </c>
      <c r="X164">
        <f t="shared" si="58"/>
        <v>0.73211273822271861</v>
      </c>
      <c r="Y164">
        <f t="shared" si="59"/>
        <v>6.704514758454228</v>
      </c>
      <c r="Z164">
        <f t="shared" si="60"/>
        <v>6000</v>
      </c>
      <c r="AA164">
        <f t="shared" si="61"/>
        <v>0.73211273822271861</v>
      </c>
      <c r="AB164">
        <f t="shared" si="62"/>
        <v>6.704514758454228</v>
      </c>
      <c r="AC164">
        <f t="shared" si="63"/>
        <v>6000</v>
      </c>
      <c r="AD164">
        <f t="shared" si="64"/>
        <v>0.73211273822271861</v>
      </c>
      <c r="AE164">
        <f t="shared" si="65"/>
        <v>6.704514758454228</v>
      </c>
      <c r="AF164">
        <f t="shared" si="66"/>
        <v>6000</v>
      </c>
      <c r="AG164">
        <f t="shared" si="67"/>
        <v>0.73211273822271861</v>
      </c>
      <c r="AH164">
        <f t="shared" si="68"/>
        <v>6.704514758454228</v>
      </c>
      <c r="AI164" cm="1">
        <f t="array" ref="AI164">_xlfn.LET(
    _xlpm.vals,   _xlfn.HSTACK(S164,V164,Y164,AB164,AE164,AH164),
    _xlpm.ints,   _xlfn.HSTACK(R164,U164,X164,AA164,AD164,AG164),
    _xlpm.slopes, _xlfn.HSTACK(Q164,T164,W164,Z164,AC164,AF164),
    _xlpm.limit,  -0.00001*_xlpm.slopes + 0.1086*_xlpm.slopes + 63.253,
    _xlpm.mask,   (_xlpm.vals&gt;=0) * (_xlpm.ints&lt;=_xlpm.limit),
    _xlpm.validVals, _xlfn._xlws.FILTER(_xlpm.vals, _xlpm.mask),
    _xlpm.minVal, MIN(_xlpm.validVals),
    IFERROR( _xlfn.XMATCH(_xlpm.minVal, _xlpm.vals), "" )
)</f>
        <v>1</v>
      </c>
      <c r="AJ164" cm="1">
        <f t="array" ref="AJ164">_xlfn.LET(
    _xlpm.vals, CHOOSE({1,2,3,4,5,6}, S164, V164, Y164, AB164, AE164, AH164),
    _xlpm.slopes, CHOOSE({1,2,3,4,5,6}, Q164, T164, W164, Z164, AC164, AF164),
    _xlpm.ints, CHOOSE({1,2,3,4,5,6}, R164, U164, X164, AA164, AD164, AG164),
    _xlpm.limit, -0.00001*_xlpm.slopes + 0.1086*_xlpm.slopes + 63.253,
    _xlpm.valid, (_xlpm.vals &gt;= 0) * (_xlpm.ints &lt;= _xlpm.limit),
    _xlpm.target, MIN(_xlfn._xlws.FILTER(_xlpm.vals, _xlpm.valid)),
    IFERROR(
        _xlfn.XLOOKUP(_xlpm.target, _xlpm.vals, _xlpm.vals),
        CHOOSE({1,2,3,4,5,6}, S$1, V$1, Y$1, AB$1, AE$1, AH$1)
    )
)</f>
        <v>0.34613031128109145</v>
      </c>
    </row>
    <row r="165" spans="9:36" x14ac:dyDescent="0.45">
      <c r="I165">
        <v>163</v>
      </c>
      <c r="J165">
        <v>4.2</v>
      </c>
      <c r="K165">
        <f t="shared" si="47"/>
        <v>4.2</v>
      </c>
      <c r="L165">
        <f t="shared" si="46"/>
        <v>1.1666666666666668E-3</v>
      </c>
      <c r="M165">
        <v>9.44</v>
      </c>
      <c r="N165">
        <f t="shared" si="48"/>
        <v>9.44</v>
      </c>
      <c r="O165">
        <f t="shared" si="49"/>
        <v>54.579767706148637</v>
      </c>
      <c r="P165">
        <f t="shared" si="50"/>
        <v>174.65525665967564</v>
      </c>
      <c r="Q165">
        <f t="shared" si="51"/>
        <v>1000</v>
      </c>
      <c r="R165">
        <f t="shared" si="52"/>
        <v>90.145359767249531</v>
      </c>
      <c r="S165">
        <f t="shared" si="53"/>
        <v>1.1114020704675891</v>
      </c>
      <c r="T165">
        <f t="shared" si="54"/>
        <v>6000</v>
      </c>
      <c r="U165">
        <f t="shared" si="55"/>
        <v>15.024226627874921</v>
      </c>
      <c r="V165">
        <f t="shared" si="56"/>
        <v>6.8266067817077571</v>
      </c>
      <c r="W165">
        <f t="shared" si="57"/>
        <v>6000</v>
      </c>
      <c r="X165">
        <f t="shared" si="58"/>
        <v>15.024226627874921</v>
      </c>
      <c r="Y165">
        <f t="shared" si="59"/>
        <v>6.8266067817077571</v>
      </c>
      <c r="Z165">
        <f t="shared" si="60"/>
        <v>6000</v>
      </c>
      <c r="AA165">
        <f t="shared" si="61"/>
        <v>15.024226627874921</v>
      </c>
      <c r="AB165">
        <f t="shared" si="62"/>
        <v>6.8266067817077571</v>
      </c>
      <c r="AC165">
        <f t="shared" si="63"/>
        <v>6000</v>
      </c>
      <c r="AD165">
        <f t="shared" si="64"/>
        <v>15.024226627874921</v>
      </c>
      <c r="AE165">
        <f t="shared" si="65"/>
        <v>6.8266067817077571</v>
      </c>
      <c r="AF165">
        <f t="shared" si="66"/>
        <v>6000</v>
      </c>
      <c r="AG165">
        <f t="shared" si="67"/>
        <v>15.024226627874921</v>
      </c>
      <c r="AH165">
        <f t="shared" si="68"/>
        <v>6.8266067817077571</v>
      </c>
      <c r="AI165" cm="1">
        <f t="array" ref="AI165">_xlfn.LET(
    _xlpm.vals,   _xlfn.HSTACK(S165,V165,Y165,AB165,AE165,AH165),
    _xlpm.ints,   _xlfn.HSTACK(R165,U165,X165,AA165,AD165,AG165),
    _xlpm.slopes, _xlfn.HSTACK(Q165,T165,W165,Z165,AC165,AF165),
    _xlpm.limit,  -0.00001*_xlpm.slopes + 0.1086*_xlpm.slopes + 63.253,
    _xlpm.mask,   (_xlpm.vals&gt;=0) * (_xlpm.ints&lt;=_xlpm.limit),
    _xlpm.validVals, _xlfn._xlws.FILTER(_xlpm.vals, _xlpm.mask),
    _xlpm.minVal, MIN(_xlpm.validVals),
    IFERROR( _xlfn.XMATCH(_xlpm.minVal, _xlpm.vals), "" )
)</f>
        <v>1</v>
      </c>
      <c r="AJ165" cm="1">
        <f t="array" ref="AJ165">_xlfn.LET(
    _xlpm.vals, CHOOSE({1,2,3,4,5,6}, S165, V165, Y165, AB165, AE165, AH165),
    _xlpm.slopes, CHOOSE({1,2,3,4,5,6}, Q165, T165, W165, Z165, AC165, AF165),
    _xlpm.ints, CHOOSE({1,2,3,4,5,6}, R165, U165, X165, AA165, AD165, AG165),
    _xlpm.limit, -0.00001*_xlpm.slopes + 0.1086*_xlpm.slopes + 63.253,
    _xlpm.valid, (_xlpm.vals &gt;= 0) * (_xlpm.ints &lt;= _xlpm.limit),
    _xlpm.target, MIN(_xlfn._xlws.FILTER(_xlpm.vals, _xlpm.valid)),
    IFERROR(
        _xlfn.XLOOKUP(_xlpm.target, _xlpm.vals, _xlpm.vals),
        CHOOSE({1,2,3,4,5,6}, S$1, V$1, Y$1, AB$1, AE$1, AH$1)
    )
)</f>
        <v>1.1114020704675891</v>
      </c>
    </row>
    <row r="166" spans="9:36" x14ac:dyDescent="0.45">
      <c r="I166">
        <v>164</v>
      </c>
      <c r="J166">
        <v>7.4</v>
      </c>
      <c r="K166">
        <f t="shared" si="47"/>
        <v>7.4</v>
      </c>
      <c r="L166">
        <f t="shared" si="46"/>
        <v>2.0555555555555557E-3</v>
      </c>
      <c r="M166">
        <v>12.56</v>
      </c>
      <c r="N166">
        <f t="shared" si="48"/>
        <v>12.56</v>
      </c>
      <c r="O166">
        <f t="shared" si="49"/>
        <v>96.164352625119022</v>
      </c>
      <c r="P166">
        <f t="shared" si="50"/>
        <v>307.72592840038089</v>
      </c>
      <c r="Q166">
        <f t="shared" si="51"/>
        <v>1409.3847520737445</v>
      </c>
      <c r="R166">
        <f t="shared" si="52"/>
        <v>85.100370879971493</v>
      </c>
      <c r="S166">
        <f t="shared" si="53"/>
        <v>1.4161010610489515</v>
      </c>
      <c r="T166">
        <f t="shared" si="54"/>
        <v>6000</v>
      </c>
      <c r="U166">
        <f t="shared" si="55"/>
        <v>19.989860852342055</v>
      </c>
      <c r="V166">
        <f t="shared" si="56"/>
        <v>6.8838381850009629</v>
      </c>
      <c r="W166">
        <f t="shared" si="57"/>
        <v>6000</v>
      </c>
      <c r="X166">
        <f t="shared" si="58"/>
        <v>19.989860852342055</v>
      </c>
      <c r="Y166">
        <f t="shared" si="59"/>
        <v>6.8838381850009629</v>
      </c>
      <c r="Z166">
        <f t="shared" si="60"/>
        <v>6000</v>
      </c>
      <c r="AA166">
        <f t="shared" si="61"/>
        <v>19.989860852342055</v>
      </c>
      <c r="AB166">
        <f t="shared" si="62"/>
        <v>6.8838381850009629</v>
      </c>
      <c r="AC166">
        <f t="shared" si="63"/>
        <v>6000</v>
      </c>
      <c r="AD166">
        <f t="shared" si="64"/>
        <v>19.989860852342055</v>
      </c>
      <c r="AE166">
        <f t="shared" si="65"/>
        <v>6.8838381850009629</v>
      </c>
      <c r="AF166">
        <f t="shared" si="66"/>
        <v>6000</v>
      </c>
      <c r="AG166">
        <f t="shared" si="67"/>
        <v>19.989860852342055</v>
      </c>
      <c r="AH166">
        <f t="shared" si="68"/>
        <v>6.8838381850009629</v>
      </c>
      <c r="AI166" cm="1">
        <f t="array" ref="AI166">_xlfn.LET(
    _xlpm.vals,   _xlfn.HSTACK(S166,V166,Y166,AB166,AE166,AH166),
    _xlpm.ints,   _xlfn.HSTACK(R166,U166,X166,AA166,AD166,AG166),
    _xlpm.slopes, _xlfn.HSTACK(Q166,T166,W166,Z166,AC166,AF166),
    _xlpm.limit,  -0.00001*_xlpm.slopes + 0.1086*_xlpm.slopes + 63.253,
    _xlpm.mask,   (_xlpm.vals&gt;=0) * (_xlpm.ints&lt;=_xlpm.limit),
    _xlpm.validVals, _xlfn._xlws.FILTER(_xlpm.vals, _xlpm.mask),
    _xlpm.minVal, MIN(_xlpm.validVals),
    IFERROR( _xlfn.XMATCH(_xlpm.minVal, _xlpm.vals), "" )
)</f>
        <v>1</v>
      </c>
      <c r="AJ166" cm="1">
        <f t="array" ref="AJ166">_xlfn.LET(
    _xlpm.vals, CHOOSE({1,2,3,4,5,6}, S166, V166, Y166, AB166, AE166, AH166),
    _xlpm.slopes, CHOOSE({1,2,3,4,5,6}, Q166, T166, W166, Z166, AC166, AF166),
    _xlpm.ints, CHOOSE({1,2,3,4,5,6}, R166, U166, X166, AA166, AD166, AG166),
    _xlpm.limit, -0.00001*_xlpm.slopes + 0.1086*_xlpm.slopes + 63.253,
    _xlpm.valid, (_xlpm.vals &gt;= 0) * (_xlpm.ints &lt;= _xlpm.limit),
    _xlpm.target, MIN(_xlfn._xlws.FILTER(_xlpm.vals, _xlpm.valid)),
    IFERROR(
        _xlfn.XLOOKUP(_xlpm.target, _xlpm.vals, _xlpm.vals),
        CHOOSE({1,2,3,4,5,6}, S$1, V$1, Y$1, AB$1, AE$1, AH$1)
    )
)</f>
        <v>1.4161010610489515</v>
      </c>
    </row>
    <row r="167" spans="9:36" x14ac:dyDescent="0.45">
      <c r="I167">
        <v>165</v>
      </c>
      <c r="J167">
        <v>10.4</v>
      </c>
      <c r="K167">
        <f t="shared" si="47"/>
        <v>10.4</v>
      </c>
      <c r="L167">
        <f t="shared" si="46"/>
        <v>2.8888888888888892E-3</v>
      </c>
      <c r="M167">
        <v>12.98</v>
      </c>
      <c r="N167">
        <f t="shared" si="48"/>
        <v>12.98</v>
      </c>
      <c r="O167">
        <f t="shared" si="49"/>
        <v>135.14990098665376</v>
      </c>
      <c r="P167">
        <f t="shared" si="50"/>
        <v>432.47968315729207</v>
      </c>
      <c r="Q167">
        <f t="shared" si="51"/>
        <v>1980.7569488603976</v>
      </c>
      <c r="R167">
        <f t="shared" si="52"/>
        <v>62.577021250023137</v>
      </c>
      <c r="S167">
        <f t="shared" si="53"/>
        <v>1.4622740152811358</v>
      </c>
      <c r="T167">
        <f t="shared" si="54"/>
        <v>1280.1398621455846</v>
      </c>
      <c r="U167">
        <f t="shared" si="55"/>
        <v>96.825255853076328</v>
      </c>
      <c r="V167">
        <f t="shared" si="56"/>
        <v>1.4477401089497137</v>
      </c>
      <c r="W167">
        <f t="shared" si="57"/>
        <v>6000</v>
      </c>
      <c r="X167">
        <f t="shared" si="58"/>
        <v>20.658311613328017</v>
      </c>
      <c r="Y167">
        <f t="shared" si="59"/>
        <v>6.8920996557572751</v>
      </c>
      <c r="Z167">
        <f t="shared" si="60"/>
        <v>6000</v>
      </c>
      <c r="AA167">
        <f t="shared" si="61"/>
        <v>20.658311613328017</v>
      </c>
      <c r="AB167">
        <f t="shared" si="62"/>
        <v>6.8920996557572751</v>
      </c>
      <c r="AC167">
        <f t="shared" si="63"/>
        <v>6000</v>
      </c>
      <c r="AD167">
        <f t="shared" si="64"/>
        <v>20.658311613328017</v>
      </c>
      <c r="AE167">
        <f t="shared" si="65"/>
        <v>6.8920996557572751</v>
      </c>
      <c r="AF167">
        <f t="shared" si="66"/>
        <v>6000</v>
      </c>
      <c r="AG167">
        <f t="shared" si="67"/>
        <v>20.658311613328017</v>
      </c>
      <c r="AH167">
        <f t="shared" si="68"/>
        <v>6.8920996557572751</v>
      </c>
      <c r="AI167" cm="1">
        <f t="array" ref="AI167">_xlfn.LET(
    _xlpm.vals,   _xlfn.HSTACK(S167,V167,Y167,AB167,AE167,AH167),
    _xlpm.ints,   _xlfn.HSTACK(R167,U167,X167,AA167,AD167,AG167),
    _xlpm.slopes, _xlfn.HSTACK(Q167,T167,W167,Z167,AC167,AF167),
    _xlpm.limit,  -0.00001*_xlpm.slopes + 0.1086*_xlpm.slopes + 63.253,
    _xlpm.mask,   (_xlpm.vals&gt;=0) * (_xlpm.ints&lt;=_xlpm.limit),
    _xlpm.validVals, _xlfn._xlws.FILTER(_xlpm.vals, _xlpm.mask),
    _xlpm.minVal, MIN(_xlpm.validVals),
    IFERROR( _xlfn.XMATCH(_xlpm.minVal, _xlpm.vals), "" )
)</f>
        <v>2</v>
      </c>
      <c r="AJ167" cm="1">
        <f t="array" ref="AJ167">_xlfn.LET(
    _xlpm.vals, CHOOSE({1,2,3,4,5,6}, S167, V167, Y167, AB167, AE167, AH167),
    _xlpm.slopes, CHOOSE({1,2,3,4,5,6}, Q167, T167, W167, Z167, AC167, AF167),
    _xlpm.ints, CHOOSE({1,2,3,4,5,6}, R167, U167, X167, AA167, AD167, AG167),
    _xlpm.limit, -0.00001*_xlpm.slopes + 0.1086*_xlpm.slopes + 63.253,
    _xlpm.valid, (_xlpm.vals &gt;= 0) * (_xlpm.ints &lt;= _xlpm.limit),
    _xlpm.target, MIN(_xlfn._xlws.FILTER(_xlpm.vals, _xlpm.valid)),
    IFERROR(
        _xlfn.XLOOKUP(_xlpm.target, _xlpm.vals, _xlpm.vals),
        CHOOSE({1,2,3,4,5,6}, S$1, V$1, Y$1, AB$1, AE$1, AH$1)
    )
)</f>
        <v>1.4477401089497137</v>
      </c>
    </row>
    <row r="168" spans="9:36" x14ac:dyDescent="0.45">
      <c r="I168">
        <v>166</v>
      </c>
      <c r="J168">
        <v>13.8</v>
      </c>
      <c r="K168">
        <f t="shared" si="47"/>
        <v>13.8</v>
      </c>
      <c r="L168">
        <f t="shared" si="46"/>
        <v>3.8333333333333336E-3</v>
      </c>
      <c r="M168">
        <v>18.13</v>
      </c>
      <c r="N168">
        <f t="shared" si="48"/>
        <v>18.13</v>
      </c>
      <c r="O168">
        <f t="shared" si="49"/>
        <v>179.33352246305981</v>
      </c>
      <c r="P168">
        <f t="shared" si="50"/>
        <v>573.86727188179145</v>
      </c>
      <c r="Q168">
        <f t="shared" si="51"/>
        <v>2628.3121052186048</v>
      </c>
      <c r="R168">
        <f t="shared" si="52"/>
        <v>65.870695779093609</v>
      </c>
      <c r="S168">
        <f t="shared" si="53"/>
        <v>1.9603278900175813</v>
      </c>
      <c r="T168">
        <f t="shared" si="54"/>
        <v>1698.6471247701027</v>
      </c>
      <c r="U168">
        <f t="shared" si="55"/>
        <v>101.92154955008401</v>
      </c>
      <c r="V168">
        <f t="shared" si="56"/>
        <v>1.909579634791045</v>
      </c>
      <c r="W168">
        <f t="shared" si="57"/>
        <v>1096.0864892942216</v>
      </c>
      <c r="X168">
        <f t="shared" si="58"/>
        <v>157.9517207687166</v>
      </c>
      <c r="Y168">
        <f t="shared" si="59"/>
        <v>1.653765472818471</v>
      </c>
      <c r="Z168">
        <f t="shared" si="60"/>
        <v>6000</v>
      </c>
      <c r="AA168">
        <f t="shared" si="61"/>
        <v>28.854791182560625</v>
      </c>
      <c r="AB168">
        <f t="shared" si="62"/>
        <v>7.0038026702834424</v>
      </c>
      <c r="AC168">
        <f t="shared" si="63"/>
        <v>6000</v>
      </c>
      <c r="AD168">
        <f t="shared" si="64"/>
        <v>28.854791182560625</v>
      </c>
      <c r="AE168">
        <f t="shared" si="65"/>
        <v>7.0038026702834424</v>
      </c>
      <c r="AF168">
        <f t="shared" si="66"/>
        <v>6000</v>
      </c>
      <c r="AG168">
        <f t="shared" si="67"/>
        <v>28.854791182560625</v>
      </c>
      <c r="AH168">
        <f t="shared" si="68"/>
        <v>7.0038026702834424</v>
      </c>
      <c r="AI168" cm="1">
        <f t="array" ref="AI168">_xlfn.LET(
    _xlpm.vals,   _xlfn.HSTACK(S168,V168,Y168,AB168,AE168,AH168),
    _xlpm.ints,   _xlfn.HSTACK(R168,U168,X168,AA168,AD168,AG168),
    _xlpm.slopes, _xlfn.HSTACK(Q168,T168,W168,Z168,AC168,AF168),
    _xlpm.limit,  -0.00001*_xlpm.slopes + 0.1086*_xlpm.slopes + 63.253,
    _xlpm.mask,   (_xlpm.vals&gt;=0) * (_xlpm.ints&lt;=_xlpm.limit),
    _xlpm.validVals, _xlfn._xlws.FILTER(_xlpm.vals, _xlpm.mask),
    _xlpm.minVal, MIN(_xlpm.validVals),
    IFERROR( _xlfn.XMATCH(_xlpm.minVal, _xlpm.vals), "" )
)</f>
        <v>3</v>
      </c>
      <c r="AJ168" cm="1">
        <f t="array" ref="AJ168">_xlfn.LET(
    _xlpm.vals, CHOOSE({1,2,3,4,5,6}, S168, V168, Y168, AB168, AE168, AH168),
    _xlpm.slopes, CHOOSE({1,2,3,4,5,6}, Q168, T168, W168, Z168, AC168, AF168),
    _xlpm.ints, CHOOSE({1,2,3,4,5,6}, R168, U168, X168, AA168, AD168, AG168),
    _xlpm.limit, -0.00001*_xlpm.slopes + 0.1086*_xlpm.slopes + 63.253,
    _xlpm.valid, (_xlpm.vals &gt;= 0) * (_xlpm.ints &lt;= _xlpm.limit),
    _xlpm.target, MIN(_xlfn._xlws.FILTER(_xlpm.vals, _xlpm.valid)),
    IFERROR(
        _xlfn.XLOOKUP(_xlpm.target, _xlpm.vals, _xlpm.vals),
        CHOOSE({1,2,3,4,5,6}, S$1, V$1, Y$1, AB$1, AE$1, AH$1)
    )
)</f>
        <v>1.653765472818471</v>
      </c>
    </row>
    <row r="169" spans="9:36" x14ac:dyDescent="0.45">
      <c r="I169">
        <v>167</v>
      </c>
      <c r="J169">
        <v>17.3</v>
      </c>
      <c r="K169">
        <f t="shared" si="47"/>
        <v>17.3</v>
      </c>
      <c r="L169">
        <f t="shared" si="46"/>
        <v>4.805555555555556E-3</v>
      </c>
      <c r="M169">
        <v>29.06</v>
      </c>
      <c r="N169">
        <f t="shared" si="48"/>
        <v>29.06</v>
      </c>
      <c r="O169">
        <f t="shared" si="49"/>
        <v>224.81666221818367</v>
      </c>
      <c r="P169">
        <f t="shared" si="50"/>
        <v>719.4133190981878</v>
      </c>
      <c r="Q169">
        <f t="shared" si="51"/>
        <v>3294.9130014697002</v>
      </c>
      <c r="R169">
        <f t="shared" si="52"/>
        <v>84.221513178420295</v>
      </c>
      <c r="S169">
        <f t="shared" si="53"/>
        <v>2.9850558131387874</v>
      </c>
      <c r="T169">
        <f t="shared" si="54"/>
        <v>2129.4634245306361</v>
      </c>
      <c r="U169">
        <f t="shared" si="55"/>
        <v>130.31571971525841</v>
      </c>
      <c r="V169">
        <f t="shared" si="56"/>
        <v>2.8187024453247784</v>
      </c>
      <c r="W169">
        <f t="shared" si="57"/>
        <v>1374.0794394775387</v>
      </c>
      <c r="X169">
        <f t="shared" si="58"/>
        <v>201.9552514958979</v>
      </c>
      <c r="Y169">
        <f t="shared" si="59"/>
        <v>2.1363886444134446</v>
      </c>
      <c r="Z169">
        <f t="shared" si="60"/>
        <v>1035.9551795013904</v>
      </c>
      <c r="AA169">
        <f t="shared" si="61"/>
        <v>267.87120163692009</v>
      </c>
      <c r="AB169">
        <f t="shared" si="62"/>
        <v>-2.522244779714633E-3</v>
      </c>
      <c r="AC169">
        <f t="shared" si="63"/>
        <v>6000</v>
      </c>
      <c r="AD169">
        <f t="shared" si="64"/>
        <v>46.250426462504784</v>
      </c>
      <c r="AE169">
        <f t="shared" si="65"/>
        <v>7.3005377436907635</v>
      </c>
      <c r="AF169">
        <f t="shared" si="66"/>
        <v>6000</v>
      </c>
      <c r="AG169">
        <f t="shared" si="67"/>
        <v>46.250426462504784</v>
      </c>
      <c r="AH169">
        <f t="shared" si="68"/>
        <v>7.3005377436907635</v>
      </c>
      <c r="AI169" cm="1">
        <f t="array" ref="AI169">_xlfn.LET(
    _xlpm.vals,   _xlfn.HSTACK(S169,V169,Y169,AB169,AE169,AH169),
    _xlpm.ints,   _xlfn.HSTACK(R169,U169,X169,AA169,AD169,AG169),
    _xlpm.slopes, _xlfn.HSTACK(Q169,T169,W169,Z169,AC169,AF169),
    _xlpm.limit,  -0.00001*_xlpm.slopes + 0.1086*_xlpm.slopes + 63.253,
    _xlpm.mask,   (_xlpm.vals&gt;=0) * (_xlpm.ints&lt;=_xlpm.limit),
    _xlpm.validVals, _xlfn._xlws.FILTER(_xlpm.vals, _xlpm.mask),
    _xlpm.minVal, MIN(_xlpm.validVals),
    IFERROR( _xlfn.XMATCH(_xlpm.minVal, _xlpm.vals), "" )
)</f>
        <v>3</v>
      </c>
      <c r="AJ169" cm="1">
        <f t="array" ref="AJ169">_xlfn.LET(
    _xlpm.vals, CHOOSE({1,2,3,4,5,6}, S169, V169, Y169, AB169, AE169, AH169),
    _xlpm.slopes, CHOOSE({1,2,3,4,5,6}, Q169, T169, W169, Z169, AC169, AF169),
    _xlpm.ints, CHOOSE({1,2,3,4,5,6}, R169, U169, X169, AA169, AD169, AG169),
    _xlpm.limit, -0.00001*_xlpm.slopes + 0.1086*_xlpm.slopes + 63.253,
    _xlpm.valid, (_xlpm.vals &gt;= 0) * (_xlpm.ints &lt;= _xlpm.limit),
    _xlpm.target, MIN(_xlfn._xlws.FILTER(_xlpm.vals, _xlpm.valid)),
    IFERROR(
        _xlfn.XLOOKUP(_xlpm.target, _xlpm.vals, _xlpm.vals),
        CHOOSE({1,2,3,4,5,6}, S$1, V$1, Y$1, AB$1, AE$1, AH$1)
    )
)</f>
        <v>2.1363886444134446</v>
      </c>
    </row>
    <row r="170" spans="9:36" x14ac:dyDescent="0.45">
      <c r="I170">
        <v>168</v>
      </c>
      <c r="J170">
        <v>19.899999999999999</v>
      </c>
      <c r="K170">
        <f t="shared" si="47"/>
        <v>19.899999999999999</v>
      </c>
      <c r="L170">
        <f t="shared" si="46"/>
        <v>5.5277777777777773E-3</v>
      </c>
      <c r="M170">
        <v>28.03</v>
      </c>
      <c r="N170">
        <f t="shared" si="48"/>
        <v>28.03</v>
      </c>
      <c r="O170">
        <f t="shared" si="49"/>
        <v>258.6041374648471</v>
      </c>
      <c r="P170">
        <f t="shared" si="50"/>
        <v>827.53323988751072</v>
      </c>
      <c r="Q170">
        <f t="shared" si="51"/>
        <v>3790.102238684799</v>
      </c>
      <c r="R170">
        <f t="shared" si="52"/>
        <v>70.622575971679453</v>
      </c>
      <c r="S170">
        <f t="shared" si="53"/>
        <v>3.1876198230547357</v>
      </c>
      <c r="T170">
        <f t="shared" si="54"/>
        <v>2449.4983900670318</v>
      </c>
      <c r="U170">
        <f t="shared" si="55"/>
        <v>109.27412092915266</v>
      </c>
      <c r="V170">
        <f t="shared" si="56"/>
        <v>2.7532089204513217</v>
      </c>
      <c r="W170">
        <f t="shared" si="57"/>
        <v>1580.5884881851455</v>
      </c>
      <c r="X170">
        <f t="shared" si="58"/>
        <v>169.34628164936748</v>
      </c>
      <c r="Y170">
        <f t="shared" si="59"/>
        <v>2.5150002691760953</v>
      </c>
      <c r="Z170">
        <f t="shared" si="60"/>
        <v>1191.6478654380153</v>
      </c>
      <c r="AA170">
        <f t="shared" si="61"/>
        <v>224.6190263543694</v>
      </c>
      <c r="AB170">
        <f t="shared" si="62"/>
        <v>1.4834120948501717</v>
      </c>
      <c r="AC170">
        <f t="shared" si="63"/>
        <v>6000</v>
      </c>
      <c r="AD170">
        <f t="shared" si="64"/>
        <v>44.611130548658267</v>
      </c>
      <c r="AE170">
        <f t="shared" si="65"/>
        <v>7.2693281323812382</v>
      </c>
      <c r="AF170">
        <f t="shared" si="66"/>
        <v>6000</v>
      </c>
      <c r="AG170">
        <f t="shared" si="67"/>
        <v>44.611130548658267</v>
      </c>
      <c r="AH170">
        <f t="shared" si="68"/>
        <v>7.2693281323812382</v>
      </c>
      <c r="AI170" cm="1">
        <f t="array" ref="AI170">_xlfn.LET(
    _xlpm.vals,   _xlfn.HSTACK(S170,V170,Y170,AB170,AE170,AH170),
    _xlpm.ints,   _xlfn.HSTACK(R170,U170,X170,AA170,AD170,AG170),
    _xlpm.slopes, _xlfn.HSTACK(Q170,T170,W170,Z170,AC170,AF170),
    _xlpm.limit,  -0.00001*_xlpm.slopes + 0.1086*_xlpm.slopes + 63.253,
    _xlpm.mask,   (_xlpm.vals&gt;=0) * (_xlpm.ints&lt;=_xlpm.limit),
    _xlpm.validVals, _xlfn._xlws.FILTER(_xlpm.vals, _xlpm.mask),
    _xlpm.minVal, MIN(_xlpm.validVals),
    IFERROR( _xlfn.XMATCH(_xlpm.minVal, _xlpm.vals), "" )
)</f>
        <v>3</v>
      </c>
      <c r="AJ170" cm="1">
        <f t="array" ref="AJ170">_xlfn.LET(
    _xlpm.vals, CHOOSE({1,2,3,4,5,6}, S170, V170, Y170, AB170, AE170, AH170),
    _xlpm.slopes, CHOOSE({1,2,3,4,5,6}, Q170, T170, W170, Z170, AC170, AF170),
    _xlpm.ints, CHOOSE({1,2,3,4,5,6}, R170, U170, X170, AA170, AD170, AG170),
    _xlpm.limit, -0.00001*_xlpm.slopes + 0.1086*_xlpm.slopes + 63.253,
    _xlpm.valid, (_xlpm.vals &gt;= 0) * (_xlpm.ints &lt;= _xlpm.limit),
    _xlpm.target, MIN(_xlfn._xlws.FILTER(_xlpm.vals, _xlpm.valid)),
    IFERROR(
        _xlfn.XLOOKUP(_xlpm.target, _xlpm.vals, _xlpm.vals),
        CHOOSE({1,2,3,4,5,6}, S$1, V$1, Y$1, AB$1, AE$1, AH$1)
    )
)</f>
        <v>2.5150002691760953</v>
      </c>
    </row>
    <row r="171" spans="9:36" x14ac:dyDescent="0.45">
      <c r="I171">
        <v>169</v>
      </c>
      <c r="J171">
        <v>21.8</v>
      </c>
      <c r="K171">
        <f t="shared" si="47"/>
        <v>21.8</v>
      </c>
      <c r="L171">
        <f t="shared" si="46"/>
        <v>6.0555555555555553E-3</v>
      </c>
      <c r="M171">
        <v>17.34</v>
      </c>
      <c r="N171">
        <f t="shared" si="48"/>
        <v>17.34</v>
      </c>
      <c r="O171">
        <f t="shared" si="49"/>
        <v>283.2949847604857</v>
      </c>
      <c r="P171">
        <f t="shared" si="50"/>
        <v>906.54395123355425</v>
      </c>
      <c r="Q171">
        <f t="shared" si="51"/>
        <v>4151.9712966496782</v>
      </c>
      <c r="R171">
        <f t="shared" si="52"/>
        <v>39.881008552834203</v>
      </c>
      <c r="S171">
        <f t="shared" si="53"/>
        <v>2.9113471551708745</v>
      </c>
      <c r="T171">
        <f t="shared" si="54"/>
        <v>2683.3700956513208</v>
      </c>
      <c r="U171">
        <f t="shared" si="55"/>
        <v>61.707776747290744</v>
      </c>
      <c r="V171">
        <f t="shared" si="56"/>
        <v>1.9105589289359299</v>
      </c>
      <c r="W171">
        <f t="shared" si="57"/>
        <v>1731.4989468560887</v>
      </c>
      <c r="X171">
        <f t="shared" si="58"/>
        <v>95.630900090042203</v>
      </c>
      <c r="Y171">
        <f t="shared" si="59"/>
        <v>1.8414940753713616</v>
      </c>
      <c r="Z171">
        <f t="shared" si="60"/>
        <v>1305.4232897763181</v>
      </c>
      <c r="AA171">
        <f t="shared" si="61"/>
        <v>126.84376331387541</v>
      </c>
      <c r="AB171">
        <f t="shared" si="62"/>
        <v>1.7899874091192487</v>
      </c>
      <c r="AC171">
        <f t="shared" si="63"/>
        <v>6000</v>
      </c>
      <c r="AD171">
        <f t="shared" si="64"/>
        <v>27.597467132134653</v>
      </c>
      <c r="AE171">
        <f t="shared" si="65"/>
        <v>6.9854417548946799</v>
      </c>
      <c r="AF171">
        <f t="shared" si="66"/>
        <v>6000</v>
      </c>
      <c r="AG171">
        <f t="shared" si="67"/>
        <v>27.597467132134653</v>
      </c>
      <c r="AH171">
        <f t="shared" si="68"/>
        <v>6.9854417548946799</v>
      </c>
      <c r="AI171" cm="1">
        <f t="array" ref="AI171">_xlfn.LET(
    _xlpm.vals,   _xlfn.HSTACK(S171,V171,Y171,AB171,AE171,AH171),
    _xlpm.ints,   _xlfn.HSTACK(R171,U171,X171,AA171,AD171,AG171),
    _xlpm.slopes, _xlfn.HSTACK(Q171,T171,W171,Z171,AC171,AF171),
    _xlpm.limit,  -0.00001*_xlpm.slopes + 0.1086*_xlpm.slopes + 63.253,
    _xlpm.mask,   (_xlpm.vals&gt;=0) * (_xlpm.ints&lt;=_xlpm.limit),
    _xlpm.validVals, _xlfn._xlws.FILTER(_xlpm.vals, _xlpm.mask),
    _xlpm.minVal, MIN(_xlpm.validVals),
    IFERROR( _xlfn.XMATCH(_xlpm.minVal, _xlpm.vals), "" )
)</f>
        <v>4</v>
      </c>
      <c r="AJ171" cm="1">
        <f t="array" ref="AJ171">_xlfn.LET(
    _xlpm.vals, CHOOSE({1,2,3,4,5,6}, S171, V171, Y171, AB171, AE171, AH171),
    _xlpm.slopes, CHOOSE({1,2,3,4,5,6}, Q171, T171, W171, Z171, AC171, AF171),
    _xlpm.ints, CHOOSE({1,2,3,4,5,6}, R171, U171, X171, AA171, AD171, AG171),
    _xlpm.limit, -0.00001*_xlpm.slopes + 0.1086*_xlpm.slopes + 63.253,
    _xlpm.valid, (_xlpm.vals &gt;= 0) * (_xlpm.ints &lt;= _xlpm.limit),
    _xlpm.target, MIN(_xlfn._xlws.FILTER(_xlpm.vals, _xlpm.valid)),
    IFERROR(
        _xlfn.XLOOKUP(_xlpm.target, _xlpm.vals, _xlpm.vals),
        CHOOSE({1,2,3,4,5,6}, S$1, V$1, Y$1, AB$1, AE$1, AH$1)
    )
)</f>
        <v>1.7899874091192487</v>
      </c>
    </row>
    <row r="172" spans="9:36" x14ac:dyDescent="0.45">
      <c r="I172">
        <v>170</v>
      </c>
      <c r="J172">
        <v>23.9</v>
      </c>
      <c r="K172">
        <f t="shared" si="47"/>
        <v>23.9</v>
      </c>
      <c r="L172">
        <f t="shared" si="46"/>
        <v>6.6388888888888886E-3</v>
      </c>
      <c r="M172">
        <v>24.79</v>
      </c>
      <c r="N172">
        <f t="shared" si="48"/>
        <v>24.79</v>
      </c>
      <c r="O172">
        <f t="shared" si="49"/>
        <v>310.58486861356005</v>
      </c>
      <c r="P172">
        <f t="shared" si="50"/>
        <v>993.87157956339217</v>
      </c>
      <c r="Q172">
        <f t="shared" si="51"/>
        <v>4551.9318344003359</v>
      </c>
      <c r="R172">
        <f t="shared" si="52"/>
        <v>52.005845203099611</v>
      </c>
      <c r="S172">
        <f t="shared" si="53"/>
        <v>3.8355160086246101</v>
      </c>
      <c r="T172">
        <f t="shared" si="54"/>
        <v>2941.8598755076409</v>
      </c>
      <c r="U172">
        <f t="shared" si="55"/>
        <v>80.468503726417651</v>
      </c>
      <c r="V172">
        <f t="shared" si="56"/>
        <v>2.5506967120059265</v>
      </c>
      <c r="W172">
        <f t="shared" si="57"/>
        <v>1898.294716966079</v>
      </c>
      <c r="X172">
        <f t="shared" si="58"/>
        <v>124.70511572261582</v>
      </c>
      <c r="Y172">
        <f t="shared" si="59"/>
        <v>2.4653042396795546</v>
      </c>
      <c r="Z172">
        <f t="shared" si="60"/>
        <v>1431.1750745712848</v>
      </c>
      <c r="AA172">
        <f t="shared" si="61"/>
        <v>165.40747988208071</v>
      </c>
      <c r="AB172">
        <f t="shared" si="62"/>
        <v>2.2450337139787302</v>
      </c>
      <c r="AC172">
        <f t="shared" si="63"/>
        <v>6000</v>
      </c>
      <c r="AD172">
        <f t="shared" si="64"/>
        <v>39.454510392480856</v>
      </c>
      <c r="AE172">
        <f t="shared" si="65"/>
        <v>7.1754296801449842</v>
      </c>
      <c r="AF172">
        <f t="shared" si="66"/>
        <v>6000</v>
      </c>
      <c r="AG172">
        <f t="shared" si="67"/>
        <v>39.454510392480856</v>
      </c>
      <c r="AH172">
        <f t="shared" si="68"/>
        <v>7.1754296801449842</v>
      </c>
      <c r="AI172" cm="1">
        <f t="array" ref="AI172">_xlfn.LET(
    _xlpm.vals,   _xlfn.HSTACK(S172,V172,Y172,AB172,AE172,AH172),
    _xlpm.ints,   _xlfn.HSTACK(R172,U172,X172,AA172,AD172,AG172),
    _xlpm.slopes, _xlfn.HSTACK(Q172,T172,W172,Z172,AC172,AF172),
    _xlpm.limit,  -0.00001*_xlpm.slopes + 0.1086*_xlpm.slopes + 63.253,
    _xlpm.mask,   (_xlpm.vals&gt;=0) * (_xlpm.ints&lt;=_xlpm.limit),
    _xlpm.validVals, _xlfn._xlws.FILTER(_xlpm.vals, _xlpm.mask),
    _xlpm.minVal, MIN(_xlpm.validVals),
    IFERROR( _xlfn.XMATCH(_xlpm.minVal, _xlpm.vals), "" )
)</f>
        <v>4</v>
      </c>
      <c r="AJ172" cm="1">
        <f t="array" ref="AJ172">_xlfn.LET(
    _xlpm.vals, CHOOSE({1,2,3,4,5,6}, S172, V172, Y172, AB172, AE172, AH172),
    _xlpm.slopes, CHOOSE({1,2,3,4,5,6}, Q172, T172, W172, Z172, AC172, AF172),
    _xlpm.ints, CHOOSE({1,2,3,4,5,6}, R172, U172, X172, AA172, AD172, AG172),
    _xlpm.limit, -0.00001*_xlpm.slopes + 0.1086*_xlpm.slopes + 63.253,
    _xlpm.valid, (_xlpm.vals &gt;= 0) * (_xlpm.ints &lt;= _xlpm.limit),
    _xlpm.target, MIN(_xlfn._xlws.FILTER(_xlpm.vals, _xlpm.valid)),
    IFERROR(
        _xlfn.XLOOKUP(_xlpm.target, _xlpm.vals, _xlpm.vals),
        CHOOSE({1,2,3,4,5,6}, S$1, V$1, Y$1, AB$1, AE$1, AH$1)
    )
)</f>
        <v>2.2450337139787302</v>
      </c>
    </row>
    <row r="173" spans="9:36" x14ac:dyDescent="0.45">
      <c r="I173">
        <v>171</v>
      </c>
      <c r="J173">
        <v>25.9</v>
      </c>
      <c r="K173">
        <f t="shared" si="47"/>
        <v>25.9</v>
      </c>
      <c r="L173">
        <f t="shared" si="46"/>
        <v>7.1944444444444443E-3</v>
      </c>
      <c r="M173">
        <v>22.06</v>
      </c>
      <c r="N173">
        <f t="shared" si="48"/>
        <v>22.06</v>
      </c>
      <c r="O173">
        <f t="shared" si="49"/>
        <v>336.57523418791652</v>
      </c>
      <c r="P173">
        <f t="shared" si="50"/>
        <v>1077.040749401333</v>
      </c>
      <c r="Q173">
        <f t="shared" si="51"/>
        <v>4932.8466322581053</v>
      </c>
      <c r="R173">
        <f t="shared" si="52"/>
        <v>42.705054176800985</v>
      </c>
      <c r="S173">
        <f t="shared" si="53"/>
        <v>4.3556812414649055</v>
      </c>
      <c r="T173">
        <f t="shared" si="54"/>
        <v>3188.0406182279457</v>
      </c>
      <c r="U173">
        <f t="shared" si="55"/>
        <v>66.077414908698813</v>
      </c>
      <c r="V173">
        <f t="shared" si="56"/>
        <v>2.4269243487971512</v>
      </c>
      <c r="W173">
        <f t="shared" si="57"/>
        <v>2057.1478313565458</v>
      </c>
      <c r="X173">
        <f t="shared" si="58"/>
        <v>102.40269535588929</v>
      </c>
      <c r="Y173">
        <f t="shared" si="59"/>
        <v>2.2474356431410292</v>
      </c>
      <c r="Z173">
        <f t="shared" si="60"/>
        <v>1550.9386791379195</v>
      </c>
      <c r="AA173">
        <f t="shared" si="61"/>
        <v>135.82579731232536</v>
      </c>
      <c r="AB173">
        <f t="shared" si="62"/>
        <v>2.1932903147518936</v>
      </c>
      <c r="AC173">
        <f t="shared" si="63"/>
        <v>6000</v>
      </c>
      <c r="AD173">
        <f t="shared" si="64"/>
        <v>35.109580446072115</v>
      </c>
      <c r="AE173">
        <f t="shared" si="65"/>
        <v>7.1015082182062379</v>
      </c>
      <c r="AF173">
        <f t="shared" si="66"/>
        <v>6000</v>
      </c>
      <c r="AG173">
        <f t="shared" si="67"/>
        <v>35.109580446072115</v>
      </c>
      <c r="AH173">
        <f t="shared" si="68"/>
        <v>7.1015082182062379</v>
      </c>
      <c r="AI173" cm="1">
        <f t="array" ref="AI173">_xlfn.LET(
    _xlpm.vals,   _xlfn.HSTACK(S173,V173,Y173,AB173,AE173,AH173),
    _xlpm.ints,   _xlfn.HSTACK(R173,U173,X173,AA173,AD173,AG173),
    _xlpm.slopes, _xlfn.HSTACK(Q173,T173,W173,Z173,AC173,AF173),
    _xlpm.limit,  -0.00001*_xlpm.slopes + 0.1086*_xlpm.slopes + 63.253,
    _xlpm.mask,   (_xlpm.vals&gt;=0) * (_xlpm.ints&lt;=_xlpm.limit),
    _xlpm.validVals, _xlfn._xlws.FILTER(_xlpm.vals, _xlpm.mask),
    _xlpm.minVal, MIN(_xlpm.validVals),
    IFERROR( _xlfn.XMATCH(_xlpm.minVal, _xlpm.vals), "" )
)</f>
        <v>4</v>
      </c>
      <c r="AJ173" cm="1">
        <f t="array" ref="AJ173">_xlfn.LET(
    _xlpm.vals, CHOOSE({1,2,3,4,5,6}, S173, V173, Y173, AB173, AE173, AH173),
    _xlpm.slopes, CHOOSE({1,2,3,4,5,6}, Q173, T173, W173, Z173, AC173, AF173),
    _xlpm.ints, CHOOSE({1,2,3,4,5,6}, R173, U173, X173, AA173, AD173, AG173),
    _xlpm.limit, -0.00001*_xlpm.slopes + 0.1086*_xlpm.slopes + 63.253,
    _xlpm.valid, (_xlpm.vals &gt;= 0) * (_xlpm.ints &lt;= _xlpm.limit),
    _xlpm.target, MIN(_xlfn._xlws.FILTER(_xlpm.vals, _xlpm.valid)),
    IFERROR(
        _xlfn.XLOOKUP(_xlpm.target, _xlpm.vals, _xlpm.vals),
        CHOOSE({1,2,3,4,5,6}, S$1, V$1, Y$1, AB$1, AE$1, AH$1)
    )
)</f>
        <v>2.1932903147518936</v>
      </c>
    </row>
    <row r="174" spans="9:36" x14ac:dyDescent="0.45">
      <c r="I174">
        <v>172</v>
      </c>
      <c r="J174">
        <v>26.5</v>
      </c>
      <c r="K174">
        <f t="shared" si="47"/>
        <v>26.5</v>
      </c>
      <c r="L174">
        <f t="shared" si="46"/>
        <v>7.3611111111111108E-3</v>
      </c>
      <c r="M174">
        <v>4.78</v>
      </c>
      <c r="N174">
        <f t="shared" si="48"/>
        <v>4.78</v>
      </c>
      <c r="O174">
        <f t="shared" si="49"/>
        <v>344.37234386022351</v>
      </c>
      <c r="P174">
        <f t="shared" si="50"/>
        <v>1101.9915003527153</v>
      </c>
      <c r="Q174">
        <f t="shared" si="51"/>
        <v>5047.1210716154364</v>
      </c>
      <c r="R174">
        <f t="shared" si="52"/>
        <v>9.0438959222640065</v>
      </c>
      <c r="S174">
        <f t="shared" si="53"/>
        <v>3.9985229527532611</v>
      </c>
      <c r="T174">
        <f t="shared" si="54"/>
        <v>3261.8948410440371</v>
      </c>
      <c r="U174">
        <f t="shared" si="55"/>
        <v>13.993595717557147</v>
      </c>
      <c r="V174">
        <f t="shared" si="56"/>
        <v>1.3910797896092573</v>
      </c>
      <c r="W174">
        <f t="shared" si="57"/>
        <v>2104.803765673686</v>
      </c>
      <c r="X174">
        <f t="shared" si="58"/>
        <v>21.686410117261335</v>
      </c>
      <c r="Y174">
        <f t="shared" si="59"/>
        <v>0.84434148079802918</v>
      </c>
      <c r="Z174">
        <f t="shared" si="60"/>
        <v>1586.8677605079099</v>
      </c>
      <c r="AA174">
        <f t="shared" si="61"/>
        <v>28.764613419423021</v>
      </c>
      <c r="AB174">
        <f t="shared" si="62"/>
        <v>0.74786053081968085</v>
      </c>
      <c r="AC174">
        <f t="shared" si="63"/>
        <v>6000</v>
      </c>
      <c r="AD174">
        <f t="shared" si="64"/>
        <v>7.6076062797925976</v>
      </c>
      <c r="AE174">
        <f t="shared" si="65"/>
        <v>6.7551314342029176</v>
      </c>
      <c r="AF174">
        <f t="shared" si="66"/>
        <v>6000</v>
      </c>
      <c r="AG174">
        <f t="shared" si="67"/>
        <v>7.6076062797925976</v>
      </c>
      <c r="AH174">
        <f t="shared" si="68"/>
        <v>6.7551314342029176</v>
      </c>
      <c r="AI174" cm="1">
        <f t="array" ref="AI174">_xlfn.LET(
    _xlpm.vals,   _xlfn.HSTACK(S174,V174,Y174,AB174,AE174,AH174),
    _xlpm.ints,   _xlfn.HSTACK(R174,U174,X174,AA174,AD174,AG174),
    _xlpm.slopes, _xlfn.HSTACK(Q174,T174,W174,Z174,AC174,AF174),
    _xlpm.limit,  -0.00001*_xlpm.slopes + 0.1086*_xlpm.slopes + 63.253,
    _xlpm.mask,   (_xlpm.vals&gt;=0) * (_xlpm.ints&lt;=_xlpm.limit),
    _xlpm.validVals, _xlfn._xlws.FILTER(_xlpm.vals, _xlpm.mask),
    _xlpm.minVal, MIN(_xlpm.validVals),
    IFERROR( _xlfn.XMATCH(_xlpm.minVal, _xlpm.vals), "" )
)</f>
        <v>4</v>
      </c>
      <c r="AJ174" cm="1">
        <f t="array" ref="AJ174">_xlfn.LET(
    _xlpm.vals, CHOOSE({1,2,3,4,5,6}, S174, V174, Y174, AB174, AE174, AH174),
    _xlpm.slopes, CHOOSE({1,2,3,4,5,6}, Q174, T174, W174, Z174, AC174, AF174),
    _xlpm.ints, CHOOSE({1,2,3,4,5,6}, R174, U174, X174, AA174, AD174, AG174),
    _xlpm.limit, -0.00001*_xlpm.slopes + 0.1086*_xlpm.slopes + 63.253,
    _xlpm.valid, (_xlpm.vals &gt;= 0) * (_xlpm.ints &lt;= _xlpm.limit),
    _xlpm.target, MIN(_xlfn._xlws.FILTER(_xlpm.vals, _xlpm.valid)),
    IFERROR(
        _xlfn.XLOOKUP(_xlpm.target, _xlpm.vals, _xlpm.vals),
        CHOOSE({1,2,3,4,5,6}, S$1, V$1, Y$1, AB$1, AE$1, AH$1)
    )
)</f>
        <v>0.74786053081968085</v>
      </c>
    </row>
    <row r="175" spans="9:36" x14ac:dyDescent="0.45">
      <c r="I175">
        <v>173</v>
      </c>
      <c r="J175">
        <v>25.8</v>
      </c>
      <c r="K175">
        <f t="shared" si="47"/>
        <v>25.8</v>
      </c>
      <c r="L175">
        <f t="shared" si="46"/>
        <v>7.1666666666666667E-3</v>
      </c>
      <c r="M175">
        <v>-2.54</v>
      </c>
      <c r="N175">
        <f t="shared" si="48"/>
        <v>0</v>
      </c>
      <c r="O175">
        <f t="shared" si="49"/>
        <v>335.27571590919877</v>
      </c>
      <c r="P175">
        <f t="shared" si="50"/>
        <v>1072.8822909094361</v>
      </c>
      <c r="Q175">
        <f t="shared" si="51"/>
        <v>4913.8008923652169</v>
      </c>
      <c r="R175">
        <f t="shared" si="52"/>
        <v>0</v>
      </c>
      <c r="S175">
        <f t="shared" si="53"/>
        <v>3.5794900144567636</v>
      </c>
      <c r="T175">
        <f t="shared" si="54"/>
        <v>3175.7315810919308</v>
      </c>
      <c r="U175">
        <f t="shared" si="55"/>
        <v>0</v>
      </c>
      <c r="V175">
        <f t="shared" si="56"/>
        <v>1.103083724472762</v>
      </c>
      <c r="W175">
        <f t="shared" si="57"/>
        <v>2049.2051756370229</v>
      </c>
      <c r="X175">
        <f t="shared" si="58"/>
        <v>0</v>
      </c>
      <c r="Y175">
        <f t="shared" si="59"/>
        <v>0.53897756733345525</v>
      </c>
      <c r="Z175">
        <f t="shared" si="60"/>
        <v>1544.9504989095878</v>
      </c>
      <c r="AA175">
        <f t="shared" si="61"/>
        <v>0</v>
      </c>
      <c r="AB175">
        <f t="shared" si="62"/>
        <v>0.41839820802931155</v>
      </c>
      <c r="AC175">
        <f t="shared" si="63"/>
        <v>6000</v>
      </c>
      <c r="AD175">
        <f t="shared" si="64"/>
        <v>0</v>
      </c>
      <c r="AE175">
        <f t="shared" si="65"/>
        <v>6.7000407999999982</v>
      </c>
      <c r="AF175">
        <f t="shared" si="66"/>
        <v>6000</v>
      </c>
      <c r="AG175">
        <f t="shared" si="67"/>
        <v>0</v>
      </c>
      <c r="AH175">
        <f t="shared" si="68"/>
        <v>6.7000407999999982</v>
      </c>
      <c r="AI175" cm="1">
        <f t="array" ref="AI175">_xlfn.LET(
    _xlpm.vals,   _xlfn.HSTACK(S175,V175,Y175,AB175,AE175,AH175),
    _xlpm.ints,   _xlfn.HSTACK(R175,U175,X175,AA175,AD175,AG175),
    _xlpm.slopes, _xlfn.HSTACK(Q175,T175,W175,Z175,AC175,AF175),
    _xlpm.limit,  -0.00001*_xlpm.slopes + 0.1086*_xlpm.slopes + 63.253,
    _xlpm.mask,   (_xlpm.vals&gt;=0) * (_xlpm.ints&lt;=_xlpm.limit),
    _xlpm.validVals, _xlfn._xlws.FILTER(_xlpm.vals, _xlpm.mask),
    _xlpm.minVal, MIN(_xlpm.validVals),
    IFERROR( _xlfn.XMATCH(_xlpm.minVal, _xlpm.vals), "" )
)</f>
        <v>4</v>
      </c>
      <c r="AJ175" cm="1">
        <f t="array" ref="AJ175">_xlfn.LET(
    _xlpm.vals, CHOOSE({1,2,3,4,5,6}, S175, V175, Y175, AB175, AE175, AH175),
    _xlpm.slopes, CHOOSE({1,2,3,4,5,6}, Q175, T175, W175, Z175, AC175, AF175),
    _xlpm.ints, CHOOSE({1,2,3,4,5,6}, R175, U175, X175, AA175, AD175, AG175),
    _xlpm.limit, -0.00001*_xlpm.slopes + 0.1086*_xlpm.slopes + 63.253,
    _xlpm.valid, (_xlpm.vals &gt;= 0) * (_xlpm.ints &lt;= _xlpm.limit),
    _xlpm.target, MIN(_xlfn._xlws.FILTER(_xlpm.vals, _xlpm.valid)),
    IFERROR(
        _xlfn.XLOOKUP(_xlpm.target, _xlpm.vals, _xlpm.vals),
        CHOOSE({1,2,3,4,5,6}, S$1, V$1, Y$1, AB$1, AE$1, AH$1)
    )
)</f>
        <v>0.41839820802931155</v>
      </c>
    </row>
    <row r="176" spans="9:36" x14ac:dyDescent="0.45">
      <c r="I176">
        <v>174</v>
      </c>
      <c r="J176">
        <v>25.1</v>
      </c>
      <c r="K176">
        <f t="shared" si="47"/>
        <v>25.1</v>
      </c>
      <c r="L176">
        <f t="shared" si="46"/>
        <v>6.9722222222222225E-3</v>
      </c>
      <c r="M176">
        <v>-1.35</v>
      </c>
      <c r="N176">
        <f t="shared" si="48"/>
        <v>0</v>
      </c>
      <c r="O176">
        <f t="shared" si="49"/>
        <v>326.17908795817397</v>
      </c>
      <c r="P176">
        <f t="shared" si="50"/>
        <v>1043.7730814661568</v>
      </c>
      <c r="Q176">
        <f t="shared" si="51"/>
        <v>4780.4807131149983</v>
      </c>
      <c r="R176">
        <f t="shared" si="52"/>
        <v>0</v>
      </c>
      <c r="S176">
        <f t="shared" si="53"/>
        <v>3.2923954758910017</v>
      </c>
      <c r="T176">
        <f t="shared" si="54"/>
        <v>3089.5683211398241</v>
      </c>
      <c r="U176">
        <f t="shared" si="55"/>
        <v>0</v>
      </c>
      <c r="V176">
        <f t="shared" si="56"/>
        <v>1.038892216951562</v>
      </c>
      <c r="W176">
        <f t="shared" si="57"/>
        <v>1993.6065856003593</v>
      </c>
      <c r="X176">
        <f t="shared" si="58"/>
        <v>0</v>
      </c>
      <c r="Y176">
        <f t="shared" si="59"/>
        <v>0.52310006854703628</v>
      </c>
      <c r="Z176">
        <f t="shared" si="60"/>
        <v>1503.0332373112658</v>
      </c>
      <c r="AA176">
        <f t="shared" si="61"/>
        <v>0</v>
      </c>
      <c r="AB176">
        <f t="shared" si="62"/>
        <v>0.41020445309547293</v>
      </c>
      <c r="AC176">
        <f t="shared" si="63"/>
        <v>6000</v>
      </c>
      <c r="AD176">
        <f t="shared" si="64"/>
        <v>0</v>
      </c>
      <c r="AE176">
        <f t="shared" si="65"/>
        <v>6.7000407999999982</v>
      </c>
      <c r="AF176">
        <f t="shared" si="66"/>
        <v>6000</v>
      </c>
      <c r="AG176">
        <f t="shared" si="67"/>
        <v>0</v>
      </c>
      <c r="AH176">
        <f t="shared" si="68"/>
        <v>6.7000407999999982</v>
      </c>
      <c r="AI176" cm="1">
        <f t="array" ref="AI176">_xlfn.LET(
    _xlpm.vals,   _xlfn.HSTACK(S176,V176,Y176,AB176,AE176,AH176),
    _xlpm.ints,   _xlfn.HSTACK(R176,U176,X176,AA176,AD176,AG176),
    _xlpm.slopes, _xlfn.HSTACK(Q176,T176,W176,Z176,AC176,AF176),
    _xlpm.limit,  -0.00001*_xlpm.slopes + 0.1086*_xlpm.slopes + 63.253,
    _xlpm.mask,   (_xlpm.vals&gt;=0) * (_xlpm.ints&lt;=_xlpm.limit),
    _xlpm.validVals, _xlfn._xlws.FILTER(_xlpm.vals, _xlpm.mask),
    _xlpm.minVal, MIN(_xlpm.validVals),
    IFERROR( _xlfn.XMATCH(_xlpm.minVal, _xlpm.vals), "" )
)</f>
        <v>4</v>
      </c>
      <c r="AJ176" cm="1">
        <f t="array" ref="AJ176">_xlfn.LET(
    _xlpm.vals, CHOOSE({1,2,3,4,5,6}, S176, V176, Y176, AB176, AE176, AH176),
    _xlpm.slopes, CHOOSE({1,2,3,4,5,6}, Q176, T176, W176, Z176, AC176, AF176),
    _xlpm.ints, CHOOSE({1,2,3,4,5,6}, R176, U176, X176, AA176, AD176, AG176),
    _xlpm.limit, -0.00001*_xlpm.slopes + 0.1086*_xlpm.slopes + 63.253,
    _xlpm.valid, (_xlpm.vals &gt;= 0) * (_xlpm.ints &lt;= _xlpm.limit),
    _xlpm.target, MIN(_xlfn._xlws.FILTER(_xlpm.vals, _xlpm.valid)),
    IFERROR(
        _xlfn.XLOOKUP(_xlpm.target, _xlpm.vals, _xlpm.vals),
        CHOOSE({1,2,3,4,5,6}, S$1, V$1, Y$1, AB$1, AE$1, AH$1)
    )
)</f>
        <v>0.41020445309547293</v>
      </c>
    </row>
    <row r="177" spans="9:36" x14ac:dyDescent="0.45">
      <c r="I177">
        <v>175</v>
      </c>
      <c r="J177">
        <v>24.8</v>
      </c>
      <c r="K177">
        <f t="shared" si="47"/>
        <v>24.8</v>
      </c>
      <c r="L177">
        <f t="shared" si="46"/>
        <v>6.8888888888888888E-3</v>
      </c>
      <c r="M177">
        <v>2.36</v>
      </c>
      <c r="N177">
        <f t="shared" si="48"/>
        <v>2.36</v>
      </c>
      <c r="O177">
        <f t="shared" si="49"/>
        <v>322.28053312202047</v>
      </c>
      <c r="P177">
        <f t="shared" si="50"/>
        <v>1031.2977059904656</v>
      </c>
      <c r="Q177">
        <f t="shared" si="51"/>
        <v>4723.3434934363322</v>
      </c>
      <c r="R177">
        <f t="shared" si="52"/>
        <v>4.7712684824064571</v>
      </c>
      <c r="S177">
        <f t="shared" si="53"/>
        <v>3.2371275376100672</v>
      </c>
      <c r="T177">
        <f t="shared" si="54"/>
        <v>3052.641209731778</v>
      </c>
      <c r="U177">
        <f t="shared" si="55"/>
        <v>7.3825708275072879</v>
      </c>
      <c r="V177">
        <f t="shared" si="56"/>
        <v>1.1215980080871235</v>
      </c>
      <c r="W177">
        <f t="shared" si="57"/>
        <v>1969.7786184417891</v>
      </c>
      <c r="X177">
        <f t="shared" si="58"/>
        <v>11.441052172472027</v>
      </c>
      <c r="Y177">
        <f t="shared" si="59"/>
        <v>0.65328225265231787</v>
      </c>
      <c r="Z177">
        <f t="shared" si="60"/>
        <v>1485.0686966262704</v>
      </c>
      <c r="AA177">
        <f t="shared" si="61"/>
        <v>15.175284478764981</v>
      </c>
      <c r="AB177">
        <f t="shared" si="62"/>
        <v>0.55450048347876202</v>
      </c>
      <c r="AC177">
        <f t="shared" si="63"/>
        <v>6000</v>
      </c>
      <c r="AD177">
        <f t="shared" si="64"/>
        <v>3.7560566569687301</v>
      </c>
      <c r="AE177">
        <f t="shared" si="65"/>
        <v>6.7248769113062101</v>
      </c>
      <c r="AF177">
        <f t="shared" si="66"/>
        <v>6000</v>
      </c>
      <c r="AG177">
        <f t="shared" si="67"/>
        <v>3.7560566569687301</v>
      </c>
      <c r="AH177">
        <f t="shared" si="68"/>
        <v>6.7248769113062101</v>
      </c>
      <c r="AI177" cm="1">
        <f t="array" ref="AI177">_xlfn.LET(
    _xlpm.vals,   _xlfn.HSTACK(S177,V177,Y177,AB177,AE177,AH177),
    _xlpm.ints,   _xlfn.HSTACK(R177,U177,X177,AA177,AD177,AG177),
    _xlpm.slopes, _xlfn.HSTACK(Q177,T177,W177,Z177,AC177,AF177),
    _xlpm.limit,  -0.00001*_xlpm.slopes + 0.1086*_xlpm.slopes + 63.253,
    _xlpm.mask,   (_xlpm.vals&gt;=0) * (_xlpm.ints&lt;=_xlpm.limit),
    _xlpm.validVals, _xlfn._xlws.FILTER(_xlpm.vals, _xlpm.mask),
    _xlpm.minVal, MIN(_xlpm.validVals),
    IFERROR( _xlfn.XMATCH(_xlpm.minVal, _xlpm.vals), "" )
)</f>
        <v>4</v>
      </c>
      <c r="AJ177" cm="1">
        <f t="array" ref="AJ177">_xlfn.LET(
    _xlpm.vals, CHOOSE({1,2,3,4,5,6}, S177, V177, Y177, AB177, AE177, AH177),
    _xlpm.slopes, CHOOSE({1,2,3,4,5,6}, Q177, T177, W177, Z177, AC177, AF177),
    _xlpm.ints, CHOOSE({1,2,3,4,5,6}, R177, U177, X177, AA177, AD177, AG177),
    _xlpm.limit, -0.00001*_xlpm.slopes + 0.1086*_xlpm.slopes + 63.253,
    _xlpm.valid, (_xlpm.vals &gt;= 0) * (_xlpm.ints &lt;= _xlpm.limit),
    _xlpm.target, MIN(_xlfn._xlws.FILTER(_xlpm.vals, _xlpm.valid)),
    IFERROR(
        _xlfn.XLOOKUP(_xlpm.target, _xlpm.vals, _xlpm.vals),
        CHOOSE({1,2,3,4,5,6}, S$1, V$1, Y$1, AB$1, AE$1, AH$1)
    )
)</f>
        <v>0.55450048347876202</v>
      </c>
    </row>
    <row r="178" spans="9:36" x14ac:dyDescent="0.45">
      <c r="I178">
        <v>176</v>
      </c>
      <c r="J178">
        <v>24.9</v>
      </c>
      <c r="K178">
        <f t="shared" si="47"/>
        <v>24.9</v>
      </c>
      <c r="L178">
        <f t="shared" si="46"/>
        <v>6.9166666666666664E-3</v>
      </c>
      <c r="M178">
        <v>3.61</v>
      </c>
      <c r="N178">
        <f t="shared" si="48"/>
        <v>3.61</v>
      </c>
      <c r="O178">
        <f t="shared" si="49"/>
        <v>323.58005140073828</v>
      </c>
      <c r="P178">
        <f t="shared" si="50"/>
        <v>1035.4561644823625</v>
      </c>
      <c r="Q178">
        <f t="shared" si="51"/>
        <v>4742.3892333292206</v>
      </c>
      <c r="R178">
        <f t="shared" si="52"/>
        <v>7.2691124615901783</v>
      </c>
      <c r="S178">
        <f t="shared" si="53"/>
        <v>3.3103743959723162</v>
      </c>
      <c r="T178">
        <f t="shared" si="54"/>
        <v>3064.9502468677929</v>
      </c>
      <c r="U178">
        <f t="shared" si="55"/>
        <v>11.24747806556859</v>
      </c>
      <c r="V178">
        <f t="shared" si="56"/>
        <v>1.1918758359189849</v>
      </c>
      <c r="W178">
        <f t="shared" si="57"/>
        <v>1977.7212741613123</v>
      </c>
      <c r="X178">
        <f t="shared" si="58"/>
        <v>17.430646635645562</v>
      </c>
      <c r="Y178">
        <f t="shared" si="59"/>
        <v>0.73554928598403957</v>
      </c>
      <c r="Z178">
        <f t="shared" si="60"/>
        <v>1491.056876854602</v>
      </c>
      <c r="AA178">
        <f t="shared" si="61"/>
        <v>23.119816023668765</v>
      </c>
      <c r="AB178">
        <f t="shared" si="62"/>
        <v>0.64526244540698674</v>
      </c>
      <c r="AC178">
        <f t="shared" si="63"/>
        <v>6000</v>
      </c>
      <c r="AD178">
        <f t="shared" si="64"/>
        <v>5.7454934456174218</v>
      </c>
      <c r="AE178">
        <f t="shared" si="65"/>
        <v>6.7399064278713379</v>
      </c>
      <c r="AF178">
        <f t="shared" si="66"/>
        <v>6000</v>
      </c>
      <c r="AG178">
        <f t="shared" si="67"/>
        <v>5.7454934456174218</v>
      </c>
      <c r="AH178">
        <f t="shared" si="68"/>
        <v>6.7399064278713379</v>
      </c>
      <c r="AI178" cm="1">
        <f t="array" ref="AI178">_xlfn.LET(
    _xlpm.vals,   _xlfn.HSTACK(S178,V178,Y178,AB178,AE178,AH178),
    _xlpm.ints,   _xlfn.HSTACK(R178,U178,X178,AA178,AD178,AG178),
    _xlpm.slopes, _xlfn.HSTACK(Q178,T178,W178,Z178,AC178,AF178),
    _xlpm.limit,  -0.00001*_xlpm.slopes + 0.1086*_xlpm.slopes + 63.253,
    _xlpm.mask,   (_xlpm.vals&gt;=0) * (_xlpm.ints&lt;=_xlpm.limit),
    _xlpm.validVals, _xlfn._xlws.FILTER(_xlpm.vals, _xlpm.mask),
    _xlpm.minVal, MIN(_xlpm.validVals),
    IFERROR( _xlfn.XMATCH(_xlpm.minVal, _xlpm.vals), "" )
)</f>
        <v>4</v>
      </c>
      <c r="AJ178" cm="1">
        <f t="array" ref="AJ178">_xlfn.LET(
    _xlpm.vals, CHOOSE({1,2,3,4,5,6}, S178, V178, Y178, AB178, AE178, AH178),
    _xlpm.slopes, CHOOSE({1,2,3,4,5,6}, Q178, T178, W178, Z178, AC178, AF178),
    _xlpm.ints, CHOOSE({1,2,3,4,5,6}, R178, U178, X178, AA178, AD178, AG178),
    _xlpm.limit, -0.00001*_xlpm.slopes + 0.1086*_xlpm.slopes + 63.253,
    _xlpm.valid, (_xlpm.vals &gt;= 0) * (_xlpm.ints &lt;= _xlpm.limit),
    _xlpm.target, MIN(_xlfn._xlws.FILTER(_xlpm.vals, _xlpm.valid)),
    IFERROR(
        _xlfn.XLOOKUP(_xlpm.target, _xlpm.vals, _xlpm.vals),
        CHOOSE({1,2,3,4,5,6}, S$1, V$1, Y$1, AB$1, AE$1, AH$1)
    )
)</f>
        <v>0.64526244540698674</v>
      </c>
    </row>
    <row r="179" spans="9:36" x14ac:dyDescent="0.45">
      <c r="I179">
        <v>177</v>
      </c>
      <c r="J179">
        <v>25</v>
      </c>
      <c r="K179">
        <f t="shared" si="47"/>
        <v>25</v>
      </c>
      <c r="L179">
        <f t="shared" si="46"/>
        <v>6.9444444444444441E-3</v>
      </c>
      <c r="M179">
        <v>4.71</v>
      </c>
      <c r="N179">
        <f t="shared" si="48"/>
        <v>4.71</v>
      </c>
      <c r="O179">
        <f t="shared" si="49"/>
        <v>324.87956967945615</v>
      </c>
      <c r="P179">
        <f t="shared" si="50"/>
        <v>1039.6146229742596</v>
      </c>
      <c r="Q179">
        <f t="shared" si="51"/>
        <v>4761.434973222109</v>
      </c>
      <c r="R179">
        <f t="shared" si="52"/>
        <v>9.4461411676768368</v>
      </c>
      <c r="S179">
        <f t="shared" si="53"/>
        <v>3.3806184886744539</v>
      </c>
      <c r="T179">
        <f t="shared" si="54"/>
        <v>3077.2592840038087</v>
      </c>
      <c r="U179">
        <f t="shared" si="55"/>
        <v>14.615988698635105</v>
      </c>
      <c r="V179">
        <f t="shared" si="56"/>
        <v>1.2568273201896267</v>
      </c>
      <c r="W179">
        <f t="shared" si="57"/>
        <v>1985.6639298808359</v>
      </c>
      <c r="X179">
        <f t="shared" si="58"/>
        <v>22.650956307832416</v>
      </c>
      <c r="Y179">
        <f t="shared" si="59"/>
        <v>0.81198730027389687</v>
      </c>
      <c r="Z179">
        <f t="shared" si="60"/>
        <v>1497.0450570829339</v>
      </c>
      <c r="AA179">
        <f t="shared" si="61"/>
        <v>30.043976769416606</v>
      </c>
      <c r="AB179">
        <f t="shared" si="62"/>
        <v>0.73050213889562954</v>
      </c>
      <c r="AC179">
        <f t="shared" si="63"/>
        <v>6000</v>
      </c>
      <c r="AD179">
        <f t="shared" si="64"/>
        <v>7.4961978196282706</v>
      </c>
      <c r="AE179">
        <f t="shared" si="65"/>
        <v>6.7541893151413639</v>
      </c>
      <c r="AF179">
        <f t="shared" si="66"/>
        <v>6000</v>
      </c>
      <c r="AG179">
        <f t="shared" si="67"/>
        <v>7.4961978196282706</v>
      </c>
      <c r="AH179">
        <f t="shared" si="68"/>
        <v>6.7541893151413639</v>
      </c>
      <c r="AI179" cm="1">
        <f t="array" ref="AI179">_xlfn.LET(
    _xlpm.vals,   _xlfn.HSTACK(S179,V179,Y179,AB179,AE179,AH179),
    _xlpm.ints,   _xlfn.HSTACK(R179,U179,X179,AA179,AD179,AG179),
    _xlpm.slopes, _xlfn.HSTACK(Q179,T179,W179,Z179,AC179,AF179),
    _xlpm.limit,  -0.00001*_xlpm.slopes + 0.1086*_xlpm.slopes + 63.253,
    _xlpm.mask,   (_xlpm.vals&gt;=0) * (_xlpm.ints&lt;=_xlpm.limit),
    _xlpm.validVals, _xlfn._xlws.FILTER(_xlpm.vals, _xlpm.mask),
    _xlpm.minVal, MIN(_xlpm.validVals),
    IFERROR( _xlfn.XMATCH(_xlpm.minVal, _xlpm.vals), "" )
)</f>
        <v>4</v>
      </c>
      <c r="AJ179" cm="1">
        <f t="array" ref="AJ179">_xlfn.LET(
    _xlpm.vals, CHOOSE({1,2,3,4,5,6}, S179, V179, Y179, AB179, AE179, AH179),
    _xlpm.slopes, CHOOSE({1,2,3,4,5,6}, Q179, T179, W179, Z179, AC179, AF179),
    _xlpm.ints, CHOOSE({1,2,3,4,5,6}, R179, U179, X179, AA179, AD179, AG179),
    _xlpm.limit, -0.00001*_xlpm.slopes + 0.1086*_xlpm.slopes + 63.253,
    _xlpm.valid, (_xlpm.vals &gt;= 0) * (_xlpm.ints &lt;= _xlpm.limit),
    _xlpm.target, MIN(_xlfn._xlws.FILTER(_xlpm.vals, _xlpm.valid)),
    IFERROR(
        _xlfn.XLOOKUP(_xlpm.target, _xlpm.vals, _xlpm.vals),
        CHOOSE({1,2,3,4,5,6}, S$1, V$1, Y$1, AB$1, AE$1, AH$1)
    )
)</f>
        <v>0.73050213889562954</v>
      </c>
    </row>
    <row r="180" spans="9:36" x14ac:dyDescent="0.45">
      <c r="I180">
        <v>178</v>
      </c>
      <c r="J180">
        <v>25.2</v>
      </c>
      <c r="K180">
        <f t="shared" si="47"/>
        <v>25.2</v>
      </c>
      <c r="L180">
        <f t="shared" si="46"/>
        <v>7.0000000000000001E-3</v>
      </c>
      <c r="M180">
        <v>5.25</v>
      </c>
      <c r="N180">
        <f t="shared" si="48"/>
        <v>5.25</v>
      </c>
      <c r="O180">
        <f t="shared" si="49"/>
        <v>327.47860623689172</v>
      </c>
      <c r="P180">
        <f t="shared" si="50"/>
        <v>1047.9315399580535</v>
      </c>
      <c r="Q180">
        <f t="shared" si="51"/>
        <v>4799.5264530078848</v>
      </c>
      <c r="R180">
        <f t="shared" si="52"/>
        <v>10.445573654985889</v>
      </c>
      <c r="S180">
        <f t="shared" si="53"/>
        <v>3.4736030894714478</v>
      </c>
      <c r="T180">
        <f t="shared" si="54"/>
        <v>3101.8773582758381</v>
      </c>
      <c r="U180">
        <f t="shared" si="55"/>
        <v>16.162407885079517</v>
      </c>
      <c r="V180">
        <f t="shared" si="56"/>
        <v>1.3015824804879808</v>
      </c>
      <c r="W180">
        <f t="shared" si="57"/>
        <v>2001.549241319882</v>
      </c>
      <c r="X180">
        <f t="shared" si="58"/>
        <v>25.047501225044698</v>
      </c>
      <c r="Y180">
        <f t="shared" si="59"/>
        <v>0.85321055843364346</v>
      </c>
      <c r="Z180">
        <f t="shared" si="60"/>
        <v>1509.021417539597</v>
      </c>
      <c r="AA180">
        <f t="shared" si="61"/>
        <v>33.222727319330119</v>
      </c>
      <c r="AB180">
        <f t="shared" si="62"/>
        <v>0.77495187589430192</v>
      </c>
      <c r="AC180">
        <f t="shared" si="63"/>
        <v>6000</v>
      </c>
      <c r="AD180">
        <f t="shared" si="64"/>
        <v>8.3556345123245048</v>
      </c>
      <c r="AE180">
        <f t="shared" si="65"/>
        <v>6.7615594156523349</v>
      </c>
      <c r="AF180">
        <f t="shared" si="66"/>
        <v>6000</v>
      </c>
      <c r="AG180">
        <f t="shared" si="67"/>
        <v>8.3556345123245048</v>
      </c>
      <c r="AH180">
        <f t="shared" si="68"/>
        <v>6.7615594156523349</v>
      </c>
      <c r="AI180" cm="1">
        <f t="array" ref="AI180">_xlfn.LET(
    _xlpm.vals,   _xlfn.HSTACK(S180,V180,Y180,AB180,AE180,AH180),
    _xlpm.ints,   _xlfn.HSTACK(R180,U180,X180,AA180,AD180,AG180),
    _xlpm.slopes, _xlfn.HSTACK(Q180,T180,W180,Z180,AC180,AF180),
    _xlpm.limit,  -0.00001*_xlpm.slopes + 0.1086*_xlpm.slopes + 63.253,
    _xlpm.mask,   (_xlpm.vals&gt;=0) * (_xlpm.ints&lt;=_xlpm.limit),
    _xlpm.validVals, _xlfn._xlws.FILTER(_xlpm.vals, _xlpm.mask),
    _xlpm.minVal, MIN(_xlpm.validVals),
    IFERROR( _xlfn.XMATCH(_xlpm.minVal, _xlpm.vals), "" )
)</f>
        <v>4</v>
      </c>
      <c r="AJ180" cm="1">
        <f t="array" ref="AJ180">_xlfn.LET(
    _xlpm.vals, CHOOSE({1,2,3,4,5,6}, S180, V180, Y180, AB180, AE180, AH180),
    _xlpm.slopes, CHOOSE({1,2,3,4,5,6}, Q180, T180, W180, Z180, AC180, AF180),
    _xlpm.ints, CHOOSE({1,2,3,4,5,6}, R180, U180, X180, AA180, AD180, AG180),
    _xlpm.limit, -0.00001*_xlpm.slopes + 0.1086*_xlpm.slopes + 63.253,
    _xlpm.valid, (_xlpm.vals &gt;= 0) * (_xlpm.ints &lt;= _xlpm.limit),
    _xlpm.target, MIN(_xlfn._xlws.FILTER(_xlpm.vals, _xlpm.valid)),
    IFERROR(
        _xlfn.XLOOKUP(_xlpm.target, _xlpm.vals, _xlpm.vals),
        CHOOSE({1,2,3,4,5,6}, S$1, V$1, Y$1, AB$1, AE$1, AH$1)
    )
)</f>
        <v>0.77495187589430192</v>
      </c>
    </row>
    <row r="181" spans="9:36" x14ac:dyDescent="0.45">
      <c r="I181">
        <v>179</v>
      </c>
      <c r="J181">
        <v>25.9</v>
      </c>
      <c r="K181">
        <f t="shared" si="47"/>
        <v>25.9</v>
      </c>
      <c r="L181">
        <f t="shared" si="46"/>
        <v>7.1944444444444443E-3</v>
      </c>
      <c r="M181">
        <v>15.18</v>
      </c>
      <c r="N181">
        <f t="shared" si="48"/>
        <v>15.18</v>
      </c>
      <c r="O181">
        <f t="shared" si="49"/>
        <v>336.57523418791652</v>
      </c>
      <c r="P181">
        <f t="shared" si="50"/>
        <v>1077.040749401333</v>
      </c>
      <c r="Q181">
        <f t="shared" si="51"/>
        <v>4932.8466322581053</v>
      </c>
      <c r="R181">
        <f t="shared" si="52"/>
        <v>29.386342810690799</v>
      </c>
      <c r="S181">
        <f t="shared" si="53"/>
        <v>4.0796943833613364</v>
      </c>
      <c r="T181">
        <f t="shared" si="54"/>
        <v>3188.0406182279457</v>
      </c>
      <c r="U181">
        <f t="shared" si="55"/>
        <v>45.469408808433734</v>
      </c>
      <c r="V181">
        <f t="shared" si="56"/>
        <v>1.9501181609395151</v>
      </c>
      <c r="W181">
        <f t="shared" si="57"/>
        <v>2057.1478313565458</v>
      </c>
      <c r="X181">
        <f t="shared" si="58"/>
        <v>70.465680666473233</v>
      </c>
      <c r="Y181">
        <f t="shared" si="59"/>
        <v>1.6543658748074863</v>
      </c>
      <c r="Z181">
        <f t="shared" si="60"/>
        <v>1550.9386791379195</v>
      </c>
      <c r="AA181">
        <f t="shared" si="61"/>
        <v>93.464895884002686</v>
      </c>
      <c r="AB181">
        <f t="shared" si="62"/>
        <v>1.6512626519012348</v>
      </c>
      <c r="AC181">
        <f t="shared" si="63"/>
        <v>6000</v>
      </c>
      <c r="AD181">
        <f t="shared" si="64"/>
        <v>24.159720361349713</v>
      </c>
      <c r="AE181">
        <f t="shared" si="65"/>
        <v>6.9374879502362088</v>
      </c>
      <c r="AF181">
        <f t="shared" si="66"/>
        <v>6000</v>
      </c>
      <c r="AG181">
        <f t="shared" si="67"/>
        <v>24.159720361349713</v>
      </c>
      <c r="AH181">
        <f t="shared" si="68"/>
        <v>6.9374879502362088</v>
      </c>
      <c r="AI181" cm="1">
        <f t="array" ref="AI181">_xlfn.LET(
    _xlpm.vals,   _xlfn.HSTACK(S181,V181,Y181,AB181,AE181,AH181),
    _xlpm.ints,   _xlfn.HSTACK(R181,U181,X181,AA181,AD181,AG181),
    _xlpm.slopes, _xlfn.HSTACK(Q181,T181,W181,Z181,AC181,AF181),
    _xlpm.limit,  -0.00001*_xlpm.slopes + 0.1086*_xlpm.slopes + 63.253,
    _xlpm.mask,   (_xlpm.vals&gt;=0) * (_xlpm.ints&lt;=_xlpm.limit),
    _xlpm.validVals, _xlfn._xlws.FILTER(_xlpm.vals, _xlpm.mask),
    _xlpm.minVal, MIN(_xlpm.validVals),
    IFERROR( _xlfn.XMATCH(_xlpm.minVal, _xlpm.vals), "" )
)</f>
        <v>4</v>
      </c>
      <c r="AJ181" cm="1">
        <f t="array" ref="AJ181">_xlfn.LET(
    _xlpm.vals, CHOOSE({1,2,3,4,5,6}, S181, V181, Y181, AB181, AE181, AH181),
    _xlpm.slopes, CHOOSE({1,2,3,4,5,6}, Q181, T181, W181, Z181, AC181, AF181),
    _xlpm.ints, CHOOSE({1,2,3,4,5,6}, R181, U181, X181, AA181, AD181, AG181),
    _xlpm.limit, -0.00001*_xlpm.slopes + 0.1086*_xlpm.slopes + 63.253,
    _xlpm.valid, (_xlpm.vals &gt;= 0) * (_xlpm.ints &lt;= _xlpm.limit),
    _xlpm.target, MIN(_xlfn._xlws.FILTER(_xlpm.vals, _xlpm.valid)),
    IFERROR(
        _xlfn.XLOOKUP(_xlpm.target, _xlpm.vals, _xlpm.vals),
        CHOOSE({1,2,3,4,5,6}, S$1, V$1, Y$1, AB$1, AE$1, AH$1)
    )
)</f>
        <v>1.6512626519012348</v>
      </c>
    </row>
    <row r="182" spans="9:36" x14ac:dyDescent="0.45">
      <c r="I182">
        <v>180</v>
      </c>
      <c r="J182">
        <v>27.2</v>
      </c>
      <c r="K182">
        <f t="shared" si="47"/>
        <v>27.2</v>
      </c>
      <c r="L182">
        <f t="shared" si="46"/>
        <v>7.5555555555555549E-3</v>
      </c>
      <c r="M182">
        <v>9.8800000000000008</v>
      </c>
      <c r="N182">
        <f t="shared" si="48"/>
        <v>9.8800000000000008</v>
      </c>
      <c r="O182">
        <f t="shared" si="49"/>
        <v>353.46897181124825</v>
      </c>
      <c r="P182">
        <f t="shared" si="50"/>
        <v>1131.1007097959944</v>
      </c>
      <c r="Q182">
        <f t="shared" si="51"/>
        <v>5180.4412508656542</v>
      </c>
      <c r="R182">
        <f t="shared" si="52"/>
        <v>18.212164890222454</v>
      </c>
      <c r="S182">
        <f t="shared" si="53"/>
        <v>4.452714667085937</v>
      </c>
      <c r="T182">
        <f t="shared" si="54"/>
        <v>3348.0581009961434</v>
      </c>
      <c r="U182">
        <f t="shared" si="55"/>
        <v>28.179633512573933</v>
      </c>
      <c r="V182">
        <f t="shared" si="56"/>
        <v>1.7282364322493056</v>
      </c>
      <c r="W182">
        <f t="shared" si="57"/>
        <v>2160.4023557103492</v>
      </c>
      <c r="X182">
        <f t="shared" si="58"/>
        <v>43.671055077077931</v>
      </c>
      <c r="Y182">
        <f t="shared" si="59"/>
        <v>1.22864540587254</v>
      </c>
      <c r="Z182">
        <f t="shared" si="60"/>
        <v>1628.7850221062317</v>
      </c>
      <c r="AA182">
        <f t="shared" si="61"/>
        <v>57.924802220290864</v>
      </c>
      <c r="AB182">
        <f t="shared" si="62"/>
        <v>1.177629056070745</v>
      </c>
      <c r="AC182">
        <f t="shared" si="63"/>
        <v>6000</v>
      </c>
      <c r="AD182">
        <f t="shared" si="64"/>
        <v>15.72450837747926</v>
      </c>
      <c r="AE182">
        <f t="shared" si="65"/>
        <v>6.8342307949808614</v>
      </c>
      <c r="AF182">
        <f t="shared" si="66"/>
        <v>6000</v>
      </c>
      <c r="AG182">
        <f t="shared" si="67"/>
        <v>15.72450837747926</v>
      </c>
      <c r="AH182">
        <f t="shared" si="68"/>
        <v>6.8342307949808614</v>
      </c>
      <c r="AI182" cm="1">
        <f t="array" ref="AI182">_xlfn.LET(
    _xlpm.vals,   _xlfn.HSTACK(S182,V182,Y182,AB182,AE182,AH182),
    _xlpm.ints,   _xlfn.HSTACK(R182,U182,X182,AA182,AD182,AG182),
    _xlpm.slopes, _xlfn.HSTACK(Q182,T182,W182,Z182,AC182,AF182),
    _xlpm.limit,  -0.00001*_xlpm.slopes + 0.1086*_xlpm.slopes + 63.253,
    _xlpm.mask,   (_xlpm.vals&gt;=0) * (_xlpm.ints&lt;=_xlpm.limit),
    _xlpm.validVals, _xlfn._xlws.FILTER(_xlpm.vals, _xlpm.mask),
    _xlpm.minVal, MIN(_xlpm.validVals),
    IFERROR( _xlfn.XMATCH(_xlpm.minVal, _xlpm.vals), "" )
)</f>
        <v>4</v>
      </c>
      <c r="AJ182" cm="1">
        <f t="array" ref="AJ182">_xlfn.LET(
    _xlpm.vals, CHOOSE({1,2,3,4,5,6}, S182, V182, Y182, AB182, AE182, AH182),
    _xlpm.slopes, CHOOSE({1,2,3,4,5,6}, Q182, T182, W182, Z182, AC182, AF182),
    _xlpm.ints, CHOOSE({1,2,3,4,5,6}, R182, U182, X182, AA182, AD182, AG182),
    _xlpm.limit, -0.00001*_xlpm.slopes + 0.1086*_xlpm.slopes + 63.253,
    _xlpm.valid, (_xlpm.vals &gt;= 0) * (_xlpm.ints &lt;= _xlpm.limit),
    _xlpm.target, MIN(_xlfn._xlws.FILTER(_xlpm.vals, _xlpm.valid)),
    IFERROR(
        _xlfn.XLOOKUP(_xlpm.target, _xlpm.vals, _xlpm.vals),
        CHOOSE({1,2,3,4,5,6}, S$1, V$1, Y$1, AB$1, AE$1, AH$1)
    )
)</f>
        <v>1.177629056070745</v>
      </c>
    </row>
    <row r="183" spans="9:36" x14ac:dyDescent="0.45">
      <c r="I183">
        <v>181</v>
      </c>
      <c r="J183">
        <v>26.1</v>
      </c>
      <c r="K183">
        <f t="shared" si="47"/>
        <v>26.1</v>
      </c>
      <c r="L183">
        <f t="shared" si="46"/>
        <v>7.2500000000000004E-3</v>
      </c>
      <c r="M183">
        <v>-0.16</v>
      </c>
      <c r="N183">
        <f t="shared" si="48"/>
        <v>0</v>
      </c>
      <c r="O183">
        <f t="shared" si="49"/>
        <v>339.17427074535226</v>
      </c>
      <c r="P183">
        <f t="shared" si="50"/>
        <v>1085.3576663851272</v>
      </c>
      <c r="Q183">
        <f t="shared" si="51"/>
        <v>4970.9381120438829</v>
      </c>
      <c r="R183">
        <f t="shared" si="52"/>
        <v>0</v>
      </c>
      <c r="S183">
        <f t="shared" si="53"/>
        <v>3.7084117695340639</v>
      </c>
      <c r="T183">
        <f t="shared" si="54"/>
        <v>3212.6586924999765</v>
      </c>
      <c r="U183">
        <f t="shared" si="55"/>
        <v>0</v>
      </c>
      <c r="V183">
        <f t="shared" si="56"/>
        <v>1.1319160429072175</v>
      </c>
      <c r="W183">
        <f t="shared" si="57"/>
        <v>2073.033142795593</v>
      </c>
      <c r="X183">
        <f t="shared" si="58"/>
        <v>0</v>
      </c>
      <c r="Y183">
        <f t="shared" si="59"/>
        <v>0.54602625440530272</v>
      </c>
      <c r="Z183">
        <f t="shared" si="60"/>
        <v>1562.915039594583</v>
      </c>
      <c r="AA183">
        <f t="shared" si="61"/>
        <v>0</v>
      </c>
      <c r="AB183">
        <f t="shared" si="62"/>
        <v>0.42197061094097488</v>
      </c>
      <c r="AC183">
        <f t="shared" si="63"/>
        <v>6000</v>
      </c>
      <c r="AD183">
        <f t="shared" si="64"/>
        <v>0</v>
      </c>
      <c r="AE183">
        <f t="shared" si="65"/>
        <v>6.7000407999999982</v>
      </c>
      <c r="AF183">
        <f t="shared" si="66"/>
        <v>6000</v>
      </c>
      <c r="AG183">
        <f t="shared" si="67"/>
        <v>0</v>
      </c>
      <c r="AH183">
        <f t="shared" si="68"/>
        <v>6.7000407999999982</v>
      </c>
      <c r="AI183" cm="1">
        <f t="array" ref="AI183">_xlfn.LET(
    _xlpm.vals,   _xlfn.HSTACK(S183,V183,Y183,AB183,AE183,AH183),
    _xlpm.ints,   _xlfn.HSTACK(R183,U183,X183,AA183,AD183,AG183),
    _xlpm.slopes, _xlfn.HSTACK(Q183,T183,W183,Z183,AC183,AF183),
    _xlpm.limit,  -0.00001*_xlpm.slopes + 0.1086*_xlpm.slopes + 63.253,
    _xlpm.mask,   (_xlpm.vals&gt;=0) * (_xlpm.ints&lt;=_xlpm.limit),
    _xlpm.validVals, _xlfn._xlws.FILTER(_xlpm.vals, _xlpm.mask),
    _xlpm.minVal, MIN(_xlpm.validVals),
    IFERROR( _xlfn.XMATCH(_xlpm.minVal, _xlpm.vals), "" )
)</f>
        <v>4</v>
      </c>
      <c r="AJ183" cm="1">
        <f t="array" ref="AJ183">_xlfn.LET(
    _xlpm.vals, CHOOSE({1,2,3,4,5,6}, S183, V183, Y183, AB183, AE183, AH183),
    _xlpm.slopes, CHOOSE({1,2,3,4,5,6}, Q183, T183, W183, Z183, AC183, AF183),
    _xlpm.ints, CHOOSE({1,2,3,4,5,6}, R183, U183, X183, AA183, AD183, AG183),
    _xlpm.limit, -0.00001*_xlpm.slopes + 0.1086*_xlpm.slopes + 63.253,
    _xlpm.valid, (_xlpm.vals &gt;= 0) * (_xlpm.ints &lt;= _xlpm.limit),
    _xlpm.target, MIN(_xlfn._xlws.FILTER(_xlpm.vals, _xlpm.valid)),
    IFERROR(
        _xlfn.XLOOKUP(_xlpm.target, _xlpm.vals, _xlpm.vals),
        CHOOSE({1,2,3,4,5,6}, S$1, V$1, Y$1, AB$1, AE$1, AH$1)
    )
)</f>
        <v>0.42197061094097488</v>
      </c>
    </row>
    <row r="184" spans="9:36" x14ac:dyDescent="0.45">
      <c r="I184">
        <v>182</v>
      </c>
      <c r="J184">
        <v>23.8</v>
      </c>
      <c r="K184">
        <f t="shared" si="47"/>
        <v>23.8</v>
      </c>
      <c r="L184">
        <f t="shared" si="46"/>
        <v>6.611111111111111E-3</v>
      </c>
      <c r="M184">
        <v>-0.77</v>
      </c>
      <c r="N184">
        <f t="shared" si="48"/>
        <v>0</v>
      </c>
      <c r="O184">
        <f t="shared" si="49"/>
        <v>309.28535033484224</v>
      </c>
      <c r="P184">
        <f t="shared" si="50"/>
        <v>989.71312107149515</v>
      </c>
      <c r="Q184">
        <f t="shared" si="51"/>
        <v>4532.8860945074475</v>
      </c>
      <c r="R184">
        <f t="shared" si="52"/>
        <v>0</v>
      </c>
      <c r="S184">
        <f t="shared" si="53"/>
        <v>2.8082021326893098</v>
      </c>
      <c r="T184">
        <f t="shared" si="54"/>
        <v>2929.5508383716256</v>
      </c>
      <c r="U184">
        <f t="shared" si="55"/>
        <v>0</v>
      </c>
      <c r="V184">
        <f t="shared" si="56"/>
        <v>0.9305971196233751</v>
      </c>
      <c r="W184">
        <f t="shared" si="57"/>
        <v>1890.3520612465556</v>
      </c>
      <c r="X184">
        <f t="shared" si="58"/>
        <v>0</v>
      </c>
      <c r="Y184">
        <f t="shared" si="59"/>
        <v>0.49558411779098671</v>
      </c>
      <c r="Z184">
        <f t="shared" si="60"/>
        <v>1425.1868943429529</v>
      </c>
      <c r="AA184">
        <f t="shared" si="61"/>
        <v>0</v>
      </c>
      <c r="AB184">
        <f t="shared" si="62"/>
        <v>0.3954525538002836</v>
      </c>
      <c r="AC184">
        <f t="shared" si="63"/>
        <v>6000</v>
      </c>
      <c r="AD184">
        <f t="shared" si="64"/>
        <v>0</v>
      </c>
      <c r="AE184">
        <f t="shared" si="65"/>
        <v>6.7000407999999982</v>
      </c>
      <c r="AF184">
        <f t="shared" si="66"/>
        <v>6000</v>
      </c>
      <c r="AG184">
        <f t="shared" si="67"/>
        <v>0</v>
      </c>
      <c r="AH184">
        <f t="shared" si="68"/>
        <v>6.7000407999999982</v>
      </c>
      <c r="AI184" cm="1">
        <f t="array" ref="AI184">_xlfn.LET(
    _xlpm.vals,   _xlfn.HSTACK(S184,V184,Y184,AB184,AE184,AH184),
    _xlpm.ints,   _xlfn.HSTACK(R184,U184,X184,AA184,AD184,AG184),
    _xlpm.slopes, _xlfn.HSTACK(Q184,T184,W184,Z184,AC184,AF184),
    _xlpm.limit,  -0.00001*_xlpm.slopes + 0.1086*_xlpm.slopes + 63.253,
    _xlpm.mask,   (_xlpm.vals&gt;=0) * (_xlpm.ints&lt;=_xlpm.limit),
    _xlpm.validVals, _xlfn._xlws.FILTER(_xlpm.vals, _xlpm.mask),
    _xlpm.minVal, MIN(_xlpm.validVals),
    IFERROR( _xlfn.XMATCH(_xlpm.minVal, _xlpm.vals), "" )
)</f>
        <v>4</v>
      </c>
      <c r="AJ184" cm="1">
        <f t="array" ref="AJ184">_xlfn.LET(
    _xlpm.vals, CHOOSE({1,2,3,4,5,6}, S184, V184, Y184, AB184, AE184, AH184),
    _xlpm.slopes, CHOOSE({1,2,3,4,5,6}, Q184, T184, W184, Z184, AC184, AF184),
    _xlpm.ints, CHOOSE({1,2,3,4,5,6}, R184, U184, X184, AA184, AD184, AG184),
    _xlpm.limit, -0.00001*_xlpm.slopes + 0.1086*_xlpm.slopes + 63.253,
    _xlpm.valid, (_xlpm.vals &gt;= 0) * (_xlpm.ints &lt;= _xlpm.limit),
    _xlpm.target, MIN(_xlfn._xlws.FILTER(_xlpm.vals, _xlpm.valid)),
    IFERROR(
        _xlfn.XLOOKUP(_xlpm.target, _xlpm.vals, _xlpm.vals),
        CHOOSE({1,2,3,4,5,6}, S$1, V$1, Y$1, AB$1, AE$1, AH$1)
    )
)</f>
        <v>0.3954525538002836</v>
      </c>
    </row>
    <row r="185" spans="9:36" x14ac:dyDescent="0.45">
      <c r="I185">
        <v>183</v>
      </c>
      <c r="J185">
        <v>22</v>
      </c>
      <c r="K185">
        <f t="shared" si="47"/>
        <v>22</v>
      </c>
      <c r="L185">
        <f t="shared" si="46"/>
        <v>6.1111111111111114E-3</v>
      </c>
      <c r="M185">
        <v>-1.81</v>
      </c>
      <c r="N185">
        <f t="shared" si="48"/>
        <v>0</v>
      </c>
      <c r="O185">
        <f t="shared" si="49"/>
        <v>285.89402131792139</v>
      </c>
      <c r="P185">
        <f t="shared" si="50"/>
        <v>914.86086821734852</v>
      </c>
      <c r="Q185">
        <f t="shared" si="51"/>
        <v>4190.0627764354567</v>
      </c>
      <c r="R185">
        <f t="shared" si="52"/>
        <v>0</v>
      </c>
      <c r="S185">
        <f t="shared" si="53"/>
        <v>2.2358530964971894</v>
      </c>
      <c r="T185">
        <f t="shared" si="54"/>
        <v>2707.9881699233515</v>
      </c>
      <c r="U185">
        <f t="shared" si="55"/>
        <v>0</v>
      </c>
      <c r="V185">
        <f t="shared" si="56"/>
        <v>0.80217776539435293</v>
      </c>
      <c r="W185">
        <f t="shared" si="57"/>
        <v>1747.3842582951356</v>
      </c>
      <c r="X185">
        <f t="shared" si="58"/>
        <v>0</v>
      </c>
      <c r="Y185">
        <f t="shared" si="59"/>
        <v>0.4612034352670718</v>
      </c>
      <c r="Z185">
        <f t="shared" si="60"/>
        <v>1317.3996502329819</v>
      </c>
      <c r="AA185">
        <f t="shared" si="61"/>
        <v>0</v>
      </c>
      <c r="AB185">
        <f t="shared" si="62"/>
        <v>0.37580582129259327</v>
      </c>
      <c r="AC185">
        <f t="shared" si="63"/>
        <v>6000</v>
      </c>
      <c r="AD185">
        <f t="shared" si="64"/>
        <v>0</v>
      </c>
      <c r="AE185">
        <f t="shared" si="65"/>
        <v>6.7000407999999982</v>
      </c>
      <c r="AF185">
        <f t="shared" si="66"/>
        <v>6000</v>
      </c>
      <c r="AG185">
        <f t="shared" si="67"/>
        <v>0</v>
      </c>
      <c r="AH185">
        <f t="shared" si="68"/>
        <v>6.7000407999999982</v>
      </c>
      <c r="AI185" cm="1">
        <f t="array" ref="AI185">_xlfn.LET(
    _xlpm.vals,   _xlfn.HSTACK(S185,V185,Y185,AB185,AE185,AH185),
    _xlpm.ints,   _xlfn.HSTACK(R185,U185,X185,AA185,AD185,AG185),
    _xlpm.slopes, _xlfn.HSTACK(Q185,T185,W185,Z185,AC185,AF185),
    _xlpm.limit,  -0.00001*_xlpm.slopes + 0.1086*_xlpm.slopes + 63.253,
    _xlpm.mask,   (_xlpm.vals&gt;=0) * (_xlpm.ints&lt;=_xlpm.limit),
    _xlpm.validVals, _xlfn._xlws.FILTER(_xlpm.vals, _xlpm.mask),
    _xlpm.minVal, MIN(_xlpm.validVals),
    IFERROR( _xlfn.XMATCH(_xlpm.minVal, _xlpm.vals), "" )
)</f>
        <v>4</v>
      </c>
      <c r="AJ185" cm="1">
        <f t="array" ref="AJ185">_xlfn.LET(
    _xlpm.vals, CHOOSE({1,2,3,4,5,6}, S185, V185, Y185, AB185, AE185, AH185),
    _xlpm.slopes, CHOOSE({1,2,3,4,5,6}, Q185, T185, W185, Z185, AC185, AF185),
    _xlpm.ints, CHOOSE({1,2,3,4,5,6}, R185, U185, X185, AA185, AD185, AG185),
    _xlpm.limit, -0.00001*_xlpm.slopes + 0.1086*_xlpm.slopes + 63.253,
    _xlpm.valid, (_xlpm.vals &gt;= 0) * (_xlpm.ints &lt;= _xlpm.limit),
    _xlpm.target, MIN(_xlfn._xlws.FILTER(_xlpm.vals, _xlpm.valid)),
    IFERROR(
        _xlfn.XLOOKUP(_xlpm.target, _xlpm.vals, _xlpm.vals),
        CHOOSE({1,2,3,4,5,6}, S$1, V$1, Y$1, AB$1, AE$1, AH$1)
    )
)</f>
        <v>0.37580582129259327</v>
      </c>
    </row>
    <row r="186" spans="9:36" x14ac:dyDescent="0.45">
      <c r="I186">
        <v>184</v>
      </c>
      <c r="J186">
        <v>18.899999999999999</v>
      </c>
      <c r="K186">
        <f t="shared" si="47"/>
        <v>18.899999999999999</v>
      </c>
      <c r="L186">
        <f t="shared" si="46"/>
        <v>5.2499999999999995E-3</v>
      </c>
      <c r="M186">
        <v>-0.81</v>
      </c>
      <c r="N186">
        <f t="shared" si="48"/>
        <v>0</v>
      </c>
      <c r="O186">
        <f t="shared" si="49"/>
        <v>245.60895467766881</v>
      </c>
      <c r="P186">
        <f t="shared" si="50"/>
        <v>785.94865496854027</v>
      </c>
      <c r="Q186">
        <f t="shared" si="51"/>
        <v>3599.6448397559143</v>
      </c>
      <c r="R186">
        <f t="shared" si="52"/>
        <v>0</v>
      </c>
      <c r="S186">
        <f t="shared" si="53"/>
        <v>1.4857994131124139</v>
      </c>
      <c r="T186">
        <f t="shared" si="54"/>
        <v>2326.4080187068794</v>
      </c>
      <c r="U186">
        <f t="shared" si="55"/>
        <v>0</v>
      </c>
      <c r="V186">
        <f t="shared" si="56"/>
        <v>0.63116045705257195</v>
      </c>
      <c r="W186">
        <f t="shared" si="57"/>
        <v>1501.1619309899118</v>
      </c>
      <c r="X186">
        <f t="shared" si="58"/>
        <v>0</v>
      </c>
      <c r="Y186">
        <f t="shared" si="59"/>
        <v>0.409843047676412</v>
      </c>
      <c r="Z186">
        <f t="shared" si="60"/>
        <v>1131.766063154698</v>
      </c>
      <c r="AA186">
        <f t="shared" si="61"/>
        <v>0</v>
      </c>
      <c r="AB186">
        <f t="shared" si="62"/>
        <v>0.34311697932439078</v>
      </c>
      <c r="AC186">
        <f t="shared" si="63"/>
        <v>6000</v>
      </c>
      <c r="AD186">
        <f t="shared" si="64"/>
        <v>0</v>
      </c>
      <c r="AE186">
        <f t="shared" si="65"/>
        <v>6.7000407999999982</v>
      </c>
      <c r="AF186">
        <f t="shared" si="66"/>
        <v>6000</v>
      </c>
      <c r="AG186">
        <f t="shared" si="67"/>
        <v>0</v>
      </c>
      <c r="AH186">
        <f t="shared" si="68"/>
        <v>6.7000407999999982</v>
      </c>
      <c r="AI186" cm="1">
        <f t="array" ref="AI186">_xlfn.LET(
    _xlpm.vals,   _xlfn.HSTACK(S186,V186,Y186,AB186,AE186,AH186),
    _xlpm.ints,   _xlfn.HSTACK(R186,U186,X186,AA186,AD186,AG186),
    _xlpm.slopes, _xlfn.HSTACK(Q186,T186,W186,Z186,AC186,AF186),
    _xlpm.limit,  -0.00001*_xlpm.slopes + 0.1086*_xlpm.slopes + 63.253,
    _xlpm.mask,   (_xlpm.vals&gt;=0) * (_xlpm.ints&lt;=_xlpm.limit),
    _xlpm.validVals, _xlfn._xlws.FILTER(_xlpm.vals, _xlpm.mask),
    _xlpm.minVal, MIN(_xlpm.validVals),
    IFERROR( _xlfn.XMATCH(_xlpm.minVal, _xlpm.vals), "" )
)</f>
        <v>4</v>
      </c>
      <c r="AJ186" cm="1">
        <f t="array" ref="AJ186">_xlfn.LET(
    _xlpm.vals, CHOOSE({1,2,3,4,5,6}, S186, V186, Y186, AB186, AE186, AH186),
    _xlpm.slopes, CHOOSE({1,2,3,4,5,6}, Q186, T186, W186, Z186, AC186, AF186),
    _xlpm.ints, CHOOSE({1,2,3,4,5,6}, R186, U186, X186, AA186, AD186, AG186),
    _xlpm.limit, -0.00001*_xlpm.slopes + 0.1086*_xlpm.slopes + 63.253,
    _xlpm.valid, (_xlpm.vals &gt;= 0) * (_xlpm.ints &lt;= _xlpm.limit),
    _xlpm.target, MIN(_xlfn._xlws.FILTER(_xlpm.vals, _xlpm.valid)),
    IFERROR(
        _xlfn.XLOOKUP(_xlpm.target, _xlpm.vals, _xlpm.vals),
        CHOOSE({1,2,3,4,5,6}, S$1, V$1, Y$1, AB$1, AE$1, AH$1)
    )
)</f>
        <v>0.34311697932439078</v>
      </c>
    </row>
    <row r="187" spans="9:36" x14ac:dyDescent="0.45">
      <c r="I187">
        <v>185</v>
      </c>
      <c r="J187">
        <v>17.3</v>
      </c>
      <c r="K187">
        <f t="shared" si="47"/>
        <v>17.3</v>
      </c>
      <c r="L187">
        <f t="shared" si="46"/>
        <v>4.805555555555556E-3</v>
      </c>
      <c r="M187">
        <v>-0.6</v>
      </c>
      <c r="N187">
        <f t="shared" si="48"/>
        <v>0</v>
      </c>
      <c r="O187">
        <f t="shared" si="49"/>
        <v>224.81666221818367</v>
      </c>
      <c r="P187">
        <f t="shared" si="50"/>
        <v>719.4133190981878</v>
      </c>
      <c r="Q187">
        <f t="shared" si="51"/>
        <v>3294.9130014697002</v>
      </c>
      <c r="R187">
        <f t="shared" si="52"/>
        <v>0</v>
      </c>
      <c r="S187">
        <f t="shared" si="53"/>
        <v>1.1990867773506262</v>
      </c>
      <c r="T187">
        <f t="shared" si="54"/>
        <v>2129.4634245306361</v>
      </c>
      <c r="U187">
        <f t="shared" si="55"/>
        <v>0</v>
      </c>
      <c r="V187">
        <f t="shared" si="56"/>
        <v>0.56333284138450934</v>
      </c>
      <c r="W187">
        <f t="shared" si="57"/>
        <v>1374.0794394775387</v>
      </c>
      <c r="X187">
        <f t="shared" si="58"/>
        <v>0</v>
      </c>
      <c r="Y187">
        <f t="shared" si="59"/>
        <v>0.38604223618451328</v>
      </c>
      <c r="Z187">
        <f t="shared" si="60"/>
        <v>1035.9551795013904</v>
      </c>
      <c r="AA187">
        <f t="shared" si="61"/>
        <v>0</v>
      </c>
      <c r="AB187">
        <f t="shared" si="62"/>
        <v>0.32630807136408468</v>
      </c>
      <c r="AC187">
        <f t="shared" si="63"/>
        <v>6000</v>
      </c>
      <c r="AD187">
        <f t="shared" si="64"/>
        <v>0</v>
      </c>
      <c r="AE187">
        <f t="shared" si="65"/>
        <v>6.7000407999999982</v>
      </c>
      <c r="AF187">
        <f t="shared" si="66"/>
        <v>6000</v>
      </c>
      <c r="AG187">
        <f t="shared" si="67"/>
        <v>0</v>
      </c>
      <c r="AH187">
        <f t="shared" si="68"/>
        <v>6.7000407999999982</v>
      </c>
      <c r="AI187" cm="1">
        <f t="array" ref="AI187">_xlfn.LET(
    _xlpm.vals,   _xlfn.HSTACK(S187,V187,Y187,AB187,AE187,AH187),
    _xlpm.ints,   _xlfn.HSTACK(R187,U187,X187,AA187,AD187,AG187),
    _xlpm.slopes, _xlfn.HSTACK(Q187,T187,W187,Z187,AC187,AF187),
    _xlpm.limit,  -0.00001*_xlpm.slopes + 0.1086*_xlpm.slopes + 63.253,
    _xlpm.mask,   (_xlpm.vals&gt;=0) * (_xlpm.ints&lt;=_xlpm.limit),
    _xlpm.validVals, _xlfn._xlws.FILTER(_xlpm.vals, _xlpm.mask),
    _xlpm.minVal, MIN(_xlpm.validVals),
    IFERROR( _xlfn.XMATCH(_xlpm.minVal, _xlpm.vals), "" )
)</f>
        <v>4</v>
      </c>
      <c r="AJ187" cm="1">
        <f t="array" ref="AJ187">_xlfn.LET(
    _xlpm.vals, CHOOSE({1,2,3,4,5,6}, S187, V187, Y187, AB187, AE187, AH187),
    _xlpm.slopes, CHOOSE({1,2,3,4,5,6}, Q187, T187, W187, Z187, AC187, AF187),
    _xlpm.ints, CHOOSE({1,2,3,4,5,6}, R187, U187, X187, AA187, AD187, AG187),
    _xlpm.limit, -0.00001*_xlpm.slopes + 0.1086*_xlpm.slopes + 63.253,
    _xlpm.valid, (_xlpm.vals &gt;= 0) * (_xlpm.ints &lt;= _xlpm.limit),
    _xlpm.target, MIN(_xlfn._xlws.FILTER(_xlpm.vals, _xlpm.valid)),
    IFERROR(
        _xlfn.XLOOKUP(_xlpm.target, _xlpm.vals, _xlpm.vals),
        CHOOSE({1,2,3,4,5,6}, S$1, V$1, Y$1, AB$1, AE$1, AH$1)
    )
)</f>
        <v>0.32630807136408468</v>
      </c>
    </row>
    <row r="188" spans="9:36" x14ac:dyDescent="0.45">
      <c r="I188">
        <v>186</v>
      </c>
      <c r="J188">
        <v>17</v>
      </c>
      <c r="K188">
        <f t="shared" si="47"/>
        <v>17</v>
      </c>
      <c r="L188">
        <f t="shared" si="46"/>
        <v>4.7222222222222223E-3</v>
      </c>
      <c r="M188">
        <v>2.4500000000000002</v>
      </c>
      <c r="N188">
        <f t="shared" si="48"/>
        <v>2.4500000000000002</v>
      </c>
      <c r="O188">
        <f t="shared" si="49"/>
        <v>220.91810738203017</v>
      </c>
      <c r="P188">
        <f t="shared" si="50"/>
        <v>706.93794362249662</v>
      </c>
      <c r="Q188">
        <f t="shared" si="51"/>
        <v>3237.7757817910347</v>
      </c>
      <c r="R188">
        <f t="shared" si="52"/>
        <v>7.2258791872137653</v>
      </c>
      <c r="S188">
        <f t="shared" si="53"/>
        <v>1.260054722086106</v>
      </c>
      <c r="T188">
        <f t="shared" si="54"/>
        <v>2092.5363131225899</v>
      </c>
      <c r="U188">
        <f t="shared" si="55"/>
        <v>11.180583336972651</v>
      </c>
      <c r="V188">
        <f t="shared" si="56"/>
        <v>0.69116540672468896</v>
      </c>
      <c r="W188">
        <f t="shared" si="57"/>
        <v>1350.2514723189686</v>
      </c>
      <c r="X188">
        <f t="shared" si="58"/>
        <v>17.326977318030913</v>
      </c>
      <c r="Y188">
        <f t="shared" si="59"/>
        <v>0.53870285079703872</v>
      </c>
      <c r="Z188">
        <f t="shared" si="60"/>
        <v>1017.9906388163951</v>
      </c>
      <c r="AA188">
        <f t="shared" si="61"/>
        <v>22.982310192666006</v>
      </c>
      <c r="AB188">
        <f t="shared" si="62"/>
        <v>0.48718183358434008</v>
      </c>
      <c r="AC188">
        <f t="shared" si="63"/>
        <v>6000</v>
      </c>
      <c r="AD188">
        <f t="shared" si="64"/>
        <v>3.8992961057514361</v>
      </c>
      <c r="AE188">
        <f t="shared" si="65"/>
        <v>6.7259160203210548</v>
      </c>
      <c r="AF188">
        <f t="shared" si="66"/>
        <v>6000</v>
      </c>
      <c r="AG188">
        <f t="shared" si="67"/>
        <v>3.8992961057514361</v>
      </c>
      <c r="AH188">
        <f t="shared" si="68"/>
        <v>6.7259160203210548</v>
      </c>
      <c r="AI188" cm="1">
        <f t="array" ref="AI188">_xlfn.LET(
    _xlpm.vals,   _xlfn.HSTACK(S188,V188,Y188,AB188,AE188,AH188),
    _xlpm.ints,   _xlfn.HSTACK(R188,U188,X188,AA188,AD188,AG188),
    _xlpm.slopes, _xlfn.HSTACK(Q188,T188,W188,Z188,AC188,AF188),
    _xlpm.limit,  -0.00001*_xlpm.slopes + 0.1086*_xlpm.slopes + 63.253,
    _xlpm.mask,   (_xlpm.vals&gt;=0) * (_xlpm.ints&lt;=_xlpm.limit),
    _xlpm.validVals, _xlfn._xlws.FILTER(_xlpm.vals, _xlpm.mask),
    _xlpm.minVal, MIN(_xlpm.validVals),
    IFERROR( _xlfn.XMATCH(_xlpm.minVal, _xlpm.vals), "" )
)</f>
        <v>4</v>
      </c>
      <c r="AJ188" cm="1">
        <f t="array" ref="AJ188">_xlfn.LET(
    _xlpm.vals, CHOOSE({1,2,3,4,5,6}, S188, V188, Y188, AB188, AE188, AH188),
    _xlpm.slopes, CHOOSE({1,2,3,4,5,6}, Q188, T188, W188, Z188, AC188, AF188),
    _xlpm.ints, CHOOSE({1,2,3,4,5,6}, R188, U188, X188, AA188, AD188, AG188),
    _xlpm.limit, -0.00001*_xlpm.slopes + 0.1086*_xlpm.slopes + 63.253,
    _xlpm.valid, (_xlpm.vals &gt;= 0) * (_xlpm.ints &lt;= _xlpm.limit),
    _xlpm.target, MIN(_xlfn._xlws.FILTER(_xlpm.vals, _xlpm.valid)),
    IFERROR(
        _xlfn.XLOOKUP(_xlpm.target, _xlpm.vals, _xlpm.vals),
        CHOOSE({1,2,3,4,5,6}, S$1, V$1, Y$1, AB$1, AE$1, AH$1)
    )
)</f>
        <v>0.48718183358434008</v>
      </c>
    </row>
    <row r="189" spans="9:36" x14ac:dyDescent="0.45">
      <c r="I189">
        <v>187</v>
      </c>
      <c r="J189">
        <v>17.8</v>
      </c>
      <c r="K189">
        <f t="shared" si="47"/>
        <v>17.8</v>
      </c>
      <c r="L189">
        <f t="shared" si="46"/>
        <v>4.9444444444444449E-3</v>
      </c>
      <c r="M189">
        <v>7.93</v>
      </c>
      <c r="N189">
        <f t="shared" si="48"/>
        <v>7.93</v>
      </c>
      <c r="O189">
        <f t="shared" si="49"/>
        <v>231.31425361177276</v>
      </c>
      <c r="P189">
        <f t="shared" si="50"/>
        <v>740.20561155767291</v>
      </c>
      <c r="Q189">
        <f t="shared" si="51"/>
        <v>3390.1417009341421</v>
      </c>
      <c r="R189">
        <f t="shared" si="52"/>
        <v>22.337096382212515</v>
      </c>
      <c r="S189">
        <f t="shared" si="53"/>
        <v>1.6536902936269737</v>
      </c>
      <c r="T189">
        <f t="shared" si="54"/>
        <v>2191.0086102107116</v>
      </c>
      <c r="U189">
        <f t="shared" si="55"/>
        <v>34.562128861666665</v>
      </c>
      <c r="V189">
        <f t="shared" si="56"/>
        <v>1.0870141873222912</v>
      </c>
      <c r="W189">
        <f t="shared" si="57"/>
        <v>1413.7927180751551</v>
      </c>
      <c r="X189">
        <f t="shared" si="58"/>
        <v>53.562252057870857</v>
      </c>
      <c r="Y189">
        <f t="shared" si="59"/>
        <v>0.99555574257793433</v>
      </c>
      <c r="Z189">
        <f t="shared" si="60"/>
        <v>1065.8960806430489</v>
      </c>
      <c r="AA189">
        <f t="shared" si="61"/>
        <v>71.04437599342593</v>
      </c>
      <c r="AB189">
        <f t="shared" si="62"/>
        <v>0.98046683433792203</v>
      </c>
      <c r="AC189">
        <f t="shared" si="63"/>
        <v>6000</v>
      </c>
      <c r="AD189">
        <f t="shared" si="64"/>
        <v>12.620986987187301</v>
      </c>
      <c r="AE189">
        <f t="shared" si="65"/>
        <v>6.8015780467685465</v>
      </c>
      <c r="AF189">
        <f t="shared" si="66"/>
        <v>6000</v>
      </c>
      <c r="AG189">
        <f t="shared" si="67"/>
        <v>12.620986987187301</v>
      </c>
      <c r="AH189">
        <f t="shared" si="68"/>
        <v>6.8015780467685465</v>
      </c>
      <c r="AI189" cm="1">
        <f t="array" ref="AI189">_xlfn.LET(
    _xlpm.vals,   _xlfn.HSTACK(S189,V189,Y189,AB189,AE189,AH189),
    _xlpm.ints,   _xlfn.HSTACK(R189,U189,X189,AA189,AD189,AG189),
    _xlpm.slopes, _xlfn.HSTACK(Q189,T189,W189,Z189,AC189,AF189),
    _xlpm.limit,  -0.00001*_xlpm.slopes + 0.1086*_xlpm.slopes + 63.253,
    _xlpm.mask,   (_xlpm.vals&gt;=0) * (_xlpm.ints&lt;=_xlpm.limit),
    _xlpm.validVals, _xlfn._xlws.FILTER(_xlpm.vals, _xlpm.mask),
    _xlpm.minVal, MIN(_xlpm.validVals),
    IFERROR( _xlfn.XMATCH(_xlpm.minVal, _xlpm.vals), "" )
)</f>
        <v>4</v>
      </c>
      <c r="AJ189" cm="1">
        <f t="array" ref="AJ189">_xlfn.LET(
    _xlpm.vals, CHOOSE({1,2,3,4,5,6}, S189, V189, Y189, AB189, AE189, AH189),
    _xlpm.slopes, CHOOSE({1,2,3,4,5,6}, Q189, T189, W189, Z189, AC189, AF189),
    _xlpm.ints, CHOOSE({1,2,3,4,5,6}, R189, U189, X189, AA189, AD189, AG189),
    _xlpm.limit, -0.00001*_xlpm.slopes + 0.1086*_xlpm.slopes + 63.253,
    _xlpm.valid, (_xlpm.vals &gt;= 0) * (_xlpm.ints &lt;= _xlpm.limit),
    _xlpm.target, MIN(_xlfn._xlws.FILTER(_xlpm.vals, _xlpm.valid)),
    IFERROR(
        _xlfn.XLOOKUP(_xlpm.target, _xlpm.vals, _xlpm.vals),
        CHOOSE({1,2,3,4,5,6}, S$1, V$1, Y$1, AB$1, AE$1, AH$1)
    )
)</f>
        <v>0.98046683433792203</v>
      </c>
    </row>
    <row r="190" spans="9:36" x14ac:dyDescent="0.45">
      <c r="I190">
        <v>188</v>
      </c>
      <c r="J190">
        <v>19.100000000000001</v>
      </c>
      <c r="K190">
        <f t="shared" si="47"/>
        <v>19.100000000000001</v>
      </c>
      <c r="L190">
        <f t="shared" si="46"/>
        <v>5.3055555555555555E-3</v>
      </c>
      <c r="M190">
        <v>15.6</v>
      </c>
      <c r="N190">
        <f t="shared" si="48"/>
        <v>15.6</v>
      </c>
      <c r="O190">
        <f t="shared" si="49"/>
        <v>248.20799123510452</v>
      </c>
      <c r="P190">
        <f t="shared" si="50"/>
        <v>794.26557195233454</v>
      </c>
      <c r="Q190">
        <f t="shared" si="51"/>
        <v>3637.7363195416924</v>
      </c>
      <c r="R190">
        <f t="shared" si="52"/>
        <v>40.951023836928954</v>
      </c>
      <c r="S190">
        <f t="shared" si="53"/>
        <v>2.2863513183767417</v>
      </c>
      <c r="T190">
        <f t="shared" si="54"/>
        <v>2351.0260929789101</v>
      </c>
      <c r="U190">
        <f t="shared" si="55"/>
        <v>63.363408504437373</v>
      </c>
      <c r="V190">
        <f t="shared" si="56"/>
        <v>1.7134189632259405</v>
      </c>
      <c r="W190">
        <f t="shared" si="57"/>
        <v>1517.047242428959</v>
      </c>
      <c r="X190">
        <f t="shared" si="58"/>
        <v>98.19669590216472</v>
      </c>
      <c r="Y190">
        <f t="shared" si="59"/>
        <v>1.6872031749120024</v>
      </c>
      <c r="Z190">
        <f t="shared" si="60"/>
        <v>1143.7424236113618</v>
      </c>
      <c r="AA190">
        <f t="shared" si="61"/>
        <v>130.24700637023236</v>
      </c>
      <c r="AB190">
        <f t="shared" si="62"/>
        <v>1.6052836189007649</v>
      </c>
      <c r="AC190">
        <f t="shared" si="63"/>
        <v>6000</v>
      </c>
      <c r="AD190">
        <f t="shared" si="64"/>
        <v>24.828171122335675</v>
      </c>
      <c r="AE190">
        <f t="shared" si="65"/>
        <v>6.946551865377419</v>
      </c>
      <c r="AF190">
        <f t="shared" si="66"/>
        <v>6000</v>
      </c>
      <c r="AG190">
        <f t="shared" si="67"/>
        <v>24.828171122335675</v>
      </c>
      <c r="AH190">
        <f t="shared" si="68"/>
        <v>6.946551865377419</v>
      </c>
      <c r="AI190" cm="1">
        <f t="array" ref="AI190">_xlfn.LET(
    _xlpm.vals,   _xlfn.HSTACK(S190,V190,Y190,AB190,AE190,AH190),
    _xlpm.ints,   _xlfn.HSTACK(R190,U190,X190,AA190,AD190,AG190),
    _xlpm.slopes, _xlfn.HSTACK(Q190,T190,W190,Z190,AC190,AF190),
    _xlpm.limit,  -0.00001*_xlpm.slopes + 0.1086*_xlpm.slopes + 63.253,
    _xlpm.mask,   (_xlpm.vals&gt;=0) * (_xlpm.ints&lt;=_xlpm.limit),
    _xlpm.validVals, _xlfn._xlws.FILTER(_xlpm.vals, _xlpm.mask),
    _xlpm.minVal, MIN(_xlpm.validVals),
    IFERROR( _xlfn.XMATCH(_xlpm.minVal, _xlpm.vals), "" )
)</f>
        <v>4</v>
      </c>
      <c r="AJ190" cm="1">
        <f t="array" ref="AJ190">_xlfn.LET(
    _xlpm.vals, CHOOSE({1,2,3,4,5,6}, S190, V190, Y190, AB190, AE190, AH190),
    _xlpm.slopes, CHOOSE({1,2,3,4,5,6}, Q190, T190, W190, Z190, AC190, AF190),
    _xlpm.ints, CHOOSE({1,2,3,4,5,6}, R190, U190, X190, AA190, AD190, AG190),
    _xlpm.limit, -0.00001*_xlpm.slopes + 0.1086*_xlpm.slopes + 63.253,
    _xlpm.valid, (_xlpm.vals &gt;= 0) * (_xlpm.ints &lt;= _xlpm.limit),
    _xlpm.target, MIN(_xlfn._xlws.FILTER(_xlpm.vals, _xlpm.valid)),
    IFERROR(
        _xlfn.XLOOKUP(_xlpm.target, _xlpm.vals, _xlpm.vals),
        CHOOSE({1,2,3,4,5,6}, S$1, V$1, Y$1, AB$1, AE$1, AH$1)
    )
)</f>
        <v>1.6052836189007649</v>
      </c>
    </row>
    <row r="191" spans="9:36" x14ac:dyDescent="0.45">
      <c r="I191">
        <v>189</v>
      </c>
      <c r="J191">
        <v>20.5</v>
      </c>
      <c r="K191">
        <f t="shared" si="47"/>
        <v>20.5</v>
      </c>
      <c r="L191">
        <f t="shared" si="46"/>
        <v>5.6944444444444447E-3</v>
      </c>
      <c r="M191">
        <v>13.48</v>
      </c>
      <c r="N191">
        <f t="shared" si="48"/>
        <v>13.48</v>
      </c>
      <c r="O191">
        <f t="shared" si="49"/>
        <v>266.40124713715403</v>
      </c>
      <c r="P191">
        <f t="shared" si="50"/>
        <v>852.48399083889296</v>
      </c>
      <c r="Q191">
        <f t="shared" si="51"/>
        <v>3904.3766780421297</v>
      </c>
      <c r="R191">
        <f t="shared" si="52"/>
        <v>32.969287696205207</v>
      </c>
      <c r="S191">
        <f t="shared" si="53"/>
        <v>2.4257524112828861</v>
      </c>
      <c r="T191">
        <f t="shared" si="54"/>
        <v>2523.3526128831231</v>
      </c>
      <c r="U191">
        <f t="shared" si="55"/>
        <v>51.013289746155358</v>
      </c>
      <c r="V191">
        <f t="shared" si="56"/>
        <v>1.5772464833941786</v>
      </c>
      <c r="W191">
        <f t="shared" si="57"/>
        <v>1628.2444225022855</v>
      </c>
      <c r="X191">
        <f t="shared" si="58"/>
        <v>79.057244842209343</v>
      </c>
      <c r="Y191">
        <f t="shared" si="59"/>
        <v>1.4995790440846748</v>
      </c>
      <c r="Z191">
        <f t="shared" si="60"/>
        <v>1227.5769468080059</v>
      </c>
      <c r="AA191">
        <f t="shared" si="61"/>
        <v>104.86065114487489</v>
      </c>
      <c r="AB191">
        <f t="shared" si="62"/>
        <v>1.4835161072606522</v>
      </c>
      <c r="AC191">
        <f t="shared" si="63"/>
        <v>6000</v>
      </c>
      <c r="AD191">
        <f t="shared" si="64"/>
        <v>21.454086328787493</v>
      </c>
      <c r="AE191">
        <f t="shared" si="65"/>
        <v>6.9021045395504048</v>
      </c>
      <c r="AF191">
        <f t="shared" si="66"/>
        <v>6000</v>
      </c>
      <c r="AG191">
        <f t="shared" si="67"/>
        <v>21.454086328787493</v>
      </c>
      <c r="AH191">
        <f t="shared" si="68"/>
        <v>6.9021045395504048</v>
      </c>
      <c r="AI191" cm="1">
        <f t="array" ref="AI191">_xlfn.LET(
    _xlpm.vals,   _xlfn.HSTACK(S191,V191,Y191,AB191,AE191,AH191),
    _xlpm.ints,   _xlfn.HSTACK(R191,U191,X191,AA191,AD191,AG191),
    _xlpm.slopes, _xlfn.HSTACK(Q191,T191,W191,Z191,AC191,AF191),
    _xlpm.limit,  -0.00001*_xlpm.slopes + 0.1086*_xlpm.slopes + 63.253,
    _xlpm.mask,   (_xlpm.vals&gt;=0) * (_xlpm.ints&lt;=_xlpm.limit),
    _xlpm.validVals, _xlfn._xlws.FILTER(_xlpm.vals, _xlpm.mask),
    _xlpm.minVal, MIN(_xlpm.validVals),
    IFERROR( _xlfn.XMATCH(_xlpm.minVal, _xlpm.vals), "" )
)</f>
        <v>4</v>
      </c>
      <c r="AJ191" cm="1">
        <f t="array" ref="AJ191">_xlfn.LET(
    _xlpm.vals, CHOOSE({1,2,3,4,5,6}, S191, V191, Y191, AB191, AE191, AH191),
    _xlpm.slopes, CHOOSE({1,2,3,4,5,6}, Q191, T191, W191, Z191, AC191, AF191),
    _xlpm.ints, CHOOSE({1,2,3,4,5,6}, R191, U191, X191, AA191, AD191, AG191),
    _xlpm.limit, -0.00001*_xlpm.slopes + 0.1086*_xlpm.slopes + 63.253,
    _xlpm.valid, (_xlpm.vals &gt;= 0) * (_xlpm.ints &lt;= _xlpm.limit),
    _xlpm.target, MIN(_xlfn._xlws.FILTER(_xlpm.vals, _xlpm.valid)),
    IFERROR(
        _xlfn.XLOOKUP(_xlpm.target, _xlpm.vals, _xlpm.vals),
        CHOOSE({1,2,3,4,5,6}, S$1, V$1, Y$1, AB$1, AE$1, AH$1)
    )
)</f>
        <v>1.4835161072606522</v>
      </c>
    </row>
    <row r="192" spans="9:36" x14ac:dyDescent="0.45">
      <c r="I192">
        <v>190</v>
      </c>
      <c r="J192">
        <v>22.6</v>
      </c>
      <c r="K192">
        <f t="shared" si="47"/>
        <v>22.6</v>
      </c>
      <c r="L192">
        <f t="shared" si="46"/>
        <v>6.277777777777778E-3</v>
      </c>
      <c r="M192">
        <v>21.94</v>
      </c>
      <c r="N192">
        <f t="shared" si="48"/>
        <v>21.94</v>
      </c>
      <c r="O192">
        <f t="shared" si="49"/>
        <v>293.69113099022837</v>
      </c>
      <c r="P192">
        <f t="shared" si="50"/>
        <v>939.81161916873089</v>
      </c>
      <c r="Q192">
        <f t="shared" si="51"/>
        <v>4304.3372157927879</v>
      </c>
      <c r="R192">
        <f t="shared" si="52"/>
        <v>48.674524458135991</v>
      </c>
      <c r="S192">
        <f t="shared" si="53"/>
        <v>3.3441523742638832</v>
      </c>
      <c r="T192">
        <f t="shared" si="54"/>
        <v>2781.8423927394433</v>
      </c>
      <c r="U192">
        <f t="shared" si="55"/>
        <v>75.313960141305031</v>
      </c>
      <c r="V192">
        <f t="shared" si="56"/>
        <v>2.2915766408702223</v>
      </c>
      <c r="W192">
        <f t="shared" si="57"/>
        <v>1795.0401926122759</v>
      </c>
      <c r="X192">
        <f t="shared" si="58"/>
        <v>116.71692252265071</v>
      </c>
      <c r="Y192">
        <f t="shared" si="59"/>
        <v>2.2306881911253278</v>
      </c>
      <c r="Z192">
        <f t="shared" si="60"/>
        <v>1353.3287316029723</v>
      </c>
      <c r="AA192">
        <f t="shared" si="61"/>
        <v>154.81202917934922</v>
      </c>
      <c r="AB192">
        <f t="shared" si="62"/>
        <v>2.0655246371419933</v>
      </c>
      <c r="AC192">
        <f t="shared" si="63"/>
        <v>6000</v>
      </c>
      <c r="AD192">
        <f t="shared" si="64"/>
        <v>34.918594514361835</v>
      </c>
      <c r="AE192">
        <f t="shared" si="65"/>
        <v>7.0983708906601732</v>
      </c>
      <c r="AF192">
        <f t="shared" si="66"/>
        <v>6000</v>
      </c>
      <c r="AG192">
        <f t="shared" si="67"/>
        <v>34.918594514361835</v>
      </c>
      <c r="AH192">
        <f t="shared" si="68"/>
        <v>7.0983708906601732</v>
      </c>
      <c r="AI192" cm="1">
        <f t="array" ref="AI192">_xlfn.LET(
    _xlpm.vals,   _xlfn.HSTACK(S192,V192,Y192,AB192,AE192,AH192),
    _xlpm.ints,   _xlfn.HSTACK(R192,U192,X192,AA192,AD192,AG192),
    _xlpm.slopes, _xlfn.HSTACK(Q192,T192,W192,Z192,AC192,AF192),
    _xlpm.limit,  -0.00001*_xlpm.slopes + 0.1086*_xlpm.slopes + 63.253,
    _xlpm.mask,   (_xlpm.vals&gt;=0) * (_xlpm.ints&lt;=_xlpm.limit),
    _xlpm.validVals, _xlfn._xlws.FILTER(_xlpm.vals, _xlpm.mask),
    _xlpm.minVal, MIN(_xlpm.validVals),
    IFERROR( _xlfn.XMATCH(_xlpm.minVal, _xlpm.vals), "" )
)</f>
        <v>4</v>
      </c>
      <c r="AJ192" cm="1">
        <f t="array" ref="AJ192">_xlfn.LET(
    _xlpm.vals, CHOOSE({1,2,3,4,5,6}, S192, V192, Y192, AB192, AE192, AH192),
    _xlpm.slopes, CHOOSE({1,2,3,4,5,6}, Q192, T192, W192, Z192, AC192, AF192),
    _xlpm.ints, CHOOSE({1,2,3,4,5,6}, R192, U192, X192, AA192, AD192, AG192),
    _xlpm.limit, -0.00001*_xlpm.slopes + 0.1086*_xlpm.slopes + 63.253,
    _xlpm.valid, (_xlpm.vals &gt;= 0) * (_xlpm.ints &lt;= _xlpm.limit),
    _xlpm.target, MIN(_xlfn._xlws.FILTER(_xlpm.vals, _xlpm.valid)),
    IFERROR(
        _xlfn.XLOOKUP(_xlpm.target, _xlpm.vals, _xlpm.vals),
        CHOOSE({1,2,3,4,5,6}, S$1, V$1, Y$1, AB$1, AE$1, AH$1)
    )
)</f>
        <v>2.0655246371419933</v>
      </c>
    </row>
    <row r="193" spans="9:36" x14ac:dyDescent="0.45">
      <c r="I193">
        <v>191</v>
      </c>
      <c r="J193">
        <v>24.8</v>
      </c>
      <c r="K193">
        <f t="shared" si="47"/>
        <v>24.8</v>
      </c>
      <c r="L193">
        <f t="shared" si="46"/>
        <v>6.8888888888888888E-3</v>
      </c>
      <c r="M193">
        <v>23.75</v>
      </c>
      <c r="N193">
        <f t="shared" si="48"/>
        <v>23.75</v>
      </c>
      <c r="O193">
        <f t="shared" si="49"/>
        <v>322.28053312202047</v>
      </c>
      <c r="P193">
        <f t="shared" si="50"/>
        <v>1031.2977059904656</v>
      </c>
      <c r="Q193">
        <f t="shared" si="51"/>
        <v>4723.3434934363322</v>
      </c>
      <c r="R193">
        <f t="shared" si="52"/>
        <v>48.015943414048031</v>
      </c>
      <c r="S193">
        <f t="shared" si="53"/>
        <v>4.0547150540163672</v>
      </c>
      <c r="T193">
        <f t="shared" si="54"/>
        <v>3052.641209731778</v>
      </c>
      <c r="U193">
        <f t="shared" si="55"/>
        <v>74.294939471736484</v>
      </c>
      <c r="V193">
        <f t="shared" si="56"/>
        <v>2.501782202396222</v>
      </c>
      <c r="W193">
        <f t="shared" si="57"/>
        <v>1969.7786184417891</v>
      </c>
      <c r="X193">
        <f t="shared" si="58"/>
        <v>115.13770724415706</v>
      </c>
      <c r="Y193">
        <f t="shared" si="59"/>
        <v>2.3872161205502396</v>
      </c>
      <c r="Z193">
        <f t="shared" si="60"/>
        <v>1485.0686966262704</v>
      </c>
      <c r="AA193">
        <f t="shared" si="61"/>
        <v>152.71737558079164</v>
      </c>
      <c r="AB193">
        <f t="shared" si="62"/>
        <v>2.254905187601973</v>
      </c>
      <c r="AC193">
        <f t="shared" si="63"/>
        <v>6000</v>
      </c>
      <c r="AD193">
        <f t="shared" si="64"/>
        <v>37.799298984325141</v>
      </c>
      <c r="AE193">
        <f t="shared" si="65"/>
        <v>7.1466981623117283</v>
      </c>
      <c r="AF193">
        <f t="shared" si="66"/>
        <v>6000</v>
      </c>
      <c r="AG193">
        <f t="shared" si="67"/>
        <v>37.799298984325141</v>
      </c>
      <c r="AH193">
        <f t="shared" si="68"/>
        <v>7.1466981623117283</v>
      </c>
      <c r="AI193" cm="1">
        <f t="array" ref="AI193">_xlfn.LET(
    _xlpm.vals,   _xlfn.HSTACK(S193,V193,Y193,AB193,AE193,AH193),
    _xlpm.ints,   _xlfn.HSTACK(R193,U193,X193,AA193,AD193,AG193),
    _xlpm.slopes, _xlfn.HSTACK(Q193,T193,W193,Z193,AC193,AF193),
    _xlpm.limit,  -0.00001*_xlpm.slopes + 0.1086*_xlpm.slopes + 63.253,
    _xlpm.mask,   (_xlpm.vals&gt;=0) * (_xlpm.ints&lt;=_xlpm.limit),
    _xlpm.validVals, _xlfn._xlws.FILTER(_xlpm.vals, _xlpm.mask),
    _xlpm.minVal, MIN(_xlpm.validVals),
    IFERROR( _xlfn.XMATCH(_xlpm.minVal, _xlpm.vals), "" )
)</f>
        <v>4</v>
      </c>
      <c r="AJ193" cm="1">
        <f t="array" ref="AJ193">_xlfn.LET(
    _xlpm.vals, CHOOSE({1,2,3,4,5,6}, S193, V193, Y193, AB193, AE193, AH193),
    _xlpm.slopes, CHOOSE({1,2,3,4,5,6}, Q193, T193, W193, Z193, AC193, AF193),
    _xlpm.ints, CHOOSE({1,2,3,4,5,6}, R193, U193, X193, AA193, AD193, AG193),
    _xlpm.limit, -0.00001*_xlpm.slopes + 0.1086*_xlpm.slopes + 63.253,
    _xlpm.valid, (_xlpm.vals &gt;= 0) * (_xlpm.ints &lt;= _xlpm.limit),
    _xlpm.target, MIN(_xlfn._xlws.FILTER(_xlpm.vals, _xlpm.valid)),
    IFERROR(
        _xlfn.XLOOKUP(_xlpm.target, _xlpm.vals, _xlpm.vals),
        CHOOSE({1,2,3,4,5,6}, S$1, V$1, Y$1, AB$1, AE$1, AH$1)
    )
)</f>
        <v>2.254905187601973</v>
      </c>
    </row>
    <row r="194" spans="9:36" x14ac:dyDescent="0.45">
      <c r="I194">
        <v>192</v>
      </c>
      <c r="J194">
        <v>27.4</v>
      </c>
      <c r="K194">
        <f t="shared" si="47"/>
        <v>27.4</v>
      </c>
      <c r="L194">
        <f t="shared" ref="L194:L257" si="69">K194*(1/3600)</f>
        <v>7.611111111111111E-3</v>
      </c>
      <c r="M194">
        <v>32.07</v>
      </c>
      <c r="N194">
        <f t="shared" si="48"/>
        <v>32.07</v>
      </c>
      <c r="O194">
        <f t="shared" si="49"/>
        <v>356.06800836868388</v>
      </c>
      <c r="P194">
        <f t="shared" si="50"/>
        <v>1139.4176267797884</v>
      </c>
      <c r="Q194">
        <f t="shared" si="51"/>
        <v>5218.5327306514309</v>
      </c>
      <c r="R194">
        <f t="shared" si="52"/>
        <v>58.684300224595177</v>
      </c>
      <c r="S194">
        <f t="shared" si="53"/>
        <v>5.37070582881136</v>
      </c>
      <c r="T194">
        <f t="shared" si="54"/>
        <v>3372.6761752681737</v>
      </c>
      <c r="U194">
        <f t="shared" si="55"/>
        <v>90.802059131299288</v>
      </c>
      <c r="V194">
        <f t="shared" si="56"/>
        <v>3.2393640732482334</v>
      </c>
      <c r="W194">
        <f t="shared" si="57"/>
        <v>2176.2876671493959</v>
      </c>
      <c r="X194">
        <f t="shared" si="58"/>
        <v>140.71942148096645</v>
      </c>
      <c r="Y194">
        <f t="shared" si="59"/>
        <v>3.0488664285648088</v>
      </c>
      <c r="Z194">
        <f t="shared" si="60"/>
        <v>1640.7613825628953</v>
      </c>
      <c r="AA194">
        <f t="shared" si="61"/>
        <v>186.64867710322633</v>
      </c>
      <c r="AB194">
        <f t="shared" si="62"/>
        <v>2.6920510764556482</v>
      </c>
      <c r="AC194">
        <f t="shared" si="63"/>
        <v>6000</v>
      </c>
      <c r="AD194">
        <f t="shared" si="64"/>
        <v>51.040990249570839</v>
      </c>
      <c r="AE194">
        <f t="shared" si="65"/>
        <v>7.3953764279164877</v>
      </c>
      <c r="AF194">
        <f t="shared" si="66"/>
        <v>6000</v>
      </c>
      <c r="AG194">
        <f t="shared" si="67"/>
        <v>51.040990249570839</v>
      </c>
      <c r="AH194">
        <f t="shared" si="68"/>
        <v>7.3953764279164877</v>
      </c>
      <c r="AI194" cm="1">
        <f t="array" ref="AI194">_xlfn.LET(
    _xlpm.vals,   _xlfn.HSTACK(S194,V194,Y194,AB194,AE194,AH194),
    _xlpm.ints,   _xlfn.HSTACK(R194,U194,X194,AA194,AD194,AG194),
    _xlpm.slopes, _xlfn.HSTACK(Q194,T194,W194,Z194,AC194,AF194),
    _xlpm.limit,  -0.00001*_xlpm.slopes + 0.1086*_xlpm.slopes + 63.253,
    _xlpm.mask,   (_xlpm.vals&gt;=0) * (_xlpm.ints&lt;=_xlpm.limit),
    _xlpm.validVals, _xlfn._xlws.FILTER(_xlpm.vals, _xlpm.mask),
    _xlpm.minVal, MIN(_xlpm.validVals),
    IFERROR( _xlfn.XMATCH(_xlpm.minVal, _xlpm.vals), "" )
)</f>
        <v>4</v>
      </c>
      <c r="AJ194" cm="1">
        <f t="array" ref="AJ194">_xlfn.LET(
    _xlpm.vals, CHOOSE({1,2,3,4,5,6}, S194, V194, Y194, AB194, AE194, AH194),
    _xlpm.slopes, CHOOSE({1,2,3,4,5,6}, Q194, T194, W194, Z194, AC194, AF194),
    _xlpm.ints, CHOOSE({1,2,3,4,5,6}, R194, U194, X194, AA194, AD194, AG194),
    _xlpm.limit, -0.00001*_xlpm.slopes + 0.1086*_xlpm.slopes + 63.253,
    _xlpm.valid, (_xlpm.vals &gt;= 0) * (_xlpm.ints &lt;= _xlpm.limit),
    _xlpm.target, MIN(_xlfn._xlws.FILTER(_xlpm.vals, _xlpm.valid)),
    IFERROR(
        _xlfn.XLOOKUP(_xlpm.target, _xlpm.vals, _xlpm.vals),
        CHOOSE({1,2,3,4,5,6}, S$1, V$1, Y$1, AB$1, AE$1, AH$1)
    )
)</f>
        <v>2.6920510764556482</v>
      </c>
    </row>
    <row r="195" spans="9:36" x14ac:dyDescent="0.45">
      <c r="I195">
        <v>193</v>
      </c>
      <c r="J195">
        <v>30.4</v>
      </c>
      <c r="K195">
        <f t="shared" ref="K195:K258" si="70">IF(J195&lt;0,0,J195)</f>
        <v>30.4</v>
      </c>
      <c r="L195">
        <f t="shared" si="69"/>
        <v>8.4444444444444437E-3</v>
      </c>
      <c r="M195">
        <v>42.37</v>
      </c>
      <c r="N195">
        <f t="shared" ref="N195:N258" si="71">IF(M195&lt;0,0,M195)</f>
        <v>42.37</v>
      </c>
      <c r="O195">
        <f t="shared" ref="O195:O258" si="72">(K195*0.44704*60)/(PI()*$B$2)</f>
        <v>395.05355673021865</v>
      </c>
      <c r="P195">
        <f t="shared" ref="P195:P258" si="73">O195*3.2</f>
        <v>1264.1713815366998</v>
      </c>
      <c r="Q195">
        <f t="shared" ref="Q195:Q258" si="74">IF(4.58*P195&lt;1000,1000,4.58*P195)</f>
        <v>5789.904927438085</v>
      </c>
      <c r="R195">
        <f t="shared" ref="R195:R258" si="75">(1000*N195*60)/(Q195*2*PI())</f>
        <v>69.880887751855582</v>
      </c>
      <c r="S195">
        <f t="shared" ref="S195:S258" si="76">(0.072946 + (0.000364279 * Q195) + (-0.00248749 * R195) + (0.00000951906 * Q195 * R195) + (-0.000000165418 * Q195^2) + (0.000045414 * R195^2) + (-0.00000000135106 * Q195^2 * R195) + (0.0000000203184 * Q195 * R195^2) + (0.0000000000481318 * Q195^3) + (-0.00000034778 * R195^3))</f>
        <v>7.1690978459660437</v>
      </c>
      <c r="T195">
        <f t="shared" ref="T195:T258" si="77">IF(2.96*P195&lt;1000,6000,2.96*P195)</f>
        <v>3741.9472893486313</v>
      </c>
      <c r="U195">
        <f t="shared" ref="U195:U258" si="78">(1000*N195*60)/(T195*2*PI())</f>
        <v>108.12650875118194</v>
      </c>
      <c r="V195">
        <f t="shared" ref="V195:V258" si="79">(0.072946 + (0.000364279 * T195) + (-0.00248749 * U195) + (0.00000951906 * T195 * U195) + (-0.000000165418 * T195^2) + (0.000045414 * U195^2) + (-0.00000000135106 * T195^2 * U195) + (0.0000000203184 * T195 * U195^2) + (0.0000000000481318 * T195^3) + (-0.00000034778 * U195^3))</f>
        <v>4.158906403266303</v>
      </c>
      <c r="W195">
        <f t="shared" ref="W195:W258" si="80">IF(1.91*P195&lt;1000,6000,1.91*P195)</f>
        <v>2414.5673387350967</v>
      </c>
      <c r="X195">
        <f t="shared" ref="X195:X258" si="81">(1000*N195*60)/(W195*2*PI())</f>
        <v>167.56778319554897</v>
      </c>
      <c r="Y195">
        <f t="shared" ref="Y195:Y258" si="82">(0.072946 + (0.000364279 * W195) + (-0.00248749 * X195) + (0.00000951906 * W195 * X195) + (-0.000000165418 * W195^2) + (0.000045414 * X195^2) + (-0.00000000135106 * W195^2 * X195) + (0.0000000203184 * W195 * X195^2) + (0.0000000000481318 * W195^3) + (-0.00000034778 * X195^3))</f>
        <v>3.7967776955854387</v>
      </c>
      <c r="Z195">
        <f t="shared" ref="Z195:Z258" si="83">IF(1.44*P195&lt;1000,6000,1.44*P195)</f>
        <v>1820.4067894128475</v>
      </c>
      <c r="AA195">
        <f t="shared" ref="AA195:AA258" si="84">(1000*N195*60)/(Z195*2*PI())</f>
        <v>222.26004576631846</v>
      </c>
      <c r="AB195">
        <f t="shared" ref="AB195:AB258" si="85">(0.072946 + (0.000364279 * Z195) + (-0.00248749 * AA195) + (0.00000951906 * Z195 * AA195) + (-0.000000165418 * Z195^2) + (0.000045414 * AA195^2) + (-0.00000000135106 * Z195^2 * AA195) + (0.0000000203184 * Z195 * AA195^2) + (0.0000000000481318 * Z195^3) + (-0.00000034778 * AA195^3))</f>
        <v>3.0338726913603691</v>
      </c>
      <c r="AC195">
        <f t="shared" ref="AC195:AC258" si="86">IF(0.74*P195&lt;1000,6000,0.74*P195)</f>
        <v>6000</v>
      </c>
      <c r="AD195">
        <f t="shared" ref="AD195:AD258" si="87">(1000*N195*60)/(AC195*2*PI())</f>
        <v>67.433949388036055</v>
      </c>
      <c r="AE195">
        <f t="shared" ref="AE195:AE258" si="88">(0.072946 + (0.000364279 * AC195) + (-0.00248749 * AD195) + (0.00000951906 * AC195 * AD195) + (-0.000000165418 * AC195^2) + (0.000045414 * AD195^2) + (-0.00000000135106 * AC195^2 * AD195) + (0.0000000203184 * AC195 * AD195^2) + (0.0000000000481318 * AC195^3) + (-0.00000034778 * AD195^3))</f>
        <v>7.7581187174992952</v>
      </c>
      <c r="AF195">
        <f t="shared" ref="AF195:AF258" si="89">IF(0.68*P195&lt;1000,6000,0.68*P195)</f>
        <v>6000</v>
      </c>
      <c r="AG195">
        <f t="shared" ref="AG195:AG258" si="90">(1000*N195*60)/(AF195*2*PI())</f>
        <v>67.433949388036055</v>
      </c>
      <c r="AH195">
        <f t="shared" ref="AH195:AH258" si="91">(0.072946 + (0.000364279 * AF195) + (-0.00248749 * AG195) + (0.00000951906 * AF195 * AG195) + (-0.000000165418 * AF195^2) + (0.000045414 * AG195^2) + (-0.00000000135106 * AF195^2 * AG195) + (0.0000000203184 * AF195 * AG195^2) + (0.0000000000481318 * AF195^3) + (-0.00000034778 * AG195^3))</f>
        <v>7.7581187174992952</v>
      </c>
      <c r="AI195" cm="1">
        <f t="array" ref="AI195">_xlfn.LET(
    _xlpm.vals,   _xlfn.HSTACK(S195,V195,Y195,AB195,AE195,AH195),
    _xlpm.ints,   _xlfn.HSTACK(R195,U195,X195,AA195,AD195,AG195),
    _xlpm.slopes, _xlfn.HSTACK(Q195,T195,W195,Z195,AC195,AF195),
    _xlpm.limit,  -0.00001*_xlpm.slopes + 0.1086*_xlpm.slopes + 63.253,
    _xlpm.mask,   (_xlpm.vals&gt;=0) * (_xlpm.ints&lt;=_xlpm.limit),
    _xlpm.validVals, _xlfn._xlws.FILTER(_xlpm.vals, _xlpm.mask),
    _xlpm.minVal, MIN(_xlpm.validVals),
    IFERROR( _xlfn.XMATCH(_xlpm.minVal, _xlpm.vals), "" )
)</f>
        <v>4</v>
      </c>
      <c r="AJ195" cm="1">
        <f t="array" ref="AJ195">_xlfn.LET(
    _xlpm.vals, CHOOSE({1,2,3,4,5,6}, S195, V195, Y195, AB195, AE195, AH195),
    _xlpm.slopes, CHOOSE({1,2,3,4,5,6}, Q195, T195, W195, Z195, AC195, AF195),
    _xlpm.ints, CHOOSE({1,2,3,4,5,6}, R195, U195, X195, AA195, AD195, AG195),
    _xlpm.limit, -0.00001*_xlpm.slopes + 0.1086*_xlpm.slopes + 63.253,
    _xlpm.valid, (_xlpm.vals &gt;= 0) * (_xlpm.ints &lt;= _xlpm.limit),
    _xlpm.target, MIN(_xlfn._xlws.FILTER(_xlpm.vals, _xlpm.valid)),
    IFERROR(
        _xlfn.XLOOKUP(_xlpm.target, _xlpm.vals, _xlpm.vals),
        CHOOSE({1,2,3,4,5,6}, S$1, V$1, Y$1, AB$1, AE$1, AH$1)
    )
)</f>
        <v>3.0338726913603691</v>
      </c>
    </row>
    <row r="196" spans="9:36" x14ac:dyDescent="0.45">
      <c r="I196">
        <v>194</v>
      </c>
      <c r="J196">
        <v>33.5</v>
      </c>
      <c r="K196">
        <f t="shared" si="70"/>
        <v>33.5</v>
      </c>
      <c r="L196">
        <f t="shared" si="69"/>
        <v>9.3055555555555548E-3</v>
      </c>
      <c r="M196">
        <v>44.94</v>
      </c>
      <c r="N196">
        <f t="shared" si="71"/>
        <v>44.94</v>
      </c>
      <c r="O196">
        <f t="shared" si="72"/>
        <v>435.33862337047123</v>
      </c>
      <c r="P196">
        <f t="shared" si="73"/>
        <v>1393.083594785508</v>
      </c>
      <c r="Q196">
        <f t="shared" si="74"/>
        <v>6380.3228641176265</v>
      </c>
      <c r="R196">
        <f t="shared" si="75"/>
        <v>67.260763709382559</v>
      </c>
      <c r="S196">
        <f t="shared" si="76"/>
        <v>9.0692255658836824</v>
      </c>
      <c r="T196">
        <f t="shared" si="77"/>
        <v>4123.5274405651035</v>
      </c>
      <c r="U196">
        <f t="shared" si="78"/>
        <v>104.07239790167976</v>
      </c>
      <c r="V196">
        <f t="shared" si="79"/>
        <v>4.5797860372232062</v>
      </c>
      <c r="W196">
        <f t="shared" si="80"/>
        <v>2660.7896660403203</v>
      </c>
      <c r="X196">
        <f t="shared" si="81"/>
        <v>161.28497266438328</v>
      </c>
      <c r="Y196">
        <f t="shared" si="82"/>
        <v>4.0475014115230152</v>
      </c>
      <c r="Z196">
        <f t="shared" si="83"/>
        <v>2006.0403764911314</v>
      </c>
      <c r="AA196">
        <f t="shared" si="84"/>
        <v>213.92659568678616</v>
      </c>
      <c r="AB196">
        <f t="shared" si="85"/>
        <v>3.4552378767022889</v>
      </c>
      <c r="AC196">
        <f t="shared" si="86"/>
        <v>1030.8818601412759</v>
      </c>
      <c r="AD196">
        <f t="shared" si="87"/>
        <v>416.28959160671906</v>
      </c>
      <c r="AE196">
        <f t="shared" si="88"/>
        <v>-10.812238769038974</v>
      </c>
      <c r="AF196">
        <f t="shared" si="89"/>
        <v>6000</v>
      </c>
      <c r="AG196">
        <f t="shared" si="90"/>
        <v>71.524231425497774</v>
      </c>
      <c r="AH196">
        <f t="shared" si="91"/>
        <v>7.8571108583227085</v>
      </c>
      <c r="AI196" cm="1">
        <f t="array" ref="AI196">_xlfn.LET(
    _xlpm.vals,   _xlfn.HSTACK(S196,V196,Y196,AB196,AE196,AH196),
    _xlpm.ints,   _xlfn.HSTACK(R196,U196,X196,AA196,AD196,AG196),
    _xlpm.slopes, _xlfn.HSTACK(Q196,T196,W196,Z196,AC196,AF196),
    _xlpm.limit,  -0.00001*_xlpm.slopes + 0.1086*_xlpm.slopes + 63.253,
    _xlpm.mask,   (_xlpm.vals&gt;=0) * (_xlpm.ints&lt;=_xlpm.limit),
    _xlpm.validVals, _xlfn._xlws.FILTER(_xlpm.vals, _xlpm.mask),
    _xlpm.minVal, MIN(_xlpm.validVals),
    IFERROR( _xlfn.XMATCH(_xlpm.minVal, _xlpm.vals), "" )
)</f>
        <v>4</v>
      </c>
      <c r="AJ196" cm="1">
        <f t="array" ref="AJ196">_xlfn.LET(
    _xlpm.vals, CHOOSE({1,2,3,4,5,6}, S196, V196, Y196, AB196, AE196, AH196),
    _xlpm.slopes, CHOOSE({1,2,3,4,5,6}, Q196, T196, W196, Z196, AC196, AF196),
    _xlpm.ints, CHOOSE({1,2,3,4,5,6}, R196, U196, X196, AA196, AD196, AG196),
    _xlpm.limit, -0.00001*_xlpm.slopes + 0.1086*_xlpm.slopes + 63.253,
    _xlpm.valid, (_xlpm.vals &gt;= 0) * (_xlpm.ints &lt;= _xlpm.limit),
    _xlpm.target, MIN(_xlfn._xlws.FILTER(_xlpm.vals, _xlpm.valid)),
    IFERROR(
        _xlfn.XLOOKUP(_xlpm.target, _xlpm.vals, _xlpm.vals),
        CHOOSE({1,2,3,4,5,6}, S$1, V$1, Y$1, AB$1, AE$1, AH$1)
    )
)</f>
        <v>3.4552378767022889</v>
      </c>
    </row>
    <row r="197" spans="9:36" x14ac:dyDescent="0.45">
      <c r="I197">
        <v>195</v>
      </c>
      <c r="J197">
        <v>36.4</v>
      </c>
      <c r="K197">
        <f t="shared" si="70"/>
        <v>36.4</v>
      </c>
      <c r="L197">
        <f t="shared" si="69"/>
        <v>1.0111111111111111E-2</v>
      </c>
      <c r="M197">
        <v>44.56</v>
      </c>
      <c r="N197">
        <f t="shared" si="71"/>
        <v>44.56</v>
      </c>
      <c r="O197">
        <f t="shared" si="72"/>
        <v>473.02465345328812</v>
      </c>
      <c r="P197">
        <f t="shared" si="73"/>
        <v>1513.678891050522</v>
      </c>
      <c r="Q197">
        <f t="shared" si="74"/>
        <v>6932.6493210113913</v>
      </c>
      <c r="R197">
        <f t="shared" si="75"/>
        <v>61.378649942791796</v>
      </c>
      <c r="S197">
        <f t="shared" si="76"/>
        <v>11.218962571619665</v>
      </c>
      <c r="T197">
        <f t="shared" si="77"/>
        <v>4480.4895175095453</v>
      </c>
      <c r="U197">
        <f t="shared" si="78"/>
        <v>94.971019168238655</v>
      </c>
      <c r="V197">
        <f t="shared" si="79"/>
        <v>4.884832342277889</v>
      </c>
      <c r="W197">
        <f t="shared" si="80"/>
        <v>2891.1266819064967</v>
      </c>
      <c r="X197">
        <f t="shared" si="81"/>
        <v>147.18021818742744</v>
      </c>
      <c r="Y197">
        <f t="shared" si="82"/>
        <v>4.0763592153974013</v>
      </c>
      <c r="Z197">
        <f t="shared" si="83"/>
        <v>2179.6976031127515</v>
      </c>
      <c r="AA197">
        <f t="shared" si="84"/>
        <v>195.21820606804616</v>
      </c>
      <c r="AB197">
        <f t="shared" si="85"/>
        <v>3.7224525173918908</v>
      </c>
      <c r="AC197">
        <f t="shared" si="86"/>
        <v>1120.1223793773863</v>
      </c>
      <c r="AD197">
        <f t="shared" si="87"/>
        <v>379.88407667295462</v>
      </c>
      <c r="AE197">
        <f t="shared" si="88"/>
        <v>-6.4250497958235737</v>
      </c>
      <c r="AF197">
        <f t="shared" si="89"/>
        <v>1029.301645914355</v>
      </c>
      <c r="AG197">
        <f t="shared" si="90"/>
        <v>413.40325990880353</v>
      </c>
      <c r="AH197">
        <f t="shared" si="91"/>
        <v>-10.48006064715009</v>
      </c>
      <c r="AI197" cm="1">
        <f t="array" ref="AI197">_xlfn.LET(
    _xlpm.vals,   _xlfn.HSTACK(S197,V197,Y197,AB197,AE197,AH197),
    _xlpm.ints,   _xlfn.HSTACK(R197,U197,X197,AA197,AD197,AG197),
    _xlpm.slopes, _xlfn.HSTACK(Q197,T197,W197,Z197,AC197,AF197),
    _xlpm.limit,  -0.00001*_xlpm.slopes + 0.1086*_xlpm.slopes + 63.253,
    _xlpm.mask,   (_xlpm.vals&gt;=0) * (_xlpm.ints&lt;=_xlpm.limit),
    _xlpm.validVals, _xlfn._xlws.FILTER(_xlpm.vals, _xlpm.mask),
    _xlpm.minVal, MIN(_xlpm.validVals),
    IFERROR( _xlfn.XMATCH(_xlpm.minVal, _xlpm.vals), "" )
)</f>
        <v>4</v>
      </c>
      <c r="AJ197" cm="1">
        <f t="array" ref="AJ197">_xlfn.LET(
    _xlpm.vals, CHOOSE({1,2,3,4,5,6}, S197, V197, Y197, AB197, AE197, AH197),
    _xlpm.slopes, CHOOSE({1,2,3,4,5,6}, Q197, T197, W197, Z197, AC197, AF197),
    _xlpm.ints, CHOOSE({1,2,3,4,5,6}, R197, U197, X197, AA197, AD197, AG197),
    _xlpm.limit, -0.00001*_xlpm.slopes + 0.1086*_xlpm.slopes + 63.253,
    _xlpm.valid, (_xlpm.vals &gt;= 0) * (_xlpm.ints &lt;= _xlpm.limit),
    _xlpm.target, MIN(_xlfn._xlws.FILTER(_xlpm.vals, _xlpm.valid)),
    IFERROR(
        _xlfn.XLOOKUP(_xlpm.target, _xlpm.vals, _xlpm.vals),
        CHOOSE({1,2,3,4,5,6}, S$1, V$1, Y$1, AB$1, AE$1, AH$1)
    )
)</f>
        <v>3.7224525173918908</v>
      </c>
    </row>
    <row r="198" spans="9:36" x14ac:dyDescent="0.45">
      <c r="I198">
        <v>196</v>
      </c>
      <c r="J198">
        <v>37.9</v>
      </c>
      <c r="K198">
        <f t="shared" si="70"/>
        <v>37.9</v>
      </c>
      <c r="L198">
        <f t="shared" si="69"/>
        <v>1.0527777777777777E-2</v>
      </c>
      <c r="M198">
        <v>32.78</v>
      </c>
      <c r="N198">
        <f t="shared" si="71"/>
        <v>32.78</v>
      </c>
      <c r="O198">
        <f t="shared" si="72"/>
        <v>492.51742763405554</v>
      </c>
      <c r="P198">
        <f t="shared" si="73"/>
        <v>1576.0557684289779</v>
      </c>
      <c r="Q198">
        <f t="shared" si="74"/>
        <v>7218.3354194047188</v>
      </c>
      <c r="R198">
        <f t="shared" si="75"/>
        <v>43.365391587601557</v>
      </c>
      <c r="S198">
        <f t="shared" si="76"/>
        <v>12.338070828889052</v>
      </c>
      <c r="T198">
        <f t="shared" si="77"/>
        <v>4665.1250745497746</v>
      </c>
      <c r="U198">
        <f t="shared" si="78"/>
        <v>67.099153199734843</v>
      </c>
      <c r="V198">
        <f t="shared" si="79"/>
        <v>4.4250775424484372</v>
      </c>
      <c r="W198">
        <f t="shared" si="80"/>
        <v>3010.2665176993478</v>
      </c>
      <c r="X198">
        <f t="shared" si="81"/>
        <v>103.98612223623829</v>
      </c>
      <c r="Y198">
        <f t="shared" si="82"/>
        <v>3.1928452428997698</v>
      </c>
      <c r="Z198">
        <f t="shared" si="83"/>
        <v>2269.5203065377282</v>
      </c>
      <c r="AA198">
        <f t="shared" si="84"/>
        <v>137.92603713278831</v>
      </c>
      <c r="AB198">
        <f t="shared" si="85"/>
        <v>3.1157625707628691</v>
      </c>
      <c r="AC198">
        <f t="shared" si="86"/>
        <v>1166.2812686374436</v>
      </c>
      <c r="AD198">
        <f t="shared" si="87"/>
        <v>268.39661279893937</v>
      </c>
      <c r="AE198">
        <f t="shared" si="88"/>
        <v>0.42239421612763461</v>
      </c>
      <c r="AF198">
        <f t="shared" si="89"/>
        <v>1071.717922531705</v>
      </c>
      <c r="AG198">
        <f t="shared" si="90"/>
        <v>292.07866686943402</v>
      </c>
      <c r="AH198">
        <f t="shared" si="91"/>
        <v>-0.8012435631303001</v>
      </c>
      <c r="AI198" cm="1">
        <f t="array" ref="AI198">_xlfn.LET(
    _xlpm.vals,   _xlfn.HSTACK(S198,V198,Y198,AB198,AE198,AH198),
    _xlpm.ints,   _xlfn.HSTACK(R198,U198,X198,AA198,AD198,AG198),
    _xlpm.slopes, _xlfn.HSTACK(Q198,T198,W198,Z198,AC198,AF198),
    _xlpm.limit,  -0.00001*_xlpm.slopes + 0.1086*_xlpm.slopes + 63.253,
    _xlpm.mask,   (_xlpm.vals&gt;=0) * (_xlpm.ints&lt;=_xlpm.limit),
    _xlpm.validVals, _xlfn._xlws.FILTER(_xlpm.vals, _xlpm.mask),
    _xlpm.minVal, MIN(_xlpm.validVals),
    IFERROR( _xlfn.XMATCH(_xlpm.minVal, _xlpm.vals), "" )
)</f>
        <v>4</v>
      </c>
      <c r="AJ198" cm="1">
        <f t="array" ref="AJ198">_xlfn.LET(
    _xlpm.vals, CHOOSE({1,2,3,4,5,6}, S198, V198, Y198, AB198, AE198, AH198),
    _xlpm.slopes, CHOOSE({1,2,3,4,5,6}, Q198, T198, W198, Z198, AC198, AF198),
    _xlpm.ints, CHOOSE({1,2,3,4,5,6}, R198, U198, X198, AA198, AD198, AG198),
    _xlpm.limit, -0.00001*_xlpm.slopes + 0.1086*_xlpm.slopes + 63.253,
    _xlpm.valid, (_xlpm.vals &gt;= 0) * (_xlpm.ints &lt;= _xlpm.limit),
    _xlpm.target, MIN(_xlfn._xlws.FILTER(_xlpm.vals, _xlpm.valid)),
    IFERROR(
        _xlfn.XLOOKUP(_xlpm.target, _xlpm.vals, _xlpm.vals),
        CHOOSE({1,2,3,4,5,6}, S$1, V$1, Y$1, AB$1, AE$1, AH$1)
    )
)</f>
        <v>3.1157625707628691</v>
      </c>
    </row>
    <row r="199" spans="9:36" x14ac:dyDescent="0.45">
      <c r="I199">
        <v>197</v>
      </c>
      <c r="J199">
        <v>39.700000000000003</v>
      </c>
      <c r="K199">
        <f t="shared" si="70"/>
        <v>39.700000000000003</v>
      </c>
      <c r="L199">
        <f t="shared" si="69"/>
        <v>1.1027777777777779E-2</v>
      </c>
      <c r="M199">
        <v>35.69</v>
      </c>
      <c r="N199">
        <f t="shared" si="71"/>
        <v>35.69</v>
      </c>
      <c r="O199">
        <f t="shared" si="72"/>
        <v>515.90875665097644</v>
      </c>
      <c r="P199">
        <f t="shared" si="73"/>
        <v>1650.9080212831248</v>
      </c>
      <c r="Q199">
        <f t="shared" si="74"/>
        <v>7561.1587374767114</v>
      </c>
      <c r="R199">
        <f t="shared" si="75"/>
        <v>45.074360553726493</v>
      </c>
      <c r="S199">
        <f t="shared" si="76"/>
        <v>14.199639670564562</v>
      </c>
      <c r="T199">
        <f t="shared" si="77"/>
        <v>4886.6877429980495</v>
      </c>
      <c r="U199">
        <f t="shared" si="78"/>
        <v>69.7434362621849</v>
      </c>
      <c r="V199">
        <f t="shared" si="79"/>
        <v>4.9260565605714923</v>
      </c>
      <c r="W199">
        <f t="shared" si="80"/>
        <v>3153.234320650768</v>
      </c>
      <c r="X199">
        <f t="shared" si="81"/>
        <v>108.08406876233892</v>
      </c>
      <c r="Y199">
        <f t="shared" si="82"/>
        <v>3.4492133568343104</v>
      </c>
      <c r="Z199">
        <f t="shared" si="83"/>
        <v>2377.3075506476994</v>
      </c>
      <c r="AA199">
        <f t="shared" si="84"/>
        <v>143.36150787226899</v>
      </c>
      <c r="AB199">
        <f t="shared" si="85"/>
        <v>3.3451275326691432</v>
      </c>
      <c r="AC199">
        <f t="shared" si="86"/>
        <v>1221.6719357495124</v>
      </c>
      <c r="AD199">
        <f t="shared" si="87"/>
        <v>278.9737450487396</v>
      </c>
      <c r="AE199">
        <f t="shared" si="88"/>
        <v>0.2620239665172619</v>
      </c>
      <c r="AF199">
        <f t="shared" si="89"/>
        <v>1122.617454472525</v>
      </c>
      <c r="AG199">
        <f t="shared" si="90"/>
        <v>303.58907549421662</v>
      </c>
      <c r="AH199">
        <f t="shared" si="91"/>
        <v>-1.1295339563429163</v>
      </c>
      <c r="AI199" cm="1">
        <f t="array" ref="AI199">_xlfn.LET(
    _xlpm.vals,   _xlfn.HSTACK(S199,V199,Y199,AB199,AE199,AH199),
    _xlpm.ints,   _xlfn.HSTACK(R199,U199,X199,AA199,AD199,AG199),
    _xlpm.slopes, _xlfn.HSTACK(Q199,T199,W199,Z199,AC199,AF199),
    _xlpm.limit,  -0.00001*_xlpm.slopes + 0.1086*_xlpm.slopes + 63.253,
    _xlpm.mask,   (_xlpm.vals&gt;=0) * (_xlpm.ints&lt;=_xlpm.limit),
    _xlpm.validVals, _xlfn._xlws.FILTER(_xlpm.vals, _xlpm.mask),
    _xlpm.minVal, MIN(_xlpm.validVals),
    IFERROR( _xlfn.XMATCH(_xlpm.minVal, _xlpm.vals), "" )
)</f>
        <v>4</v>
      </c>
      <c r="AJ199" cm="1">
        <f t="array" ref="AJ199">_xlfn.LET(
    _xlpm.vals, CHOOSE({1,2,3,4,5,6}, S199, V199, Y199, AB199, AE199, AH199),
    _xlpm.slopes, CHOOSE({1,2,3,4,5,6}, Q199, T199, W199, Z199, AC199, AF199),
    _xlpm.ints, CHOOSE({1,2,3,4,5,6}, R199, U199, X199, AA199, AD199, AG199),
    _xlpm.limit, -0.00001*_xlpm.slopes + 0.1086*_xlpm.slopes + 63.253,
    _xlpm.valid, (_xlpm.vals &gt;= 0) * (_xlpm.ints &lt;= _xlpm.limit),
    _xlpm.target, MIN(_xlfn._xlws.FILTER(_xlpm.vals, _xlpm.valid)),
    IFERROR(
        _xlfn.XLOOKUP(_xlpm.target, _xlpm.vals, _xlpm.vals),
        CHOOSE({1,2,3,4,5,6}, S$1, V$1, Y$1, AB$1, AE$1, AH$1)
    )
)</f>
        <v>3.3451275326691432</v>
      </c>
    </row>
    <row r="200" spans="9:36" x14ac:dyDescent="0.45">
      <c r="I200">
        <v>198</v>
      </c>
      <c r="J200">
        <v>41.3</v>
      </c>
      <c r="K200">
        <f t="shared" si="70"/>
        <v>41.3</v>
      </c>
      <c r="L200">
        <f t="shared" si="69"/>
        <v>1.1472222222222222E-2</v>
      </c>
      <c r="M200">
        <v>34.33</v>
      </c>
      <c r="N200">
        <f t="shared" si="71"/>
        <v>34.33</v>
      </c>
      <c r="O200">
        <f t="shared" si="72"/>
        <v>536.70104911046144</v>
      </c>
      <c r="P200">
        <f t="shared" si="73"/>
        <v>1717.4433571534767</v>
      </c>
      <c r="Q200">
        <f t="shared" si="74"/>
        <v>7865.8905757629236</v>
      </c>
      <c r="R200">
        <f t="shared" si="75"/>
        <v>41.677080125016822</v>
      </c>
      <c r="S200">
        <f t="shared" si="76"/>
        <v>15.992673925380327</v>
      </c>
      <c r="T200">
        <f t="shared" si="77"/>
        <v>5083.632337174291</v>
      </c>
      <c r="U200">
        <f t="shared" si="78"/>
        <v>64.486833436681422</v>
      </c>
      <c r="V200">
        <f t="shared" si="79"/>
        <v>5.2070301919318851</v>
      </c>
      <c r="W200">
        <f t="shared" si="80"/>
        <v>3280.3168121631402</v>
      </c>
      <c r="X200">
        <f t="shared" si="81"/>
        <v>99.937710456846631</v>
      </c>
      <c r="Y200">
        <f t="shared" si="82"/>
        <v>3.3781015844375575</v>
      </c>
      <c r="Z200">
        <f t="shared" si="83"/>
        <v>2473.1184343010063</v>
      </c>
      <c r="AA200">
        <f t="shared" si="84"/>
        <v>132.55626873095628</v>
      </c>
      <c r="AB200">
        <f t="shared" si="85"/>
        <v>3.256544504670094</v>
      </c>
      <c r="AC200">
        <f t="shared" si="86"/>
        <v>1270.9080842935728</v>
      </c>
      <c r="AD200">
        <f t="shared" si="87"/>
        <v>257.94733374672569</v>
      </c>
      <c r="AE200">
        <f t="shared" si="88"/>
        <v>1.0545188059723305</v>
      </c>
      <c r="AF200">
        <f t="shared" si="89"/>
        <v>1167.8614828643642</v>
      </c>
      <c r="AG200">
        <f t="shared" si="90"/>
        <v>280.70739260673093</v>
      </c>
      <c r="AH200">
        <f t="shared" si="91"/>
        <v>1.0281096890407682E-2</v>
      </c>
      <c r="AI200" cm="1">
        <f t="array" ref="AI200">_xlfn.LET(
    _xlpm.vals,   _xlfn.HSTACK(S200,V200,Y200,AB200,AE200,AH200),
    _xlpm.ints,   _xlfn.HSTACK(R200,U200,X200,AA200,AD200,AG200),
    _xlpm.slopes, _xlfn.HSTACK(Q200,T200,W200,Z200,AC200,AF200),
    _xlpm.limit,  -0.00001*_xlpm.slopes + 0.1086*_xlpm.slopes + 63.253,
    _xlpm.mask,   (_xlpm.vals&gt;=0) * (_xlpm.ints&lt;=_xlpm.limit),
    _xlpm.validVals, _xlfn._xlws.FILTER(_xlpm.vals, _xlpm.mask),
    _xlpm.minVal, MIN(_xlpm.validVals),
    IFERROR( _xlfn.XMATCH(_xlpm.minVal, _xlpm.vals), "" )
)</f>
        <v>4</v>
      </c>
      <c r="AJ200" cm="1">
        <f t="array" ref="AJ200">_xlfn.LET(
    _xlpm.vals, CHOOSE({1,2,3,4,5,6}, S200, V200, Y200, AB200, AE200, AH200),
    _xlpm.slopes, CHOOSE({1,2,3,4,5,6}, Q200, T200, W200, Z200, AC200, AF200),
    _xlpm.ints, CHOOSE({1,2,3,4,5,6}, R200, U200, X200, AA200, AD200, AG200),
    _xlpm.limit, -0.00001*_xlpm.slopes + 0.1086*_xlpm.slopes + 63.253,
    _xlpm.valid, (_xlpm.vals &gt;= 0) * (_xlpm.ints &lt;= _xlpm.limit),
    _xlpm.target, MIN(_xlfn._xlws.FILTER(_xlpm.vals, _xlpm.valid)),
    IFERROR(
        _xlfn.XLOOKUP(_xlpm.target, _xlpm.vals, _xlpm.vals),
        CHOOSE({1,2,3,4,5,6}, S$1, V$1, Y$1, AB$1, AE$1, AH$1)
    )
)</f>
        <v>3.256544504670094</v>
      </c>
    </row>
    <row r="201" spans="9:36" x14ac:dyDescent="0.45">
      <c r="I201">
        <v>199</v>
      </c>
      <c r="J201">
        <v>42.9</v>
      </c>
      <c r="K201">
        <f t="shared" si="70"/>
        <v>42.9</v>
      </c>
      <c r="L201">
        <f t="shared" si="69"/>
        <v>1.1916666666666666E-2</v>
      </c>
      <c r="M201">
        <v>38.56</v>
      </c>
      <c r="N201">
        <f t="shared" si="71"/>
        <v>38.56</v>
      </c>
      <c r="O201">
        <f t="shared" si="72"/>
        <v>557.49334156994667</v>
      </c>
      <c r="P201">
        <f t="shared" si="73"/>
        <v>1783.9786930238295</v>
      </c>
      <c r="Q201">
        <f t="shared" si="74"/>
        <v>8170.6224140491395</v>
      </c>
      <c r="R201">
        <f t="shared" si="75"/>
        <v>45.066441413846803</v>
      </c>
      <c r="S201">
        <f t="shared" si="76"/>
        <v>17.98610234107975</v>
      </c>
      <c r="T201">
        <f t="shared" si="77"/>
        <v>5280.5769313505352</v>
      </c>
      <c r="U201">
        <f t="shared" si="78"/>
        <v>69.731182998452141</v>
      </c>
      <c r="V201">
        <f t="shared" si="79"/>
        <v>5.800420233761181</v>
      </c>
      <c r="W201">
        <f t="shared" si="80"/>
        <v>3407.3993036755141</v>
      </c>
      <c r="X201">
        <f t="shared" si="81"/>
        <v>108.06507941121382</v>
      </c>
      <c r="Y201">
        <f t="shared" si="82"/>
        <v>3.7388982971315015</v>
      </c>
      <c r="Z201">
        <f t="shared" si="83"/>
        <v>2568.9293179543142</v>
      </c>
      <c r="AA201">
        <f t="shared" si="84"/>
        <v>143.33632060792942</v>
      </c>
      <c r="AB201">
        <f t="shared" si="85"/>
        <v>3.5849116734827664</v>
      </c>
      <c r="AC201">
        <f t="shared" si="86"/>
        <v>1320.1442328376338</v>
      </c>
      <c r="AD201">
        <f t="shared" si="87"/>
        <v>278.92473199380856</v>
      </c>
      <c r="AE201">
        <f t="shared" si="88"/>
        <v>0.60396949545254675</v>
      </c>
      <c r="AF201">
        <f t="shared" si="89"/>
        <v>1213.1055112562042</v>
      </c>
      <c r="AG201">
        <f t="shared" si="90"/>
        <v>303.53573775796815</v>
      </c>
      <c r="AH201">
        <f t="shared" si="91"/>
        <v>-0.76695770128100804</v>
      </c>
      <c r="AI201" cm="1">
        <f t="array" ref="AI201">_xlfn.LET(
    _xlpm.vals,   _xlfn.HSTACK(S201,V201,Y201,AB201,AE201,AH201),
    _xlpm.ints,   _xlfn.HSTACK(R201,U201,X201,AA201,AD201,AG201),
    _xlpm.slopes, _xlfn.HSTACK(Q201,T201,W201,Z201,AC201,AF201),
    _xlpm.limit,  -0.00001*_xlpm.slopes + 0.1086*_xlpm.slopes + 63.253,
    _xlpm.mask,   (_xlpm.vals&gt;=0) * (_xlpm.ints&lt;=_xlpm.limit),
    _xlpm.validVals, _xlfn._xlws.FILTER(_xlpm.vals, _xlpm.mask),
    _xlpm.minVal, MIN(_xlpm.validVals),
    IFERROR( _xlfn.XMATCH(_xlpm.minVal, _xlpm.vals), "" )
)</f>
        <v>4</v>
      </c>
      <c r="AJ201" cm="1">
        <f t="array" ref="AJ201">_xlfn.LET(
    _xlpm.vals, CHOOSE({1,2,3,4,5,6}, S201, V201, Y201, AB201, AE201, AH201),
    _xlpm.slopes, CHOOSE({1,2,3,4,5,6}, Q201, T201, W201, Z201, AC201, AF201),
    _xlpm.ints, CHOOSE({1,2,3,4,5,6}, R201, U201, X201, AA201, AD201, AG201),
    _xlpm.limit, -0.00001*_xlpm.slopes + 0.1086*_xlpm.slopes + 63.253,
    _xlpm.valid, (_xlpm.vals &gt;= 0) * (_xlpm.ints &lt;= _xlpm.limit),
    _xlpm.target, MIN(_xlfn._xlws.FILTER(_xlpm.vals, _xlpm.valid)),
    IFERROR(
        _xlfn.XLOOKUP(_xlpm.target, _xlpm.vals, _xlpm.vals),
        CHOOSE({1,2,3,4,5,6}, S$1, V$1, Y$1, AB$1, AE$1, AH$1)
    )
)</f>
        <v>3.5849116734827664</v>
      </c>
    </row>
    <row r="202" spans="9:36" x14ac:dyDescent="0.45">
      <c r="I202">
        <v>200</v>
      </c>
      <c r="J202">
        <v>44.1</v>
      </c>
      <c r="K202">
        <f t="shared" si="70"/>
        <v>44.1</v>
      </c>
      <c r="L202">
        <f t="shared" si="69"/>
        <v>1.225E-2</v>
      </c>
      <c r="M202">
        <v>23.15</v>
      </c>
      <c r="N202">
        <f t="shared" si="71"/>
        <v>23.15</v>
      </c>
      <c r="O202">
        <f t="shared" si="72"/>
        <v>573.08756091456053</v>
      </c>
      <c r="P202">
        <f t="shared" si="73"/>
        <v>1833.8801949265937</v>
      </c>
      <c r="Q202">
        <f t="shared" si="74"/>
        <v>8399.1712927638</v>
      </c>
      <c r="R202">
        <f t="shared" si="75"/>
        <v>26.320003277597095</v>
      </c>
      <c r="S202">
        <f t="shared" si="76"/>
        <v>19.656065517191934</v>
      </c>
      <c r="T202">
        <f t="shared" si="77"/>
        <v>5428.285376982717</v>
      </c>
      <c r="U202">
        <f t="shared" si="78"/>
        <v>40.724869936281998</v>
      </c>
      <c r="V202">
        <f t="shared" si="79"/>
        <v>5.4913589613105858</v>
      </c>
      <c r="W202">
        <f t="shared" si="80"/>
        <v>3502.7111723097937</v>
      </c>
      <c r="X202">
        <f t="shared" si="81"/>
        <v>63.112887440520787</v>
      </c>
      <c r="Y202">
        <f t="shared" si="82"/>
        <v>2.6659814203379075</v>
      </c>
      <c r="Z202">
        <f t="shared" si="83"/>
        <v>2640.787480694295</v>
      </c>
      <c r="AA202">
        <f t="shared" si="84"/>
        <v>83.712232646801866</v>
      </c>
      <c r="AB202">
        <f t="shared" si="85"/>
        <v>2.365366454588413</v>
      </c>
      <c r="AC202">
        <f t="shared" si="86"/>
        <v>1357.0713442456793</v>
      </c>
      <c r="AD202">
        <f t="shared" si="87"/>
        <v>162.89947974512799</v>
      </c>
      <c r="AE202">
        <f t="shared" si="88"/>
        <v>2.1102127939823818</v>
      </c>
      <c r="AF202">
        <f t="shared" si="89"/>
        <v>1247.0385325500838</v>
      </c>
      <c r="AG202">
        <f t="shared" si="90"/>
        <v>177.272963252051</v>
      </c>
      <c r="AH202">
        <f t="shared" si="91"/>
        <v>1.9402033939597756</v>
      </c>
      <c r="AI202" cm="1">
        <f t="array" ref="AI202">_xlfn.LET(
    _xlpm.vals,   _xlfn.HSTACK(S202,V202,Y202,AB202,AE202,AH202),
    _xlpm.ints,   _xlfn.HSTACK(R202,U202,X202,AA202,AD202,AG202),
    _xlpm.slopes, _xlfn.HSTACK(Q202,T202,W202,Z202,AC202,AF202),
    _xlpm.limit,  -0.00001*_xlpm.slopes + 0.1086*_xlpm.slopes + 63.253,
    _xlpm.mask,   (_xlpm.vals&gt;=0) * (_xlpm.ints&lt;=_xlpm.limit),
    _xlpm.validVals, _xlfn._xlws.FILTER(_xlpm.vals, _xlpm.mask),
    _xlpm.minVal, MIN(_xlpm.validVals),
    IFERROR( _xlfn.XMATCH(_xlpm.minVal, _xlpm.vals), "" )
)</f>
        <v>6</v>
      </c>
      <c r="AJ202" cm="1">
        <f t="array" ref="AJ202">_xlfn.LET(
    _xlpm.vals, CHOOSE({1,2,3,4,5,6}, S202, V202, Y202, AB202, AE202, AH202),
    _xlpm.slopes, CHOOSE({1,2,3,4,5,6}, Q202, T202, W202, Z202, AC202, AF202),
    _xlpm.ints, CHOOSE({1,2,3,4,5,6}, R202, U202, X202, AA202, AD202, AG202),
    _xlpm.limit, -0.00001*_xlpm.slopes + 0.1086*_xlpm.slopes + 63.253,
    _xlpm.valid, (_xlpm.vals &gt;= 0) * (_xlpm.ints &lt;= _xlpm.limit),
    _xlpm.target, MIN(_xlfn._xlws.FILTER(_xlpm.vals, _xlpm.valid)),
    IFERROR(
        _xlfn.XLOOKUP(_xlpm.target, _xlpm.vals, _xlpm.vals),
        CHOOSE({1,2,3,4,5,6}, S$1, V$1, Y$1, AB$1, AE$1, AH$1)
    )
)</f>
        <v>1.9402033939597756</v>
      </c>
    </row>
    <row r="203" spans="9:36" x14ac:dyDescent="0.45">
      <c r="I203">
        <v>201</v>
      </c>
      <c r="J203">
        <v>45.2</v>
      </c>
      <c r="K203">
        <f t="shared" si="70"/>
        <v>45.2</v>
      </c>
      <c r="L203">
        <f t="shared" si="69"/>
        <v>1.2555555555555556E-2</v>
      </c>
      <c r="M203">
        <v>26.3</v>
      </c>
      <c r="N203">
        <f t="shared" si="71"/>
        <v>26.3</v>
      </c>
      <c r="O203">
        <f t="shared" si="72"/>
        <v>587.38226198045675</v>
      </c>
      <c r="P203">
        <f t="shared" si="73"/>
        <v>1879.6232383374618</v>
      </c>
      <c r="Q203">
        <f t="shared" si="74"/>
        <v>8608.6744315855758</v>
      </c>
      <c r="R203">
        <f t="shared" si="75"/>
        <v>29.173655270031372</v>
      </c>
      <c r="S203">
        <f t="shared" si="76"/>
        <v>21.233101801581622</v>
      </c>
      <c r="T203">
        <f t="shared" si="77"/>
        <v>5563.6847854788866</v>
      </c>
      <c r="U203">
        <f t="shared" si="78"/>
        <v>45.140317951602604</v>
      </c>
      <c r="V203">
        <f t="shared" si="79"/>
        <v>5.9500193660434553</v>
      </c>
      <c r="W203">
        <f t="shared" si="80"/>
        <v>3590.0803852245517</v>
      </c>
      <c r="X203">
        <f t="shared" si="81"/>
        <v>69.955675987823923</v>
      </c>
      <c r="Y203">
        <f t="shared" si="82"/>
        <v>2.9345041686765931</v>
      </c>
      <c r="Z203">
        <f t="shared" si="83"/>
        <v>2706.6574632059446</v>
      </c>
      <c r="AA203">
        <f t="shared" si="84"/>
        <v>92.788431344960912</v>
      </c>
      <c r="AB203">
        <f t="shared" si="85"/>
        <v>2.6295938717986842</v>
      </c>
      <c r="AC203">
        <f t="shared" si="86"/>
        <v>1390.9211963697217</v>
      </c>
      <c r="AD203">
        <f t="shared" si="87"/>
        <v>180.56127180641042</v>
      </c>
      <c r="AE203">
        <f t="shared" si="88"/>
        <v>2.213401418446324</v>
      </c>
      <c r="AF203">
        <f t="shared" si="89"/>
        <v>1278.1438020694741</v>
      </c>
      <c r="AG203">
        <f t="shared" si="90"/>
        <v>196.49314873050542</v>
      </c>
      <c r="AH203">
        <f t="shared" si="91"/>
        <v>1.9546852463194364</v>
      </c>
      <c r="AI203" cm="1">
        <f t="array" ref="AI203">_xlfn.LET(
    _xlpm.vals,   _xlfn.HSTACK(S203,V203,Y203,AB203,AE203,AH203),
    _xlpm.ints,   _xlfn.HSTACK(R203,U203,X203,AA203,AD203,AG203),
    _xlpm.slopes, _xlfn.HSTACK(Q203,T203,W203,Z203,AC203,AF203),
    _xlpm.limit,  -0.00001*_xlpm.slopes + 0.1086*_xlpm.slopes + 63.253,
    _xlpm.mask,   (_xlpm.vals&gt;=0) * (_xlpm.ints&lt;=_xlpm.limit),
    _xlpm.validVals, _xlfn._xlws.FILTER(_xlpm.vals, _xlpm.mask),
    _xlpm.minVal, MIN(_xlpm.validVals),
    IFERROR( _xlfn.XMATCH(_xlpm.minVal, _xlpm.vals), "" )
)</f>
        <v>6</v>
      </c>
      <c r="AJ203" cm="1">
        <f t="array" ref="AJ203">_xlfn.LET(
    _xlpm.vals, CHOOSE({1,2,3,4,5,6}, S203, V203, Y203, AB203, AE203, AH203),
    _xlpm.slopes, CHOOSE({1,2,3,4,5,6}, Q203, T203, W203, Z203, AC203, AF203),
    _xlpm.ints, CHOOSE({1,2,3,4,5,6}, R203, U203, X203, AA203, AD203, AG203),
    _xlpm.limit, -0.00001*_xlpm.slopes + 0.1086*_xlpm.slopes + 63.253,
    _xlpm.valid, (_xlpm.vals &gt;= 0) * (_xlpm.ints &lt;= _xlpm.limit),
    _xlpm.target, MIN(_xlfn._xlws.FILTER(_xlpm.vals, _xlpm.valid)),
    IFERROR(
        _xlfn.XLOOKUP(_xlpm.target, _xlpm.vals, _xlpm.vals),
        CHOOSE({1,2,3,4,5,6}, S$1, V$1, Y$1, AB$1, AE$1, AH$1)
    )
)</f>
        <v>1.9546852463194364</v>
      </c>
    </row>
    <row r="204" spans="9:36" x14ac:dyDescent="0.45">
      <c r="I204">
        <v>202</v>
      </c>
      <c r="J204">
        <v>46.3</v>
      </c>
      <c r="K204">
        <f t="shared" si="70"/>
        <v>46.3</v>
      </c>
      <c r="L204">
        <f t="shared" si="69"/>
        <v>1.286111111111111E-2</v>
      </c>
      <c r="M204">
        <v>25.41</v>
      </c>
      <c r="N204">
        <f t="shared" si="71"/>
        <v>25.41</v>
      </c>
      <c r="O204">
        <f t="shared" si="72"/>
        <v>601.67696304635274</v>
      </c>
      <c r="P204">
        <f t="shared" si="73"/>
        <v>1925.3662817483289</v>
      </c>
      <c r="Q204">
        <f t="shared" si="74"/>
        <v>8818.1775704073461</v>
      </c>
      <c r="R204">
        <f t="shared" si="75"/>
        <v>27.516754374758502</v>
      </c>
      <c r="S204">
        <f t="shared" si="76"/>
        <v>22.939689240636152</v>
      </c>
      <c r="T204">
        <f t="shared" si="77"/>
        <v>5699.0841939750535</v>
      </c>
      <c r="U204">
        <f t="shared" si="78"/>
        <v>42.576599674457412</v>
      </c>
      <c r="V204">
        <f t="shared" si="79"/>
        <v>6.2865990249119754</v>
      </c>
      <c r="W204">
        <f t="shared" si="80"/>
        <v>3677.4495981393079</v>
      </c>
      <c r="X204">
        <f t="shared" si="81"/>
        <v>65.982583788687933</v>
      </c>
      <c r="Y204">
        <f t="shared" si="82"/>
        <v>2.9324084213421004</v>
      </c>
      <c r="Z204">
        <f t="shared" si="83"/>
        <v>2772.5274457175933</v>
      </c>
      <c r="AA204">
        <f t="shared" si="84"/>
        <v>87.518565997495799</v>
      </c>
      <c r="AB204">
        <f t="shared" si="85"/>
        <v>2.5665130499107502</v>
      </c>
      <c r="AC204">
        <f t="shared" si="86"/>
        <v>1424.7710484937634</v>
      </c>
      <c r="AD204">
        <f t="shared" si="87"/>
        <v>170.30639869782965</v>
      </c>
      <c r="AE204">
        <f t="shared" si="88"/>
        <v>2.2533801692735955</v>
      </c>
      <c r="AF204">
        <f t="shared" si="89"/>
        <v>1309.2490715888637</v>
      </c>
      <c r="AG204">
        <f t="shared" si="90"/>
        <v>185.33343387704991</v>
      </c>
      <c r="AH204">
        <f t="shared" si="91"/>
        <v>2.0535919289439879</v>
      </c>
      <c r="AI204" cm="1">
        <f t="array" ref="AI204">_xlfn.LET(
    _xlpm.vals,   _xlfn.HSTACK(S204,V204,Y204,AB204,AE204,AH204),
    _xlpm.ints,   _xlfn.HSTACK(R204,U204,X204,AA204,AD204,AG204),
    _xlpm.slopes, _xlfn.HSTACK(Q204,T204,W204,Z204,AC204,AF204),
    _xlpm.limit,  -0.00001*_xlpm.slopes + 0.1086*_xlpm.slopes + 63.253,
    _xlpm.mask,   (_xlpm.vals&gt;=0) * (_xlpm.ints&lt;=_xlpm.limit),
    _xlpm.validVals, _xlfn._xlws.FILTER(_xlpm.vals, _xlpm.mask),
    _xlpm.minVal, MIN(_xlpm.validVals),
    IFERROR( _xlfn.XMATCH(_xlpm.minVal, _xlpm.vals), "" )
)</f>
        <v>6</v>
      </c>
      <c r="AJ204" cm="1">
        <f t="array" ref="AJ204">_xlfn.LET(
    _xlpm.vals, CHOOSE({1,2,3,4,5,6}, S204, V204, Y204, AB204, AE204, AH204),
    _xlpm.slopes, CHOOSE({1,2,3,4,5,6}, Q204, T204, W204, Z204, AC204, AF204),
    _xlpm.ints, CHOOSE({1,2,3,4,5,6}, R204, U204, X204, AA204, AD204, AG204),
    _xlpm.limit, -0.00001*_xlpm.slopes + 0.1086*_xlpm.slopes + 63.253,
    _xlpm.valid, (_xlpm.vals &gt;= 0) * (_xlpm.ints &lt;= _xlpm.limit),
    _xlpm.target, MIN(_xlfn._xlws.FILTER(_xlpm.vals, _xlpm.valid)),
    IFERROR(
        _xlfn.XLOOKUP(_xlpm.target, _xlpm.vals, _xlpm.vals),
        CHOOSE({1,2,3,4,5,6}, S$1, V$1, Y$1, AB$1, AE$1, AH$1)
    )
)</f>
        <v>2.0535919289439879</v>
      </c>
    </row>
    <row r="205" spans="9:36" x14ac:dyDescent="0.45">
      <c r="I205">
        <v>203</v>
      </c>
      <c r="J205">
        <v>47.2</v>
      </c>
      <c r="K205">
        <f t="shared" si="70"/>
        <v>47.2</v>
      </c>
      <c r="L205">
        <f t="shared" si="69"/>
        <v>1.3111111111111112E-2</v>
      </c>
      <c r="M205">
        <v>22.58</v>
      </c>
      <c r="N205">
        <f t="shared" si="71"/>
        <v>22.58</v>
      </c>
      <c r="O205">
        <f t="shared" si="72"/>
        <v>613.37262755481333</v>
      </c>
      <c r="P205">
        <f t="shared" si="73"/>
        <v>1962.7924081754027</v>
      </c>
      <c r="Q205">
        <f t="shared" si="74"/>
        <v>8989.5892294433452</v>
      </c>
      <c r="R205">
        <f t="shared" si="75"/>
        <v>23.985869809787921</v>
      </c>
      <c r="S205">
        <f t="shared" si="76"/>
        <v>24.446678372009981</v>
      </c>
      <c r="T205">
        <f t="shared" si="77"/>
        <v>5809.8655281991914</v>
      </c>
      <c r="U205">
        <f t="shared" si="78"/>
        <v>37.113271530009698</v>
      </c>
      <c r="V205">
        <f t="shared" si="79"/>
        <v>6.5198986871498894</v>
      </c>
      <c r="W205">
        <f t="shared" si="80"/>
        <v>3748.9334996150187</v>
      </c>
      <c r="X205">
        <f t="shared" si="81"/>
        <v>57.515855355407695</v>
      </c>
      <c r="Y205">
        <f t="shared" si="82"/>
        <v>2.8031379021699028</v>
      </c>
      <c r="Z205">
        <f t="shared" si="83"/>
        <v>2826.4210677725796</v>
      </c>
      <c r="AA205">
        <f t="shared" si="84"/>
        <v>76.288391478353276</v>
      </c>
      <c r="AB205">
        <f t="shared" si="85"/>
        <v>2.3513599246489698</v>
      </c>
      <c r="AC205">
        <f t="shared" si="86"/>
        <v>1452.4663820497979</v>
      </c>
      <c r="AD205">
        <f t="shared" si="87"/>
        <v>148.45308612003879</v>
      </c>
      <c r="AE205">
        <f t="shared" si="88"/>
        <v>2.174102836091139</v>
      </c>
      <c r="AF205">
        <f t="shared" si="89"/>
        <v>1334.6988375592739</v>
      </c>
      <c r="AG205">
        <f t="shared" si="90"/>
        <v>161.55188783651278</v>
      </c>
      <c r="AH205">
        <f t="shared" si="91"/>
        <v>2.0674351275242246</v>
      </c>
      <c r="AI205" cm="1">
        <f t="array" ref="AI205">_xlfn.LET(
    _xlpm.vals,   _xlfn.HSTACK(S205,V205,Y205,AB205,AE205,AH205),
    _xlpm.ints,   _xlfn.HSTACK(R205,U205,X205,AA205,AD205,AG205),
    _xlpm.slopes, _xlfn.HSTACK(Q205,T205,W205,Z205,AC205,AF205),
    _xlpm.limit,  -0.00001*_xlpm.slopes + 0.1086*_xlpm.slopes + 63.253,
    _xlpm.mask,   (_xlpm.vals&gt;=0) * (_xlpm.ints&lt;=_xlpm.limit),
    _xlpm.validVals, _xlfn._xlws.FILTER(_xlpm.vals, _xlpm.mask),
    _xlpm.minVal, MIN(_xlpm.validVals),
    IFERROR( _xlfn.XMATCH(_xlpm.minVal, _xlpm.vals), "" )
)</f>
        <v>6</v>
      </c>
      <c r="AJ205" cm="1">
        <f t="array" ref="AJ205">_xlfn.LET(
    _xlpm.vals, CHOOSE({1,2,3,4,5,6}, S205, V205, Y205, AB205, AE205, AH205),
    _xlpm.slopes, CHOOSE({1,2,3,4,5,6}, Q205, T205, W205, Z205, AC205, AF205),
    _xlpm.ints, CHOOSE({1,2,3,4,5,6}, R205, U205, X205, AA205, AD205, AG205),
    _xlpm.limit, -0.00001*_xlpm.slopes + 0.1086*_xlpm.slopes + 63.253,
    _xlpm.valid, (_xlpm.vals &gt;= 0) * (_xlpm.ints &lt;= _xlpm.limit),
    _xlpm.target, MIN(_xlfn._xlws.FILTER(_xlpm.vals, _xlpm.valid)),
    IFERROR(
        _xlfn.XLOOKUP(_xlpm.target, _xlpm.vals, _xlpm.vals),
        CHOOSE({1,2,3,4,5,6}, S$1, V$1, Y$1, AB$1, AE$1, AH$1)
    )
)</f>
        <v>2.0674351275242246</v>
      </c>
    </row>
    <row r="206" spans="9:36" x14ac:dyDescent="0.45">
      <c r="I206">
        <v>204</v>
      </c>
      <c r="J206">
        <v>47.8</v>
      </c>
      <c r="K206">
        <f t="shared" si="70"/>
        <v>47.8</v>
      </c>
      <c r="L206">
        <f t="shared" si="69"/>
        <v>1.3277777777777777E-2</v>
      </c>
      <c r="M206">
        <v>18.940000000000001</v>
      </c>
      <c r="N206">
        <f t="shared" si="71"/>
        <v>18.940000000000001</v>
      </c>
      <c r="O206">
        <f t="shared" si="72"/>
        <v>621.16973722712009</v>
      </c>
      <c r="P206">
        <f t="shared" si="73"/>
        <v>1987.7431591267843</v>
      </c>
      <c r="Q206">
        <f t="shared" si="74"/>
        <v>9103.8636688006718</v>
      </c>
      <c r="R206">
        <f t="shared" si="75"/>
        <v>19.866694395859351</v>
      </c>
      <c r="S206">
        <f t="shared" si="76"/>
        <v>25.532180549649588</v>
      </c>
      <c r="T206">
        <f t="shared" si="77"/>
        <v>5883.7197510152819</v>
      </c>
      <c r="U206">
        <f t="shared" si="78"/>
        <v>30.739682544944539</v>
      </c>
      <c r="V206">
        <f t="shared" si="79"/>
        <v>6.6466810628707851</v>
      </c>
      <c r="W206">
        <f t="shared" si="80"/>
        <v>3796.589433932158</v>
      </c>
      <c r="X206">
        <f t="shared" si="81"/>
        <v>47.638460907348602</v>
      </c>
      <c r="Y206">
        <f t="shared" si="82"/>
        <v>2.6215522478296944</v>
      </c>
      <c r="Z206">
        <f t="shared" si="83"/>
        <v>2862.3501491425695</v>
      </c>
      <c r="AA206">
        <f t="shared" si="84"/>
        <v>63.187125231274877</v>
      </c>
      <c r="AB206">
        <f t="shared" si="85"/>
        <v>2.079942645468126</v>
      </c>
      <c r="AC206">
        <f t="shared" si="86"/>
        <v>1470.9299377538205</v>
      </c>
      <c r="AD206">
        <f t="shared" si="87"/>
        <v>122.95873017977816</v>
      </c>
      <c r="AE206">
        <f t="shared" si="88"/>
        <v>1.9523559025452664</v>
      </c>
      <c r="AF206">
        <f t="shared" si="89"/>
        <v>1351.6653482062134</v>
      </c>
      <c r="AG206">
        <f t="shared" si="90"/>
        <v>133.80802990152327</v>
      </c>
      <c r="AH206">
        <f t="shared" si="91"/>
        <v>1.9121293271331792</v>
      </c>
      <c r="AI206" cm="1">
        <f t="array" ref="AI206">_xlfn.LET(
    _xlpm.vals,   _xlfn.HSTACK(S206,V206,Y206,AB206,AE206,AH206),
    _xlpm.ints,   _xlfn.HSTACK(R206,U206,X206,AA206,AD206,AG206),
    _xlpm.slopes, _xlfn.HSTACK(Q206,T206,W206,Z206,AC206,AF206),
    _xlpm.limit,  -0.00001*_xlpm.slopes + 0.1086*_xlpm.slopes + 63.253,
    _xlpm.mask,   (_xlpm.vals&gt;=0) * (_xlpm.ints&lt;=_xlpm.limit),
    _xlpm.validVals, _xlfn._xlws.FILTER(_xlpm.vals, _xlpm.mask),
    _xlpm.minVal, MIN(_xlpm.validVals),
    IFERROR( _xlfn.XMATCH(_xlpm.minVal, _xlpm.vals), "" )
)</f>
        <v>6</v>
      </c>
      <c r="AJ206" cm="1">
        <f t="array" ref="AJ206">_xlfn.LET(
    _xlpm.vals, CHOOSE({1,2,3,4,5,6}, S206, V206, Y206, AB206, AE206, AH206),
    _xlpm.slopes, CHOOSE({1,2,3,4,5,6}, Q206, T206, W206, Z206, AC206, AF206),
    _xlpm.ints, CHOOSE({1,2,3,4,5,6}, R206, U206, X206, AA206, AD206, AG206),
    _xlpm.limit, -0.00001*_xlpm.slopes + 0.1086*_xlpm.slopes + 63.253,
    _xlpm.valid, (_xlpm.vals &gt;= 0) * (_xlpm.ints &lt;= _xlpm.limit),
    _xlpm.target, MIN(_xlfn._xlws.FILTER(_xlpm.vals, _xlpm.valid)),
    IFERROR(
        _xlfn.XLOOKUP(_xlpm.target, _xlpm.vals, _xlpm.vals),
        CHOOSE({1,2,3,4,5,6}, S$1, V$1, Y$1, AB$1, AE$1, AH$1)
    )
)</f>
        <v>1.9121293271331792</v>
      </c>
    </row>
    <row r="207" spans="9:36" x14ac:dyDescent="0.45">
      <c r="I207">
        <v>205</v>
      </c>
      <c r="J207">
        <v>47.8</v>
      </c>
      <c r="K207">
        <f t="shared" si="70"/>
        <v>47.8</v>
      </c>
      <c r="L207">
        <f t="shared" si="69"/>
        <v>1.3277777777777777E-2</v>
      </c>
      <c r="M207">
        <v>9.6</v>
      </c>
      <c r="N207">
        <f t="shared" si="71"/>
        <v>9.6</v>
      </c>
      <c r="O207">
        <f t="shared" si="72"/>
        <v>621.16973722712009</v>
      </c>
      <c r="P207">
        <f t="shared" si="73"/>
        <v>1987.7431591267843</v>
      </c>
      <c r="Q207">
        <f t="shared" si="74"/>
        <v>9103.8636688006718</v>
      </c>
      <c r="R207">
        <f t="shared" si="75"/>
        <v>10.069707824722796</v>
      </c>
      <c r="S207">
        <f t="shared" si="76"/>
        <v>25.739373349105087</v>
      </c>
      <c r="T207">
        <f t="shared" si="77"/>
        <v>5883.7197510152819</v>
      </c>
      <c r="U207">
        <f t="shared" si="78"/>
        <v>15.58083170176703</v>
      </c>
      <c r="V207">
        <f t="shared" si="79"/>
        <v>6.4373332006481236</v>
      </c>
      <c r="W207">
        <f t="shared" si="80"/>
        <v>3796.589433932158</v>
      </c>
      <c r="X207">
        <f t="shared" si="81"/>
        <v>24.146210385984507</v>
      </c>
      <c r="Y207">
        <f t="shared" si="82"/>
        <v>2.1145040392112668</v>
      </c>
      <c r="Z207">
        <f t="shared" si="83"/>
        <v>2862.3501491425695</v>
      </c>
      <c r="AA207">
        <f t="shared" si="84"/>
        <v>32.027265164743341</v>
      </c>
      <c r="AB207">
        <f t="shared" si="85"/>
        <v>1.4223891253808296</v>
      </c>
      <c r="AC207">
        <f t="shared" si="86"/>
        <v>1470.9299377538205</v>
      </c>
      <c r="AD207">
        <f t="shared" si="87"/>
        <v>62.323326807068121</v>
      </c>
      <c r="AE207">
        <f t="shared" si="88"/>
        <v>1.1477782348642926</v>
      </c>
      <c r="AF207">
        <f t="shared" si="89"/>
        <v>1351.6653482062134</v>
      </c>
      <c r="AG207">
        <f t="shared" si="90"/>
        <v>67.822443878280012</v>
      </c>
      <c r="AH207">
        <f t="shared" si="91"/>
        <v>1.1452254270311704</v>
      </c>
      <c r="AI207" cm="1">
        <f t="array" ref="AI207">_xlfn.LET(
    _xlpm.vals,   _xlfn.HSTACK(S207,V207,Y207,AB207,AE207,AH207),
    _xlpm.ints,   _xlfn.HSTACK(R207,U207,X207,AA207,AD207,AG207),
    _xlpm.slopes, _xlfn.HSTACK(Q207,T207,W207,Z207,AC207,AF207),
    _xlpm.limit,  -0.00001*_xlpm.slopes + 0.1086*_xlpm.slopes + 63.253,
    _xlpm.mask,   (_xlpm.vals&gt;=0) * (_xlpm.ints&lt;=_xlpm.limit),
    _xlpm.validVals, _xlfn._xlws.FILTER(_xlpm.vals, _xlpm.mask),
    _xlpm.minVal, MIN(_xlpm.validVals),
    IFERROR( _xlfn.XMATCH(_xlpm.minVal, _xlpm.vals), "" )
)</f>
        <v>6</v>
      </c>
      <c r="AJ207" cm="1">
        <f t="array" ref="AJ207">_xlfn.LET(
    _xlpm.vals, CHOOSE({1,2,3,4,5,6}, S207, V207, Y207, AB207, AE207, AH207),
    _xlpm.slopes, CHOOSE({1,2,3,4,5,6}, Q207, T207, W207, Z207, AC207, AF207),
    _xlpm.ints, CHOOSE({1,2,3,4,5,6}, R207, U207, X207, AA207, AD207, AG207),
    _xlpm.limit, -0.00001*_xlpm.slopes + 0.1086*_xlpm.slopes + 63.253,
    _xlpm.valid, (_xlpm.vals &gt;= 0) * (_xlpm.ints &lt;= _xlpm.limit),
    _xlpm.target, MIN(_xlfn._xlws.FILTER(_xlpm.vals, _xlpm.valid)),
    IFERROR(
        _xlfn.XLOOKUP(_xlpm.target, _xlpm.vals, _xlpm.vals),
        CHOOSE({1,2,3,4,5,6}, S$1, V$1, Y$1, AB$1, AE$1, AH$1)
    )
)</f>
        <v>1.1452254270311704</v>
      </c>
    </row>
    <row r="208" spans="9:36" x14ac:dyDescent="0.45">
      <c r="I208">
        <v>206</v>
      </c>
      <c r="J208">
        <v>47.6</v>
      </c>
      <c r="K208">
        <f t="shared" si="70"/>
        <v>47.6</v>
      </c>
      <c r="L208">
        <f t="shared" si="69"/>
        <v>1.3222222222222222E-2</v>
      </c>
      <c r="M208">
        <v>4.3899999999999997</v>
      </c>
      <c r="N208">
        <f t="shared" si="71"/>
        <v>4.3899999999999997</v>
      </c>
      <c r="O208">
        <f t="shared" si="72"/>
        <v>618.57070066968447</v>
      </c>
      <c r="P208">
        <f t="shared" si="73"/>
        <v>1979.4262421429903</v>
      </c>
      <c r="Q208">
        <f t="shared" si="74"/>
        <v>9065.772189014895</v>
      </c>
      <c r="R208">
        <f t="shared" si="75"/>
        <v>4.6241413457534168</v>
      </c>
      <c r="S208">
        <f t="shared" si="76"/>
        <v>25.521950681664507</v>
      </c>
      <c r="T208">
        <f t="shared" si="77"/>
        <v>5859.1016767432511</v>
      </c>
      <c r="U208">
        <f t="shared" si="78"/>
        <v>7.1549214066049487</v>
      </c>
      <c r="V208">
        <f t="shared" si="79"/>
        <v>6.2674550762225643</v>
      </c>
      <c r="W208">
        <f t="shared" si="80"/>
        <v>3780.7041224931113</v>
      </c>
      <c r="X208">
        <f t="shared" si="81"/>
        <v>11.088255164162643</v>
      </c>
      <c r="Y208">
        <f t="shared" si="82"/>
        <v>1.8586886752366687</v>
      </c>
      <c r="Z208">
        <f t="shared" si="83"/>
        <v>2850.3737886859058</v>
      </c>
      <c r="AA208">
        <f t="shared" si="84"/>
        <v>14.707338446910173</v>
      </c>
      <c r="AB208">
        <f t="shared" si="85"/>
        <v>1.1042365715661282</v>
      </c>
      <c r="AC208">
        <f t="shared" si="86"/>
        <v>1464.7754191858128</v>
      </c>
      <c r="AD208">
        <f t="shared" si="87"/>
        <v>28.619685626419795</v>
      </c>
      <c r="AE208">
        <f t="shared" si="88"/>
        <v>0.70120657690642296</v>
      </c>
      <c r="AF208">
        <f t="shared" si="89"/>
        <v>1346.0098446572335</v>
      </c>
      <c r="AG208">
        <f t="shared" si="90"/>
        <v>31.144952005221533</v>
      </c>
      <c r="AH208">
        <f t="shared" si="91"/>
        <v>0.68636727507093243</v>
      </c>
      <c r="AI208" cm="1">
        <f t="array" ref="AI208">_xlfn.LET(
    _xlpm.vals,   _xlfn.HSTACK(S208,V208,Y208,AB208,AE208,AH208),
    _xlpm.ints,   _xlfn.HSTACK(R208,U208,X208,AA208,AD208,AG208),
    _xlpm.slopes, _xlfn.HSTACK(Q208,T208,W208,Z208,AC208,AF208),
    _xlpm.limit,  -0.00001*_xlpm.slopes + 0.1086*_xlpm.slopes + 63.253,
    _xlpm.mask,   (_xlpm.vals&gt;=0) * (_xlpm.ints&lt;=_xlpm.limit),
    _xlpm.validVals, _xlfn._xlws.FILTER(_xlpm.vals, _xlpm.mask),
    _xlpm.minVal, MIN(_xlpm.validVals),
    IFERROR( _xlfn.XMATCH(_xlpm.minVal, _xlpm.vals), "" )
)</f>
        <v>6</v>
      </c>
      <c r="AJ208" cm="1">
        <f t="array" ref="AJ208">_xlfn.LET(
    _xlpm.vals, CHOOSE({1,2,3,4,5,6}, S208, V208, Y208, AB208, AE208, AH208),
    _xlpm.slopes, CHOOSE({1,2,3,4,5,6}, Q208, T208, W208, Z208, AC208, AF208),
    _xlpm.ints, CHOOSE({1,2,3,4,5,6}, R208, U208, X208, AA208, AD208, AG208),
    _xlpm.limit, -0.00001*_xlpm.slopes + 0.1086*_xlpm.slopes + 63.253,
    _xlpm.valid, (_xlpm.vals &gt;= 0) * (_xlpm.ints &lt;= _xlpm.limit),
    _xlpm.target, MIN(_xlfn._xlws.FILTER(_xlpm.vals, _xlpm.valid)),
    IFERROR(
        _xlfn.XLOOKUP(_xlpm.target, _xlpm.vals, _xlpm.vals),
        CHOOSE({1,2,3,4,5,6}, S$1, V$1, Y$1, AB$1, AE$1, AH$1)
    )
)</f>
        <v>0.68636727507093243</v>
      </c>
    </row>
    <row r="209" spans="9:36" x14ac:dyDescent="0.45">
      <c r="I209">
        <v>207</v>
      </c>
      <c r="J209">
        <v>47.2</v>
      </c>
      <c r="K209">
        <f t="shared" si="70"/>
        <v>47.2</v>
      </c>
      <c r="L209">
        <f t="shared" si="69"/>
        <v>1.3111111111111112E-2</v>
      </c>
      <c r="M209">
        <v>7.26</v>
      </c>
      <c r="N209">
        <f t="shared" si="71"/>
        <v>7.26</v>
      </c>
      <c r="O209">
        <f t="shared" si="72"/>
        <v>613.37262755481333</v>
      </c>
      <c r="P209">
        <f t="shared" si="73"/>
        <v>1962.7924081754027</v>
      </c>
      <c r="Q209">
        <f t="shared" si="74"/>
        <v>8989.5892294433452</v>
      </c>
      <c r="R209">
        <f t="shared" si="75"/>
        <v>7.7120201425624586</v>
      </c>
      <c r="S209">
        <f t="shared" si="76"/>
        <v>24.758382842009116</v>
      </c>
      <c r="T209">
        <f t="shared" si="77"/>
        <v>5809.8655281991914</v>
      </c>
      <c r="U209">
        <f t="shared" si="78"/>
        <v>11.932787923289212</v>
      </c>
      <c r="V209">
        <f t="shared" si="79"/>
        <v>6.153595202923885</v>
      </c>
      <c r="W209">
        <f t="shared" si="80"/>
        <v>3748.9334996150187</v>
      </c>
      <c r="X209">
        <f t="shared" si="81"/>
        <v>18.492697514626212</v>
      </c>
      <c r="Y209">
        <f t="shared" si="82"/>
        <v>1.9519399866404799</v>
      </c>
      <c r="Z209">
        <f t="shared" si="83"/>
        <v>2826.4210677725796</v>
      </c>
      <c r="AA209">
        <f t="shared" si="84"/>
        <v>24.528508508983382</v>
      </c>
      <c r="AB209">
        <f t="shared" si="85"/>
        <v>1.2587914550681836</v>
      </c>
      <c r="AC209">
        <f t="shared" si="86"/>
        <v>1452.4663820497979</v>
      </c>
      <c r="AD209">
        <f t="shared" si="87"/>
        <v>47.731151693156846</v>
      </c>
      <c r="AE209">
        <f t="shared" si="88"/>
        <v>0.93859966352323676</v>
      </c>
      <c r="AF209">
        <f t="shared" si="89"/>
        <v>1334.6988375592739</v>
      </c>
      <c r="AG209">
        <f t="shared" si="90"/>
        <v>51.94272390137656</v>
      </c>
      <c r="AH209">
        <f t="shared" si="91"/>
        <v>0.93158203932170058</v>
      </c>
      <c r="AI209" cm="1">
        <f t="array" ref="AI209">_xlfn.LET(
    _xlpm.vals,   _xlfn.HSTACK(S209,V209,Y209,AB209,AE209,AH209),
    _xlpm.ints,   _xlfn.HSTACK(R209,U209,X209,AA209,AD209,AG209),
    _xlpm.slopes, _xlfn.HSTACK(Q209,T209,W209,Z209,AC209,AF209),
    _xlpm.limit,  -0.00001*_xlpm.slopes + 0.1086*_xlpm.slopes + 63.253,
    _xlpm.mask,   (_xlpm.vals&gt;=0) * (_xlpm.ints&lt;=_xlpm.limit),
    _xlpm.validVals, _xlfn._xlws.FILTER(_xlpm.vals, _xlpm.mask),
    _xlpm.minVal, MIN(_xlpm.validVals),
    IFERROR( _xlfn.XMATCH(_xlpm.minVal, _xlpm.vals), "" )
)</f>
        <v>6</v>
      </c>
      <c r="AJ209" cm="1">
        <f t="array" ref="AJ209">_xlfn.LET(
    _xlpm.vals, CHOOSE({1,2,3,4,5,6}, S209, V209, Y209, AB209, AE209, AH209),
    _xlpm.slopes, CHOOSE({1,2,3,4,5,6}, Q209, T209, W209, Z209, AC209, AF209),
    _xlpm.ints, CHOOSE({1,2,3,4,5,6}, R209, U209, X209, AA209, AD209, AG209),
    _xlpm.limit, -0.00001*_xlpm.slopes + 0.1086*_xlpm.slopes + 63.253,
    _xlpm.valid, (_xlpm.vals &gt;= 0) * (_xlpm.ints &lt;= _xlpm.limit),
    _xlpm.target, MIN(_xlfn._xlws.FILTER(_xlpm.vals, _xlpm.valid)),
    IFERROR(
        _xlfn.XLOOKUP(_xlpm.target, _xlpm.vals, _xlpm.vals),
        CHOOSE({1,2,3,4,5,6}, S$1, V$1, Y$1, AB$1, AE$1, AH$1)
    )
)</f>
        <v>0.93158203932170058</v>
      </c>
    </row>
    <row r="210" spans="9:36" x14ac:dyDescent="0.45">
      <c r="I210">
        <v>208</v>
      </c>
      <c r="J210">
        <v>46.9</v>
      </c>
      <c r="K210">
        <f t="shared" si="70"/>
        <v>46.9</v>
      </c>
      <c r="L210">
        <f t="shared" si="69"/>
        <v>1.3027777777777777E-2</v>
      </c>
      <c r="M210">
        <v>8.7100000000000009</v>
      </c>
      <c r="N210">
        <f t="shared" si="71"/>
        <v>8.7100000000000009</v>
      </c>
      <c r="O210">
        <f t="shared" si="72"/>
        <v>609.47407271865961</v>
      </c>
      <c r="P210">
        <f t="shared" si="73"/>
        <v>1950.3170326997108</v>
      </c>
      <c r="Q210">
        <f t="shared" si="74"/>
        <v>8932.4520097646764</v>
      </c>
      <c r="R210">
        <f t="shared" si="75"/>
        <v>9.3114828010159911</v>
      </c>
      <c r="S210">
        <f t="shared" si="76"/>
        <v>24.216518480422593</v>
      </c>
      <c r="T210">
        <f t="shared" si="77"/>
        <v>5772.9384167911439</v>
      </c>
      <c r="U210">
        <f t="shared" si="78"/>
        <v>14.407632171842312</v>
      </c>
      <c r="V210">
        <f t="shared" si="79"/>
        <v>6.0632168959862538</v>
      </c>
      <c r="W210">
        <f t="shared" si="80"/>
        <v>3725.1055324564477</v>
      </c>
      <c r="X210">
        <f t="shared" si="81"/>
        <v>22.328058234896982</v>
      </c>
      <c r="Y210">
        <f t="shared" si="82"/>
        <v>1.9966018986476151</v>
      </c>
      <c r="Z210">
        <f t="shared" si="83"/>
        <v>2808.4565270875833</v>
      </c>
      <c r="AA210">
        <f t="shared" si="84"/>
        <v>29.61568835323142</v>
      </c>
      <c r="AB210">
        <f t="shared" si="85"/>
        <v>1.3408014671606796</v>
      </c>
      <c r="AC210">
        <f t="shared" si="86"/>
        <v>1443.234604197786</v>
      </c>
      <c r="AD210">
        <f t="shared" si="87"/>
        <v>57.630528687369249</v>
      </c>
      <c r="AE210">
        <f t="shared" si="88"/>
        <v>1.0666879705404515</v>
      </c>
      <c r="AF210">
        <f t="shared" si="89"/>
        <v>1326.2155822358034</v>
      </c>
      <c r="AG210">
        <f t="shared" si="90"/>
        <v>62.715575336254766</v>
      </c>
      <c r="AH210">
        <f t="shared" si="91"/>
        <v>1.0629150121798228</v>
      </c>
      <c r="AI210" cm="1">
        <f t="array" ref="AI210">_xlfn.LET(
    _xlpm.vals,   _xlfn.HSTACK(S210,V210,Y210,AB210,AE210,AH210),
    _xlpm.ints,   _xlfn.HSTACK(R210,U210,X210,AA210,AD210,AG210),
    _xlpm.slopes, _xlfn.HSTACK(Q210,T210,W210,Z210,AC210,AF210),
    _xlpm.limit,  -0.00001*_xlpm.slopes + 0.1086*_xlpm.slopes + 63.253,
    _xlpm.mask,   (_xlpm.vals&gt;=0) * (_xlpm.ints&lt;=_xlpm.limit),
    _xlpm.validVals, _xlfn._xlws.FILTER(_xlpm.vals, _xlpm.mask),
    _xlpm.minVal, MIN(_xlpm.validVals),
    IFERROR( _xlfn.XMATCH(_xlpm.minVal, _xlpm.vals), "" )
)</f>
        <v>6</v>
      </c>
      <c r="AJ210" cm="1">
        <f t="array" ref="AJ210">_xlfn.LET(
    _xlpm.vals, CHOOSE({1,2,3,4,5,6}, S210, V210, Y210, AB210, AE210, AH210),
    _xlpm.slopes, CHOOSE({1,2,3,4,5,6}, Q210, T210, W210, Z210, AC210, AF210),
    _xlpm.ints, CHOOSE({1,2,3,4,5,6}, R210, U210, X210, AA210, AD210, AG210),
    _xlpm.limit, -0.00001*_xlpm.slopes + 0.1086*_xlpm.slopes + 63.253,
    _xlpm.valid, (_xlpm.vals &gt;= 0) * (_xlpm.ints &lt;= _xlpm.limit),
    _xlpm.target, MIN(_xlfn._xlws.FILTER(_xlpm.vals, _xlpm.valid)),
    IFERROR(
        _xlfn.XLOOKUP(_xlpm.target, _xlpm.vals, _xlpm.vals),
        CHOOSE({1,2,3,4,5,6}, S$1, V$1, Y$1, AB$1, AE$1, AH$1)
    )
)</f>
        <v>1.0629150121798228</v>
      </c>
    </row>
    <row r="211" spans="9:36" x14ac:dyDescent="0.45">
      <c r="I211">
        <v>209</v>
      </c>
      <c r="J211">
        <v>46.9</v>
      </c>
      <c r="K211">
        <f t="shared" si="70"/>
        <v>46.9</v>
      </c>
      <c r="L211">
        <f t="shared" si="69"/>
        <v>1.3027777777777777E-2</v>
      </c>
      <c r="M211">
        <v>13.76</v>
      </c>
      <c r="N211">
        <f t="shared" si="71"/>
        <v>13.76</v>
      </c>
      <c r="O211">
        <f t="shared" si="72"/>
        <v>609.47407271865961</v>
      </c>
      <c r="P211">
        <f t="shared" si="73"/>
        <v>1950.3170326997108</v>
      </c>
      <c r="Q211">
        <f t="shared" si="74"/>
        <v>8932.4520097646764</v>
      </c>
      <c r="R211">
        <f t="shared" si="75"/>
        <v>14.710218523763494</v>
      </c>
      <c r="S211">
        <f t="shared" si="76"/>
        <v>24.108756398111705</v>
      </c>
      <c r="T211">
        <f t="shared" si="77"/>
        <v>5772.9384167911439</v>
      </c>
      <c r="U211">
        <f t="shared" si="78"/>
        <v>22.761081364471895</v>
      </c>
      <c r="V211">
        <f t="shared" si="79"/>
        <v>6.1728163733361345</v>
      </c>
      <c r="W211">
        <f t="shared" si="80"/>
        <v>3725.1055324564477</v>
      </c>
      <c r="X211">
        <f t="shared" si="81"/>
        <v>35.273717716668486</v>
      </c>
      <c r="Y211">
        <f t="shared" si="82"/>
        <v>2.2596555941571013</v>
      </c>
      <c r="Z211">
        <f t="shared" si="83"/>
        <v>2808.4565270875833</v>
      </c>
      <c r="AA211">
        <f t="shared" si="84"/>
        <v>46.786667249192234</v>
      </c>
      <c r="AB211">
        <f t="shared" si="85"/>
        <v>1.682010892954666</v>
      </c>
      <c r="AC211">
        <f t="shared" si="86"/>
        <v>1443.234604197786</v>
      </c>
      <c r="AD211">
        <f t="shared" si="87"/>
        <v>91.044325457887581</v>
      </c>
      <c r="AE211">
        <f t="shared" si="88"/>
        <v>1.523977751142815</v>
      </c>
      <c r="AF211">
        <f t="shared" si="89"/>
        <v>1326.2155822358034</v>
      </c>
      <c r="AG211">
        <f t="shared" si="90"/>
        <v>99.077648292407076</v>
      </c>
      <c r="AH211">
        <f t="shared" si="91"/>
        <v>1.5183546776303269</v>
      </c>
      <c r="AI211" cm="1">
        <f t="array" ref="AI211">_xlfn.LET(
    _xlpm.vals,   _xlfn.HSTACK(S211,V211,Y211,AB211,AE211,AH211),
    _xlpm.ints,   _xlfn.HSTACK(R211,U211,X211,AA211,AD211,AG211),
    _xlpm.slopes, _xlfn.HSTACK(Q211,T211,W211,Z211,AC211,AF211),
    _xlpm.limit,  -0.00001*_xlpm.slopes + 0.1086*_xlpm.slopes + 63.253,
    _xlpm.mask,   (_xlpm.vals&gt;=0) * (_xlpm.ints&lt;=_xlpm.limit),
    _xlpm.validVals, _xlfn._xlws.FILTER(_xlpm.vals, _xlpm.mask),
    _xlpm.minVal, MIN(_xlpm.validVals),
    IFERROR( _xlfn.XMATCH(_xlpm.minVal, _xlpm.vals), "" )
)</f>
        <v>6</v>
      </c>
      <c r="AJ211" cm="1">
        <f t="array" ref="AJ211">_xlfn.LET(
    _xlpm.vals, CHOOSE({1,2,3,4,5,6}, S211, V211, Y211, AB211, AE211, AH211),
    _xlpm.slopes, CHOOSE({1,2,3,4,5,6}, Q211, T211, W211, Z211, AC211, AF211),
    _xlpm.ints, CHOOSE({1,2,3,4,5,6}, R211, U211, X211, AA211, AD211, AG211),
    _xlpm.limit, -0.00001*_xlpm.slopes + 0.1086*_xlpm.slopes + 63.253,
    _xlpm.valid, (_xlpm.vals &gt;= 0) * (_xlpm.ints &lt;= _xlpm.limit),
    _xlpm.target, MIN(_xlfn._xlws.FILTER(_xlpm.vals, _xlpm.valid)),
    IFERROR(
        _xlfn.XLOOKUP(_xlpm.target, _xlpm.vals, _xlpm.vals),
        CHOOSE({1,2,3,4,5,6}, S$1, V$1, Y$1, AB$1, AE$1, AH$1)
    )
)</f>
        <v>1.5183546776303269</v>
      </c>
    </row>
    <row r="212" spans="9:36" x14ac:dyDescent="0.45">
      <c r="I212">
        <v>210</v>
      </c>
      <c r="J212">
        <v>47</v>
      </c>
      <c r="K212">
        <f t="shared" si="70"/>
        <v>47</v>
      </c>
      <c r="L212">
        <f t="shared" si="69"/>
        <v>1.3055555555555556E-2</v>
      </c>
      <c r="M212">
        <v>6.1</v>
      </c>
      <c r="N212">
        <f t="shared" si="71"/>
        <v>6.1</v>
      </c>
      <c r="O212">
        <f t="shared" si="72"/>
        <v>610.7735909973776</v>
      </c>
      <c r="P212">
        <f t="shared" si="73"/>
        <v>1954.4754911916084</v>
      </c>
      <c r="Q212">
        <f t="shared" si="74"/>
        <v>8951.4977496575666</v>
      </c>
      <c r="R212">
        <f t="shared" si="75"/>
        <v>6.5073701408082281</v>
      </c>
      <c r="S212">
        <f t="shared" si="76"/>
        <v>24.446157770138999</v>
      </c>
      <c r="T212">
        <f t="shared" si="77"/>
        <v>5785.2474539271607</v>
      </c>
      <c r="U212">
        <f t="shared" si="78"/>
        <v>10.068836231385704</v>
      </c>
      <c r="V212">
        <f t="shared" si="79"/>
        <v>6.0539264242016912</v>
      </c>
      <c r="W212">
        <f t="shared" si="80"/>
        <v>3733.048188175972</v>
      </c>
      <c r="X212">
        <f t="shared" si="81"/>
        <v>15.60406033764486</v>
      </c>
      <c r="Y212">
        <f t="shared" si="82"/>
        <v>1.8816341118683084</v>
      </c>
      <c r="Z212">
        <f t="shared" si="83"/>
        <v>2814.4447073159158</v>
      </c>
      <c r="AA212">
        <f t="shared" si="84"/>
        <v>20.69705225340395</v>
      </c>
      <c r="AB212">
        <f t="shared" si="85"/>
        <v>1.1833004436704149</v>
      </c>
      <c r="AC212">
        <f t="shared" si="86"/>
        <v>1446.3118634817902</v>
      </c>
      <c r="AD212">
        <f t="shared" si="87"/>
        <v>40.275344925542818</v>
      </c>
      <c r="AE212">
        <f t="shared" si="88"/>
        <v>0.83849790030721094</v>
      </c>
      <c r="AF212">
        <f t="shared" si="89"/>
        <v>1329.0433340102938</v>
      </c>
      <c r="AG212">
        <f t="shared" si="90"/>
        <v>43.829051830737761</v>
      </c>
      <c r="AH212">
        <f t="shared" si="91"/>
        <v>0.82859831523412497</v>
      </c>
      <c r="AI212" cm="1">
        <f t="array" ref="AI212">_xlfn.LET(
    _xlpm.vals,   _xlfn.HSTACK(S212,V212,Y212,AB212,AE212,AH212),
    _xlpm.ints,   _xlfn.HSTACK(R212,U212,X212,AA212,AD212,AG212),
    _xlpm.slopes, _xlfn.HSTACK(Q212,T212,W212,Z212,AC212,AF212),
    _xlpm.limit,  -0.00001*_xlpm.slopes + 0.1086*_xlpm.slopes + 63.253,
    _xlpm.mask,   (_xlpm.vals&gt;=0) * (_xlpm.ints&lt;=_xlpm.limit),
    _xlpm.validVals, _xlfn._xlws.FILTER(_xlpm.vals, _xlpm.mask),
    _xlpm.minVal, MIN(_xlpm.validVals),
    IFERROR( _xlfn.XMATCH(_xlpm.minVal, _xlpm.vals), "" )
)</f>
        <v>6</v>
      </c>
      <c r="AJ212" cm="1">
        <f t="array" ref="AJ212">_xlfn.LET(
    _xlpm.vals, CHOOSE({1,2,3,4,5,6}, S212, V212, Y212, AB212, AE212, AH212),
    _xlpm.slopes, CHOOSE({1,2,3,4,5,6}, Q212, T212, W212, Z212, AC212, AF212),
    _xlpm.ints, CHOOSE({1,2,3,4,5,6}, R212, U212, X212, AA212, AD212, AG212),
    _xlpm.limit, -0.00001*_xlpm.slopes + 0.1086*_xlpm.slopes + 63.253,
    _xlpm.valid, (_xlpm.vals &gt;= 0) * (_xlpm.ints &lt;= _xlpm.limit),
    _xlpm.target, MIN(_xlfn._xlws.FILTER(_xlpm.vals, _xlpm.valid)),
    IFERROR(
        _xlfn.XLOOKUP(_xlpm.target, _xlpm.vals, _xlpm.vals),
        CHOOSE({1,2,3,4,5,6}, S$1, V$1, Y$1, AB$1, AE$1, AH$1)
    )
)</f>
        <v>0.82859831523412497</v>
      </c>
    </row>
    <row r="213" spans="9:36" x14ac:dyDescent="0.45">
      <c r="I213">
        <v>211</v>
      </c>
      <c r="J213">
        <v>47</v>
      </c>
      <c r="K213">
        <f t="shared" si="70"/>
        <v>47</v>
      </c>
      <c r="L213">
        <f t="shared" si="69"/>
        <v>1.3055555555555556E-2</v>
      </c>
      <c r="M213">
        <v>5.32</v>
      </c>
      <c r="N213">
        <f t="shared" si="71"/>
        <v>5.32</v>
      </c>
      <c r="O213">
        <f t="shared" si="72"/>
        <v>610.7735909973776</v>
      </c>
      <c r="P213">
        <f t="shared" si="73"/>
        <v>1954.4754911916084</v>
      </c>
      <c r="Q213">
        <f t="shared" si="74"/>
        <v>8951.4977496575666</v>
      </c>
      <c r="R213">
        <f t="shared" si="75"/>
        <v>5.6752801883770116</v>
      </c>
      <c r="S213">
        <f t="shared" si="76"/>
        <v>24.465135147416245</v>
      </c>
      <c r="T213">
        <f t="shared" si="77"/>
        <v>5785.2474539271607</v>
      </c>
      <c r="U213">
        <f t="shared" si="78"/>
        <v>8.7813456968806474</v>
      </c>
      <c r="V213">
        <f t="shared" si="79"/>
        <v>6.0406100396824129</v>
      </c>
      <c r="W213">
        <f t="shared" si="80"/>
        <v>3733.048188175972</v>
      </c>
      <c r="X213">
        <f t="shared" si="81"/>
        <v>13.60878704856896</v>
      </c>
      <c r="Y213">
        <f t="shared" si="82"/>
        <v>1.8466385430238215</v>
      </c>
      <c r="Z213">
        <f t="shared" si="83"/>
        <v>2814.4447073159158</v>
      </c>
      <c r="AA213">
        <f t="shared" si="84"/>
        <v>18.050543932476888</v>
      </c>
      <c r="AB213">
        <f t="shared" si="85"/>
        <v>1.1378208790759687</v>
      </c>
      <c r="AC213">
        <f t="shared" si="86"/>
        <v>1446.3118634817902</v>
      </c>
      <c r="AD213">
        <f t="shared" si="87"/>
        <v>35.125382787522589</v>
      </c>
      <c r="AE213">
        <f t="shared" si="88"/>
        <v>0.77356370182157541</v>
      </c>
      <c r="AF213">
        <f t="shared" si="89"/>
        <v>1329.0433340102938</v>
      </c>
      <c r="AG213">
        <f t="shared" si="90"/>
        <v>38.224681268774575</v>
      </c>
      <c r="AH213">
        <f t="shared" si="91"/>
        <v>0.7615667624594844</v>
      </c>
      <c r="AI213" cm="1">
        <f t="array" ref="AI213">_xlfn.LET(
    _xlpm.vals,   _xlfn.HSTACK(S213,V213,Y213,AB213,AE213,AH213),
    _xlpm.ints,   _xlfn.HSTACK(R213,U213,X213,AA213,AD213,AG213),
    _xlpm.slopes, _xlfn.HSTACK(Q213,T213,W213,Z213,AC213,AF213),
    _xlpm.limit,  -0.00001*_xlpm.slopes + 0.1086*_xlpm.slopes + 63.253,
    _xlpm.mask,   (_xlpm.vals&gt;=0) * (_xlpm.ints&lt;=_xlpm.limit),
    _xlpm.validVals, _xlfn._xlws.FILTER(_xlpm.vals, _xlpm.mask),
    _xlpm.minVal, MIN(_xlpm.validVals),
    IFERROR( _xlfn.XMATCH(_xlpm.minVal, _xlpm.vals), "" )
)</f>
        <v>6</v>
      </c>
      <c r="AJ213" cm="1">
        <f t="array" ref="AJ213">_xlfn.LET(
    _xlpm.vals, CHOOSE({1,2,3,4,5,6}, S213, V213, Y213, AB213, AE213, AH213),
    _xlpm.slopes, CHOOSE({1,2,3,4,5,6}, Q213, T213, W213, Z213, AC213, AF213),
    _xlpm.ints, CHOOSE({1,2,3,4,5,6}, R213, U213, X213, AA213, AD213, AG213),
    _xlpm.limit, -0.00001*_xlpm.slopes + 0.1086*_xlpm.slopes + 63.253,
    _xlpm.valid, (_xlpm.vals &gt;= 0) * (_xlpm.ints &lt;= _xlpm.limit),
    _xlpm.target, MIN(_xlfn._xlws.FILTER(_xlpm.vals, _xlpm.valid)),
    IFERROR(
        _xlfn.XLOOKUP(_xlpm.target, _xlpm.vals, _xlpm.vals),
        CHOOSE({1,2,3,4,5,6}, S$1, V$1, Y$1, AB$1, AE$1, AH$1)
    )
)</f>
        <v>0.7615667624594844</v>
      </c>
    </row>
    <row r="214" spans="9:36" x14ac:dyDescent="0.45">
      <c r="I214">
        <v>212</v>
      </c>
      <c r="J214">
        <v>47</v>
      </c>
      <c r="K214">
        <f t="shared" si="70"/>
        <v>47</v>
      </c>
      <c r="L214">
        <f t="shared" si="69"/>
        <v>1.3055555555555556E-2</v>
      </c>
      <c r="M214">
        <v>7.13</v>
      </c>
      <c r="N214">
        <f t="shared" si="71"/>
        <v>7.13</v>
      </c>
      <c r="O214">
        <f t="shared" si="72"/>
        <v>610.7735909973776</v>
      </c>
      <c r="P214">
        <f t="shared" si="73"/>
        <v>1954.4754911916084</v>
      </c>
      <c r="Q214">
        <f t="shared" si="74"/>
        <v>8951.4977496575666</v>
      </c>
      <c r="R214">
        <f t="shared" si="75"/>
        <v>7.6061555908135521</v>
      </c>
      <c r="S214">
        <f t="shared" si="76"/>
        <v>24.421565530083935</v>
      </c>
      <c r="T214">
        <f t="shared" si="77"/>
        <v>5785.2474539271607</v>
      </c>
      <c r="U214">
        <f t="shared" si="78"/>
        <v>11.768983988488536</v>
      </c>
      <c r="V214">
        <f t="shared" si="79"/>
        <v>6.0722845395081686</v>
      </c>
      <c r="W214">
        <f t="shared" si="80"/>
        <v>3733.048188175972</v>
      </c>
      <c r="X214">
        <f t="shared" si="81"/>
        <v>18.238844296296371</v>
      </c>
      <c r="Y214">
        <f t="shared" si="82"/>
        <v>1.929124207406093</v>
      </c>
      <c r="Z214">
        <f t="shared" si="83"/>
        <v>2814.4447073159158</v>
      </c>
      <c r="AA214">
        <f t="shared" si="84"/>
        <v>24.191800420781995</v>
      </c>
      <c r="AB214">
        <f t="shared" si="85"/>
        <v>1.2450890004268658</v>
      </c>
      <c r="AC214">
        <f t="shared" si="86"/>
        <v>1446.3118634817902</v>
      </c>
      <c r="AD214">
        <f t="shared" si="87"/>
        <v>47.075935953954144</v>
      </c>
      <c r="AE214">
        <f t="shared" si="88"/>
        <v>0.92686173454309995</v>
      </c>
      <c r="AF214">
        <f t="shared" si="89"/>
        <v>1329.0433340102938</v>
      </c>
      <c r="AG214">
        <f t="shared" si="90"/>
        <v>51.229695008714799</v>
      </c>
      <c r="AH214">
        <f t="shared" si="91"/>
        <v>0.91962295151213014</v>
      </c>
      <c r="AI214" cm="1">
        <f t="array" ref="AI214">_xlfn.LET(
    _xlpm.vals,   _xlfn.HSTACK(S214,V214,Y214,AB214,AE214,AH214),
    _xlpm.ints,   _xlfn.HSTACK(R214,U214,X214,AA214,AD214,AG214),
    _xlpm.slopes, _xlfn.HSTACK(Q214,T214,W214,Z214,AC214,AF214),
    _xlpm.limit,  -0.00001*_xlpm.slopes + 0.1086*_xlpm.slopes + 63.253,
    _xlpm.mask,   (_xlpm.vals&gt;=0) * (_xlpm.ints&lt;=_xlpm.limit),
    _xlpm.validVals, _xlfn._xlws.FILTER(_xlpm.vals, _xlpm.mask),
    _xlpm.minVal, MIN(_xlpm.validVals),
    IFERROR( _xlfn.XMATCH(_xlpm.minVal, _xlpm.vals), "" )
)</f>
        <v>6</v>
      </c>
      <c r="AJ214" cm="1">
        <f t="array" ref="AJ214">_xlfn.LET(
    _xlpm.vals, CHOOSE({1,2,3,4,5,6}, S214, V214, Y214, AB214, AE214, AH214),
    _xlpm.slopes, CHOOSE({1,2,3,4,5,6}, Q214, T214, W214, Z214, AC214, AF214),
    _xlpm.ints, CHOOSE({1,2,3,4,5,6}, R214, U214, X214, AA214, AD214, AG214),
    _xlpm.limit, -0.00001*_xlpm.slopes + 0.1086*_xlpm.slopes + 63.253,
    _xlpm.valid, (_xlpm.vals &gt;= 0) * (_xlpm.ints &lt;= _xlpm.limit),
    _xlpm.target, MIN(_xlfn._xlws.FILTER(_xlpm.vals, _xlpm.valid)),
    IFERROR(
        _xlfn.XLOOKUP(_xlpm.target, _xlpm.vals, _xlpm.vals),
        CHOOSE({1,2,3,4,5,6}, S$1, V$1, Y$1, AB$1, AE$1, AH$1)
    )
)</f>
        <v>0.91962295151213014</v>
      </c>
    </row>
    <row r="215" spans="9:36" x14ac:dyDescent="0.45">
      <c r="I215">
        <v>213</v>
      </c>
      <c r="J215">
        <v>47.2</v>
      </c>
      <c r="K215">
        <f t="shared" si="70"/>
        <v>47.2</v>
      </c>
      <c r="L215">
        <f t="shared" si="69"/>
        <v>1.3111111111111112E-2</v>
      </c>
      <c r="M215">
        <v>11.68</v>
      </c>
      <c r="N215">
        <f t="shared" si="71"/>
        <v>11.68</v>
      </c>
      <c r="O215">
        <f t="shared" si="72"/>
        <v>613.37262755481333</v>
      </c>
      <c r="P215">
        <f t="shared" si="73"/>
        <v>1962.7924081754027</v>
      </c>
      <c r="Q215">
        <f t="shared" si="74"/>
        <v>8989.5892294433452</v>
      </c>
      <c r="R215">
        <f t="shared" si="75"/>
        <v>12.407216978667979</v>
      </c>
      <c r="S215">
        <f t="shared" si="76"/>
        <v>24.656887618577713</v>
      </c>
      <c r="T215">
        <f t="shared" si="77"/>
        <v>5809.8655281991914</v>
      </c>
      <c r="U215">
        <f t="shared" si="78"/>
        <v>19.197653298074105</v>
      </c>
      <c r="V215">
        <f t="shared" si="79"/>
        <v>6.2410919079145009</v>
      </c>
      <c r="W215">
        <f t="shared" si="80"/>
        <v>3748.9334996150187</v>
      </c>
      <c r="X215">
        <f t="shared" si="81"/>
        <v>29.751337048324267</v>
      </c>
      <c r="Y215">
        <f t="shared" si="82"/>
        <v>2.1710112829511008</v>
      </c>
      <c r="Z215">
        <f t="shared" si="83"/>
        <v>2826.4210677725796</v>
      </c>
      <c r="AA215">
        <f t="shared" si="84"/>
        <v>39.461842890485663</v>
      </c>
      <c r="AB215">
        <f t="shared" si="85"/>
        <v>1.5442824508938433</v>
      </c>
      <c r="AC215">
        <f t="shared" si="86"/>
        <v>1452.4663820497979</v>
      </c>
      <c r="AD215">
        <f t="shared" si="87"/>
        <v>76.790613192296419</v>
      </c>
      <c r="AE215">
        <f t="shared" si="88"/>
        <v>1.3367258794222283</v>
      </c>
      <c r="AF215">
        <f t="shared" si="89"/>
        <v>1334.6988375592739</v>
      </c>
      <c r="AG215">
        <f t="shared" si="90"/>
        <v>83.56625553279315</v>
      </c>
      <c r="AH215">
        <f t="shared" si="91"/>
        <v>1.3351953020174931</v>
      </c>
      <c r="AI215" cm="1">
        <f t="array" ref="AI215">_xlfn.LET(
    _xlpm.vals,   _xlfn.HSTACK(S215,V215,Y215,AB215,AE215,AH215),
    _xlpm.ints,   _xlfn.HSTACK(R215,U215,X215,AA215,AD215,AG215),
    _xlpm.slopes, _xlfn.HSTACK(Q215,T215,W215,Z215,AC215,AF215),
    _xlpm.limit,  -0.00001*_xlpm.slopes + 0.1086*_xlpm.slopes + 63.253,
    _xlpm.mask,   (_xlpm.vals&gt;=0) * (_xlpm.ints&lt;=_xlpm.limit),
    _xlpm.validVals, _xlfn._xlws.FILTER(_xlpm.vals, _xlpm.mask),
    _xlpm.minVal, MIN(_xlpm.validVals),
    IFERROR( _xlfn.XMATCH(_xlpm.minVal, _xlpm.vals), "" )
)</f>
        <v>6</v>
      </c>
      <c r="AJ215" cm="1">
        <f t="array" ref="AJ215">_xlfn.LET(
    _xlpm.vals, CHOOSE({1,2,3,4,5,6}, S215, V215, Y215, AB215, AE215, AH215),
    _xlpm.slopes, CHOOSE({1,2,3,4,5,6}, Q215, T215, W215, Z215, AC215, AF215),
    _xlpm.ints, CHOOSE({1,2,3,4,5,6}, R215, U215, X215, AA215, AD215, AG215),
    _xlpm.limit, -0.00001*_xlpm.slopes + 0.1086*_xlpm.slopes + 63.253,
    _xlpm.valid, (_xlpm.vals &gt;= 0) * (_xlpm.ints &lt;= _xlpm.limit),
    _xlpm.target, MIN(_xlfn._xlws.FILTER(_xlpm.vals, _xlpm.valid)),
    IFERROR(
        _xlfn.XLOOKUP(_xlpm.target, _xlpm.vals, _xlpm.vals),
        CHOOSE({1,2,3,4,5,6}, S$1, V$1, Y$1, AB$1, AE$1, AH$1)
    )
)</f>
        <v>1.3351953020174931</v>
      </c>
    </row>
    <row r="216" spans="9:36" x14ac:dyDescent="0.45">
      <c r="I216">
        <v>214</v>
      </c>
      <c r="J216">
        <v>47.6</v>
      </c>
      <c r="K216">
        <f t="shared" si="70"/>
        <v>47.6</v>
      </c>
      <c r="L216">
        <f t="shared" si="69"/>
        <v>1.3222222222222222E-2</v>
      </c>
      <c r="M216">
        <v>14.5</v>
      </c>
      <c r="N216">
        <f t="shared" si="71"/>
        <v>14.5</v>
      </c>
      <c r="O216">
        <f t="shared" si="72"/>
        <v>618.57070066968447</v>
      </c>
      <c r="P216">
        <f t="shared" si="73"/>
        <v>1979.4262421429903</v>
      </c>
      <c r="Q216">
        <f t="shared" si="74"/>
        <v>9065.772189014895</v>
      </c>
      <c r="R216">
        <f t="shared" si="75"/>
        <v>15.273359798046592</v>
      </c>
      <c r="S216">
        <f t="shared" si="76"/>
        <v>25.279410179551508</v>
      </c>
      <c r="T216">
        <f t="shared" si="77"/>
        <v>5859.1016767432511</v>
      </c>
      <c r="U216">
        <f t="shared" si="78"/>
        <v>23.632428336166686</v>
      </c>
      <c r="V216">
        <f t="shared" si="79"/>
        <v>6.4602008471675951</v>
      </c>
      <c r="W216">
        <f t="shared" si="80"/>
        <v>3780.7041224931113</v>
      </c>
      <c r="X216">
        <f t="shared" si="81"/>
        <v>36.624077421493922</v>
      </c>
      <c r="Y216">
        <f t="shared" si="82"/>
        <v>2.3533449027190878</v>
      </c>
      <c r="Z216">
        <f t="shared" si="83"/>
        <v>2850.3737886859058</v>
      </c>
      <c r="AA216">
        <f t="shared" si="84"/>
        <v>48.577769357675969</v>
      </c>
      <c r="AB216">
        <f t="shared" si="85"/>
        <v>1.7499196155246501</v>
      </c>
      <c r="AC216">
        <f t="shared" si="86"/>
        <v>1464.7754191858128</v>
      </c>
      <c r="AD216">
        <f t="shared" si="87"/>
        <v>94.529713344666746</v>
      </c>
      <c r="AE216">
        <f t="shared" si="88"/>
        <v>1.5897664212697111</v>
      </c>
      <c r="AF216">
        <f t="shared" si="89"/>
        <v>1346.0098446572335</v>
      </c>
      <c r="AG216">
        <f t="shared" si="90"/>
        <v>102.87057040449025</v>
      </c>
      <c r="AH216">
        <f t="shared" si="91"/>
        <v>1.5827146720693825</v>
      </c>
      <c r="AI216" cm="1">
        <f t="array" ref="AI216">_xlfn.LET(
    _xlpm.vals,   _xlfn.HSTACK(S216,V216,Y216,AB216,AE216,AH216),
    _xlpm.ints,   _xlfn.HSTACK(R216,U216,X216,AA216,AD216,AG216),
    _xlpm.slopes, _xlfn.HSTACK(Q216,T216,W216,Z216,AC216,AF216),
    _xlpm.limit,  -0.00001*_xlpm.slopes + 0.1086*_xlpm.slopes + 63.253,
    _xlpm.mask,   (_xlpm.vals&gt;=0) * (_xlpm.ints&lt;=_xlpm.limit),
    _xlpm.validVals, _xlfn._xlws.FILTER(_xlpm.vals, _xlpm.mask),
    _xlpm.minVal, MIN(_xlpm.validVals),
    IFERROR( _xlfn.XMATCH(_xlpm.minVal, _xlpm.vals), "" )
)</f>
        <v>6</v>
      </c>
      <c r="AJ216" cm="1">
        <f t="array" ref="AJ216">_xlfn.LET(
    _xlpm.vals, CHOOSE({1,2,3,4,5,6}, S216, V216, Y216, AB216, AE216, AH216),
    _xlpm.slopes, CHOOSE({1,2,3,4,5,6}, Q216, T216, W216, Z216, AC216, AF216),
    _xlpm.ints, CHOOSE({1,2,3,4,5,6}, R216, U216, X216, AA216, AD216, AG216),
    _xlpm.limit, -0.00001*_xlpm.slopes + 0.1086*_xlpm.slopes + 63.253,
    _xlpm.valid, (_xlpm.vals &gt;= 0) * (_xlpm.ints &lt;= _xlpm.limit),
    _xlpm.target, MIN(_xlfn._xlws.FILTER(_xlpm.vals, _xlpm.valid)),
    IFERROR(
        _xlfn.XLOOKUP(_xlpm.target, _xlpm.vals, _xlpm.vals),
        CHOOSE({1,2,3,4,5,6}, S$1, V$1, Y$1, AB$1, AE$1, AH$1)
    )
)</f>
        <v>1.5827146720693825</v>
      </c>
    </row>
    <row r="217" spans="9:36" x14ac:dyDescent="0.45">
      <c r="I217">
        <v>215</v>
      </c>
      <c r="J217">
        <v>48</v>
      </c>
      <c r="K217">
        <f t="shared" si="70"/>
        <v>48</v>
      </c>
      <c r="L217">
        <f t="shared" si="69"/>
        <v>1.3333333333333332E-2</v>
      </c>
      <c r="M217">
        <v>14.87</v>
      </c>
      <c r="N217">
        <f t="shared" si="71"/>
        <v>14.87</v>
      </c>
      <c r="O217">
        <f t="shared" si="72"/>
        <v>623.76877378455583</v>
      </c>
      <c r="P217">
        <f t="shared" si="73"/>
        <v>1996.0600761105788</v>
      </c>
      <c r="Q217">
        <f t="shared" si="74"/>
        <v>9141.9551485864504</v>
      </c>
      <c r="R217">
        <f t="shared" si="75"/>
        <v>15.532568024964011</v>
      </c>
      <c r="S217">
        <f t="shared" si="76"/>
        <v>25.96667457824158</v>
      </c>
      <c r="T217">
        <f t="shared" si="77"/>
        <v>5908.3378252873135</v>
      </c>
      <c r="U217">
        <f t="shared" si="78"/>
        <v>24.033500525113233</v>
      </c>
      <c r="V217">
        <f t="shared" si="79"/>
        <v>6.6271191359283135</v>
      </c>
      <c r="W217">
        <f t="shared" si="80"/>
        <v>3812.4747453712052</v>
      </c>
      <c r="X217">
        <f t="shared" si="81"/>
        <v>37.245634321641454</v>
      </c>
      <c r="Y217">
        <f t="shared" si="82"/>
        <v>2.4047055521750016</v>
      </c>
      <c r="Z217">
        <f t="shared" si="83"/>
        <v>2874.3265095992333</v>
      </c>
      <c r="AA217">
        <f t="shared" si="84"/>
        <v>49.402195523843872</v>
      </c>
      <c r="AB217">
        <f t="shared" si="85"/>
        <v>1.7851502424696917</v>
      </c>
      <c r="AC217">
        <f t="shared" si="86"/>
        <v>1477.0844563218284</v>
      </c>
      <c r="AD217">
        <f t="shared" si="87"/>
        <v>96.134002100452932</v>
      </c>
      <c r="AE217">
        <f t="shared" si="88"/>
        <v>1.6224884831953603</v>
      </c>
      <c r="AF217">
        <f t="shared" si="89"/>
        <v>1357.3208517551936</v>
      </c>
      <c r="AG217">
        <f t="shared" si="90"/>
        <v>104.61641405049289</v>
      </c>
      <c r="AH217">
        <f t="shared" si="91"/>
        <v>1.6147240241244649</v>
      </c>
      <c r="AI217" cm="1">
        <f t="array" ref="AI217">_xlfn.LET(
    _xlpm.vals,   _xlfn.HSTACK(S217,V217,Y217,AB217,AE217,AH217),
    _xlpm.ints,   _xlfn.HSTACK(R217,U217,X217,AA217,AD217,AG217),
    _xlpm.slopes, _xlfn.HSTACK(Q217,T217,W217,Z217,AC217,AF217),
    _xlpm.limit,  -0.00001*_xlpm.slopes + 0.1086*_xlpm.slopes + 63.253,
    _xlpm.mask,   (_xlpm.vals&gt;=0) * (_xlpm.ints&lt;=_xlpm.limit),
    _xlpm.validVals, _xlfn._xlws.FILTER(_xlpm.vals, _xlpm.mask),
    _xlpm.minVal, MIN(_xlpm.validVals),
    IFERROR( _xlfn.XMATCH(_xlpm.minVal, _xlpm.vals), "" )
)</f>
        <v>6</v>
      </c>
      <c r="AJ217" cm="1">
        <f t="array" ref="AJ217">_xlfn.LET(
    _xlpm.vals, CHOOSE({1,2,3,4,5,6}, S217, V217, Y217, AB217, AE217, AH217),
    _xlpm.slopes, CHOOSE({1,2,3,4,5,6}, Q217, T217, W217, Z217, AC217, AF217),
    _xlpm.ints, CHOOSE({1,2,3,4,5,6}, R217, U217, X217, AA217, AD217, AG217),
    _xlpm.limit, -0.00001*_xlpm.slopes + 0.1086*_xlpm.slopes + 63.253,
    _xlpm.valid, (_xlpm.vals &gt;= 0) * (_xlpm.ints &lt;= _xlpm.limit),
    _xlpm.target, MIN(_xlfn._xlws.FILTER(_xlpm.vals, _xlpm.valid)),
    IFERROR(
        _xlfn.XLOOKUP(_xlpm.target, _xlpm.vals, _xlpm.vals),
        CHOOSE({1,2,3,4,5,6}, S$1, V$1, Y$1, AB$1, AE$1, AH$1)
    )
)</f>
        <v>1.6147240241244649</v>
      </c>
    </row>
    <row r="218" spans="9:36" x14ac:dyDescent="0.45">
      <c r="I218">
        <v>216</v>
      </c>
      <c r="J218">
        <v>48.5</v>
      </c>
      <c r="K218">
        <f t="shared" si="70"/>
        <v>48.5</v>
      </c>
      <c r="L218">
        <f t="shared" si="69"/>
        <v>1.3472222222222222E-2</v>
      </c>
      <c r="M218">
        <v>16.77</v>
      </c>
      <c r="N218">
        <f t="shared" si="71"/>
        <v>16.77</v>
      </c>
      <c r="O218">
        <f t="shared" si="72"/>
        <v>630.26636517814484</v>
      </c>
      <c r="P218">
        <f t="shared" si="73"/>
        <v>2016.8523685700636</v>
      </c>
      <c r="Q218">
        <f t="shared" si="74"/>
        <v>9237.1838480508923</v>
      </c>
      <c r="R218">
        <f t="shared" si="75"/>
        <v>17.33663705013905</v>
      </c>
      <c r="S218">
        <f t="shared" si="76"/>
        <v>26.810369863985155</v>
      </c>
      <c r="T218">
        <f t="shared" si="77"/>
        <v>5969.8830109673881</v>
      </c>
      <c r="U218">
        <f t="shared" si="78"/>
        <v>26.824931651904343</v>
      </c>
      <c r="V218">
        <f t="shared" si="79"/>
        <v>6.8722027965946273</v>
      </c>
      <c r="W218">
        <f t="shared" si="80"/>
        <v>3852.1880239688212</v>
      </c>
      <c r="X218">
        <f t="shared" si="81"/>
        <v>41.571621827035003</v>
      </c>
      <c r="Y218">
        <f t="shared" si="82"/>
        <v>2.5492175372482606</v>
      </c>
      <c r="Z218">
        <f t="shared" si="83"/>
        <v>2904.2674107408916</v>
      </c>
      <c r="AA218">
        <f t="shared" si="84"/>
        <v>55.140137284470043</v>
      </c>
      <c r="AB218">
        <f t="shared" si="85"/>
        <v>1.932780119751522</v>
      </c>
      <c r="AC218">
        <f t="shared" si="86"/>
        <v>1492.470752741847</v>
      </c>
      <c r="AD218">
        <f t="shared" si="87"/>
        <v>107.29972660761737</v>
      </c>
      <c r="AE218">
        <f t="shared" si="88"/>
        <v>1.7851085929228543</v>
      </c>
      <c r="AF218">
        <f t="shared" si="89"/>
        <v>1371.4596106276433</v>
      </c>
      <c r="AG218">
        <f t="shared" si="90"/>
        <v>116.76734954358359</v>
      </c>
      <c r="AH218">
        <f t="shared" si="91"/>
        <v>1.7682251288584983</v>
      </c>
      <c r="AI218" cm="1">
        <f t="array" ref="AI218">_xlfn.LET(
    _xlpm.vals,   _xlfn.HSTACK(S218,V218,Y218,AB218,AE218,AH218),
    _xlpm.ints,   _xlfn.HSTACK(R218,U218,X218,AA218,AD218,AG218),
    _xlpm.slopes, _xlfn.HSTACK(Q218,T218,W218,Z218,AC218,AF218),
    _xlpm.limit,  -0.00001*_xlpm.slopes + 0.1086*_xlpm.slopes + 63.253,
    _xlpm.mask,   (_xlpm.vals&gt;=0) * (_xlpm.ints&lt;=_xlpm.limit),
    _xlpm.validVals, _xlfn._xlws.FILTER(_xlpm.vals, _xlpm.mask),
    _xlpm.minVal, MIN(_xlpm.validVals),
    IFERROR( _xlfn.XMATCH(_xlpm.minVal, _xlpm.vals), "" )
)</f>
        <v>6</v>
      </c>
      <c r="AJ218" cm="1">
        <f t="array" ref="AJ218">_xlfn.LET(
    _xlpm.vals, CHOOSE({1,2,3,4,5,6}, S218, V218, Y218, AB218, AE218, AH218),
    _xlpm.slopes, CHOOSE({1,2,3,4,5,6}, Q218, T218, W218, Z218, AC218, AF218),
    _xlpm.ints, CHOOSE({1,2,3,4,5,6}, R218, U218, X218, AA218, AD218, AG218),
    _xlpm.limit, -0.00001*_xlpm.slopes + 0.1086*_xlpm.slopes + 63.253,
    _xlpm.valid, (_xlpm.vals &gt;= 0) * (_xlpm.ints &lt;= _xlpm.limit),
    _xlpm.target, MIN(_xlfn._xlws.FILTER(_xlpm.vals, _xlpm.valid)),
    IFERROR(
        _xlfn.XLOOKUP(_xlpm.target, _xlpm.vals, _xlpm.vals),
        CHOOSE({1,2,3,4,5,6}, S$1, V$1, Y$1, AB$1, AE$1, AH$1)
    )
)</f>
        <v>1.7682251288584983</v>
      </c>
    </row>
    <row r="219" spans="9:36" x14ac:dyDescent="0.45">
      <c r="I219">
        <v>217</v>
      </c>
      <c r="J219">
        <v>49</v>
      </c>
      <c r="K219">
        <f t="shared" si="70"/>
        <v>49</v>
      </c>
      <c r="L219">
        <f t="shared" si="69"/>
        <v>1.361111111111111E-2</v>
      </c>
      <c r="M219">
        <v>17.54</v>
      </c>
      <c r="N219">
        <f t="shared" si="71"/>
        <v>17.54</v>
      </c>
      <c r="O219">
        <f t="shared" si="72"/>
        <v>636.76395657173396</v>
      </c>
      <c r="P219">
        <f t="shared" si="73"/>
        <v>2037.6446610295488</v>
      </c>
      <c r="Q219">
        <f t="shared" si="74"/>
        <v>9332.4125475153342</v>
      </c>
      <c r="R219">
        <f t="shared" si="75"/>
        <v>17.94762728899126</v>
      </c>
      <c r="S219">
        <f t="shared" si="76"/>
        <v>27.698563911553801</v>
      </c>
      <c r="T219">
        <f t="shared" si="77"/>
        <v>6031.4281966474646</v>
      </c>
      <c r="U219">
        <f t="shared" si="78"/>
        <v>27.770315197155398</v>
      </c>
      <c r="V219">
        <f t="shared" si="79"/>
        <v>7.0956815194317926</v>
      </c>
      <c r="W219">
        <f t="shared" si="80"/>
        <v>3891.9013025664381</v>
      </c>
      <c r="X219">
        <f t="shared" si="81"/>
        <v>43.036718839570668</v>
      </c>
      <c r="Y219">
        <f t="shared" si="82"/>
        <v>2.6319699709268067</v>
      </c>
      <c r="Z219">
        <f t="shared" si="83"/>
        <v>2934.2083118825503</v>
      </c>
      <c r="AA219">
        <f t="shared" si="84"/>
        <v>57.083425683041646</v>
      </c>
      <c r="AB219">
        <f t="shared" si="85"/>
        <v>1.9995169961349208</v>
      </c>
      <c r="AC219">
        <f t="shared" si="86"/>
        <v>1507.8570491618661</v>
      </c>
      <c r="AD219">
        <f t="shared" si="87"/>
        <v>111.08126078862159</v>
      </c>
      <c r="AE219">
        <f t="shared" si="88"/>
        <v>1.8497146780975</v>
      </c>
      <c r="AF219">
        <f t="shared" si="89"/>
        <v>1385.5983695000932</v>
      </c>
      <c r="AG219">
        <f t="shared" si="90"/>
        <v>120.88254850526468</v>
      </c>
      <c r="AH219">
        <f t="shared" si="91"/>
        <v>1.8289753619350368</v>
      </c>
      <c r="AI219" cm="1">
        <f t="array" ref="AI219">_xlfn.LET(
    _xlpm.vals,   _xlfn.HSTACK(S219,V219,Y219,AB219,AE219,AH219),
    _xlpm.ints,   _xlfn.HSTACK(R219,U219,X219,AA219,AD219,AG219),
    _xlpm.slopes, _xlfn.HSTACK(Q219,T219,W219,Z219,AC219,AF219),
    _xlpm.limit,  -0.00001*_xlpm.slopes + 0.1086*_xlpm.slopes + 63.253,
    _xlpm.mask,   (_xlpm.vals&gt;=0) * (_xlpm.ints&lt;=_xlpm.limit),
    _xlpm.validVals, _xlfn._xlws.FILTER(_xlpm.vals, _xlpm.mask),
    _xlpm.minVal, MIN(_xlpm.validVals),
    IFERROR( _xlfn.XMATCH(_xlpm.minVal, _xlpm.vals), "" )
)</f>
        <v>6</v>
      </c>
      <c r="AJ219" cm="1">
        <f t="array" ref="AJ219">_xlfn.LET(
    _xlpm.vals, CHOOSE({1,2,3,4,5,6}, S219, V219, Y219, AB219, AE219, AH219),
    _xlpm.slopes, CHOOSE({1,2,3,4,5,6}, Q219, T219, W219, Z219, AC219, AF219),
    _xlpm.ints, CHOOSE({1,2,3,4,5,6}, R219, U219, X219, AA219, AD219, AG219),
    _xlpm.limit, -0.00001*_xlpm.slopes + 0.1086*_xlpm.slopes + 63.253,
    _xlpm.valid, (_xlpm.vals &gt;= 0) * (_xlpm.ints &lt;= _xlpm.limit),
    _xlpm.target, MIN(_xlfn._xlws.FILTER(_xlpm.vals, _xlpm.valid)),
    IFERROR(
        _xlfn.XLOOKUP(_xlpm.target, _xlpm.vals, _xlpm.vals),
        CHOOSE({1,2,3,4,5,6}, S$1, V$1, Y$1, AB$1, AE$1, AH$1)
    )
)</f>
        <v>1.8289753619350368</v>
      </c>
    </row>
    <row r="220" spans="9:36" x14ac:dyDescent="0.45">
      <c r="I220">
        <v>218</v>
      </c>
      <c r="J220">
        <v>49.7</v>
      </c>
      <c r="K220">
        <f t="shared" si="70"/>
        <v>49.7</v>
      </c>
      <c r="L220">
        <f t="shared" si="69"/>
        <v>1.3805555555555557E-2</v>
      </c>
      <c r="M220">
        <v>18.5</v>
      </c>
      <c r="N220">
        <f t="shared" si="71"/>
        <v>18.5</v>
      </c>
      <c r="O220">
        <f t="shared" si="72"/>
        <v>645.86058452275881</v>
      </c>
      <c r="P220">
        <f t="shared" si="73"/>
        <v>2066.7538704728281</v>
      </c>
      <c r="Q220">
        <f t="shared" si="74"/>
        <v>9465.7327267655528</v>
      </c>
      <c r="R220">
        <f t="shared" si="75"/>
        <v>18.663318723596515</v>
      </c>
      <c r="S220">
        <f t="shared" si="76"/>
        <v>28.978186245075015</v>
      </c>
      <c r="T220">
        <f t="shared" si="77"/>
        <v>6117.5914565995708</v>
      </c>
      <c r="U220">
        <f t="shared" si="78"/>
        <v>28.877702619618933</v>
      </c>
      <c r="V220">
        <f t="shared" si="79"/>
        <v>7.4133181341423562</v>
      </c>
      <c r="W220">
        <f t="shared" si="80"/>
        <v>3947.4998926031017</v>
      </c>
      <c r="X220">
        <f t="shared" si="81"/>
        <v>44.752879452393742</v>
      </c>
      <c r="Y220">
        <f t="shared" si="82"/>
        <v>2.7425614437241026</v>
      </c>
      <c r="Z220">
        <f t="shared" si="83"/>
        <v>2976.1255734808724</v>
      </c>
      <c r="AA220">
        <f t="shared" si="84"/>
        <v>59.359722051438915</v>
      </c>
      <c r="AB220">
        <f t="shared" si="85"/>
        <v>2.084708456002577</v>
      </c>
      <c r="AC220">
        <f t="shared" si="86"/>
        <v>1529.3978641498927</v>
      </c>
      <c r="AD220">
        <f t="shared" si="87"/>
        <v>115.51081047847573</v>
      </c>
      <c r="AE220">
        <f t="shared" si="88"/>
        <v>1.9291842839616269</v>
      </c>
      <c r="AF220">
        <f t="shared" si="89"/>
        <v>1405.3926319215232</v>
      </c>
      <c r="AG220">
        <f t="shared" si="90"/>
        <v>125.70294081481181</v>
      </c>
      <c r="AH220">
        <f t="shared" si="91"/>
        <v>1.9033402621737177</v>
      </c>
      <c r="AI220" cm="1">
        <f t="array" ref="AI220">_xlfn.LET(
    _xlpm.vals,   _xlfn.HSTACK(S220,V220,Y220,AB220,AE220,AH220),
    _xlpm.ints,   _xlfn.HSTACK(R220,U220,X220,AA220,AD220,AG220),
    _xlpm.slopes, _xlfn.HSTACK(Q220,T220,W220,Z220,AC220,AF220),
    _xlpm.limit,  -0.00001*_xlpm.slopes + 0.1086*_xlpm.slopes + 63.253,
    _xlpm.mask,   (_xlpm.vals&gt;=0) * (_xlpm.ints&lt;=_xlpm.limit),
    _xlpm.validVals, _xlfn._xlws.FILTER(_xlpm.vals, _xlpm.mask),
    _xlpm.minVal, MIN(_xlpm.validVals),
    IFERROR( _xlfn.XMATCH(_xlpm.minVal, _xlpm.vals), "" )
)</f>
        <v>6</v>
      </c>
      <c r="AJ220" cm="1">
        <f t="array" ref="AJ220">_xlfn.LET(
    _xlpm.vals, CHOOSE({1,2,3,4,5,6}, S220, V220, Y220, AB220, AE220, AH220),
    _xlpm.slopes, CHOOSE({1,2,3,4,5,6}, Q220, T220, W220, Z220, AC220, AF220),
    _xlpm.ints, CHOOSE({1,2,3,4,5,6}, R220, U220, X220, AA220, AD220, AG220),
    _xlpm.limit, -0.00001*_xlpm.slopes + 0.1086*_xlpm.slopes + 63.253,
    _xlpm.valid, (_xlpm.vals &gt;= 0) * (_xlpm.ints &lt;= _xlpm.limit),
    _xlpm.target, MIN(_xlfn._xlws.FILTER(_xlpm.vals, _xlpm.valid)),
    IFERROR(
        _xlfn.XLOOKUP(_xlpm.target, _xlpm.vals, _xlpm.vals),
        CHOOSE({1,2,3,4,5,6}, S$1, V$1, Y$1, AB$1, AE$1, AH$1)
    )
)</f>
        <v>1.9033402621737177</v>
      </c>
    </row>
    <row r="221" spans="9:36" x14ac:dyDescent="0.45">
      <c r="I221">
        <v>219</v>
      </c>
      <c r="J221">
        <v>50</v>
      </c>
      <c r="K221">
        <f t="shared" si="70"/>
        <v>50</v>
      </c>
      <c r="L221">
        <f t="shared" si="69"/>
        <v>1.3888888888888888E-2</v>
      </c>
      <c r="M221">
        <v>12.61</v>
      </c>
      <c r="N221">
        <f t="shared" si="71"/>
        <v>12.61</v>
      </c>
      <c r="O221">
        <f t="shared" si="72"/>
        <v>649.75913935891231</v>
      </c>
      <c r="P221">
        <f t="shared" si="73"/>
        <v>2079.2292459485193</v>
      </c>
      <c r="Q221">
        <f t="shared" si="74"/>
        <v>9522.8699464442179</v>
      </c>
      <c r="R221">
        <f t="shared" si="75"/>
        <v>12.644993643779715</v>
      </c>
      <c r="S221">
        <f t="shared" si="76"/>
        <v>29.709760368177829</v>
      </c>
      <c r="T221">
        <f t="shared" si="77"/>
        <v>6154.5185680076174</v>
      </c>
      <c r="U221">
        <f t="shared" si="78"/>
        <v>19.565564489361854</v>
      </c>
      <c r="V221">
        <f t="shared" si="79"/>
        <v>7.4286996051044456</v>
      </c>
      <c r="W221">
        <f t="shared" si="80"/>
        <v>3971.3278597616718</v>
      </c>
      <c r="X221">
        <f t="shared" si="81"/>
        <v>30.321503082990102</v>
      </c>
      <c r="Y221">
        <f t="shared" si="82"/>
        <v>2.4563812890688443</v>
      </c>
      <c r="Z221">
        <f t="shared" si="83"/>
        <v>2994.0901141658678</v>
      </c>
      <c r="AA221">
        <f t="shared" si="84"/>
        <v>40.218104783688261</v>
      </c>
      <c r="AB221">
        <f t="shared" si="85"/>
        <v>1.6809571784229826</v>
      </c>
      <c r="AC221">
        <f t="shared" si="86"/>
        <v>1538.6296420019044</v>
      </c>
      <c r="AD221">
        <f t="shared" si="87"/>
        <v>78.262257957447417</v>
      </c>
      <c r="AE221">
        <f t="shared" si="88"/>
        <v>1.4213389662601608</v>
      </c>
      <c r="AF221">
        <f t="shared" si="89"/>
        <v>1413.8758872449932</v>
      </c>
      <c r="AG221">
        <f t="shared" si="90"/>
        <v>85.16775130663396</v>
      </c>
      <c r="AH221">
        <f t="shared" si="91"/>
        <v>1.4206714262996365</v>
      </c>
      <c r="AI221" cm="1">
        <f t="array" ref="AI221">_xlfn.LET(
    _xlpm.vals,   _xlfn.HSTACK(S221,V221,Y221,AB221,AE221,AH221),
    _xlpm.ints,   _xlfn.HSTACK(R221,U221,X221,AA221,AD221,AG221),
    _xlpm.slopes, _xlfn.HSTACK(Q221,T221,W221,Z221,AC221,AF221),
    _xlpm.limit,  -0.00001*_xlpm.slopes + 0.1086*_xlpm.slopes + 63.253,
    _xlpm.mask,   (_xlpm.vals&gt;=0) * (_xlpm.ints&lt;=_xlpm.limit),
    _xlpm.validVals, _xlfn._xlws.FILTER(_xlpm.vals, _xlpm.mask),
    _xlpm.minVal, MIN(_xlpm.validVals),
    IFERROR( _xlfn.XMATCH(_xlpm.minVal, _xlpm.vals), "" )
)</f>
        <v>6</v>
      </c>
      <c r="AJ221" cm="1">
        <f t="array" ref="AJ221">_xlfn.LET(
    _xlpm.vals, CHOOSE({1,2,3,4,5,6}, S221, V221, Y221, AB221, AE221, AH221),
    _xlpm.slopes, CHOOSE({1,2,3,4,5,6}, Q221, T221, W221, Z221, AC221, AF221),
    _xlpm.ints, CHOOSE({1,2,3,4,5,6}, R221, U221, X221, AA221, AD221, AG221),
    _xlpm.limit, -0.00001*_xlpm.slopes + 0.1086*_xlpm.slopes + 63.253,
    _xlpm.valid, (_xlpm.vals &gt;= 0) * (_xlpm.ints &lt;= _xlpm.limit),
    _xlpm.target, MIN(_xlfn._xlws.FILTER(_xlpm.vals, _xlpm.valid)),
    IFERROR(
        _xlfn.XLOOKUP(_xlpm.target, _xlpm.vals, _xlpm.vals),
        CHOOSE({1,2,3,4,5,6}, S$1, V$1, Y$1, AB$1, AE$1, AH$1)
    )
)</f>
        <v>1.4206714262996365</v>
      </c>
    </row>
    <row r="222" spans="9:36" x14ac:dyDescent="0.45">
      <c r="I222">
        <v>220</v>
      </c>
      <c r="J222">
        <v>50.3</v>
      </c>
      <c r="K222">
        <f t="shared" si="70"/>
        <v>50.3</v>
      </c>
      <c r="L222">
        <f t="shared" si="69"/>
        <v>1.3972222222222221E-2</v>
      </c>
      <c r="M222">
        <v>18.38</v>
      </c>
      <c r="N222">
        <f t="shared" si="71"/>
        <v>18.38</v>
      </c>
      <c r="O222">
        <f t="shared" si="72"/>
        <v>653.65769419506569</v>
      </c>
      <c r="P222">
        <f t="shared" si="73"/>
        <v>2091.7046214242105</v>
      </c>
      <c r="Q222">
        <f t="shared" si="74"/>
        <v>9580.0071661228849</v>
      </c>
      <c r="R222">
        <f t="shared" si="75"/>
        <v>18.321079326788762</v>
      </c>
      <c r="S222">
        <f t="shared" si="76"/>
        <v>30.131568729158104</v>
      </c>
      <c r="T222">
        <f t="shared" si="77"/>
        <v>6191.4456794156631</v>
      </c>
      <c r="U222">
        <f t="shared" si="78"/>
        <v>28.348156525909644</v>
      </c>
      <c r="V222">
        <f t="shared" si="79"/>
        <v>7.6726717609760913</v>
      </c>
      <c r="W222">
        <f t="shared" si="80"/>
        <v>3995.1558269202419</v>
      </c>
      <c r="X222">
        <f t="shared" si="81"/>
        <v>43.932221631776201</v>
      </c>
      <c r="Y222">
        <f t="shared" si="82"/>
        <v>2.786191498269909</v>
      </c>
      <c r="Z222">
        <f t="shared" si="83"/>
        <v>3012.0546548508628</v>
      </c>
      <c r="AA222">
        <f t="shared" si="84"/>
        <v>58.271210636592045</v>
      </c>
      <c r="AB222">
        <f t="shared" si="85"/>
        <v>2.0894529211483568</v>
      </c>
      <c r="AC222">
        <f t="shared" si="86"/>
        <v>1547.8614198539158</v>
      </c>
      <c r="AD222">
        <f t="shared" si="87"/>
        <v>113.39262610363858</v>
      </c>
      <c r="AE222">
        <f t="shared" si="88"/>
        <v>1.9218607683924733</v>
      </c>
      <c r="AF222">
        <f t="shared" si="89"/>
        <v>1422.3591425684633</v>
      </c>
      <c r="AG222">
        <f t="shared" si="90"/>
        <v>123.3978578186655</v>
      </c>
      <c r="AH222">
        <f t="shared" si="91"/>
        <v>1.8995457041659094</v>
      </c>
      <c r="AI222" cm="1">
        <f t="array" ref="AI222">_xlfn.LET(
    _xlpm.vals,   _xlfn.HSTACK(S222,V222,Y222,AB222,AE222,AH222),
    _xlpm.ints,   _xlfn.HSTACK(R222,U222,X222,AA222,AD222,AG222),
    _xlpm.slopes, _xlfn.HSTACK(Q222,T222,W222,Z222,AC222,AF222),
    _xlpm.limit,  -0.00001*_xlpm.slopes + 0.1086*_xlpm.slopes + 63.253,
    _xlpm.mask,   (_xlpm.vals&gt;=0) * (_xlpm.ints&lt;=_xlpm.limit),
    _xlpm.validVals, _xlfn._xlws.FILTER(_xlpm.vals, _xlpm.mask),
    _xlpm.minVal, MIN(_xlpm.validVals),
    IFERROR( _xlfn.XMATCH(_xlpm.minVal, _xlpm.vals), "" )
)</f>
        <v>6</v>
      </c>
      <c r="AJ222" cm="1">
        <f t="array" ref="AJ222">_xlfn.LET(
    _xlpm.vals, CHOOSE({1,2,3,4,5,6}, S222, V222, Y222, AB222, AE222, AH222),
    _xlpm.slopes, CHOOSE({1,2,3,4,5,6}, Q222, T222, W222, Z222, AC222, AF222),
    _xlpm.ints, CHOOSE({1,2,3,4,5,6}, R222, U222, X222, AA222, AD222, AG222),
    _xlpm.limit, -0.00001*_xlpm.slopes + 0.1086*_xlpm.slopes + 63.253,
    _xlpm.valid, (_xlpm.vals &gt;= 0) * (_xlpm.ints &lt;= _xlpm.limit),
    _xlpm.target, MIN(_xlfn._xlws.FILTER(_xlpm.vals, _xlpm.valid)),
    IFERROR(
        _xlfn.XLOOKUP(_xlpm.target, _xlpm.vals, _xlpm.vals),
        CHOOSE({1,2,3,4,5,6}, S$1, V$1, Y$1, AB$1, AE$1, AH$1)
    )
)</f>
        <v>1.8995457041659094</v>
      </c>
    </row>
    <row r="223" spans="9:36" x14ac:dyDescent="0.45">
      <c r="I223">
        <v>221</v>
      </c>
      <c r="J223">
        <v>50.9</v>
      </c>
      <c r="K223">
        <f t="shared" si="70"/>
        <v>50.9</v>
      </c>
      <c r="L223">
        <f t="shared" si="69"/>
        <v>1.4138888888888888E-2</v>
      </c>
      <c r="M223">
        <v>18.010000000000002</v>
      </c>
      <c r="N223">
        <f t="shared" si="71"/>
        <v>18.010000000000002</v>
      </c>
      <c r="O223">
        <f t="shared" si="72"/>
        <v>661.45480386737256</v>
      </c>
      <c r="P223">
        <f t="shared" si="73"/>
        <v>2116.6553723755924</v>
      </c>
      <c r="Q223">
        <f t="shared" si="74"/>
        <v>9694.2816054802133</v>
      </c>
      <c r="R223">
        <f t="shared" si="75"/>
        <v>17.740647373796072</v>
      </c>
      <c r="S223">
        <f t="shared" si="76"/>
        <v>31.324259146078649</v>
      </c>
      <c r="T223">
        <f t="shared" si="77"/>
        <v>6265.2999022317535</v>
      </c>
      <c r="U223">
        <f t="shared" si="78"/>
        <v>27.450055733779056</v>
      </c>
      <c r="V223">
        <f t="shared" si="79"/>
        <v>7.9353670379350518</v>
      </c>
      <c r="W223">
        <f t="shared" si="80"/>
        <v>4042.8117612373812</v>
      </c>
      <c r="X223">
        <f t="shared" si="81"/>
        <v>42.5404005088932</v>
      </c>
      <c r="Y223">
        <f t="shared" si="82"/>
        <v>2.8183953228559044</v>
      </c>
      <c r="Z223">
        <f t="shared" si="83"/>
        <v>3047.9837362208527</v>
      </c>
      <c r="AA223">
        <f t="shared" si="84"/>
        <v>56.425114563879177</v>
      </c>
      <c r="AB223">
        <f t="shared" si="85"/>
        <v>2.0772298567228589</v>
      </c>
      <c r="AC223">
        <f t="shared" si="86"/>
        <v>1566.3249755579384</v>
      </c>
      <c r="AD223">
        <f t="shared" si="87"/>
        <v>109.80022293511622</v>
      </c>
      <c r="AE223">
        <f t="shared" si="88"/>
        <v>1.8935162691147907</v>
      </c>
      <c r="AF223">
        <f t="shared" si="89"/>
        <v>1439.325653215403</v>
      </c>
      <c r="AG223">
        <f t="shared" si="90"/>
        <v>119.48847789997942</v>
      </c>
      <c r="AH223">
        <f t="shared" si="91"/>
        <v>1.8761688164395287</v>
      </c>
      <c r="AI223" cm="1">
        <f t="array" ref="AI223">_xlfn.LET(
    _xlpm.vals,   _xlfn.HSTACK(S223,V223,Y223,AB223,AE223,AH223),
    _xlpm.ints,   _xlfn.HSTACK(R223,U223,X223,AA223,AD223,AG223),
    _xlpm.slopes, _xlfn.HSTACK(Q223,T223,W223,Z223,AC223,AF223),
    _xlpm.limit,  -0.00001*_xlpm.slopes + 0.1086*_xlpm.slopes + 63.253,
    _xlpm.mask,   (_xlpm.vals&gt;=0) * (_xlpm.ints&lt;=_xlpm.limit),
    _xlpm.validVals, _xlfn._xlws.FILTER(_xlpm.vals, _xlpm.mask),
    _xlpm.minVal, MIN(_xlpm.validVals),
    IFERROR( _xlfn.XMATCH(_xlpm.minVal, _xlpm.vals), "" )
)</f>
        <v>6</v>
      </c>
      <c r="AJ223" cm="1">
        <f t="array" ref="AJ223">_xlfn.LET(
    _xlpm.vals, CHOOSE({1,2,3,4,5,6}, S223, V223, Y223, AB223, AE223, AH223),
    _xlpm.slopes, CHOOSE({1,2,3,4,5,6}, Q223, T223, W223, Z223, AC223, AF223),
    _xlpm.ints, CHOOSE({1,2,3,4,5,6}, R223, U223, X223, AA223, AD223, AG223),
    _xlpm.limit, -0.00001*_xlpm.slopes + 0.1086*_xlpm.slopes + 63.253,
    _xlpm.valid, (_xlpm.vals &gt;= 0) * (_xlpm.ints &lt;= _xlpm.limit),
    _xlpm.target, MIN(_xlfn._xlws.FILTER(_xlpm.vals, _xlpm.valid)),
    IFERROR(
        _xlfn.XLOOKUP(_xlpm.target, _xlpm.vals, _xlpm.vals),
        CHOOSE({1,2,3,4,5,6}, S$1, V$1, Y$1, AB$1, AE$1, AH$1)
    )
)</f>
        <v>1.8761688164395287</v>
      </c>
    </row>
    <row r="224" spans="9:36" x14ac:dyDescent="0.45">
      <c r="I224">
        <v>222</v>
      </c>
      <c r="J224">
        <v>51.5</v>
      </c>
      <c r="K224">
        <f t="shared" si="70"/>
        <v>51.5</v>
      </c>
      <c r="L224">
        <f t="shared" si="69"/>
        <v>1.4305555555555556E-2</v>
      </c>
      <c r="M224">
        <v>17.86</v>
      </c>
      <c r="N224">
        <f t="shared" si="71"/>
        <v>17.86</v>
      </c>
      <c r="O224">
        <f t="shared" si="72"/>
        <v>669.25191353967966</v>
      </c>
      <c r="P224">
        <f t="shared" si="73"/>
        <v>2141.6061233269752</v>
      </c>
      <c r="Q224">
        <f t="shared" si="74"/>
        <v>9808.5560448375472</v>
      </c>
      <c r="R224">
        <f t="shared" si="75"/>
        <v>17.387925015429705</v>
      </c>
      <c r="S224">
        <f t="shared" si="76"/>
        <v>32.543780320276838</v>
      </c>
      <c r="T224">
        <f t="shared" si="77"/>
        <v>6339.1541250478467</v>
      </c>
      <c r="U224">
        <f t="shared" si="78"/>
        <v>26.904289381982455</v>
      </c>
      <c r="V224">
        <f t="shared" si="79"/>
        <v>8.2110638254699815</v>
      </c>
      <c r="W224">
        <f t="shared" si="80"/>
        <v>4090.4676955545224</v>
      </c>
      <c r="X224">
        <f t="shared" si="81"/>
        <v>41.694605534381189</v>
      </c>
      <c r="Y224">
        <f t="shared" si="82"/>
        <v>2.8649131734664701</v>
      </c>
      <c r="Z224">
        <f t="shared" si="83"/>
        <v>3083.912817590844</v>
      </c>
      <c r="AA224">
        <f t="shared" si="84"/>
        <v>55.303261507408379</v>
      </c>
      <c r="AB224">
        <f t="shared" si="85"/>
        <v>2.0818482742248317</v>
      </c>
      <c r="AC224">
        <f t="shared" si="86"/>
        <v>1584.7885312619617</v>
      </c>
      <c r="AD224">
        <f t="shared" si="87"/>
        <v>107.61715752792982</v>
      </c>
      <c r="AE224">
        <f t="shared" si="88"/>
        <v>1.8824101326710956</v>
      </c>
      <c r="AF224">
        <f t="shared" si="89"/>
        <v>1456.2921638623432</v>
      </c>
      <c r="AG224">
        <f t="shared" si="90"/>
        <v>117.11278907451185</v>
      </c>
      <c r="AH224">
        <f t="shared" si="91"/>
        <v>1.8679615225168913</v>
      </c>
      <c r="AI224" cm="1">
        <f t="array" ref="AI224">_xlfn.LET(
    _xlpm.vals,   _xlfn.HSTACK(S224,V224,Y224,AB224,AE224,AH224),
    _xlpm.ints,   _xlfn.HSTACK(R224,U224,X224,AA224,AD224,AG224),
    _xlpm.slopes, _xlfn.HSTACK(Q224,T224,W224,Z224,AC224,AF224),
    _xlpm.limit,  -0.00001*_xlpm.slopes + 0.1086*_xlpm.slopes + 63.253,
    _xlpm.mask,   (_xlpm.vals&gt;=0) * (_xlpm.ints&lt;=_xlpm.limit),
    _xlpm.validVals, _xlfn._xlws.FILTER(_xlpm.vals, _xlpm.mask),
    _xlpm.minVal, MIN(_xlpm.validVals),
    IFERROR( _xlfn.XMATCH(_xlpm.minVal, _xlpm.vals), "" )
)</f>
        <v>6</v>
      </c>
      <c r="AJ224" cm="1">
        <f t="array" ref="AJ224">_xlfn.LET(
    _xlpm.vals, CHOOSE({1,2,3,4,5,6}, S224, V224, Y224, AB224, AE224, AH224),
    _xlpm.slopes, CHOOSE({1,2,3,4,5,6}, Q224, T224, W224, Z224, AC224, AF224),
    _xlpm.ints, CHOOSE({1,2,3,4,5,6}, R224, U224, X224, AA224, AD224, AG224),
    _xlpm.limit, -0.00001*_xlpm.slopes + 0.1086*_xlpm.slopes + 63.253,
    _xlpm.valid, (_xlpm.vals &gt;= 0) * (_xlpm.ints &lt;= _xlpm.limit),
    _xlpm.target, MIN(_xlfn._xlws.FILTER(_xlpm.vals, _xlpm.valid)),
    IFERROR(
        _xlfn.XLOOKUP(_xlpm.target, _xlpm.vals, _xlpm.vals),
        CHOOSE({1,2,3,4,5,6}, S$1, V$1, Y$1, AB$1, AE$1, AH$1)
    )
)</f>
        <v>1.8679615225168913</v>
      </c>
    </row>
    <row r="225" spans="9:36" x14ac:dyDescent="0.45">
      <c r="I225">
        <v>223</v>
      </c>
      <c r="J225">
        <v>52.1</v>
      </c>
      <c r="K225">
        <f t="shared" si="70"/>
        <v>52.1</v>
      </c>
      <c r="L225">
        <f t="shared" si="69"/>
        <v>1.4472222222222223E-2</v>
      </c>
      <c r="M225">
        <v>18.22</v>
      </c>
      <c r="N225">
        <f t="shared" si="71"/>
        <v>18.22</v>
      </c>
      <c r="O225">
        <f t="shared" si="72"/>
        <v>677.04902321198665</v>
      </c>
      <c r="P225">
        <f t="shared" si="73"/>
        <v>2166.5568742783576</v>
      </c>
      <c r="Q225">
        <f t="shared" si="74"/>
        <v>9922.8304841948775</v>
      </c>
      <c r="R225">
        <f t="shared" si="75"/>
        <v>17.534128398664983</v>
      </c>
      <c r="S225">
        <f t="shared" si="76"/>
        <v>33.780345589016484</v>
      </c>
      <c r="T225">
        <f t="shared" si="77"/>
        <v>6413.0083478639381</v>
      </c>
      <c r="U225">
        <f t="shared" si="78"/>
        <v>27.130509481718111</v>
      </c>
      <c r="V225">
        <f t="shared" si="79"/>
        <v>8.5041481276887936</v>
      </c>
      <c r="W225">
        <f t="shared" si="80"/>
        <v>4138.1236298716631</v>
      </c>
      <c r="X225">
        <f t="shared" si="81"/>
        <v>42.045187469050056</v>
      </c>
      <c r="Y225">
        <f t="shared" si="82"/>
        <v>2.9403847590458683</v>
      </c>
      <c r="Z225">
        <f t="shared" si="83"/>
        <v>3119.8418989608349</v>
      </c>
      <c r="AA225">
        <f t="shared" si="84"/>
        <v>55.768269490198342</v>
      </c>
      <c r="AB225">
        <f t="shared" si="85"/>
        <v>2.1231372876164571</v>
      </c>
      <c r="AC225">
        <f t="shared" si="86"/>
        <v>1603.2520869659845</v>
      </c>
      <c r="AD225">
        <f t="shared" si="87"/>
        <v>108.52203792687244</v>
      </c>
      <c r="AE225">
        <f t="shared" si="88"/>
        <v>1.9135174260211432</v>
      </c>
      <c r="AF225">
        <f t="shared" si="89"/>
        <v>1473.2586745092833</v>
      </c>
      <c r="AG225">
        <f t="shared" si="90"/>
        <v>118.09751186159649</v>
      </c>
      <c r="AH225">
        <f t="shared" si="91"/>
        <v>1.8986690262756383</v>
      </c>
      <c r="AI225" cm="1">
        <f t="array" ref="AI225">_xlfn.LET(
    _xlpm.vals,   _xlfn.HSTACK(S225,V225,Y225,AB225,AE225,AH225),
    _xlpm.ints,   _xlfn.HSTACK(R225,U225,X225,AA225,AD225,AG225),
    _xlpm.slopes, _xlfn.HSTACK(Q225,T225,W225,Z225,AC225,AF225),
    _xlpm.limit,  -0.00001*_xlpm.slopes + 0.1086*_xlpm.slopes + 63.253,
    _xlpm.mask,   (_xlpm.vals&gt;=0) * (_xlpm.ints&lt;=_xlpm.limit),
    _xlpm.validVals, _xlfn._xlws.FILTER(_xlpm.vals, _xlpm.mask),
    _xlpm.minVal, MIN(_xlpm.validVals),
    IFERROR( _xlfn.XMATCH(_xlpm.minVal, _xlpm.vals), "" )
)</f>
        <v>6</v>
      </c>
      <c r="AJ225" cm="1">
        <f t="array" ref="AJ225">_xlfn.LET(
    _xlpm.vals, CHOOSE({1,2,3,4,5,6}, S225, V225, Y225, AB225, AE225, AH225),
    _xlpm.slopes, CHOOSE({1,2,3,4,5,6}, Q225, T225, W225, Z225, AC225, AF225),
    _xlpm.ints, CHOOSE({1,2,3,4,5,6}, R225, U225, X225, AA225, AD225, AG225),
    _xlpm.limit, -0.00001*_xlpm.slopes + 0.1086*_xlpm.slopes + 63.253,
    _xlpm.valid, (_xlpm.vals &gt;= 0) * (_xlpm.ints &lt;= _xlpm.limit),
    _xlpm.target, MIN(_xlfn._xlws.FILTER(_xlpm.vals, _xlpm.valid)),
    IFERROR(
        _xlfn.XLOOKUP(_xlpm.target, _xlpm.vals, _xlpm.vals),
        CHOOSE({1,2,3,4,5,6}, S$1, V$1, Y$1, AB$1, AE$1, AH$1)
    )
)</f>
        <v>1.8986690262756383</v>
      </c>
    </row>
    <row r="226" spans="9:36" x14ac:dyDescent="0.45">
      <c r="I226">
        <v>224</v>
      </c>
      <c r="J226">
        <v>53</v>
      </c>
      <c r="K226">
        <f t="shared" si="70"/>
        <v>53</v>
      </c>
      <c r="L226">
        <f t="shared" si="69"/>
        <v>1.4722222222222222E-2</v>
      </c>
      <c r="M226">
        <v>26.88</v>
      </c>
      <c r="N226">
        <f t="shared" si="71"/>
        <v>26.88</v>
      </c>
      <c r="O226">
        <f t="shared" si="72"/>
        <v>688.74468772044702</v>
      </c>
      <c r="P226">
        <f t="shared" si="73"/>
        <v>2203.9830007054306</v>
      </c>
      <c r="Q226">
        <f t="shared" si="74"/>
        <v>10094.242143230873</v>
      </c>
      <c r="R226">
        <f t="shared" si="75"/>
        <v>25.42886217473394</v>
      </c>
      <c r="S226">
        <f t="shared" si="76"/>
        <v>35.436252497703812</v>
      </c>
      <c r="T226">
        <f t="shared" si="77"/>
        <v>6523.7896820880742</v>
      </c>
      <c r="U226">
        <f t="shared" si="78"/>
        <v>39.346009716311308</v>
      </c>
      <c r="V226">
        <f t="shared" si="79"/>
        <v>9.1105503655577333</v>
      </c>
      <c r="W226">
        <f t="shared" si="80"/>
        <v>4209.6075313473721</v>
      </c>
      <c r="X226">
        <f t="shared" si="81"/>
        <v>60.976015057738991</v>
      </c>
      <c r="Y226">
        <f t="shared" si="82"/>
        <v>3.5054624473064804</v>
      </c>
      <c r="Z226">
        <f t="shared" si="83"/>
        <v>3173.7355210158198</v>
      </c>
      <c r="AA226">
        <f t="shared" si="84"/>
        <v>80.87790886130658</v>
      </c>
      <c r="AB226">
        <f t="shared" si="85"/>
        <v>2.7780108461028963</v>
      </c>
      <c r="AC226">
        <f t="shared" si="86"/>
        <v>1630.9474205220185</v>
      </c>
      <c r="AD226">
        <f t="shared" si="87"/>
        <v>157.38403886524523</v>
      </c>
      <c r="AE226">
        <f t="shared" si="88"/>
        <v>2.512114318727118</v>
      </c>
      <c r="AF226">
        <f t="shared" si="89"/>
        <v>1498.7084404796929</v>
      </c>
      <c r="AG226">
        <f t="shared" si="90"/>
        <v>171.2708658239433</v>
      </c>
      <c r="AH226">
        <f t="shared" si="91"/>
        <v>2.3851506686933703</v>
      </c>
      <c r="AI226" cm="1">
        <f t="array" ref="AI226">_xlfn.LET(
    _xlpm.vals,   _xlfn.HSTACK(S226,V226,Y226,AB226,AE226,AH226),
    _xlpm.ints,   _xlfn.HSTACK(R226,U226,X226,AA226,AD226,AG226),
    _xlpm.slopes, _xlfn.HSTACK(Q226,T226,W226,Z226,AC226,AF226),
    _xlpm.limit,  -0.00001*_xlpm.slopes + 0.1086*_xlpm.slopes + 63.253,
    _xlpm.mask,   (_xlpm.vals&gt;=0) * (_xlpm.ints&lt;=_xlpm.limit),
    _xlpm.validVals, _xlfn._xlws.FILTER(_xlpm.vals, _xlpm.mask),
    _xlpm.minVal, MIN(_xlpm.validVals),
    IFERROR( _xlfn.XMATCH(_xlpm.minVal, _xlpm.vals), "" )
)</f>
        <v>6</v>
      </c>
      <c r="AJ226" cm="1">
        <f t="array" ref="AJ226">_xlfn.LET(
    _xlpm.vals, CHOOSE({1,2,3,4,5,6}, S226, V226, Y226, AB226, AE226, AH226),
    _xlpm.slopes, CHOOSE({1,2,3,4,5,6}, Q226, T226, W226, Z226, AC226, AF226),
    _xlpm.ints, CHOOSE({1,2,3,4,5,6}, R226, U226, X226, AA226, AD226, AG226),
    _xlpm.limit, -0.00001*_xlpm.slopes + 0.1086*_xlpm.slopes + 63.253,
    _xlpm.valid, (_xlpm.vals &gt;= 0) * (_xlpm.ints &lt;= _xlpm.limit),
    _xlpm.target, MIN(_xlfn._xlws.FILTER(_xlpm.vals, _xlpm.valid)),
    IFERROR(
        _xlfn.XLOOKUP(_xlpm.target, _xlpm.vals, _xlpm.vals),
        CHOOSE({1,2,3,4,5,6}, S$1, V$1, Y$1, AB$1, AE$1, AH$1)
    )
)</f>
        <v>2.3851506686933703</v>
      </c>
    </row>
    <row r="227" spans="9:36" x14ac:dyDescent="0.45">
      <c r="I227">
        <v>225</v>
      </c>
      <c r="J227">
        <v>53.9</v>
      </c>
      <c r="K227">
        <f t="shared" si="70"/>
        <v>53.9</v>
      </c>
      <c r="L227">
        <f t="shared" si="69"/>
        <v>1.4972222222222222E-2</v>
      </c>
      <c r="M227">
        <v>28.99</v>
      </c>
      <c r="N227">
        <f t="shared" si="71"/>
        <v>28.99</v>
      </c>
      <c r="O227">
        <f t="shared" si="72"/>
        <v>700.44035222890739</v>
      </c>
      <c r="P227">
        <f t="shared" si="73"/>
        <v>2241.4091271325037</v>
      </c>
      <c r="Q227">
        <f t="shared" si="74"/>
        <v>10265.653802266866</v>
      </c>
      <c r="R227">
        <f t="shared" si="75"/>
        <v>26.967021618526832</v>
      </c>
      <c r="S227">
        <f t="shared" si="76"/>
        <v>37.357135698080612</v>
      </c>
      <c r="T227">
        <f t="shared" si="77"/>
        <v>6634.5710163122112</v>
      </c>
      <c r="U227">
        <f t="shared" si="78"/>
        <v>41.72599966650435</v>
      </c>
      <c r="V227">
        <f t="shared" si="79"/>
        <v>9.6032298622721459</v>
      </c>
      <c r="W227">
        <f t="shared" si="80"/>
        <v>4281.091432823082</v>
      </c>
      <c r="X227">
        <f t="shared" si="81"/>
        <v>64.664376446519839</v>
      </c>
      <c r="Y227">
        <f t="shared" si="82"/>
        <v>3.7099955261119391</v>
      </c>
      <c r="Z227">
        <f t="shared" si="83"/>
        <v>3227.6291430708052</v>
      </c>
      <c r="AA227">
        <f t="shared" si="84"/>
        <v>85.770110425592279</v>
      </c>
      <c r="AB227">
        <f t="shared" si="85"/>
        <v>2.9555801273918321</v>
      </c>
      <c r="AC227">
        <f t="shared" si="86"/>
        <v>1658.6427540780528</v>
      </c>
      <c r="AD227">
        <f t="shared" si="87"/>
        <v>166.9039986660174</v>
      </c>
      <c r="AE227">
        <f t="shared" si="88"/>
        <v>2.6282877954514272</v>
      </c>
      <c r="AF227">
        <f t="shared" si="89"/>
        <v>1524.1582064501026</v>
      </c>
      <c r="AG227">
        <f t="shared" si="90"/>
        <v>181.63082207772482</v>
      </c>
      <c r="AH227">
        <f t="shared" si="91"/>
        <v>2.4635965487670703</v>
      </c>
      <c r="AI227" cm="1">
        <f t="array" ref="AI227">_xlfn.LET(
    _xlpm.vals,   _xlfn.HSTACK(S227,V227,Y227,AB227,AE227,AH227),
    _xlpm.ints,   _xlfn.HSTACK(R227,U227,X227,AA227,AD227,AG227),
    _xlpm.slopes, _xlfn.HSTACK(Q227,T227,W227,Z227,AC227,AF227),
    _xlpm.limit,  -0.00001*_xlpm.slopes + 0.1086*_xlpm.slopes + 63.253,
    _xlpm.mask,   (_xlpm.vals&gt;=0) * (_xlpm.ints&lt;=_xlpm.limit),
    _xlpm.validVals, _xlfn._xlws.FILTER(_xlpm.vals, _xlpm.mask),
    _xlpm.minVal, MIN(_xlpm.validVals),
    IFERROR( _xlfn.XMATCH(_xlpm.minVal, _xlpm.vals), "" )
)</f>
        <v>6</v>
      </c>
      <c r="AJ227" cm="1">
        <f t="array" ref="AJ227">_xlfn.LET(
    _xlpm.vals, CHOOSE({1,2,3,4,5,6}, S227, V227, Y227, AB227, AE227, AH227),
    _xlpm.slopes, CHOOSE({1,2,3,4,5,6}, Q227, T227, W227, Z227, AC227, AF227),
    _xlpm.ints, CHOOSE({1,2,3,4,5,6}, R227, U227, X227, AA227, AD227, AG227),
    _xlpm.limit, -0.00001*_xlpm.slopes + 0.1086*_xlpm.slopes + 63.253,
    _xlpm.valid, (_xlpm.vals &gt;= 0) * (_xlpm.ints &lt;= _xlpm.limit),
    _xlpm.target, MIN(_xlfn._xlws.FILTER(_xlpm.vals, _xlpm.valid)),
    IFERROR(
        _xlfn.XLOOKUP(_xlpm.target, _xlpm.vals, _xlpm.vals),
        CHOOSE({1,2,3,4,5,6}, S$1, V$1, Y$1, AB$1, AE$1, AH$1)
    )
)</f>
        <v>2.4635965487670703</v>
      </c>
    </row>
    <row r="228" spans="9:36" x14ac:dyDescent="0.45">
      <c r="I228">
        <v>226</v>
      </c>
      <c r="J228">
        <v>54.7</v>
      </c>
      <c r="K228">
        <f t="shared" si="70"/>
        <v>54.7</v>
      </c>
      <c r="L228">
        <f t="shared" si="69"/>
        <v>1.5194444444444444E-2</v>
      </c>
      <c r="M228">
        <v>25.58</v>
      </c>
      <c r="N228">
        <f t="shared" si="71"/>
        <v>25.58</v>
      </c>
      <c r="O228">
        <f t="shared" si="72"/>
        <v>710.83649845865011</v>
      </c>
      <c r="P228">
        <f t="shared" si="73"/>
        <v>2274.6767950676804</v>
      </c>
      <c r="Q228">
        <f t="shared" si="74"/>
        <v>10418.019721409975</v>
      </c>
      <c r="R228">
        <f t="shared" si="75"/>
        <v>23.446971035718228</v>
      </c>
      <c r="S228">
        <f t="shared" si="76"/>
        <v>39.30354966402858</v>
      </c>
      <c r="T228">
        <f t="shared" si="77"/>
        <v>6733.0433134003342</v>
      </c>
      <c r="U228">
        <f t="shared" si="78"/>
        <v>36.279434913374821</v>
      </c>
      <c r="V228">
        <f t="shared" si="79"/>
        <v>9.9542635755469231</v>
      </c>
      <c r="W228">
        <f t="shared" si="80"/>
        <v>4344.6326785792689</v>
      </c>
      <c r="X228">
        <f t="shared" si="81"/>
        <v>56.223626881460461</v>
      </c>
      <c r="Y228">
        <f t="shared" si="82"/>
        <v>3.5927563067791954</v>
      </c>
      <c r="Z228">
        <f t="shared" si="83"/>
        <v>3275.5345848974598</v>
      </c>
      <c r="AA228">
        <f t="shared" si="84"/>
        <v>74.574393988603802</v>
      </c>
      <c r="AB228">
        <f t="shared" si="85"/>
        <v>2.7200634444354694</v>
      </c>
      <c r="AC228">
        <f t="shared" si="86"/>
        <v>1683.2608283500836</v>
      </c>
      <c r="AD228">
        <f t="shared" si="87"/>
        <v>145.11773965349929</v>
      </c>
      <c r="AE228">
        <f t="shared" si="88"/>
        <v>2.4695138431842492</v>
      </c>
      <c r="AF228">
        <f t="shared" si="89"/>
        <v>1546.7802206460228</v>
      </c>
      <c r="AG228">
        <f t="shared" si="90"/>
        <v>157.92224609351393</v>
      </c>
      <c r="AH228">
        <f t="shared" si="91"/>
        <v>2.3873548335572146</v>
      </c>
      <c r="AI228" cm="1">
        <f t="array" ref="AI228">_xlfn.LET(
    _xlpm.vals,   _xlfn.HSTACK(S228,V228,Y228,AB228,AE228,AH228),
    _xlpm.ints,   _xlfn.HSTACK(R228,U228,X228,AA228,AD228,AG228),
    _xlpm.slopes, _xlfn.HSTACK(Q228,T228,W228,Z228,AC228,AF228),
    _xlpm.limit,  -0.00001*_xlpm.slopes + 0.1086*_xlpm.slopes + 63.253,
    _xlpm.mask,   (_xlpm.vals&gt;=0) * (_xlpm.ints&lt;=_xlpm.limit),
    _xlpm.validVals, _xlfn._xlws.FILTER(_xlpm.vals, _xlpm.mask),
    _xlpm.minVal, MIN(_xlpm.validVals),
    IFERROR( _xlfn.XMATCH(_xlpm.minVal, _xlpm.vals), "" )
)</f>
        <v>6</v>
      </c>
      <c r="AJ228" cm="1">
        <f t="array" ref="AJ228">_xlfn.LET(
    _xlpm.vals, CHOOSE({1,2,3,4,5,6}, S228, V228, Y228, AB228, AE228, AH228),
    _xlpm.slopes, CHOOSE({1,2,3,4,5,6}, Q228, T228, W228, Z228, AC228, AF228),
    _xlpm.ints, CHOOSE({1,2,3,4,5,6}, R228, U228, X228, AA228, AD228, AG228),
    _xlpm.limit, -0.00001*_xlpm.slopes + 0.1086*_xlpm.slopes + 63.253,
    _xlpm.valid, (_xlpm.vals &gt;= 0) * (_xlpm.ints &lt;= _xlpm.limit),
    _xlpm.target, MIN(_xlfn._xlws.FILTER(_xlpm.vals, _xlpm.valid)),
    IFERROR(
        _xlfn.XLOOKUP(_xlpm.target, _xlpm.vals, _xlpm.vals),
        CHOOSE({1,2,3,4,5,6}, S$1, V$1, Y$1, AB$1, AE$1, AH$1)
    )
)</f>
        <v>2.3873548335572146</v>
      </c>
    </row>
    <row r="229" spans="9:36" x14ac:dyDescent="0.45">
      <c r="I229">
        <v>227</v>
      </c>
      <c r="J229">
        <v>55.2</v>
      </c>
      <c r="K229">
        <f t="shared" si="70"/>
        <v>55.2</v>
      </c>
      <c r="L229">
        <f t="shared" si="69"/>
        <v>1.5333333333333334E-2</v>
      </c>
      <c r="M229">
        <v>20.85</v>
      </c>
      <c r="N229">
        <f t="shared" si="71"/>
        <v>20.85</v>
      </c>
      <c r="O229">
        <f t="shared" si="72"/>
        <v>717.33408985223923</v>
      </c>
      <c r="P229">
        <f t="shared" si="73"/>
        <v>2295.4690875271658</v>
      </c>
      <c r="Q229">
        <f t="shared" si="74"/>
        <v>10513.248420874419</v>
      </c>
      <c r="R229">
        <f t="shared" si="75"/>
        <v>18.938279191865714</v>
      </c>
      <c r="S229">
        <f t="shared" si="76"/>
        <v>40.659706959810975</v>
      </c>
      <c r="T229">
        <f t="shared" si="77"/>
        <v>6794.5884990804107</v>
      </c>
      <c r="U229">
        <f t="shared" si="78"/>
        <v>29.303148209035459</v>
      </c>
      <c r="V229">
        <f t="shared" si="79"/>
        <v>10.15281463042629</v>
      </c>
      <c r="W229">
        <f t="shared" si="80"/>
        <v>4384.3459571768863</v>
      </c>
      <c r="X229">
        <f t="shared" si="81"/>
        <v>45.412208742798413</v>
      </c>
      <c r="Y229">
        <f t="shared" si="82"/>
        <v>3.3944986319402997</v>
      </c>
      <c r="Z229">
        <f t="shared" si="83"/>
        <v>3305.4754860391186</v>
      </c>
      <c r="AA229">
        <f t="shared" si="84"/>
        <v>60.234249096350673</v>
      </c>
      <c r="AB229">
        <f t="shared" si="85"/>
        <v>2.396720872529726</v>
      </c>
      <c r="AC229">
        <f t="shared" si="86"/>
        <v>1698.6471247701027</v>
      </c>
      <c r="AD229">
        <f t="shared" si="87"/>
        <v>117.21259283614184</v>
      </c>
      <c r="AE229">
        <f t="shared" si="88"/>
        <v>2.1351687670396999</v>
      </c>
      <c r="AF229">
        <f t="shared" si="89"/>
        <v>1560.918979518473</v>
      </c>
      <c r="AG229">
        <f t="shared" si="90"/>
        <v>127.5548804393308</v>
      </c>
      <c r="AH229">
        <f t="shared" si="91"/>
        <v>2.1128141097092978</v>
      </c>
      <c r="AI229" cm="1">
        <f t="array" ref="AI229">_xlfn.LET(
    _xlpm.vals,   _xlfn.HSTACK(S229,V229,Y229,AB229,AE229,AH229),
    _xlpm.ints,   _xlfn.HSTACK(R229,U229,X229,AA229,AD229,AG229),
    _xlpm.slopes, _xlfn.HSTACK(Q229,T229,W229,Z229,AC229,AF229),
    _xlpm.limit,  -0.00001*_xlpm.slopes + 0.1086*_xlpm.slopes + 63.253,
    _xlpm.mask,   (_xlpm.vals&gt;=0) * (_xlpm.ints&lt;=_xlpm.limit),
    _xlpm.validVals, _xlfn._xlws.FILTER(_xlpm.vals, _xlpm.mask),
    _xlpm.minVal, MIN(_xlpm.validVals),
    IFERROR( _xlfn.XMATCH(_xlpm.minVal, _xlpm.vals), "" )
)</f>
        <v>6</v>
      </c>
      <c r="AJ229" cm="1">
        <f t="array" ref="AJ229">_xlfn.LET(
    _xlpm.vals, CHOOSE({1,2,3,4,5,6}, S229, V229, Y229, AB229, AE229, AH229),
    _xlpm.slopes, CHOOSE({1,2,3,4,5,6}, Q229, T229, W229, Z229, AC229, AF229),
    _xlpm.ints, CHOOSE({1,2,3,4,5,6}, R229, U229, X229, AA229, AD229, AG229),
    _xlpm.limit, -0.00001*_xlpm.slopes + 0.1086*_xlpm.slopes + 63.253,
    _xlpm.valid, (_xlpm.vals &gt;= 0) * (_xlpm.ints &lt;= _xlpm.limit),
    _xlpm.target, MIN(_xlfn._xlws.FILTER(_xlpm.vals, _xlpm.valid)),
    IFERROR(
        _xlfn.XLOOKUP(_xlpm.target, _xlpm.vals, _xlpm.vals),
        CHOOSE({1,2,3,4,5,6}, S$1, V$1, Y$1, AB$1, AE$1, AH$1)
    )
)</f>
        <v>2.1128141097092978</v>
      </c>
    </row>
    <row r="230" spans="9:36" x14ac:dyDescent="0.45">
      <c r="I230">
        <v>228</v>
      </c>
      <c r="J230">
        <v>55.4</v>
      </c>
      <c r="K230">
        <f t="shared" si="70"/>
        <v>55.4</v>
      </c>
      <c r="L230">
        <f t="shared" si="69"/>
        <v>1.5388888888888888E-2</v>
      </c>
      <c r="M230">
        <v>15.74</v>
      </c>
      <c r="N230">
        <f t="shared" si="71"/>
        <v>15.74</v>
      </c>
      <c r="O230">
        <f t="shared" si="72"/>
        <v>719.93312640967486</v>
      </c>
      <c r="P230">
        <f t="shared" si="73"/>
        <v>2303.7860045109596</v>
      </c>
      <c r="Q230">
        <f t="shared" si="74"/>
        <v>10551.339900660196</v>
      </c>
      <c r="R230">
        <f t="shared" si="75"/>
        <v>14.245198209052232</v>
      </c>
      <c r="S230">
        <f t="shared" si="76"/>
        <v>41.344717714486862</v>
      </c>
      <c r="T230">
        <f t="shared" si="77"/>
        <v>6819.2065733524405</v>
      </c>
      <c r="U230">
        <f t="shared" si="78"/>
        <v>22.041556688330818</v>
      </c>
      <c r="V230">
        <f t="shared" si="79"/>
        <v>10.204426183684745</v>
      </c>
      <c r="W230">
        <f t="shared" si="80"/>
        <v>4400.231268615933</v>
      </c>
      <c r="X230">
        <f t="shared" si="81"/>
        <v>34.15864282589488</v>
      </c>
      <c r="Y230">
        <f t="shared" si="82"/>
        <v>3.1694190981879298</v>
      </c>
      <c r="Z230">
        <f t="shared" si="83"/>
        <v>3317.4518464957819</v>
      </c>
      <c r="AA230">
        <f t="shared" si="84"/>
        <v>45.307644303791129</v>
      </c>
      <c r="AB230">
        <f t="shared" si="85"/>
        <v>2.0618525583544103</v>
      </c>
      <c r="AC230">
        <f t="shared" si="86"/>
        <v>1704.8016433381101</v>
      </c>
      <c r="AD230">
        <f t="shared" si="87"/>
        <v>88.166226753323272</v>
      </c>
      <c r="AE230">
        <f t="shared" si="88"/>
        <v>1.7008740158074276</v>
      </c>
      <c r="AF230">
        <f t="shared" si="89"/>
        <v>1566.5744830674525</v>
      </c>
      <c r="AG230">
        <f t="shared" si="90"/>
        <v>95.945599702145913</v>
      </c>
      <c r="AH230">
        <f t="shared" si="91"/>
        <v>1.7005886110520256</v>
      </c>
      <c r="AI230" cm="1">
        <f t="array" ref="AI230">_xlfn.LET(
    _xlpm.vals,   _xlfn.HSTACK(S230,V230,Y230,AB230,AE230,AH230),
    _xlpm.ints,   _xlfn.HSTACK(R230,U230,X230,AA230,AD230,AG230),
    _xlpm.slopes, _xlfn.HSTACK(Q230,T230,W230,Z230,AC230,AF230),
    _xlpm.limit,  -0.00001*_xlpm.slopes + 0.1086*_xlpm.slopes + 63.253,
    _xlpm.mask,   (_xlpm.vals&gt;=0) * (_xlpm.ints&lt;=_xlpm.limit),
    _xlpm.validVals, _xlfn._xlws.FILTER(_xlpm.vals, _xlpm.mask),
    _xlpm.minVal, MIN(_xlpm.validVals),
    IFERROR( _xlfn.XMATCH(_xlpm.minVal, _xlpm.vals), "" )
)</f>
        <v>6</v>
      </c>
      <c r="AJ230" cm="1">
        <f t="array" ref="AJ230">_xlfn.LET(
    _xlpm.vals, CHOOSE({1,2,3,4,5,6}, S230, V230, Y230, AB230, AE230, AH230),
    _xlpm.slopes, CHOOSE({1,2,3,4,5,6}, Q230, T230, W230, Z230, AC230, AF230),
    _xlpm.ints, CHOOSE({1,2,3,4,5,6}, R230, U230, X230, AA230, AD230, AG230),
    _xlpm.limit, -0.00001*_xlpm.slopes + 0.1086*_xlpm.slopes + 63.253,
    _xlpm.valid, (_xlpm.vals &gt;= 0) * (_xlpm.ints &lt;= _xlpm.limit),
    _xlpm.target, MIN(_xlfn._xlws.FILTER(_xlpm.vals, _xlpm.valid)),
    IFERROR(
        _xlfn.XLOOKUP(_xlpm.target, _xlpm.vals, _xlpm.vals),
        CHOOSE({1,2,3,4,5,6}, S$1, V$1, Y$1, AB$1, AE$1, AH$1)
    )
)</f>
        <v>1.7005886110520256</v>
      </c>
    </row>
    <row r="231" spans="9:36" x14ac:dyDescent="0.45">
      <c r="I231">
        <v>229</v>
      </c>
      <c r="J231">
        <v>55</v>
      </c>
      <c r="K231">
        <f t="shared" si="70"/>
        <v>55</v>
      </c>
      <c r="L231">
        <f t="shared" si="69"/>
        <v>1.5277777777777777E-2</v>
      </c>
      <c r="M231">
        <v>1.92</v>
      </c>
      <c r="N231">
        <f t="shared" si="71"/>
        <v>1.92</v>
      </c>
      <c r="O231">
        <f t="shared" si="72"/>
        <v>714.73505329480349</v>
      </c>
      <c r="P231">
        <f t="shared" si="73"/>
        <v>2287.1521705433711</v>
      </c>
      <c r="Q231">
        <f t="shared" si="74"/>
        <v>10475.15694108864</v>
      </c>
      <c r="R231">
        <f t="shared" si="75"/>
        <v>1.750298305533635</v>
      </c>
      <c r="S231">
        <f t="shared" si="76"/>
        <v>40.973188717026062</v>
      </c>
      <c r="T231">
        <f t="shared" si="77"/>
        <v>6769.9704248083781</v>
      </c>
      <c r="U231">
        <f t="shared" si="78"/>
        <v>2.7082318376162329</v>
      </c>
      <c r="V231">
        <f t="shared" si="79"/>
        <v>9.893569795597422</v>
      </c>
      <c r="W231">
        <f t="shared" si="80"/>
        <v>4368.4606457378386</v>
      </c>
      <c r="X231">
        <f t="shared" si="81"/>
        <v>4.1970503870911253</v>
      </c>
      <c r="Y231">
        <f t="shared" si="82"/>
        <v>2.578274474914751</v>
      </c>
      <c r="Z231">
        <f t="shared" si="83"/>
        <v>3293.4991255824543</v>
      </c>
      <c r="AA231">
        <f t="shared" si="84"/>
        <v>5.5669209995444788</v>
      </c>
      <c r="AB231">
        <f t="shared" si="85"/>
        <v>1.2804154231957785</v>
      </c>
      <c r="AC231">
        <f t="shared" si="86"/>
        <v>1692.4926062020945</v>
      </c>
      <c r="AD231">
        <f t="shared" si="87"/>
        <v>10.832927350464931</v>
      </c>
      <c r="AE231">
        <f t="shared" si="88"/>
        <v>0.5635726326712206</v>
      </c>
      <c r="AF231">
        <f t="shared" si="89"/>
        <v>1555.2634759694924</v>
      </c>
      <c r="AG231">
        <f t="shared" si="90"/>
        <v>11.788773881388307</v>
      </c>
      <c r="AH231">
        <f t="shared" si="91"/>
        <v>0.5372561002087145</v>
      </c>
      <c r="AI231" cm="1">
        <f t="array" ref="AI231">_xlfn.LET(
    _xlpm.vals,   _xlfn.HSTACK(S231,V231,Y231,AB231,AE231,AH231),
    _xlpm.ints,   _xlfn.HSTACK(R231,U231,X231,AA231,AD231,AG231),
    _xlpm.slopes, _xlfn.HSTACK(Q231,T231,W231,Z231,AC231,AF231),
    _xlpm.limit,  -0.00001*_xlpm.slopes + 0.1086*_xlpm.slopes + 63.253,
    _xlpm.mask,   (_xlpm.vals&gt;=0) * (_xlpm.ints&lt;=_xlpm.limit),
    _xlpm.validVals, _xlfn._xlws.FILTER(_xlpm.vals, _xlpm.mask),
    _xlpm.minVal, MIN(_xlpm.validVals),
    IFERROR( _xlfn.XMATCH(_xlpm.minVal, _xlpm.vals), "" )
)</f>
        <v>6</v>
      </c>
      <c r="AJ231" cm="1">
        <f t="array" ref="AJ231">_xlfn.LET(
    _xlpm.vals, CHOOSE({1,2,3,4,5,6}, S231, V231, Y231, AB231, AE231, AH231),
    _xlpm.slopes, CHOOSE({1,2,3,4,5,6}, Q231, T231, W231, Z231, AC231, AF231),
    _xlpm.ints, CHOOSE({1,2,3,4,5,6}, R231, U231, X231, AA231, AD231, AG231),
    _xlpm.limit, -0.00001*_xlpm.slopes + 0.1086*_xlpm.slopes + 63.253,
    _xlpm.valid, (_xlpm.vals &gt;= 0) * (_xlpm.ints &lt;= _xlpm.limit),
    _xlpm.target, MIN(_xlfn._xlws.FILTER(_xlpm.vals, _xlpm.valid)),
    IFERROR(
        _xlfn.XLOOKUP(_xlpm.target, _xlpm.vals, _xlpm.vals),
        CHOOSE({1,2,3,4,5,6}, S$1, V$1, Y$1, AB$1, AE$1, AH$1)
    )
)</f>
        <v>0.5372561002087145</v>
      </c>
    </row>
    <row r="232" spans="9:36" x14ac:dyDescent="0.45">
      <c r="I232">
        <v>230</v>
      </c>
      <c r="J232">
        <v>54.8</v>
      </c>
      <c r="K232">
        <f t="shared" si="70"/>
        <v>54.8</v>
      </c>
      <c r="L232">
        <f t="shared" si="69"/>
        <v>1.5222222222222222E-2</v>
      </c>
      <c r="M232">
        <v>11.46</v>
      </c>
      <c r="N232">
        <f t="shared" si="71"/>
        <v>11.46</v>
      </c>
      <c r="O232">
        <f t="shared" si="72"/>
        <v>712.13601673736775</v>
      </c>
      <c r="P232">
        <f t="shared" si="73"/>
        <v>2278.8352535595768</v>
      </c>
      <c r="Q232">
        <f t="shared" si="74"/>
        <v>10437.065461302862</v>
      </c>
      <c r="R232">
        <f t="shared" si="75"/>
        <v>10.48522108783693</v>
      </c>
      <c r="S232">
        <f t="shared" si="76"/>
        <v>40.078645471314786</v>
      </c>
      <c r="T232">
        <f t="shared" si="77"/>
        <v>6745.3523505363473</v>
      </c>
      <c r="U232">
        <f t="shared" si="78"/>
        <v>16.223754250774707</v>
      </c>
      <c r="V232">
        <f t="shared" si="79"/>
        <v>9.826464781818796</v>
      </c>
      <c r="W232">
        <f t="shared" si="80"/>
        <v>4352.5753342987919</v>
      </c>
      <c r="X232">
        <f t="shared" si="81"/>
        <v>25.142572032614208</v>
      </c>
      <c r="Y232">
        <f t="shared" si="82"/>
        <v>2.9082962095616307</v>
      </c>
      <c r="Z232">
        <f t="shared" si="83"/>
        <v>3281.5227651257906</v>
      </c>
      <c r="AA232">
        <f t="shared" si="84"/>
        <v>33.348828182148011</v>
      </c>
      <c r="AB232">
        <f t="shared" si="85"/>
        <v>1.7732101682559376</v>
      </c>
      <c r="AC232">
        <f t="shared" si="86"/>
        <v>1686.3380876340868</v>
      </c>
      <c r="AD232">
        <f t="shared" si="87"/>
        <v>64.895017003098829</v>
      </c>
      <c r="AE232">
        <f t="shared" si="88"/>
        <v>1.3191207437583028</v>
      </c>
      <c r="AF232">
        <f t="shared" si="89"/>
        <v>1549.6079724205124</v>
      </c>
      <c r="AG232">
        <f t="shared" si="90"/>
        <v>70.621047915136955</v>
      </c>
      <c r="AH232">
        <f t="shared" si="91"/>
        <v>1.317286719435055</v>
      </c>
      <c r="AI232" cm="1">
        <f t="array" ref="AI232">_xlfn.LET(
    _xlpm.vals,   _xlfn.HSTACK(S232,V232,Y232,AB232,AE232,AH232),
    _xlpm.ints,   _xlfn.HSTACK(R232,U232,X232,AA232,AD232,AG232),
    _xlpm.slopes, _xlfn.HSTACK(Q232,T232,W232,Z232,AC232,AF232),
    _xlpm.limit,  -0.00001*_xlpm.slopes + 0.1086*_xlpm.slopes + 63.253,
    _xlpm.mask,   (_xlpm.vals&gt;=0) * (_xlpm.ints&lt;=_xlpm.limit),
    _xlpm.validVals, _xlfn._xlws.FILTER(_xlpm.vals, _xlpm.mask),
    _xlpm.minVal, MIN(_xlpm.validVals),
    IFERROR( _xlfn.XMATCH(_xlpm.minVal, _xlpm.vals), "" )
)</f>
        <v>6</v>
      </c>
      <c r="AJ232" cm="1">
        <f t="array" ref="AJ232">_xlfn.LET(
    _xlpm.vals, CHOOSE({1,2,3,4,5,6}, S232, V232, Y232, AB232, AE232, AH232),
    _xlpm.slopes, CHOOSE({1,2,3,4,5,6}, Q232, T232, W232, Z232, AC232, AF232),
    _xlpm.ints, CHOOSE({1,2,3,4,5,6}, R232, U232, X232, AA232, AD232, AG232),
    _xlpm.limit, -0.00001*_xlpm.slopes + 0.1086*_xlpm.slopes + 63.253,
    _xlpm.valid, (_xlpm.vals &gt;= 0) * (_xlpm.ints &lt;= _xlpm.limit),
    _xlpm.target, MIN(_xlfn._xlws.FILTER(_xlpm.vals, _xlpm.valid)),
    IFERROR(
        _xlfn.XLOOKUP(_xlpm.target, _xlpm.vals, _xlpm.vals),
        CHOOSE({1,2,3,4,5,6}, S$1, V$1, Y$1, AB$1, AE$1, AH$1)
    )
)</f>
        <v>1.317286719435055</v>
      </c>
    </row>
    <row r="233" spans="9:36" x14ac:dyDescent="0.45">
      <c r="I233">
        <v>231</v>
      </c>
      <c r="J233">
        <v>54.6</v>
      </c>
      <c r="K233">
        <f t="shared" si="70"/>
        <v>54.6</v>
      </c>
      <c r="L233">
        <f t="shared" si="69"/>
        <v>1.5166666666666667E-2</v>
      </c>
      <c r="M233">
        <v>7.7</v>
      </c>
      <c r="N233">
        <f t="shared" si="71"/>
        <v>7.7</v>
      </c>
      <c r="O233">
        <f t="shared" si="72"/>
        <v>709.53698017993224</v>
      </c>
      <c r="P233">
        <f t="shared" si="73"/>
        <v>2270.5183365757835</v>
      </c>
      <c r="Q233">
        <f t="shared" si="74"/>
        <v>10398.973981517089</v>
      </c>
      <c r="R233">
        <f t="shared" si="75"/>
        <v>7.0708498587596758</v>
      </c>
      <c r="S233">
        <f t="shared" si="76"/>
        <v>39.760690822848751</v>
      </c>
      <c r="T233">
        <f t="shared" si="77"/>
        <v>6720.7342762643193</v>
      </c>
      <c r="U233">
        <f t="shared" si="78"/>
        <v>10.940706876053824</v>
      </c>
      <c r="V233">
        <f t="shared" si="79"/>
        <v>9.6869887594000321</v>
      </c>
      <c r="W233">
        <f t="shared" si="80"/>
        <v>4336.690022859746</v>
      </c>
      <c r="X233">
        <f t="shared" si="81"/>
        <v>16.955231598491789</v>
      </c>
      <c r="Y233">
        <f t="shared" si="82"/>
        <v>2.7309543087929042</v>
      </c>
      <c r="Z233">
        <f t="shared" si="83"/>
        <v>3269.5464046691282</v>
      </c>
      <c r="AA233">
        <f t="shared" si="84"/>
        <v>22.489230800777303</v>
      </c>
      <c r="AB233">
        <f t="shared" si="85"/>
        <v>1.5497281669764718</v>
      </c>
      <c r="AC233">
        <f t="shared" si="86"/>
        <v>1680.1835690660798</v>
      </c>
      <c r="AD233">
        <f t="shared" si="87"/>
        <v>43.762827504215295</v>
      </c>
      <c r="AE233">
        <f t="shared" si="88"/>
        <v>0.99368977509069112</v>
      </c>
      <c r="AF233">
        <f t="shared" si="89"/>
        <v>1543.9524688715328</v>
      </c>
      <c r="AG233">
        <f t="shared" si="90"/>
        <v>47.624253460469582</v>
      </c>
      <c r="AH233">
        <f t="shared" si="91"/>
        <v>0.98287524152325689</v>
      </c>
      <c r="AI233" cm="1">
        <f t="array" ref="AI233">_xlfn.LET(
    _xlpm.vals,   _xlfn.HSTACK(S233,V233,Y233,AB233,AE233,AH233),
    _xlpm.ints,   _xlfn.HSTACK(R233,U233,X233,AA233,AD233,AG233),
    _xlpm.slopes, _xlfn.HSTACK(Q233,T233,W233,Z233,AC233,AF233),
    _xlpm.limit,  -0.00001*_xlpm.slopes + 0.1086*_xlpm.slopes + 63.253,
    _xlpm.mask,   (_xlpm.vals&gt;=0) * (_xlpm.ints&lt;=_xlpm.limit),
    _xlpm.validVals, _xlfn._xlws.FILTER(_xlpm.vals, _xlpm.mask),
    _xlpm.minVal, MIN(_xlpm.validVals),
    IFERROR( _xlfn.XMATCH(_xlpm.minVal, _xlpm.vals), "" )
)</f>
        <v>6</v>
      </c>
      <c r="AJ233" cm="1">
        <f t="array" ref="AJ233">_xlfn.LET(
    _xlpm.vals, CHOOSE({1,2,3,4,5,6}, S233, V233, Y233, AB233, AE233, AH233),
    _xlpm.slopes, CHOOSE({1,2,3,4,5,6}, Q233, T233, W233, Z233, AC233, AF233),
    _xlpm.ints, CHOOSE({1,2,3,4,5,6}, R233, U233, X233, AA233, AD233, AG233),
    _xlpm.limit, -0.00001*_xlpm.slopes + 0.1086*_xlpm.slopes + 63.253,
    _xlpm.valid, (_xlpm.vals &gt;= 0) * (_xlpm.ints &lt;= _xlpm.limit),
    _xlpm.target, MIN(_xlfn._xlws.FILTER(_xlpm.vals, _xlpm.valid)),
    IFERROR(
        _xlfn.XLOOKUP(_xlpm.target, _xlpm.vals, _xlpm.vals),
        CHOOSE({1,2,3,4,5,6}, S$1, V$1, Y$1, AB$1, AE$1, AH$1)
    )
)</f>
        <v>0.98287524152325689</v>
      </c>
    </row>
    <row r="234" spans="9:36" x14ac:dyDescent="0.45">
      <c r="I234">
        <v>232</v>
      </c>
      <c r="J234">
        <v>54.8</v>
      </c>
      <c r="K234">
        <f t="shared" si="70"/>
        <v>54.8</v>
      </c>
      <c r="L234">
        <f t="shared" si="69"/>
        <v>1.5222222222222222E-2</v>
      </c>
      <c r="M234">
        <v>17.79</v>
      </c>
      <c r="N234">
        <f t="shared" si="71"/>
        <v>17.79</v>
      </c>
      <c r="O234">
        <f t="shared" si="72"/>
        <v>712.13601673736775</v>
      </c>
      <c r="P234">
        <f t="shared" si="73"/>
        <v>2278.8352535595768</v>
      </c>
      <c r="Q234">
        <f t="shared" si="74"/>
        <v>10437.065461302862</v>
      </c>
      <c r="R234">
        <f t="shared" si="75"/>
        <v>16.276796086615967</v>
      </c>
      <c r="S234">
        <f t="shared" si="76"/>
        <v>39.826076951289053</v>
      </c>
      <c r="T234">
        <f t="shared" si="77"/>
        <v>6745.3523505363473</v>
      </c>
      <c r="U234">
        <f t="shared" si="78"/>
        <v>25.185042593480112</v>
      </c>
      <c r="V234">
        <f t="shared" si="79"/>
        <v>9.8923353813697776</v>
      </c>
      <c r="W234">
        <f t="shared" si="80"/>
        <v>4352.5753342987919</v>
      </c>
      <c r="X234">
        <f t="shared" si="81"/>
        <v>39.03022307680687</v>
      </c>
      <c r="Y234">
        <f t="shared" si="82"/>
        <v>3.197824755617142</v>
      </c>
      <c r="Z234">
        <f t="shared" si="83"/>
        <v>3281.5227651257906</v>
      </c>
      <c r="AA234">
        <f t="shared" si="84"/>
        <v>51.769254219931341</v>
      </c>
      <c r="AB234">
        <f t="shared" si="85"/>
        <v>2.1751867924431654</v>
      </c>
      <c r="AC234">
        <f t="shared" si="86"/>
        <v>1686.3380876340868</v>
      </c>
      <c r="AD234">
        <f t="shared" si="87"/>
        <v>100.74017037392045</v>
      </c>
      <c r="AE234">
        <f t="shared" si="88"/>
        <v>1.8801873300970728</v>
      </c>
      <c r="AF234">
        <f t="shared" si="89"/>
        <v>1549.6079724205124</v>
      </c>
      <c r="AG234">
        <f t="shared" si="90"/>
        <v>109.62900893632516</v>
      </c>
      <c r="AH234">
        <f t="shared" si="91"/>
        <v>1.8740606990253956</v>
      </c>
      <c r="AI234" cm="1">
        <f t="array" ref="AI234">_xlfn.LET(
    _xlpm.vals,   _xlfn.HSTACK(S234,V234,Y234,AB234,AE234,AH234),
    _xlpm.ints,   _xlfn.HSTACK(R234,U234,X234,AA234,AD234,AG234),
    _xlpm.slopes, _xlfn.HSTACK(Q234,T234,W234,Z234,AC234,AF234),
    _xlpm.limit,  -0.00001*_xlpm.slopes + 0.1086*_xlpm.slopes + 63.253,
    _xlpm.mask,   (_xlpm.vals&gt;=0) * (_xlpm.ints&lt;=_xlpm.limit),
    _xlpm.validVals, _xlfn._xlws.FILTER(_xlpm.vals, _xlpm.mask),
    _xlpm.minVal, MIN(_xlpm.validVals),
    IFERROR( _xlfn.XMATCH(_xlpm.minVal, _xlpm.vals), "" )
)</f>
        <v>6</v>
      </c>
      <c r="AJ234" cm="1">
        <f t="array" ref="AJ234">_xlfn.LET(
    _xlpm.vals, CHOOSE({1,2,3,4,5,6}, S234, V234, Y234, AB234, AE234, AH234),
    _xlpm.slopes, CHOOSE({1,2,3,4,5,6}, Q234, T234, W234, Z234, AC234, AF234),
    _xlpm.ints, CHOOSE({1,2,3,4,5,6}, R234, U234, X234, AA234, AD234, AG234),
    _xlpm.limit, -0.00001*_xlpm.slopes + 0.1086*_xlpm.slopes + 63.253,
    _xlpm.valid, (_xlpm.vals &gt;= 0) * (_xlpm.ints &lt;= _xlpm.limit),
    _xlpm.target, MIN(_xlfn._xlws.FILTER(_xlpm.vals, _xlpm.valid)),
    IFERROR(
        _xlfn.XLOOKUP(_xlpm.target, _xlpm.vals, _xlpm.vals),
        CHOOSE({1,2,3,4,5,6}, S$1, V$1, Y$1, AB$1, AE$1, AH$1)
    )
)</f>
        <v>1.8740606990253956</v>
      </c>
    </row>
    <row r="235" spans="9:36" x14ac:dyDescent="0.45">
      <c r="I235">
        <v>233</v>
      </c>
      <c r="J235">
        <v>55.2</v>
      </c>
      <c r="K235">
        <f t="shared" si="70"/>
        <v>55.2</v>
      </c>
      <c r="L235">
        <f t="shared" si="69"/>
        <v>1.5333333333333334E-2</v>
      </c>
      <c r="M235">
        <v>17.62</v>
      </c>
      <c r="N235">
        <f t="shared" si="71"/>
        <v>17.62</v>
      </c>
      <c r="O235">
        <f t="shared" si="72"/>
        <v>717.33408985223923</v>
      </c>
      <c r="P235">
        <f t="shared" si="73"/>
        <v>2295.4690875271658</v>
      </c>
      <c r="Q235">
        <f t="shared" si="74"/>
        <v>10513.248420874419</v>
      </c>
      <c r="R235">
        <f t="shared" si="75"/>
        <v>16.00443546094359</v>
      </c>
      <c r="S235">
        <f t="shared" si="76"/>
        <v>40.785891221664201</v>
      </c>
      <c r="T235">
        <f t="shared" si="77"/>
        <v>6794.5884990804107</v>
      </c>
      <c r="U235">
        <f t="shared" si="78"/>
        <v>24.76361973348704</v>
      </c>
      <c r="V235">
        <f t="shared" si="79"/>
        <v>10.112084614156238</v>
      </c>
      <c r="W235">
        <f t="shared" si="80"/>
        <v>4384.3459571768863</v>
      </c>
      <c r="X235">
        <f t="shared" si="81"/>
        <v>38.377127963938037</v>
      </c>
      <c r="Y235">
        <f t="shared" si="82"/>
        <v>3.2347284574276673</v>
      </c>
      <c r="Z235">
        <f t="shared" si="83"/>
        <v>3305.4754860391186</v>
      </c>
      <c r="AA235">
        <f t="shared" si="84"/>
        <v>50.90299611883448</v>
      </c>
      <c r="AB235">
        <f t="shared" si="85"/>
        <v>2.1774575765279591</v>
      </c>
      <c r="AC235">
        <f t="shared" si="86"/>
        <v>1698.6471247701027</v>
      </c>
      <c r="AD235">
        <f t="shared" si="87"/>
        <v>99.054478933948161</v>
      </c>
      <c r="AE235">
        <f t="shared" si="88"/>
        <v>1.8656817542607822</v>
      </c>
      <c r="AF235">
        <f t="shared" si="89"/>
        <v>1560.918979518473</v>
      </c>
      <c r="AG235">
        <f t="shared" si="90"/>
        <v>107.79458001635534</v>
      </c>
      <c r="AH235">
        <f t="shared" si="91"/>
        <v>1.8608683300615376</v>
      </c>
      <c r="AI235" cm="1">
        <f t="array" ref="AI235">_xlfn.LET(
    _xlpm.vals,   _xlfn.HSTACK(S235,V235,Y235,AB235,AE235,AH235),
    _xlpm.ints,   _xlfn.HSTACK(R235,U235,X235,AA235,AD235,AG235),
    _xlpm.slopes, _xlfn.HSTACK(Q235,T235,W235,Z235,AC235,AF235),
    _xlpm.limit,  -0.00001*_xlpm.slopes + 0.1086*_xlpm.slopes + 63.253,
    _xlpm.mask,   (_xlpm.vals&gt;=0) * (_xlpm.ints&lt;=_xlpm.limit),
    _xlpm.validVals, _xlfn._xlws.FILTER(_xlpm.vals, _xlpm.mask),
    _xlpm.minVal, MIN(_xlpm.validVals),
    IFERROR( _xlfn.XMATCH(_xlpm.minVal, _xlpm.vals), "" )
)</f>
        <v>6</v>
      </c>
      <c r="AJ235" cm="1">
        <f t="array" ref="AJ235">_xlfn.LET(
    _xlpm.vals, CHOOSE({1,2,3,4,5,6}, S235, V235, Y235, AB235, AE235, AH235),
    _xlpm.slopes, CHOOSE({1,2,3,4,5,6}, Q235, T235, W235, Z235, AC235, AF235),
    _xlpm.ints, CHOOSE({1,2,3,4,5,6}, R235, U235, X235, AA235, AD235, AG235),
    _xlpm.limit, -0.00001*_xlpm.slopes + 0.1086*_xlpm.slopes + 63.253,
    _xlpm.valid, (_xlpm.vals &gt;= 0) * (_xlpm.ints &lt;= _xlpm.limit),
    _xlpm.target, MIN(_xlfn._xlws.FILTER(_xlpm.vals, _xlpm.valid)),
    IFERROR(
        _xlfn.XLOOKUP(_xlpm.target, _xlpm.vals, _xlpm.vals),
        CHOOSE({1,2,3,4,5,6}, S$1, V$1, Y$1, AB$1, AE$1, AH$1)
    )
)</f>
        <v>1.8608683300615376</v>
      </c>
    </row>
    <row r="236" spans="9:36" x14ac:dyDescent="0.45">
      <c r="I236">
        <v>234</v>
      </c>
      <c r="J236">
        <v>55.6</v>
      </c>
      <c r="K236">
        <f t="shared" si="70"/>
        <v>55.6</v>
      </c>
      <c r="L236">
        <f t="shared" si="69"/>
        <v>1.5444444444444445E-2</v>
      </c>
      <c r="M236">
        <v>15.19</v>
      </c>
      <c r="N236">
        <f t="shared" si="71"/>
        <v>15.19</v>
      </c>
      <c r="O236">
        <f t="shared" si="72"/>
        <v>722.53216296711048</v>
      </c>
      <c r="P236">
        <f t="shared" si="73"/>
        <v>2312.1029214947534</v>
      </c>
      <c r="Q236">
        <f t="shared" si="74"/>
        <v>10589.431380445971</v>
      </c>
      <c r="R236">
        <f t="shared" si="75"/>
        <v>13.697979610293723</v>
      </c>
      <c r="S236">
        <f t="shared" si="76"/>
        <v>41.855000469263565</v>
      </c>
      <c r="T236">
        <f t="shared" si="77"/>
        <v>6843.8246476244703</v>
      </c>
      <c r="U236">
        <f t="shared" si="78"/>
        <v>21.194846829440962</v>
      </c>
      <c r="V236">
        <f t="shared" si="79"/>
        <v>10.313230499150663</v>
      </c>
      <c r="W236">
        <f t="shared" si="80"/>
        <v>4416.1165800549788</v>
      </c>
      <c r="X236">
        <f t="shared" si="81"/>
        <v>32.846464196411127</v>
      </c>
      <c r="Y236">
        <f t="shared" si="82"/>
        <v>3.1680221843040175</v>
      </c>
      <c r="Z236">
        <f t="shared" si="83"/>
        <v>3329.4282069524447</v>
      </c>
      <c r="AA236">
        <f t="shared" si="84"/>
        <v>43.567185149406427</v>
      </c>
      <c r="AB236">
        <f t="shared" si="85"/>
        <v>2.0342724529832807</v>
      </c>
      <c r="AC236">
        <f t="shared" si="86"/>
        <v>1710.9561619061176</v>
      </c>
      <c r="AD236">
        <f t="shared" si="87"/>
        <v>84.779387317763849</v>
      </c>
      <c r="AE236">
        <f t="shared" si="88"/>
        <v>1.6519861614518145</v>
      </c>
      <c r="AF236">
        <f t="shared" si="89"/>
        <v>1572.2299866164324</v>
      </c>
      <c r="AG236">
        <f t="shared" si="90"/>
        <v>92.259921492860656</v>
      </c>
      <c r="AH236">
        <f t="shared" si="91"/>
        <v>1.6523578241957095</v>
      </c>
      <c r="AI236" cm="1">
        <f t="array" ref="AI236">_xlfn.LET(
    _xlpm.vals,   _xlfn.HSTACK(S236,V236,Y236,AB236,AE236,AH236),
    _xlpm.ints,   _xlfn.HSTACK(R236,U236,X236,AA236,AD236,AG236),
    _xlpm.slopes, _xlfn.HSTACK(Q236,T236,W236,Z236,AC236,AF236),
    _xlpm.limit,  -0.00001*_xlpm.slopes + 0.1086*_xlpm.slopes + 63.253,
    _xlpm.mask,   (_xlpm.vals&gt;=0) * (_xlpm.ints&lt;=_xlpm.limit),
    _xlpm.validVals, _xlfn._xlws.FILTER(_xlpm.vals, _xlpm.mask),
    _xlpm.minVal, MIN(_xlpm.validVals),
    IFERROR( _xlfn.XMATCH(_xlpm.minVal, _xlpm.vals), "" )
)</f>
        <v>5</v>
      </c>
      <c r="AJ236" cm="1">
        <f t="array" ref="AJ236">_xlfn.LET(
    _xlpm.vals, CHOOSE({1,2,3,4,5,6}, S236, V236, Y236, AB236, AE236, AH236),
    _xlpm.slopes, CHOOSE({1,2,3,4,5,6}, Q236, T236, W236, Z236, AC236, AF236),
    _xlpm.ints, CHOOSE({1,2,3,4,5,6}, R236, U236, X236, AA236, AD236, AG236),
    _xlpm.limit, -0.00001*_xlpm.slopes + 0.1086*_xlpm.slopes + 63.253,
    _xlpm.valid, (_xlpm.vals &gt;= 0) * (_xlpm.ints &lt;= _xlpm.limit),
    _xlpm.target, MIN(_xlfn._xlws.FILTER(_xlpm.vals, _xlpm.valid)),
    IFERROR(
        _xlfn.XLOOKUP(_xlpm.target, _xlpm.vals, _xlpm.vals),
        CHOOSE({1,2,3,4,5,6}, S$1, V$1, Y$1, AB$1, AE$1, AH$1)
    )
)</f>
        <v>1.6519861614518145</v>
      </c>
    </row>
    <row r="237" spans="9:36" x14ac:dyDescent="0.45">
      <c r="I237">
        <v>235</v>
      </c>
      <c r="J237">
        <v>55.8</v>
      </c>
      <c r="K237">
        <f t="shared" si="70"/>
        <v>55.8</v>
      </c>
      <c r="L237">
        <f t="shared" si="69"/>
        <v>1.55E-2</v>
      </c>
      <c r="M237">
        <v>15.89</v>
      </c>
      <c r="N237">
        <f t="shared" si="71"/>
        <v>15.89</v>
      </c>
      <c r="O237">
        <f t="shared" si="72"/>
        <v>725.13119952454599</v>
      </c>
      <c r="P237">
        <f t="shared" si="73"/>
        <v>2320.4198384785473</v>
      </c>
      <c r="Q237">
        <f t="shared" si="74"/>
        <v>10627.522860231747</v>
      </c>
      <c r="R237">
        <f t="shared" si="75"/>
        <v>14.277863688406516</v>
      </c>
      <c r="S237">
        <f t="shared" si="76"/>
        <v>42.317194276662413</v>
      </c>
      <c r="T237">
        <f t="shared" si="77"/>
        <v>6868.4427218965002</v>
      </c>
      <c r="U237">
        <f t="shared" si="78"/>
        <v>22.092099896250623</v>
      </c>
      <c r="V237">
        <f t="shared" si="79"/>
        <v>10.434968307411216</v>
      </c>
      <c r="W237">
        <f t="shared" si="80"/>
        <v>4432.0018914940247</v>
      </c>
      <c r="X237">
        <f t="shared" si="81"/>
        <v>34.236971566964321</v>
      </c>
      <c r="Y237">
        <f t="shared" si="82"/>
        <v>3.2238368904735899</v>
      </c>
      <c r="Z237">
        <f t="shared" si="83"/>
        <v>3341.404567409108</v>
      </c>
      <c r="AA237">
        <f t="shared" si="84"/>
        <v>45.411538675626282</v>
      </c>
      <c r="AB237">
        <f t="shared" si="85"/>
        <v>2.086423975386273</v>
      </c>
      <c r="AC237">
        <f t="shared" si="86"/>
        <v>1717.110680474125</v>
      </c>
      <c r="AD237">
        <f t="shared" si="87"/>
        <v>88.368399585002493</v>
      </c>
      <c r="AE237">
        <f t="shared" si="88"/>
        <v>1.7140697099411581</v>
      </c>
      <c r="AF237">
        <f t="shared" si="89"/>
        <v>1577.8854901654122</v>
      </c>
      <c r="AG237">
        <f t="shared" si="90"/>
        <v>96.165611313090949</v>
      </c>
      <c r="AH237">
        <f t="shared" si="91"/>
        <v>1.7138722972147329</v>
      </c>
      <c r="AI237" cm="1">
        <f t="array" ref="AI237">_xlfn.LET(
    _xlpm.vals,   _xlfn.HSTACK(S237,V237,Y237,AB237,AE237,AH237),
    _xlpm.ints,   _xlfn.HSTACK(R237,U237,X237,AA237,AD237,AG237),
    _xlpm.slopes, _xlfn.HSTACK(Q237,T237,W237,Z237,AC237,AF237),
    _xlpm.limit,  -0.00001*_xlpm.slopes + 0.1086*_xlpm.slopes + 63.253,
    _xlpm.mask,   (_xlpm.vals&gt;=0) * (_xlpm.ints&lt;=_xlpm.limit),
    _xlpm.validVals, _xlfn._xlws.FILTER(_xlpm.vals, _xlpm.mask),
    _xlpm.minVal, MIN(_xlpm.validVals),
    IFERROR( _xlfn.XMATCH(_xlpm.minVal, _xlpm.vals), "" )
)</f>
        <v>6</v>
      </c>
      <c r="AJ237" cm="1">
        <f t="array" ref="AJ237">_xlfn.LET(
    _xlpm.vals, CHOOSE({1,2,3,4,5,6}, S237, V237, Y237, AB237, AE237, AH237),
    _xlpm.slopes, CHOOSE({1,2,3,4,5,6}, Q237, T237, W237, Z237, AC237, AF237),
    _xlpm.ints, CHOOSE({1,2,3,4,5,6}, R237, U237, X237, AA237, AD237, AG237),
    _xlpm.limit, -0.00001*_xlpm.slopes + 0.1086*_xlpm.slopes + 63.253,
    _xlpm.valid, (_xlpm.vals &gt;= 0) * (_xlpm.ints &lt;= _xlpm.limit),
    _xlpm.target, MIN(_xlfn._xlws.FILTER(_xlpm.vals, _xlpm.valid)),
    IFERROR(
        _xlfn.XLOOKUP(_xlpm.target, _xlpm.vals, _xlpm.vals),
        CHOOSE({1,2,3,4,5,6}, S$1, V$1, Y$1, AB$1, AE$1, AH$1)
    )
)</f>
        <v>1.7138722972147329</v>
      </c>
    </row>
    <row r="238" spans="9:36" x14ac:dyDescent="0.45">
      <c r="I238">
        <v>236</v>
      </c>
      <c r="J238">
        <v>56.1</v>
      </c>
      <c r="K238">
        <f t="shared" si="70"/>
        <v>56.1</v>
      </c>
      <c r="L238">
        <f t="shared" si="69"/>
        <v>1.5583333333333334E-2</v>
      </c>
      <c r="M238">
        <v>17.7</v>
      </c>
      <c r="N238">
        <f t="shared" si="71"/>
        <v>17.7</v>
      </c>
      <c r="O238">
        <f t="shared" si="72"/>
        <v>729.0297543606996</v>
      </c>
      <c r="P238">
        <f t="shared" si="73"/>
        <v>2332.8952139542389</v>
      </c>
      <c r="Q238">
        <f t="shared" si="74"/>
        <v>10684.660079910414</v>
      </c>
      <c r="R238">
        <f t="shared" si="75"/>
        <v>15.819178925625682</v>
      </c>
      <c r="S238">
        <f t="shared" si="76"/>
        <v>42.984947349615005</v>
      </c>
      <c r="T238">
        <f t="shared" si="77"/>
        <v>6905.3698333045468</v>
      </c>
      <c r="U238">
        <f t="shared" si="78"/>
        <v>24.476972797082986</v>
      </c>
      <c r="V238">
        <f t="shared" si="79"/>
        <v>10.62659836796931</v>
      </c>
      <c r="W238">
        <f t="shared" si="80"/>
        <v>4455.8298586525962</v>
      </c>
      <c r="X238">
        <f t="shared" si="81"/>
        <v>37.932900250976772</v>
      </c>
      <c r="Y238">
        <f t="shared" si="82"/>
        <v>3.3436351181346233</v>
      </c>
      <c r="Z238">
        <f t="shared" si="83"/>
        <v>3359.3691080941039</v>
      </c>
      <c r="AA238">
        <f t="shared" si="84"/>
        <v>50.313777416226131</v>
      </c>
      <c r="AB238">
        <f t="shared" si="85"/>
        <v>2.2147457281245457</v>
      </c>
      <c r="AC238">
        <f t="shared" si="86"/>
        <v>1726.3424583261367</v>
      </c>
      <c r="AD238">
        <f t="shared" si="87"/>
        <v>97.907891188331945</v>
      </c>
      <c r="AE238">
        <f t="shared" si="88"/>
        <v>1.8728002923861566</v>
      </c>
      <c r="AF238">
        <f t="shared" si="89"/>
        <v>1586.3687454888825</v>
      </c>
      <c r="AG238">
        <f t="shared" si="90"/>
        <v>106.54682276377298</v>
      </c>
      <c r="AH238">
        <f t="shared" si="91"/>
        <v>1.8691376973323228</v>
      </c>
      <c r="AI238" cm="1">
        <f t="array" ref="AI238">_xlfn.LET(
    _xlpm.vals,   _xlfn.HSTACK(S238,V238,Y238,AB238,AE238,AH238),
    _xlpm.ints,   _xlfn.HSTACK(R238,U238,X238,AA238,AD238,AG238),
    _xlpm.slopes, _xlfn.HSTACK(Q238,T238,W238,Z238,AC238,AF238),
    _xlpm.limit,  -0.00001*_xlpm.slopes + 0.1086*_xlpm.slopes + 63.253,
    _xlpm.mask,   (_xlpm.vals&gt;=0) * (_xlpm.ints&lt;=_xlpm.limit),
    _xlpm.validVals, _xlfn._xlws.FILTER(_xlpm.vals, _xlpm.mask),
    _xlpm.minVal, MIN(_xlpm.validVals),
    IFERROR( _xlfn.XMATCH(_xlpm.minVal, _xlpm.vals), "" )
)</f>
        <v>6</v>
      </c>
      <c r="AJ238" cm="1">
        <f t="array" ref="AJ238">_xlfn.LET(
    _xlpm.vals, CHOOSE({1,2,3,4,5,6}, S238, V238, Y238, AB238, AE238, AH238),
    _xlpm.slopes, CHOOSE({1,2,3,4,5,6}, Q238, T238, W238, Z238, AC238, AF238),
    _xlpm.ints, CHOOSE({1,2,3,4,5,6}, R238, U238, X238, AA238, AD238, AG238),
    _xlpm.limit, -0.00001*_xlpm.slopes + 0.1086*_xlpm.slopes + 63.253,
    _xlpm.valid, (_xlpm.vals &gt;= 0) * (_xlpm.ints &lt;= _xlpm.limit),
    _xlpm.target, MIN(_xlfn._xlws.FILTER(_xlpm.vals, _xlpm.valid)),
    IFERROR(
        _xlfn.XLOOKUP(_xlpm.target, _xlpm.vals, _xlpm.vals),
        CHOOSE({1,2,3,4,5,6}, S$1, V$1, Y$1, AB$1, AE$1, AH$1)
    )
)</f>
        <v>1.8691376973323228</v>
      </c>
    </row>
    <row r="239" spans="9:36" x14ac:dyDescent="0.45">
      <c r="I239">
        <v>237</v>
      </c>
      <c r="J239">
        <v>56.5</v>
      </c>
      <c r="K239">
        <f t="shared" si="70"/>
        <v>56.5</v>
      </c>
      <c r="L239">
        <f t="shared" si="69"/>
        <v>1.5694444444444445E-2</v>
      </c>
      <c r="M239">
        <v>15.53</v>
      </c>
      <c r="N239">
        <f t="shared" si="71"/>
        <v>15.53</v>
      </c>
      <c r="O239">
        <f t="shared" si="72"/>
        <v>734.22782747557085</v>
      </c>
      <c r="P239">
        <f t="shared" si="73"/>
        <v>2349.529047921827</v>
      </c>
      <c r="Q239">
        <f t="shared" si="74"/>
        <v>10760.843039481968</v>
      </c>
      <c r="R239">
        <f t="shared" si="75"/>
        <v>13.78150163782775</v>
      </c>
      <c r="S239">
        <f t="shared" si="76"/>
        <v>44.083864891346487</v>
      </c>
      <c r="T239">
        <f t="shared" si="77"/>
        <v>6954.6059818486074</v>
      </c>
      <c r="U239">
        <f t="shared" si="78"/>
        <v>21.324080236909158</v>
      </c>
      <c r="V239">
        <f t="shared" si="79"/>
        <v>10.842497629434092</v>
      </c>
      <c r="W239">
        <f t="shared" si="80"/>
        <v>4487.6004815306896</v>
      </c>
      <c r="X239">
        <f t="shared" si="81"/>
        <v>33.046742147251884</v>
      </c>
      <c r="Y239">
        <f t="shared" si="82"/>
        <v>3.2932102173513123</v>
      </c>
      <c r="Z239">
        <f t="shared" si="83"/>
        <v>3383.3218290074306</v>
      </c>
      <c r="AA239">
        <f t="shared" si="84"/>
        <v>43.83283159809104</v>
      </c>
      <c r="AB239">
        <f t="shared" si="85"/>
        <v>2.0907706644626969</v>
      </c>
      <c r="AC239">
        <f t="shared" si="86"/>
        <v>1738.6514954621518</v>
      </c>
      <c r="AD239">
        <f t="shared" si="87"/>
        <v>85.29632094763663</v>
      </c>
      <c r="AE239">
        <f t="shared" si="88"/>
        <v>1.6819774395066445</v>
      </c>
      <c r="AF239">
        <f t="shared" si="89"/>
        <v>1597.6797525868424</v>
      </c>
      <c r="AG239">
        <f t="shared" si="90"/>
        <v>92.822466913604543</v>
      </c>
      <c r="AH239">
        <f t="shared" si="91"/>
        <v>1.6825097436059304</v>
      </c>
      <c r="AI239" cm="1">
        <f t="array" ref="AI239">_xlfn.LET(
    _xlpm.vals,   _xlfn.HSTACK(S239,V239,Y239,AB239,AE239,AH239),
    _xlpm.ints,   _xlfn.HSTACK(R239,U239,X239,AA239,AD239,AG239),
    _xlpm.slopes, _xlfn.HSTACK(Q239,T239,W239,Z239,AC239,AF239),
    _xlpm.limit,  -0.00001*_xlpm.slopes + 0.1086*_xlpm.slopes + 63.253,
    _xlpm.mask,   (_xlpm.vals&gt;=0) * (_xlpm.ints&lt;=_xlpm.limit),
    _xlpm.validVals, _xlfn._xlws.FILTER(_xlpm.vals, _xlpm.mask),
    _xlpm.minVal, MIN(_xlpm.validVals),
    IFERROR( _xlfn.XMATCH(_xlpm.minVal, _xlpm.vals), "" )
)</f>
        <v>5</v>
      </c>
      <c r="AJ239" cm="1">
        <f t="array" ref="AJ239">_xlfn.LET(
    _xlpm.vals, CHOOSE({1,2,3,4,5,6}, S239, V239, Y239, AB239, AE239, AH239),
    _xlpm.slopes, CHOOSE({1,2,3,4,5,6}, Q239, T239, W239, Z239, AC239, AF239),
    _xlpm.ints, CHOOSE({1,2,3,4,5,6}, R239, U239, X239, AA239, AD239, AG239),
    _xlpm.limit, -0.00001*_xlpm.slopes + 0.1086*_xlpm.slopes + 63.253,
    _xlpm.valid, (_xlpm.vals &gt;= 0) * (_xlpm.ints &lt;= _xlpm.limit),
    _xlpm.target, MIN(_xlfn._xlws.FILTER(_xlpm.vals, _xlpm.valid)),
    IFERROR(
        _xlfn.XLOOKUP(_xlpm.target, _xlpm.vals, _xlpm.vals),
        CHOOSE({1,2,3,4,5,6}, S$1, V$1, Y$1, AB$1, AE$1, AH$1)
    )
)</f>
        <v>1.6819774395066445</v>
      </c>
    </row>
    <row r="240" spans="9:36" x14ac:dyDescent="0.45">
      <c r="I240">
        <v>238</v>
      </c>
      <c r="J240">
        <v>56.6</v>
      </c>
      <c r="K240">
        <f t="shared" si="70"/>
        <v>56.6</v>
      </c>
      <c r="L240">
        <f t="shared" si="69"/>
        <v>1.5722222222222224E-2</v>
      </c>
      <c r="M240">
        <v>13.37</v>
      </c>
      <c r="N240">
        <f t="shared" si="71"/>
        <v>13.37</v>
      </c>
      <c r="O240">
        <f t="shared" si="72"/>
        <v>735.52734575428872</v>
      </c>
      <c r="P240">
        <f t="shared" si="73"/>
        <v>2353.6875064137239</v>
      </c>
      <c r="Q240">
        <f t="shared" si="74"/>
        <v>10779.888779374856</v>
      </c>
      <c r="R240">
        <f t="shared" si="75"/>
        <v>11.843730298275162</v>
      </c>
      <c r="S240">
        <f t="shared" si="76"/>
        <v>44.434298456338297</v>
      </c>
      <c r="T240">
        <f t="shared" si="77"/>
        <v>6966.9150189846223</v>
      </c>
      <c r="U240">
        <f t="shared" si="78"/>
        <v>18.325771880439273</v>
      </c>
      <c r="V240">
        <f t="shared" si="79"/>
        <v>10.886669448894178</v>
      </c>
      <c r="W240">
        <f t="shared" si="80"/>
        <v>4495.5431372502126</v>
      </c>
      <c r="X240">
        <f t="shared" si="81"/>
        <v>28.400149092199083</v>
      </c>
      <c r="Y240">
        <f t="shared" si="82"/>
        <v>3.2120553959280258</v>
      </c>
      <c r="Z240">
        <f t="shared" si="83"/>
        <v>3389.3100092357622</v>
      </c>
      <c r="AA240">
        <f t="shared" si="84"/>
        <v>37.669642198680734</v>
      </c>
      <c r="AB240">
        <f t="shared" si="85"/>
        <v>1.9619253920404496</v>
      </c>
      <c r="AC240">
        <f t="shared" si="86"/>
        <v>1741.7287547461556</v>
      </c>
      <c r="AD240">
        <f t="shared" si="87"/>
        <v>73.303087521757092</v>
      </c>
      <c r="AE240">
        <f t="shared" si="88"/>
        <v>1.4896770190344175</v>
      </c>
      <c r="AF240">
        <f t="shared" si="89"/>
        <v>1600.5075043613324</v>
      </c>
      <c r="AG240">
        <f t="shared" si="90"/>
        <v>79.77100700897094</v>
      </c>
      <c r="AH240">
        <f t="shared" si="91"/>
        <v>1.4897877221202376</v>
      </c>
      <c r="AI240" cm="1">
        <f t="array" ref="AI240">_xlfn.LET(
    _xlpm.vals,   _xlfn.HSTACK(S240,V240,Y240,AB240,AE240,AH240),
    _xlpm.ints,   _xlfn.HSTACK(R240,U240,X240,AA240,AD240,AG240),
    _xlpm.slopes, _xlfn.HSTACK(Q240,T240,W240,Z240,AC240,AF240),
    _xlpm.limit,  -0.00001*_xlpm.slopes + 0.1086*_xlpm.slopes + 63.253,
    _xlpm.mask,   (_xlpm.vals&gt;=0) * (_xlpm.ints&lt;=_xlpm.limit),
    _xlpm.validVals, _xlfn._xlws.FILTER(_xlpm.vals, _xlpm.mask),
    _xlpm.minVal, MIN(_xlpm.validVals),
    IFERROR( _xlfn.XMATCH(_xlpm.minVal, _xlpm.vals), "" )
)</f>
        <v>5</v>
      </c>
      <c r="AJ240" cm="1">
        <f t="array" ref="AJ240">_xlfn.LET(
    _xlpm.vals, CHOOSE({1,2,3,4,5,6}, S240, V240, Y240, AB240, AE240, AH240),
    _xlpm.slopes, CHOOSE({1,2,3,4,5,6}, Q240, T240, W240, Z240, AC240, AF240),
    _xlpm.ints, CHOOSE({1,2,3,4,5,6}, R240, U240, X240, AA240, AD240, AG240),
    _xlpm.limit, -0.00001*_xlpm.slopes + 0.1086*_xlpm.slopes + 63.253,
    _xlpm.valid, (_xlpm.vals &gt;= 0) * (_xlpm.ints &lt;= _xlpm.limit),
    _xlpm.target, MIN(_xlfn._xlws.FILTER(_xlpm.vals, _xlpm.valid)),
    IFERROR(
        _xlfn.XLOOKUP(_xlpm.target, _xlpm.vals, _xlpm.vals),
        CHOOSE({1,2,3,4,5,6}, S$1, V$1, Y$1, AB$1, AE$1, AH$1)
    )
)</f>
        <v>1.4896770190344175</v>
      </c>
    </row>
    <row r="241" spans="9:36" x14ac:dyDescent="0.45">
      <c r="I241">
        <v>239</v>
      </c>
      <c r="J241">
        <v>56.8</v>
      </c>
      <c r="K241">
        <f t="shared" si="70"/>
        <v>56.8</v>
      </c>
      <c r="L241">
        <f t="shared" si="69"/>
        <v>1.5777777777777776E-2</v>
      </c>
      <c r="M241">
        <v>13.73</v>
      </c>
      <c r="N241">
        <f t="shared" si="71"/>
        <v>13.73</v>
      </c>
      <c r="O241">
        <f t="shared" si="72"/>
        <v>738.12638231172434</v>
      </c>
      <c r="P241">
        <f t="shared" si="73"/>
        <v>2362.0044233975182</v>
      </c>
      <c r="Q241">
        <f t="shared" si="74"/>
        <v>10817.980259160633</v>
      </c>
      <c r="R241">
        <f t="shared" si="75"/>
        <v>12.119807854897706</v>
      </c>
      <c r="S241">
        <f t="shared" si="76"/>
        <v>44.930550689576719</v>
      </c>
      <c r="T241">
        <f t="shared" si="77"/>
        <v>6991.533093256654</v>
      </c>
      <c r="U241">
        <f t="shared" si="78"/>
        <v>18.752945937645777</v>
      </c>
      <c r="V241">
        <f t="shared" si="79"/>
        <v>11.009870845698714</v>
      </c>
      <c r="W241">
        <f t="shared" si="80"/>
        <v>4511.4284486892593</v>
      </c>
      <c r="X241">
        <f t="shared" si="81"/>
        <v>29.062157055199741</v>
      </c>
      <c r="Y241">
        <f t="shared" si="82"/>
        <v>3.252983259317181</v>
      </c>
      <c r="Z241">
        <f t="shared" si="83"/>
        <v>3401.286369692426</v>
      </c>
      <c r="AA241">
        <f t="shared" si="84"/>
        <v>38.547722205160767</v>
      </c>
      <c r="AB241">
        <f t="shared" si="85"/>
        <v>1.9921266812403982</v>
      </c>
      <c r="AC241">
        <f t="shared" si="86"/>
        <v>1747.8832733141635</v>
      </c>
      <c r="AD241">
        <f t="shared" si="87"/>
        <v>75.011783750583106</v>
      </c>
      <c r="AE241">
        <f t="shared" si="88"/>
        <v>1.5217424955907719</v>
      </c>
      <c r="AF241">
        <f t="shared" si="89"/>
        <v>1606.1630079103124</v>
      </c>
      <c r="AG241">
        <f t="shared" si="90"/>
        <v>81.630470552105137</v>
      </c>
      <c r="AH241">
        <f t="shared" si="91"/>
        <v>1.5221303112443292</v>
      </c>
      <c r="AI241" cm="1">
        <f t="array" ref="AI241">_xlfn.LET(
    _xlpm.vals,   _xlfn.HSTACK(S241,V241,Y241,AB241,AE241,AH241),
    _xlpm.ints,   _xlfn.HSTACK(R241,U241,X241,AA241,AD241,AG241),
    _xlpm.slopes, _xlfn.HSTACK(Q241,T241,W241,Z241,AC241,AF241),
    _xlpm.limit,  -0.00001*_xlpm.slopes + 0.1086*_xlpm.slopes + 63.253,
    _xlpm.mask,   (_xlpm.vals&gt;=0) * (_xlpm.ints&lt;=_xlpm.limit),
    _xlpm.validVals, _xlfn._xlws.FILTER(_xlpm.vals, _xlpm.mask),
    _xlpm.minVal, MIN(_xlpm.validVals),
    IFERROR( _xlfn.XMATCH(_xlpm.minVal, _xlpm.vals), "" )
)</f>
        <v>5</v>
      </c>
      <c r="AJ241" cm="1">
        <f t="array" ref="AJ241">_xlfn.LET(
    _xlpm.vals, CHOOSE({1,2,3,4,5,6}, S241, V241, Y241, AB241, AE241, AH241),
    _xlpm.slopes, CHOOSE({1,2,3,4,5,6}, Q241, T241, W241, Z241, AC241, AF241),
    _xlpm.ints, CHOOSE({1,2,3,4,5,6}, R241, U241, X241, AA241, AD241, AG241),
    _xlpm.limit, -0.00001*_xlpm.slopes + 0.1086*_xlpm.slopes + 63.253,
    _xlpm.valid, (_xlpm.vals &gt;= 0) * (_xlpm.ints &lt;= _xlpm.limit),
    _xlpm.target, MIN(_xlfn._xlws.FILTER(_xlpm.vals, _xlpm.valid)),
    IFERROR(
        _xlfn.XLOOKUP(_xlpm.target, _xlpm.vals, _xlpm.vals),
        CHOOSE({1,2,3,4,5,6}, S$1, V$1, Y$1, AB$1, AE$1, AH$1)
    )
)</f>
        <v>1.5217424955907719</v>
      </c>
    </row>
    <row r="242" spans="9:36" x14ac:dyDescent="0.45">
      <c r="I242">
        <v>240</v>
      </c>
      <c r="J242">
        <v>56.7</v>
      </c>
      <c r="K242">
        <f t="shared" si="70"/>
        <v>56.7</v>
      </c>
      <c r="L242">
        <f t="shared" si="69"/>
        <v>1.575E-2</v>
      </c>
      <c r="M242">
        <v>11.04</v>
      </c>
      <c r="N242">
        <f t="shared" si="71"/>
        <v>11.04</v>
      </c>
      <c r="O242">
        <f t="shared" si="72"/>
        <v>736.82686403300647</v>
      </c>
      <c r="P242">
        <f t="shared" si="73"/>
        <v>2357.8459649056208</v>
      </c>
      <c r="Q242">
        <f t="shared" si="74"/>
        <v>10798.934519267743</v>
      </c>
      <c r="R242">
        <f t="shared" si="75"/>
        <v>9.7624662985010975</v>
      </c>
      <c r="S242">
        <f t="shared" si="76"/>
        <v>44.796516486085793</v>
      </c>
      <c r="T242">
        <f t="shared" si="77"/>
        <v>6979.2240561206372</v>
      </c>
      <c r="U242">
        <f t="shared" si="78"/>
        <v>15.105437718626694</v>
      </c>
      <c r="V242">
        <f t="shared" si="79"/>
        <v>10.933940226796624</v>
      </c>
      <c r="W242">
        <f t="shared" si="80"/>
        <v>4503.4857929697355</v>
      </c>
      <c r="X242">
        <f t="shared" si="81"/>
        <v>23.409474160803676</v>
      </c>
      <c r="Y242">
        <f t="shared" si="82"/>
        <v>3.1292029638303815</v>
      </c>
      <c r="Z242">
        <f t="shared" si="83"/>
        <v>3395.2981894640939</v>
      </c>
      <c r="AA242">
        <f t="shared" si="84"/>
        <v>31.050066421621544</v>
      </c>
      <c r="AB242">
        <f t="shared" si="85"/>
        <v>1.8293488817055925</v>
      </c>
      <c r="AC242">
        <f t="shared" si="86"/>
        <v>1744.8060140301593</v>
      </c>
      <c r="AD242">
        <f t="shared" si="87"/>
        <v>60.421750874506778</v>
      </c>
      <c r="AE242">
        <f t="shared" si="88"/>
        <v>1.2838468202932296</v>
      </c>
      <c r="AF242">
        <f t="shared" si="89"/>
        <v>1603.3352561358222</v>
      </c>
      <c r="AG242">
        <f t="shared" si="90"/>
        <v>65.753081834022083</v>
      </c>
      <c r="AH242">
        <f t="shared" si="91"/>
        <v>1.2800876630190161</v>
      </c>
      <c r="AI242" cm="1">
        <f t="array" ref="AI242">_xlfn.LET(
    _xlpm.vals,   _xlfn.HSTACK(S242,V242,Y242,AB242,AE242,AH242),
    _xlpm.ints,   _xlfn.HSTACK(R242,U242,X242,AA242,AD242,AG242),
    _xlpm.slopes, _xlfn.HSTACK(Q242,T242,W242,Z242,AC242,AF242),
    _xlpm.limit,  -0.00001*_xlpm.slopes + 0.1086*_xlpm.slopes + 63.253,
    _xlpm.mask,   (_xlpm.vals&gt;=0) * (_xlpm.ints&lt;=_xlpm.limit),
    _xlpm.validVals, _xlfn._xlws.FILTER(_xlpm.vals, _xlpm.mask),
    _xlpm.minVal, MIN(_xlpm.validVals),
    IFERROR( _xlfn.XMATCH(_xlpm.minVal, _xlpm.vals), "" )
)</f>
        <v>6</v>
      </c>
      <c r="AJ242" cm="1">
        <f t="array" ref="AJ242">_xlfn.LET(
    _xlpm.vals, CHOOSE({1,2,3,4,5,6}, S242, V242, Y242, AB242, AE242, AH242),
    _xlpm.slopes, CHOOSE({1,2,3,4,5,6}, Q242, T242, W242, Z242, AC242, AF242),
    _xlpm.ints, CHOOSE({1,2,3,4,5,6}, R242, U242, X242, AA242, AD242, AG242),
    _xlpm.limit, -0.00001*_xlpm.slopes + 0.1086*_xlpm.slopes + 63.253,
    _xlpm.valid, (_xlpm.vals &gt;= 0) * (_xlpm.ints &lt;= _xlpm.limit),
    _xlpm.target, MIN(_xlfn._xlws.FILTER(_xlpm.vals, _xlpm.valid)),
    IFERROR(
        _xlfn.XLOOKUP(_xlpm.target, _xlpm.vals, _xlpm.vals),
        CHOOSE({1,2,3,4,5,6}, S$1, V$1, Y$1, AB$1, AE$1, AH$1)
    )
)</f>
        <v>1.2800876630190161</v>
      </c>
    </row>
    <row r="243" spans="9:36" x14ac:dyDescent="0.45">
      <c r="I243">
        <v>241</v>
      </c>
      <c r="J243">
        <v>56.6</v>
      </c>
      <c r="K243">
        <f t="shared" si="70"/>
        <v>56.6</v>
      </c>
      <c r="L243">
        <f t="shared" si="69"/>
        <v>1.5722222222222224E-2</v>
      </c>
      <c r="M243">
        <v>10.48</v>
      </c>
      <c r="N243">
        <f t="shared" si="71"/>
        <v>10.48</v>
      </c>
      <c r="O243">
        <f t="shared" si="72"/>
        <v>735.52734575428872</v>
      </c>
      <c r="P243">
        <f t="shared" si="73"/>
        <v>2353.6875064137239</v>
      </c>
      <c r="Q243">
        <f t="shared" si="74"/>
        <v>10779.888779374856</v>
      </c>
      <c r="R243">
        <f t="shared" si="75"/>
        <v>9.2836419989471732</v>
      </c>
      <c r="S243">
        <f t="shared" si="76"/>
        <v>44.565898136431194</v>
      </c>
      <c r="T243">
        <f t="shared" si="77"/>
        <v>6966.9150189846223</v>
      </c>
      <c r="U243">
        <f t="shared" si="78"/>
        <v>14.36455417404664</v>
      </c>
      <c r="V243">
        <f t="shared" si="79"/>
        <v>10.870486323559387</v>
      </c>
      <c r="W243">
        <f t="shared" si="80"/>
        <v>4495.5431372502126</v>
      </c>
      <c r="X243">
        <f t="shared" si="81"/>
        <v>22.26129861527647</v>
      </c>
      <c r="Y243">
        <f t="shared" si="82"/>
        <v>3.0938420406563685</v>
      </c>
      <c r="Z243">
        <f t="shared" si="83"/>
        <v>3389.3100092357622</v>
      </c>
      <c r="AA243">
        <f t="shared" si="84"/>
        <v>29.52713913554032</v>
      </c>
      <c r="AB243">
        <f t="shared" si="85"/>
        <v>1.7929601264561206</v>
      </c>
      <c r="AC243">
        <f t="shared" si="86"/>
        <v>1741.7287547461556</v>
      </c>
      <c r="AD243">
        <f t="shared" si="87"/>
        <v>57.458216696186561</v>
      </c>
      <c r="AE243">
        <f t="shared" si="88"/>
        <v>1.2349274195689173</v>
      </c>
      <c r="AF243">
        <f t="shared" si="89"/>
        <v>1600.5075043613324</v>
      </c>
      <c r="AG243">
        <f t="shared" si="90"/>
        <v>62.528059345850075</v>
      </c>
      <c r="AH243">
        <f t="shared" si="91"/>
        <v>1.2299481517911257</v>
      </c>
      <c r="AI243" cm="1">
        <f t="array" ref="AI243">_xlfn.LET(
    _xlpm.vals,   _xlfn.HSTACK(S243,V243,Y243,AB243,AE243,AH243),
    _xlpm.ints,   _xlfn.HSTACK(R243,U243,X243,AA243,AD243,AG243),
    _xlpm.slopes, _xlfn.HSTACK(Q243,T243,W243,Z243,AC243,AF243),
    _xlpm.limit,  -0.00001*_xlpm.slopes + 0.1086*_xlpm.slopes + 63.253,
    _xlpm.mask,   (_xlpm.vals&gt;=0) * (_xlpm.ints&lt;=_xlpm.limit),
    _xlpm.validVals, _xlfn._xlws.FILTER(_xlpm.vals, _xlpm.mask),
    _xlpm.minVal, MIN(_xlpm.validVals),
    IFERROR( _xlfn.XMATCH(_xlpm.minVal, _xlpm.vals), "" )
)</f>
        <v>6</v>
      </c>
      <c r="AJ243" cm="1">
        <f t="array" ref="AJ243">_xlfn.LET(
    _xlpm.vals, CHOOSE({1,2,3,4,5,6}, S243, V243, Y243, AB243, AE243, AH243),
    _xlpm.slopes, CHOOSE({1,2,3,4,5,6}, Q243, T243, W243, Z243, AC243, AF243),
    _xlpm.ints, CHOOSE({1,2,3,4,5,6}, R243, U243, X243, AA243, AD243, AG243),
    _xlpm.limit, -0.00001*_xlpm.slopes + 0.1086*_xlpm.slopes + 63.253,
    _xlpm.valid, (_xlpm.vals &gt;= 0) * (_xlpm.ints &lt;= _xlpm.limit),
    _xlpm.target, MIN(_xlfn._xlws.FILTER(_xlpm.vals, _xlpm.valid)),
    IFERROR(
        _xlfn.XLOOKUP(_xlpm.target, _xlpm.vals, _xlpm.vals),
        CHOOSE({1,2,3,4,5,6}, S$1, V$1, Y$1, AB$1, AE$1, AH$1)
    )
)</f>
        <v>1.2299481517911257</v>
      </c>
    </row>
    <row r="244" spans="9:36" x14ac:dyDescent="0.45">
      <c r="I244">
        <v>242</v>
      </c>
      <c r="J244">
        <v>56.7</v>
      </c>
      <c r="K244">
        <f t="shared" si="70"/>
        <v>56.7</v>
      </c>
      <c r="L244">
        <f t="shared" si="69"/>
        <v>1.575E-2</v>
      </c>
      <c r="M244">
        <v>14.62</v>
      </c>
      <c r="N244">
        <f t="shared" si="71"/>
        <v>14.62</v>
      </c>
      <c r="O244">
        <f t="shared" si="72"/>
        <v>736.82686403300647</v>
      </c>
      <c r="P244">
        <f t="shared" si="73"/>
        <v>2357.8459649056208</v>
      </c>
      <c r="Q244">
        <f t="shared" si="74"/>
        <v>10798.934519267743</v>
      </c>
      <c r="R244">
        <f t="shared" si="75"/>
        <v>12.92819359457301</v>
      </c>
      <c r="S244">
        <f t="shared" si="76"/>
        <v>44.633879445910452</v>
      </c>
      <c r="T244">
        <f t="shared" si="77"/>
        <v>6979.2240561206372</v>
      </c>
      <c r="U244">
        <f t="shared" si="78"/>
        <v>20.003759007819049</v>
      </c>
      <c r="V244">
        <f t="shared" si="79"/>
        <v>10.955434914661387</v>
      </c>
      <c r="W244">
        <f t="shared" si="80"/>
        <v>4503.4857929697355</v>
      </c>
      <c r="X244">
        <f t="shared" si="81"/>
        <v>31.000589875991825</v>
      </c>
      <c r="Y244">
        <f t="shared" si="82"/>
        <v>3.2783880538943295</v>
      </c>
      <c r="Z244">
        <f t="shared" si="83"/>
        <v>3395.2981894640939</v>
      </c>
      <c r="AA244">
        <f t="shared" si="84"/>
        <v>41.118837960516935</v>
      </c>
      <c r="AB244">
        <f t="shared" si="85"/>
        <v>2.0422664707001514</v>
      </c>
      <c r="AC244">
        <f t="shared" si="86"/>
        <v>1744.8060140301593</v>
      </c>
      <c r="AD244">
        <f t="shared" si="87"/>
        <v>80.015036031276196</v>
      </c>
      <c r="AE244">
        <f t="shared" si="88"/>
        <v>1.6010062031826666</v>
      </c>
      <c r="AF244">
        <f t="shared" si="89"/>
        <v>1603.3352561358222</v>
      </c>
      <c r="AG244">
        <f t="shared" si="90"/>
        <v>87.075186269329961</v>
      </c>
      <c r="AH244">
        <f t="shared" si="91"/>
        <v>1.6018201384049278</v>
      </c>
      <c r="AI244" cm="1">
        <f t="array" ref="AI244">_xlfn.LET(
    _xlpm.vals,   _xlfn.HSTACK(S244,V244,Y244,AB244,AE244,AH244),
    _xlpm.ints,   _xlfn.HSTACK(R244,U244,X244,AA244,AD244,AG244),
    _xlpm.slopes, _xlfn.HSTACK(Q244,T244,W244,Z244,AC244,AF244),
    _xlpm.limit,  -0.00001*_xlpm.slopes + 0.1086*_xlpm.slopes + 63.253,
    _xlpm.mask,   (_xlpm.vals&gt;=0) * (_xlpm.ints&lt;=_xlpm.limit),
    _xlpm.validVals, _xlfn._xlws.FILTER(_xlpm.vals, _xlpm.mask),
    _xlpm.minVal, MIN(_xlpm.validVals),
    IFERROR( _xlfn.XMATCH(_xlpm.minVal, _xlpm.vals), "" )
)</f>
        <v>5</v>
      </c>
      <c r="AJ244" cm="1">
        <f t="array" ref="AJ244">_xlfn.LET(
    _xlpm.vals, CHOOSE({1,2,3,4,5,6}, S244, V244, Y244, AB244, AE244, AH244),
    _xlpm.slopes, CHOOSE({1,2,3,4,5,6}, Q244, T244, W244, Z244, AC244, AF244),
    _xlpm.ints, CHOOSE({1,2,3,4,5,6}, R244, U244, X244, AA244, AD244, AG244),
    _xlpm.limit, -0.00001*_xlpm.slopes + 0.1086*_xlpm.slopes + 63.253,
    _xlpm.valid, (_xlpm.vals &gt;= 0) * (_xlpm.ints &lt;= _xlpm.limit),
    _xlpm.target, MIN(_xlfn._xlws.FILTER(_xlpm.vals, _xlpm.valid)),
    IFERROR(
        _xlfn.XLOOKUP(_xlpm.target, _xlpm.vals, _xlpm.vals),
        CHOOSE({1,2,3,4,5,6}, S$1, V$1, Y$1, AB$1, AE$1, AH$1)
    )
)</f>
        <v>1.6010062031826666</v>
      </c>
    </row>
    <row r="245" spans="9:36" x14ac:dyDescent="0.45">
      <c r="I245">
        <v>243</v>
      </c>
      <c r="J245">
        <v>56.6</v>
      </c>
      <c r="K245">
        <f t="shared" si="70"/>
        <v>56.6</v>
      </c>
      <c r="L245">
        <f t="shared" si="69"/>
        <v>1.5722222222222224E-2</v>
      </c>
      <c r="M245">
        <v>10.89</v>
      </c>
      <c r="N245">
        <f t="shared" si="71"/>
        <v>10.89</v>
      </c>
      <c r="O245">
        <f t="shared" si="72"/>
        <v>735.52734575428872</v>
      </c>
      <c r="P245">
        <f t="shared" si="73"/>
        <v>2353.6875064137239</v>
      </c>
      <c r="Q245">
        <f t="shared" si="74"/>
        <v>10779.888779374856</v>
      </c>
      <c r="R245">
        <f t="shared" si="75"/>
        <v>9.6468379168449143</v>
      </c>
      <c r="S245">
        <f t="shared" si="76"/>
        <v>44.547025824734277</v>
      </c>
      <c r="T245">
        <f t="shared" si="77"/>
        <v>6966.9150189846223</v>
      </c>
      <c r="U245">
        <f t="shared" si="78"/>
        <v>14.926526236199228</v>
      </c>
      <c r="V245">
        <f t="shared" si="79"/>
        <v>10.872456667751713</v>
      </c>
      <c r="W245">
        <f t="shared" si="80"/>
        <v>4495.5431372502126</v>
      </c>
      <c r="X245">
        <f t="shared" si="81"/>
        <v>23.132208198507705</v>
      </c>
      <c r="Y245">
        <f t="shared" si="82"/>
        <v>3.1101031131581722</v>
      </c>
      <c r="Z245">
        <f t="shared" si="83"/>
        <v>3389.3100092357622</v>
      </c>
      <c r="AA245">
        <f t="shared" si="84"/>
        <v>30.682303929965084</v>
      </c>
      <c r="AB245">
        <f t="shared" si="85"/>
        <v>1.8162833262705134</v>
      </c>
      <c r="AC245">
        <f t="shared" si="86"/>
        <v>1741.7287547461556</v>
      </c>
      <c r="AD245">
        <f t="shared" si="87"/>
        <v>59.706104944796913</v>
      </c>
      <c r="AE245">
        <f t="shared" si="88"/>
        <v>1.2706232741984274</v>
      </c>
      <c r="AF245">
        <f t="shared" si="89"/>
        <v>1600.5075043613324</v>
      </c>
      <c r="AG245">
        <f t="shared" si="90"/>
        <v>64.974290675220161</v>
      </c>
      <c r="AH245">
        <f t="shared" si="91"/>
        <v>1.2665995216035091</v>
      </c>
      <c r="AI245" cm="1">
        <f t="array" ref="AI245">_xlfn.LET(
    _xlpm.vals,   _xlfn.HSTACK(S245,V245,Y245,AB245,AE245,AH245),
    _xlpm.ints,   _xlfn.HSTACK(R245,U245,X245,AA245,AD245,AG245),
    _xlpm.slopes, _xlfn.HSTACK(Q245,T245,W245,Z245,AC245,AF245),
    _xlpm.limit,  -0.00001*_xlpm.slopes + 0.1086*_xlpm.slopes + 63.253,
    _xlpm.mask,   (_xlpm.vals&gt;=0) * (_xlpm.ints&lt;=_xlpm.limit),
    _xlpm.validVals, _xlfn._xlws.FILTER(_xlpm.vals, _xlpm.mask),
    _xlpm.minVal, MIN(_xlpm.validVals),
    IFERROR( _xlfn.XMATCH(_xlpm.minVal, _xlpm.vals), "" )
)</f>
        <v>6</v>
      </c>
      <c r="AJ245" cm="1">
        <f t="array" ref="AJ245">_xlfn.LET(
    _xlpm.vals, CHOOSE({1,2,3,4,5,6}, S245, V245, Y245, AB245, AE245, AH245),
    _xlpm.slopes, CHOOSE({1,2,3,4,5,6}, Q245, T245, W245, Z245, AC245, AF245),
    _xlpm.ints, CHOOSE({1,2,3,4,5,6}, R245, U245, X245, AA245, AD245, AG245),
    _xlpm.limit, -0.00001*_xlpm.slopes + 0.1086*_xlpm.slopes + 63.253,
    _xlpm.valid, (_xlpm.vals &gt;= 0) * (_xlpm.ints &lt;= _xlpm.limit),
    _xlpm.target, MIN(_xlfn._xlws.FILTER(_xlpm.vals, _xlpm.valid)),
    IFERROR(
        _xlfn.XLOOKUP(_xlpm.target, _xlpm.vals, _xlpm.vals),
        CHOOSE({1,2,3,4,5,6}, S$1, V$1, Y$1, AB$1, AE$1, AH$1)
    )
)</f>
        <v>1.2665995216035091</v>
      </c>
    </row>
    <row r="246" spans="9:36" x14ac:dyDescent="0.45">
      <c r="I246">
        <v>244</v>
      </c>
      <c r="J246">
        <v>56.5</v>
      </c>
      <c r="K246">
        <f t="shared" si="70"/>
        <v>56.5</v>
      </c>
      <c r="L246">
        <f t="shared" si="69"/>
        <v>1.5694444444444445E-2</v>
      </c>
      <c r="M246">
        <v>10.5</v>
      </c>
      <c r="N246">
        <f t="shared" si="71"/>
        <v>10.5</v>
      </c>
      <c r="O246">
        <f t="shared" si="72"/>
        <v>734.22782747557085</v>
      </c>
      <c r="P246">
        <f t="shared" si="73"/>
        <v>2349.529047921827</v>
      </c>
      <c r="Q246">
        <f t="shared" si="74"/>
        <v>10760.843039481968</v>
      </c>
      <c r="R246">
        <f t="shared" si="75"/>
        <v>9.3178214550670564</v>
      </c>
      <c r="S246">
        <f t="shared" si="76"/>
        <v>44.309471534565319</v>
      </c>
      <c r="T246">
        <f t="shared" si="77"/>
        <v>6954.6059818486074</v>
      </c>
      <c r="U246">
        <f t="shared" si="78"/>
        <v>14.417439954124028</v>
      </c>
      <c r="V246">
        <f t="shared" si="79"/>
        <v>10.810008525736603</v>
      </c>
      <c r="W246">
        <f t="shared" si="80"/>
        <v>4487.6004815306896</v>
      </c>
      <c r="X246">
        <f t="shared" si="81"/>
        <v>22.343257729951368</v>
      </c>
      <c r="Y246">
        <f t="shared" si="82"/>
        <v>3.0815207576358885</v>
      </c>
      <c r="Z246">
        <f t="shared" si="83"/>
        <v>3383.3218290074306</v>
      </c>
      <c r="AA246">
        <f t="shared" si="84"/>
        <v>29.635848794588277</v>
      </c>
      <c r="AB246">
        <f t="shared" si="85"/>
        <v>1.7895852934795486</v>
      </c>
      <c r="AC246">
        <f t="shared" si="86"/>
        <v>1738.6514954621518</v>
      </c>
      <c r="AD246">
        <f t="shared" si="87"/>
        <v>57.669759816496111</v>
      </c>
      <c r="AE246">
        <f t="shared" si="88"/>
        <v>1.236520350049285</v>
      </c>
      <c r="AF246">
        <f t="shared" si="89"/>
        <v>1597.6797525868424</v>
      </c>
      <c r="AG246">
        <f t="shared" si="90"/>
        <v>62.758268035598689</v>
      </c>
      <c r="AH246">
        <f t="shared" si="91"/>
        <v>1.2316643374524392</v>
      </c>
      <c r="AI246" cm="1">
        <f t="array" ref="AI246">_xlfn.LET(
    _xlpm.vals,   _xlfn.HSTACK(S246,V246,Y246,AB246,AE246,AH246),
    _xlpm.ints,   _xlfn.HSTACK(R246,U246,X246,AA246,AD246,AG246),
    _xlpm.slopes, _xlfn.HSTACK(Q246,T246,W246,Z246,AC246,AF246),
    _xlpm.limit,  -0.00001*_xlpm.slopes + 0.1086*_xlpm.slopes + 63.253,
    _xlpm.mask,   (_xlpm.vals&gt;=0) * (_xlpm.ints&lt;=_xlpm.limit),
    _xlpm.validVals, _xlfn._xlws.FILTER(_xlpm.vals, _xlpm.mask),
    _xlpm.minVal, MIN(_xlpm.validVals),
    IFERROR( _xlfn.XMATCH(_xlpm.minVal, _xlpm.vals), "" )
)</f>
        <v>6</v>
      </c>
      <c r="AJ246" cm="1">
        <f t="array" ref="AJ246">_xlfn.LET(
    _xlpm.vals, CHOOSE({1,2,3,4,5,6}, S246, V246, Y246, AB246, AE246, AH246),
    _xlpm.slopes, CHOOSE({1,2,3,4,5,6}, Q246, T246, W246, Z246, AC246, AF246),
    _xlpm.ints, CHOOSE({1,2,3,4,5,6}, R246, U246, X246, AA246, AD246, AG246),
    _xlpm.limit, -0.00001*_xlpm.slopes + 0.1086*_xlpm.slopes + 63.253,
    _xlpm.valid, (_xlpm.vals &gt;= 0) * (_xlpm.ints &lt;= _xlpm.limit),
    _xlpm.target, MIN(_xlfn._xlws.FILTER(_xlpm.vals, _xlpm.valid)),
    IFERROR(
        _xlfn.XLOOKUP(_xlpm.target, _xlpm.vals, _xlpm.vals),
        CHOOSE({1,2,3,4,5,6}, S$1, V$1, Y$1, AB$1, AE$1, AH$1)
    )
)</f>
        <v>1.2316643374524392</v>
      </c>
    </row>
    <row r="247" spans="9:36" x14ac:dyDescent="0.45">
      <c r="I247">
        <v>245</v>
      </c>
      <c r="J247">
        <v>56.5</v>
      </c>
      <c r="K247">
        <f t="shared" si="70"/>
        <v>56.5</v>
      </c>
      <c r="L247">
        <f t="shared" si="69"/>
        <v>1.5694444444444445E-2</v>
      </c>
      <c r="M247">
        <v>10.64</v>
      </c>
      <c r="N247">
        <f t="shared" si="71"/>
        <v>10.64</v>
      </c>
      <c r="O247">
        <f t="shared" si="72"/>
        <v>734.22782747557085</v>
      </c>
      <c r="P247">
        <f t="shared" si="73"/>
        <v>2349.529047921827</v>
      </c>
      <c r="Q247">
        <f t="shared" si="74"/>
        <v>10760.843039481968</v>
      </c>
      <c r="R247">
        <f t="shared" si="75"/>
        <v>9.4420590744679505</v>
      </c>
      <c r="S247">
        <f t="shared" si="76"/>
        <v>44.303055966787745</v>
      </c>
      <c r="T247">
        <f t="shared" si="77"/>
        <v>6954.6059818486074</v>
      </c>
      <c r="U247">
        <f t="shared" si="78"/>
        <v>14.609672486845682</v>
      </c>
      <c r="V247">
        <f t="shared" si="79"/>
        <v>10.810694391872801</v>
      </c>
      <c r="W247">
        <f t="shared" si="80"/>
        <v>4487.6004815306896</v>
      </c>
      <c r="X247">
        <f t="shared" si="81"/>
        <v>22.641167833017388</v>
      </c>
      <c r="Y247">
        <f t="shared" si="82"/>
        <v>3.0870734016553083</v>
      </c>
      <c r="Z247">
        <f t="shared" si="83"/>
        <v>3383.3218290074306</v>
      </c>
      <c r="AA247">
        <f t="shared" si="84"/>
        <v>30.030993445182787</v>
      </c>
      <c r="AB247">
        <f t="shared" si="85"/>
        <v>1.7975419095428291</v>
      </c>
      <c r="AC247">
        <f t="shared" si="86"/>
        <v>1738.6514954621518</v>
      </c>
      <c r="AD247">
        <f t="shared" si="87"/>
        <v>58.438689947382727</v>
      </c>
      <c r="AE247">
        <f t="shared" si="88"/>
        <v>1.2486978667955553</v>
      </c>
      <c r="AF247">
        <f t="shared" si="89"/>
        <v>1597.6797525868424</v>
      </c>
      <c r="AG247">
        <f t="shared" si="90"/>
        <v>63.59504494274001</v>
      </c>
      <c r="AH247">
        <f t="shared" si="91"/>
        <v>1.2441723319067401</v>
      </c>
      <c r="AI247" cm="1">
        <f t="array" ref="AI247">_xlfn.LET(
    _xlpm.vals,   _xlfn.HSTACK(S247,V247,Y247,AB247,AE247,AH247),
    _xlpm.ints,   _xlfn.HSTACK(R247,U247,X247,AA247,AD247,AG247),
    _xlpm.slopes, _xlfn.HSTACK(Q247,T247,W247,Z247,AC247,AF247),
    _xlpm.limit,  -0.00001*_xlpm.slopes + 0.1086*_xlpm.slopes + 63.253,
    _xlpm.mask,   (_xlpm.vals&gt;=0) * (_xlpm.ints&lt;=_xlpm.limit),
    _xlpm.validVals, _xlfn._xlws.FILTER(_xlpm.vals, _xlpm.mask),
    _xlpm.minVal, MIN(_xlpm.validVals),
    IFERROR( _xlfn.XMATCH(_xlpm.minVal, _xlpm.vals), "" )
)</f>
        <v>6</v>
      </c>
      <c r="AJ247" cm="1">
        <f t="array" ref="AJ247">_xlfn.LET(
    _xlpm.vals, CHOOSE({1,2,3,4,5,6}, S247, V247, Y247, AB247, AE247, AH247),
    _xlpm.slopes, CHOOSE({1,2,3,4,5,6}, Q247, T247, W247, Z247, AC247, AF247),
    _xlpm.ints, CHOOSE({1,2,3,4,5,6}, R247, U247, X247, AA247, AD247, AG247),
    _xlpm.limit, -0.00001*_xlpm.slopes + 0.1086*_xlpm.slopes + 63.253,
    _xlpm.valid, (_xlpm.vals &gt;= 0) * (_xlpm.ints &lt;= _xlpm.limit),
    _xlpm.target, MIN(_xlfn._xlws.FILTER(_xlpm.vals, _xlpm.valid)),
    IFERROR(
        _xlfn.XLOOKUP(_xlpm.target, _xlpm.vals, _xlpm.vals),
        CHOOSE({1,2,3,4,5,6}, S$1, V$1, Y$1, AB$1, AE$1, AH$1)
    )
)</f>
        <v>1.2441723319067401</v>
      </c>
    </row>
    <row r="248" spans="9:36" x14ac:dyDescent="0.45">
      <c r="I248">
        <v>246</v>
      </c>
      <c r="J248">
        <v>56.4</v>
      </c>
      <c r="K248">
        <f t="shared" si="70"/>
        <v>56.4</v>
      </c>
      <c r="L248">
        <f t="shared" si="69"/>
        <v>1.5666666666666666E-2</v>
      </c>
      <c r="M248">
        <v>11.66</v>
      </c>
      <c r="N248">
        <f t="shared" si="71"/>
        <v>11.66</v>
      </c>
      <c r="O248">
        <f t="shared" si="72"/>
        <v>732.92830919685298</v>
      </c>
      <c r="P248">
        <f t="shared" si="73"/>
        <v>2345.3705894299296</v>
      </c>
      <c r="Q248">
        <f t="shared" si="74"/>
        <v>10741.797299589078</v>
      </c>
      <c r="R248">
        <f t="shared" si="75"/>
        <v>10.365565005713655</v>
      </c>
      <c r="S248">
        <f t="shared" si="76"/>
        <v>44.002344485249331</v>
      </c>
      <c r="T248">
        <f t="shared" si="77"/>
        <v>6942.2969447125915</v>
      </c>
      <c r="U248">
        <f t="shared" si="78"/>
        <v>16.03861071830018</v>
      </c>
      <c r="V248">
        <f t="shared" si="79"/>
        <v>10.755950979809677</v>
      </c>
      <c r="W248">
        <f t="shared" si="80"/>
        <v>4479.6578258111658</v>
      </c>
      <c r="X248">
        <f t="shared" si="81"/>
        <v>24.855648024172009</v>
      </c>
      <c r="Y248">
        <f t="shared" si="82"/>
        <v>3.115218663167163</v>
      </c>
      <c r="Z248">
        <f t="shared" si="83"/>
        <v>3377.3336487790984</v>
      </c>
      <c r="AA248">
        <f t="shared" si="84"/>
        <v>32.968255365394825</v>
      </c>
      <c r="AB248">
        <f t="shared" si="85"/>
        <v>1.8519155038636148</v>
      </c>
      <c r="AC248">
        <f t="shared" si="86"/>
        <v>1735.5742361781479</v>
      </c>
      <c r="AD248">
        <f t="shared" si="87"/>
        <v>64.154442873200722</v>
      </c>
      <c r="AE248">
        <f t="shared" si="88"/>
        <v>1.3379837642462475</v>
      </c>
      <c r="AF248">
        <f t="shared" si="89"/>
        <v>1594.8520008123523</v>
      </c>
      <c r="AG248">
        <f t="shared" si="90"/>
        <v>69.815129009071384</v>
      </c>
      <c r="AH248">
        <f t="shared" si="91"/>
        <v>1.3356878352077852</v>
      </c>
      <c r="AI248" cm="1">
        <f t="array" ref="AI248">_xlfn.LET(
    _xlpm.vals,   _xlfn.HSTACK(S248,V248,Y248,AB248,AE248,AH248),
    _xlpm.ints,   _xlfn.HSTACK(R248,U248,X248,AA248,AD248,AG248),
    _xlpm.slopes, _xlfn.HSTACK(Q248,T248,W248,Z248,AC248,AF248),
    _xlpm.limit,  -0.00001*_xlpm.slopes + 0.1086*_xlpm.slopes + 63.253,
    _xlpm.mask,   (_xlpm.vals&gt;=0) * (_xlpm.ints&lt;=_xlpm.limit),
    _xlpm.validVals, _xlfn._xlws.FILTER(_xlpm.vals, _xlpm.mask),
    _xlpm.minVal, MIN(_xlpm.validVals),
    IFERROR( _xlfn.XMATCH(_xlpm.minVal, _xlpm.vals), "" )
)</f>
        <v>6</v>
      </c>
      <c r="AJ248" cm="1">
        <f t="array" ref="AJ248">_xlfn.LET(
    _xlpm.vals, CHOOSE({1,2,3,4,5,6}, S248, V248, Y248, AB248, AE248, AH248),
    _xlpm.slopes, CHOOSE({1,2,3,4,5,6}, Q248, T248, W248, Z248, AC248, AF248),
    _xlpm.ints, CHOOSE({1,2,3,4,5,6}, R248, U248, X248, AA248, AD248, AG248),
    _xlpm.limit, -0.00001*_xlpm.slopes + 0.1086*_xlpm.slopes + 63.253,
    _xlpm.valid, (_xlpm.vals &gt;= 0) * (_xlpm.ints &lt;= _xlpm.limit),
    _xlpm.target, MIN(_xlfn._xlws.FILTER(_xlpm.vals, _xlpm.valid)),
    IFERROR(
        _xlfn.XLOOKUP(_xlpm.target, _xlpm.vals, _xlpm.vals),
        CHOOSE({1,2,3,4,5,6}, S$1, V$1, Y$1, AB$1, AE$1, AH$1)
    )
)</f>
        <v>1.3356878352077852</v>
      </c>
    </row>
    <row r="249" spans="9:36" x14ac:dyDescent="0.45">
      <c r="I249">
        <v>247</v>
      </c>
      <c r="J249">
        <v>56.3</v>
      </c>
      <c r="K249">
        <f t="shared" si="70"/>
        <v>56.3</v>
      </c>
      <c r="L249">
        <f t="shared" si="69"/>
        <v>1.563888888888889E-2</v>
      </c>
      <c r="M249">
        <v>10.48</v>
      </c>
      <c r="N249">
        <f t="shared" si="71"/>
        <v>10.48</v>
      </c>
      <c r="O249">
        <f t="shared" si="72"/>
        <v>731.62879091813511</v>
      </c>
      <c r="P249">
        <f t="shared" si="73"/>
        <v>2341.2121309380323</v>
      </c>
      <c r="Q249">
        <f t="shared" si="74"/>
        <v>10722.751559696188</v>
      </c>
      <c r="R249">
        <f t="shared" si="75"/>
        <v>9.3331107840214944</v>
      </c>
      <c r="S249">
        <f t="shared" si="76"/>
        <v>43.802389665256911</v>
      </c>
      <c r="T249">
        <f t="shared" si="77"/>
        <v>6929.9879075765757</v>
      </c>
      <c r="U249">
        <f t="shared" si="78"/>
        <v>14.441097091492717</v>
      </c>
      <c r="V249">
        <f t="shared" si="79"/>
        <v>10.68952437354881</v>
      </c>
      <c r="W249">
        <f t="shared" si="80"/>
        <v>4471.7151700916411</v>
      </c>
      <c r="X249">
        <f t="shared" si="81"/>
        <v>22.37992009990495</v>
      </c>
      <c r="Y249">
        <f t="shared" si="82"/>
        <v>3.0546865725770784</v>
      </c>
      <c r="Z249">
        <f t="shared" si="83"/>
        <v>3371.3454685507663</v>
      </c>
      <c r="AA249">
        <f t="shared" si="84"/>
        <v>29.684477354735034</v>
      </c>
      <c r="AB249">
        <f t="shared" si="85"/>
        <v>1.7795024375574029</v>
      </c>
      <c r="AC249">
        <f t="shared" si="86"/>
        <v>1732.4969768941439</v>
      </c>
      <c r="AD249">
        <f t="shared" si="87"/>
        <v>57.764388365970866</v>
      </c>
      <c r="AE249">
        <f t="shared" si="88"/>
        <v>1.2344985337814744</v>
      </c>
      <c r="AF249">
        <f t="shared" si="89"/>
        <v>1592.0242490378621</v>
      </c>
      <c r="AG249">
        <f t="shared" si="90"/>
        <v>62.861246162968293</v>
      </c>
      <c r="AH249">
        <f t="shared" si="91"/>
        <v>1.2297432993581152</v>
      </c>
      <c r="AI249" cm="1">
        <f t="array" ref="AI249">_xlfn.LET(
    _xlpm.vals,   _xlfn.HSTACK(S249,V249,Y249,AB249,AE249,AH249),
    _xlpm.ints,   _xlfn.HSTACK(R249,U249,X249,AA249,AD249,AG249),
    _xlpm.slopes, _xlfn.HSTACK(Q249,T249,W249,Z249,AC249,AF249),
    _xlpm.limit,  -0.00001*_xlpm.slopes + 0.1086*_xlpm.slopes + 63.253,
    _xlpm.mask,   (_xlpm.vals&gt;=0) * (_xlpm.ints&lt;=_xlpm.limit),
    _xlpm.validVals, _xlfn._xlws.FILTER(_xlpm.vals, _xlpm.mask),
    _xlpm.minVal, MIN(_xlpm.validVals),
    IFERROR( _xlfn.XMATCH(_xlpm.minVal, _xlpm.vals), "" )
)</f>
        <v>6</v>
      </c>
      <c r="AJ249" cm="1">
        <f t="array" ref="AJ249">_xlfn.LET(
    _xlpm.vals, CHOOSE({1,2,3,4,5,6}, S249, V249, Y249, AB249, AE249, AH249),
    _xlpm.slopes, CHOOSE({1,2,3,4,5,6}, Q249, T249, W249, Z249, AC249, AF249),
    _xlpm.ints, CHOOSE({1,2,3,4,5,6}, R249, U249, X249, AA249, AD249, AG249),
    _xlpm.limit, -0.00001*_xlpm.slopes + 0.1086*_xlpm.slopes + 63.253,
    _xlpm.valid, (_xlpm.vals &gt;= 0) * (_xlpm.ints &lt;= _xlpm.limit),
    _xlpm.target, MIN(_xlfn._xlws.FILTER(_xlpm.vals, _xlpm.valid)),
    IFERROR(
        _xlfn.XLOOKUP(_xlpm.target, _xlpm.vals, _xlpm.vals),
        CHOOSE({1,2,3,4,5,6}, S$1, V$1, Y$1, AB$1, AE$1, AH$1)
    )
)</f>
        <v>1.2297432993581152</v>
      </c>
    </row>
    <row r="250" spans="9:36" x14ac:dyDescent="0.45">
      <c r="I250">
        <v>248</v>
      </c>
      <c r="J250">
        <v>55.9</v>
      </c>
      <c r="K250">
        <f t="shared" si="70"/>
        <v>55.9</v>
      </c>
      <c r="L250">
        <f t="shared" si="69"/>
        <v>1.5527777777777777E-2</v>
      </c>
      <c r="M250">
        <v>4.3899999999999997</v>
      </c>
      <c r="N250">
        <f t="shared" si="71"/>
        <v>4.3899999999999997</v>
      </c>
      <c r="O250">
        <f t="shared" si="72"/>
        <v>726.43071780326386</v>
      </c>
      <c r="P250">
        <f t="shared" si="73"/>
        <v>2324.5782969704446</v>
      </c>
      <c r="Q250">
        <f t="shared" si="74"/>
        <v>10646.568600124636</v>
      </c>
      <c r="R250">
        <f t="shared" si="75"/>
        <v>3.9375514858293852</v>
      </c>
      <c r="S250">
        <f t="shared" si="76"/>
        <v>43.076132594115883</v>
      </c>
      <c r="T250">
        <f t="shared" si="77"/>
        <v>6880.751759032516</v>
      </c>
      <c r="U250">
        <f t="shared" si="78"/>
        <v>6.092562771992764</v>
      </c>
      <c r="V250">
        <f t="shared" si="79"/>
        <v>10.428538903022991</v>
      </c>
      <c r="W250">
        <f t="shared" si="80"/>
        <v>4439.9445472135494</v>
      </c>
      <c r="X250">
        <f t="shared" si="81"/>
        <v>9.4418773848683681</v>
      </c>
      <c r="Y250">
        <f t="shared" si="82"/>
        <v>2.7780555554300541</v>
      </c>
      <c r="Z250">
        <f t="shared" si="83"/>
        <v>3347.3927476374402</v>
      </c>
      <c r="AA250">
        <f t="shared" si="84"/>
        <v>12.523601253540681</v>
      </c>
      <c r="AB250">
        <f t="shared" si="85"/>
        <v>1.4395435110648471</v>
      </c>
      <c r="AC250">
        <f t="shared" si="86"/>
        <v>1720.187939758129</v>
      </c>
      <c r="AD250">
        <f t="shared" si="87"/>
        <v>24.370251087971056</v>
      </c>
      <c r="AE250">
        <f t="shared" si="88"/>
        <v>0.73879043723027449</v>
      </c>
      <c r="AF250">
        <f t="shared" si="89"/>
        <v>1580.7132419399024</v>
      </c>
      <c r="AG250">
        <f t="shared" si="90"/>
        <v>26.520567360439088</v>
      </c>
      <c r="AH250">
        <f t="shared" si="91"/>
        <v>0.71714605042310098</v>
      </c>
      <c r="AI250" cm="1">
        <f t="array" ref="AI250">_xlfn.LET(
    _xlpm.vals,   _xlfn.HSTACK(S250,V250,Y250,AB250,AE250,AH250),
    _xlpm.ints,   _xlfn.HSTACK(R250,U250,X250,AA250,AD250,AG250),
    _xlpm.slopes, _xlfn.HSTACK(Q250,T250,W250,Z250,AC250,AF250),
    _xlpm.limit,  -0.00001*_xlpm.slopes + 0.1086*_xlpm.slopes + 63.253,
    _xlpm.mask,   (_xlpm.vals&gt;=0) * (_xlpm.ints&lt;=_xlpm.limit),
    _xlpm.validVals, _xlfn._xlws.FILTER(_xlpm.vals, _xlpm.mask),
    _xlpm.minVal, MIN(_xlpm.validVals),
    IFERROR( _xlfn.XMATCH(_xlpm.minVal, _xlpm.vals), "" )
)</f>
        <v>6</v>
      </c>
      <c r="AJ250" cm="1">
        <f t="array" ref="AJ250">_xlfn.LET(
    _xlpm.vals, CHOOSE({1,2,3,4,5,6}, S250, V250, Y250, AB250, AE250, AH250),
    _xlpm.slopes, CHOOSE({1,2,3,4,5,6}, Q250, T250, W250, Z250, AC250, AF250),
    _xlpm.ints, CHOOSE({1,2,3,4,5,6}, R250, U250, X250, AA250, AD250, AG250),
    _xlpm.limit, -0.00001*_xlpm.slopes + 0.1086*_xlpm.slopes + 63.253,
    _xlpm.valid, (_xlpm.vals &gt;= 0) * (_xlpm.ints &lt;= _xlpm.limit),
    _xlpm.target, MIN(_xlfn._xlws.FILTER(_xlpm.vals, _xlpm.valid)),
    IFERROR(
        _xlfn.XLOOKUP(_xlpm.target, _xlpm.vals, _xlpm.vals),
        CHOOSE({1,2,3,4,5,6}, S$1, V$1, Y$1, AB$1, AE$1, AH$1)
    )
)</f>
        <v>0.71714605042310098</v>
      </c>
    </row>
    <row r="251" spans="9:36" x14ac:dyDescent="0.45">
      <c r="I251">
        <v>249</v>
      </c>
      <c r="J251">
        <v>55.5</v>
      </c>
      <c r="K251">
        <f t="shared" si="70"/>
        <v>55.5</v>
      </c>
      <c r="L251">
        <f t="shared" si="69"/>
        <v>1.5416666666666667E-2</v>
      </c>
      <c r="M251">
        <v>4.3099999999999996</v>
      </c>
      <c r="N251">
        <f t="shared" si="71"/>
        <v>4.3099999999999996</v>
      </c>
      <c r="O251">
        <f t="shared" si="72"/>
        <v>721.23264468839261</v>
      </c>
      <c r="P251">
        <f t="shared" si="73"/>
        <v>2307.9444630028565</v>
      </c>
      <c r="Q251">
        <f t="shared" si="74"/>
        <v>10570.385640553082</v>
      </c>
      <c r="R251">
        <f t="shared" si="75"/>
        <v>3.8936581580963607</v>
      </c>
      <c r="S251">
        <f t="shared" si="76"/>
        <v>42.085711101201234</v>
      </c>
      <c r="T251">
        <f t="shared" si="77"/>
        <v>6831.5156104884554</v>
      </c>
      <c r="U251">
        <f t="shared" si="78"/>
        <v>6.0246467446220713</v>
      </c>
      <c r="V251">
        <f t="shared" si="79"/>
        <v>10.190640471894774</v>
      </c>
      <c r="W251">
        <f t="shared" si="80"/>
        <v>4408.1739243354559</v>
      </c>
      <c r="X251">
        <f t="shared" si="81"/>
        <v>9.3366253215085493</v>
      </c>
      <c r="Y251">
        <f t="shared" si="82"/>
        <v>2.722218336610478</v>
      </c>
      <c r="Z251">
        <f t="shared" si="83"/>
        <v>3323.4400267241131</v>
      </c>
      <c r="AA251">
        <f t="shared" si="84"/>
        <v>12.383996086167592</v>
      </c>
      <c r="AB251">
        <f t="shared" si="85"/>
        <v>1.4161871449475447</v>
      </c>
      <c r="AC251">
        <f t="shared" si="86"/>
        <v>1707.8789026221139</v>
      </c>
      <c r="AD251">
        <f t="shared" si="87"/>
        <v>24.098586978488285</v>
      </c>
      <c r="AE251">
        <f t="shared" si="88"/>
        <v>0.73089144348365864</v>
      </c>
      <c r="AF251">
        <f t="shared" si="89"/>
        <v>1569.4022348419426</v>
      </c>
      <c r="AG251">
        <f t="shared" si="90"/>
        <v>26.2249328883549</v>
      </c>
      <c r="AH251">
        <f t="shared" si="91"/>
        <v>0.70943920631795476</v>
      </c>
      <c r="AI251" cm="1">
        <f t="array" ref="AI251">_xlfn.LET(
    _xlpm.vals,   _xlfn.HSTACK(S251,V251,Y251,AB251,AE251,AH251),
    _xlpm.ints,   _xlfn.HSTACK(R251,U251,X251,AA251,AD251,AG251),
    _xlpm.slopes, _xlfn.HSTACK(Q251,T251,W251,Z251,AC251,AF251),
    _xlpm.limit,  -0.00001*_xlpm.slopes + 0.1086*_xlpm.slopes + 63.253,
    _xlpm.mask,   (_xlpm.vals&gt;=0) * (_xlpm.ints&lt;=_xlpm.limit),
    _xlpm.validVals, _xlfn._xlws.FILTER(_xlpm.vals, _xlpm.mask),
    _xlpm.minVal, MIN(_xlpm.validVals),
    IFERROR( _xlfn.XMATCH(_xlpm.minVal, _xlpm.vals), "" )
)</f>
        <v>6</v>
      </c>
      <c r="AJ251" cm="1">
        <f t="array" ref="AJ251">_xlfn.LET(
    _xlpm.vals, CHOOSE({1,2,3,4,5,6}, S251, V251, Y251, AB251, AE251, AH251),
    _xlpm.slopes, CHOOSE({1,2,3,4,5,6}, Q251, T251, W251, Z251, AC251, AF251),
    _xlpm.ints, CHOOSE({1,2,3,4,5,6}, R251, U251, X251, AA251, AD251, AG251),
    _xlpm.limit, -0.00001*_xlpm.slopes + 0.1086*_xlpm.slopes + 63.253,
    _xlpm.valid, (_xlpm.vals &gt;= 0) * (_xlpm.ints &lt;= _xlpm.limit),
    _xlpm.target, MIN(_xlfn._xlws.FILTER(_xlpm.vals, _xlpm.valid)),
    IFERROR(
        _xlfn.XLOOKUP(_xlpm.target, _xlpm.vals, _xlpm.vals),
        CHOOSE({1,2,3,4,5,6}, S$1, V$1, Y$1, AB$1, AE$1, AH$1)
    )
)</f>
        <v>0.70943920631795476</v>
      </c>
    </row>
    <row r="252" spans="9:36" x14ac:dyDescent="0.45">
      <c r="I252">
        <v>250</v>
      </c>
      <c r="J252">
        <v>54.9</v>
      </c>
      <c r="K252">
        <f t="shared" si="70"/>
        <v>54.9</v>
      </c>
      <c r="L252">
        <f t="shared" si="69"/>
        <v>1.525E-2</v>
      </c>
      <c r="M252">
        <v>1.63</v>
      </c>
      <c r="N252">
        <f t="shared" si="71"/>
        <v>1.63</v>
      </c>
      <c r="O252">
        <f t="shared" si="72"/>
        <v>713.43553501608562</v>
      </c>
      <c r="P252">
        <f t="shared" si="73"/>
        <v>2282.9937120514742</v>
      </c>
      <c r="Q252">
        <f t="shared" si="74"/>
        <v>10456.111201195752</v>
      </c>
      <c r="R252">
        <f t="shared" si="75"/>
        <v>1.4886369449291363</v>
      </c>
      <c r="S252">
        <f t="shared" si="76"/>
        <v>40.744639792286065</v>
      </c>
      <c r="T252">
        <f t="shared" si="77"/>
        <v>6757.6613876723632</v>
      </c>
      <c r="U252">
        <f t="shared" si="78"/>
        <v>2.303363921545758</v>
      </c>
      <c r="V252">
        <f t="shared" si="79"/>
        <v>9.8351814518485785</v>
      </c>
      <c r="W252">
        <f t="shared" si="80"/>
        <v>4360.5179900183157</v>
      </c>
      <c r="X252">
        <f t="shared" si="81"/>
        <v>3.5696111035473526</v>
      </c>
      <c r="Y252">
        <f t="shared" si="82"/>
        <v>2.5560682687470639</v>
      </c>
      <c r="Z252">
        <f t="shared" si="83"/>
        <v>3287.5109453541227</v>
      </c>
      <c r="AA252">
        <f t="shared" si="84"/>
        <v>4.7346925053996145</v>
      </c>
      <c r="AB252">
        <f t="shared" si="85"/>
        <v>1.2626056598929212</v>
      </c>
      <c r="AC252">
        <f t="shared" si="86"/>
        <v>1689.4153469180908</v>
      </c>
      <c r="AD252">
        <f t="shared" si="87"/>
        <v>9.2134556861830319</v>
      </c>
      <c r="AE252">
        <f t="shared" si="88"/>
        <v>0.54454116583379131</v>
      </c>
      <c r="AF252">
        <f t="shared" si="89"/>
        <v>1552.4357241950026</v>
      </c>
      <c r="AG252">
        <f t="shared" si="90"/>
        <v>10.026407658493298</v>
      </c>
      <c r="AH252">
        <f t="shared" si="91"/>
        <v>0.51784759303967587</v>
      </c>
      <c r="AI252" cm="1">
        <f t="array" ref="AI252">_xlfn.LET(
    _xlpm.vals,   _xlfn.HSTACK(S252,V252,Y252,AB252,AE252,AH252),
    _xlpm.ints,   _xlfn.HSTACK(R252,U252,X252,AA252,AD252,AG252),
    _xlpm.slopes, _xlfn.HSTACK(Q252,T252,W252,Z252,AC252,AF252),
    _xlpm.limit,  -0.00001*_xlpm.slopes + 0.1086*_xlpm.slopes + 63.253,
    _xlpm.mask,   (_xlpm.vals&gt;=0) * (_xlpm.ints&lt;=_xlpm.limit),
    _xlpm.validVals, _xlfn._xlws.FILTER(_xlpm.vals, _xlpm.mask),
    _xlpm.minVal, MIN(_xlpm.validVals),
    IFERROR( _xlfn.XMATCH(_xlpm.minVal, _xlpm.vals), "" )
)</f>
        <v>6</v>
      </c>
      <c r="AJ252" cm="1">
        <f t="array" ref="AJ252">_xlfn.LET(
    _xlpm.vals, CHOOSE({1,2,3,4,5,6}, S252, V252, Y252, AB252, AE252, AH252),
    _xlpm.slopes, CHOOSE({1,2,3,4,5,6}, Q252, T252, W252, Z252, AC252, AF252),
    _xlpm.ints, CHOOSE({1,2,3,4,5,6}, R252, U252, X252, AA252, AD252, AG252),
    _xlpm.limit, -0.00001*_xlpm.slopes + 0.1086*_xlpm.slopes + 63.253,
    _xlpm.valid, (_xlpm.vals &gt;= 0) * (_xlpm.ints &lt;= _xlpm.limit),
    _xlpm.target, MIN(_xlfn._xlws.FILTER(_xlpm.vals, _xlpm.valid)),
    IFERROR(
        _xlfn.XLOOKUP(_xlpm.target, _xlpm.vals, _xlpm.vals),
        CHOOSE({1,2,3,4,5,6}, S$1, V$1, Y$1, AB$1, AE$1, AH$1)
    )
)</f>
        <v>0.51784759303967587</v>
      </c>
    </row>
    <row r="253" spans="9:36" x14ac:dyDescent="0.45">
      <c r="I253">
        <v>251</v>
      </c>
      <c r="J253">
        <v>54.4</v>
      </c>
      <c r="K253">
        <f t="shared" si="70"/>
        <v>54.4</v>
      </c>
      <c r="L253">
        <f t="shared" si="69"/>
        <v>1.511111111111111E-2</v>
      </c>
      <c r="M253">
        <v>5.88</v>
      </c>
      <c r="N253">
        <f t="shared" si="71"/>
        <v>5.88</v>
      </c>
      <c r="O253">
        <f t="shared" si="72"/>
        <v>706.9379436224965</v>
      </c>
      <c r="P253">
        <f t="shared" si="73"/>
        <v>2262.2014195919887</v>
      </c>
      <c r="Q253">
        <f t="shared" si="74"/>
        <v>10360.882501731308</v>
      </c>
      <c r="R253">
        <f t="shared" si="75"/>
        <v>5.4194093904103253</v>
      </c>
      <c r="S253">
        <f t="shared" si="76"/>
        <v>39.365498800875379</v>
      </c>
      <c r="T253">
        <f t="shared" si="77"/>
        <v>6696.1162019922867</v>
      </c>
      <c r="U253">
        <f t="shared" si="78"/>
        <v>8.3854375027294896</v>
      </c>
      <c r="V253">
        <f t="shared" si="79"/>
        <v>9.5645081145109856</v>
      </c>
      <c r="W253">
        <f t="shared" si="80"/>
        <v>4320.8047114206984</v>
      </c>
      <c r="X253">
        <f t="shared" si="81"/>
        <v>12.99523298852319</v>
      </c>
      <c r="Y253">
        <f t="shared" si="82"/>
        <v>2.6374237091755792</v>
      </c>
      <c r="Z253">
        <f t="shared" si="83"/>
        <v>3257.5700442124635</v>
      </c>
      <c r="AA253">
        <f t="shared" si="84"/>
        <v>17.236732644499508</v>
      </c>
      <c r="AB253">
        <f t="shared" si="85"/>
        <v>1.4439499745412836</v>
      </c>
      <c r="AC253">
        <f t="shared" si="86"/>
        <v>1674.0290504980717</v>
      </c>
      <c r="AD253">
        <f t="shared" si="87"/>
        <v>33.541750010917958</v>
      </c>
      <c r="AE253">
        <f t="shared" si="88"/>
        <v>0.84529546690097834</v>
      </c>
      <c r="AF253">
        <f t="shared" si="89"/>
        <v>1538.2969653225525</v>
      </c>
      <c r="AG253">
        <f t="shared" si="90"/>
        <v>36.501316188351893</v>
      </c>
      <c r="AH253">
        <f t="shared" si="91"/>
        <v>0.82932111184880419</v>
      </c>
      <c r="AI253" cm="1">
        <f t="array" ref="AI253">_xlfn.LET(
    _xlpm.vals,   _xlfn.HSTACK(S253,V253,Y253,AB253,AE253,AH253),
    _xlpm.ints,   _xlfn.HSTACK(R253,U253,X253,AA253,AD253,AG253),
    _xlpm.slopes, _xlfn.HSTACK(Q253,T253,W253,Z253,AC253,AF253),
    _xlpm.limit,  -0.00001*_xlpm.slopes + 0.1086*_xlpm.slopes + 63.253,
    _xlpm.mask,   (_xlpm.vals&gt;=0) * (_xlpm.ints&lt;=_xlpm.limit),
    _xlpm.validVals, _xlfn._xlws.FILTER(_xlpm.vals, _xlpm.mask),
    _xlpm.minVal, MIN(_xlpm.validVals),
    IFERROR( _xlfn.XMATCH(_xlpm.minVal, _xlpm.vals), "" )
)</f>
        <v>6</v>
      </c>
      <c r="AJ253" cm="1">
        <f t="array" ref="AJ253">_xlfn.LET(
    _xlpm.vals, CHOOSE({1,2,3,4,5,6}, S253, V253, Y253, AB253, AE253, AH253),
    _xlpm.slopes, CHOOSE({1,2,3,4,5,6}, Q253, T253, W253, Z253, AC253, AF253),
    _xlpm.ints, CHOOSE({1,2,3,4,5,6}, R253, U253, X253, AA253, AD253, AG253),
    _xlpm.limit, -0.00001*_xlpm.slopes + 0.1086*_xlpm.slopes + 63.253,
    _xlpm.valid, (_xlpm.vals &gt;= 0) * (_xlpm.ints &lt;= _xlpm.limit),
    _xlpm.target, MIN(_xlfn._xlws.FILTER(_xlpm.vals, _xlpm.valid)),
    IFERROR(
        _xlfn.XLOOKUP(_xlpm.target, _xlpm.vals, _xlpm.vals),
        CHOOSE({1,2,3,4,5,6}, S$1, V$1, Y$1, AB$1, AE$1, AH$1)
    )
)</f>
        <v>0.82932111184880419</v>
      </c>
    </row>
    <row r="254" spans="9:36" x14ac:dyDescent="0.45">
      <c r="I254">
        <v>252</v>
      </c>
      <c r="J254">
        <v>54.1</v>
      </c>
      <c r="K254">
        <f t="shared" si="70"/>
        <v>54.1</v>
      </c>
      <c r="L254">
        <f t="shared" si="69"/>
        <v>1.5027777777777779E-2</v>
      </c>
      <c r="M254">
        <v>7.51</v>
      </c>
      <c r="N254">
        <f t="shared" si="71"/>
        <v>7.51</v>
      </c>
      <c r="O254">
        <f t="shared" si="72"/>
        <v>703.03938878634312</v>
      </c>
      <c r="P254">
        <f t="shared" si="73"/>
        <v>2249.726044116298</v>
      </c>
      <c r="Q254">
        <f t="shared" si="74"/>
        <v>10303.745282052645</v>
      </c>
      <c r="R254">
        <f t="shared" si="75"/>
        <v>6.9601116287417968</v>
      </c>
      <c r="S254">
        <f t="shared" si="76"/>
        <v>38.595962399597852</v>
      </c>
      <c r="T254">
        <f t="shared" si="77"/>
        <v>6659.189090584242</v>
      </c>
      <c r="U254">
        <f t="shared" si="78"/>
        <v>10.769361912039672</v>
      </c>
      <c r="V254">
        <f t="shared" si="79"/>
        <v>9.4078394022728933</v>
      </c>
      <c r="W254">
        <f t="shared" si="80"/>
        <v>4296.9767442621287</v>
      </c>
      <c r="X254">
        <f t="shared" si="81"/>
        <v>16.689691758972479</v>
      </c>
      <c r="Y254">
        <f t="shared" si="82"/>
        <v>2.6628714464462866</v>
      </c>
      <c r="Z254">
        <f t="shared" si="83"/>
        <v>3239.605503527469</v>
      </c>
      <c r="AA254">
        <f t="shared" si="84"/>
        <v>22.137021708081548</v>
      </c>
      <c r="AB254">
        <f t="shared" si="85"/>
        <v>1.5179130992944654</v>
      </c>
      <c r="AC254">
        <f t="shared" si="86"/>
        <v>1664.7972726460605</v>
      </c>
      <c r="AD254">
        <f t="shared" si="87"/>
        <v>43.077447648158689</v>
      </c>
      <c r="AE254">
        <f t="shared" si="88"/>
        <v>0.97646022486204198</v>
      </c>
      <c r="AF254">
        <f t="shared" si="89"/>
        <v>1529.8137099990827</v>
      </c>
      <c r="AG254">
        <f t="shared" si="90"/>
        <v>46.878398911231514</v>
      </c>
      <c r="AH254">
        <f t="shared" si="91"/>
        <v>0.965524340969797</v>
      </c>
      <c r="AI254" cm="1">
        <f t="array" ref="AI254">_xlfn.LET(
    _xlpm.vals,   _xlfn.HSTACK(S254,V254,Y254,AB254,AE254,AH254),
    _xlpm.ints,   _xlfn.HSTACK(R254,U254,X254,AA254,AD254,AG254),
    _xlpm.slopes, _xlfn.HSTACK(Q254,T254,W254,Z254,AC254,AF254),
    _xlpm.limit,  -0.00001*_xlpm.slopes + 0.1086*_xlpm.slopes + 63.253,
    _xlpm.mask,   (_xlpm.vals&gt;=0) * (_xlpm.ints&lt;=_xlpm.limit),
    _xlpm.validVals, _xlfn._xlws.FILTER(_xlpm.vals, _xlpm.mask),
    _xlpm.minVal, MIN(_xlpm.validVals),
    IFERROR( _xlfn.XMATCH(_xlpm.minVal, _xlpm.vals), "" )
)</f>
        <v>6</v>
      </c>
      <c r="AJ254" cm="1">
        <f t="array" ref="AJ254">_xlfn.LET(
    _xlpm.vals, CHOOSE({1,2,3,4,5,6}, S254, V254, Y254, AB254, AE254, AH254),
    _xlpm.slopes, CHOOSE({1,2,3,4,5,6}, Q254, T254, W254, Z254, AC254, AF254),
    _xlpm.ints, CHOOSE({1,2,3,4,5,6}, R254, U254, X254, AA254, AD254, AG254),
    _xlpm.limit, -0.00001*_xlpm.slopes + 0.1086*_xlpm.slopes + 63.253,
    _xlpm.valid, (_xlpm.vals &gt;= 0) * (_xlpm.ints &lt;= _xlpm.limit),
    _xlpm.target, MIN(_xlfn._xlws.FILTER(_xlpm.vals, _xlpm.valid)),
    IFERROR(
        _xlfn.XLOOKUP(_xlpm.target, _xlpm.vals, _xlpm.vals),
        CHOOSE({1,2,3,4,5,6}, S$1, V$1, Y$1, AB$1, AE$1, AH$1)
    )
)</f>
        <v>0.965524340969797</v>
      </c>
    </row>
    <row r="255" spans="9:36" x14ac:dyDescent="0.45">
      <c r="I255">
        <v>253</v>
      </c>
      <c r="J255">
        <v>53.8</v>
      </c>
      <c r="K255">
        <f t="shared" si="70"/>
        <v>53.8</v>
      </c>
      <c r="L255">
        <f t="shared" si="69"/>
        <v>1.4944444444444444E-2</v>
      </c>
      <c r="M255">
        <v>7.23</v>
      </c>
      <c r="N255">
        <f t="shared" si="71"/>
        <v>7.23</v>
      </c>
      <c r="O255">
        <f t="shared" si="72"/>
        <v>699.14083395018963</v>
      </c>
      <c r="P255">
        <f t="shared" si="73"/>
        <v>2237.2506686406068</v>
      </c>
      <c r="Q255">
        <f t="shared" si="74"/>
        <v>10246.60806237398</v>
      </c>
      <c r="R255">
        <f t="shared" si="75"/>
        <v>6.7379774743983312</v>
      </c>
      <c r="S255">
        <f t="shared" si="76"/>
        <v>37.915147521733623</v>
      </c>
      <c r="T255">
        <f t="shared" si="77"/>
        <v>6622.2619791761963</v>
      </c>
      <c r="U255">
        <f t="shared" si="78"/>
        <v>10.425654335386607</v>
      </c>
      <c r="V255">
        <f t="shared" si="79"/>
        <v>9.2419195314624982</v>
      </c>
      <c r="W255">
        <f t="shared" si="80"/>
        <v>4273.148777103559</v>
      </c>
      <c r="X255">
        <f t="shared" si="81"/>
        <v>16.157034990965631</v>
      </c>
      <c r="Y255">
        <f t="shared" si="82"/>
        <v>2.6161143200127199</v>
      </c>
      <c r="Z255">
        <f t="shared" si="83"/>
        <v>3221.6409628424735</v>
      </c>
      <c r="AA255">
        <f t="shared" si="84"/>
        <v>21.430511689405805</v>
      </c>
      <c r="AB255">
        <f t="shared" si="85"/>
        <v>1.4899384111480989</v>
      </c>
      <c r="AC255">
        <f t="shared" si="86"/>
        <v>1655.5654947940491</v>
      </c>
      <c r="AD255">
        <f t="shared" si="87"/>
        <v>41.702617341546429</v>
      </c>
      <c r="AE255">
        <f t="shared" si="88"/>
        <v>0.95235212163976124</v>
      </c>
      <c r="AF255">
        <f t="shared" si="89"/>
        <v>1521.3304546756128</v>
      </c>
      <c r="AG255">
        <f t="shared" si="90"/>
        <v>45.382260048153462</v>
      </c>
      <c r="AH255">
        <f t="shared" si="91"/>
        <v>0.94085981698357601</v>
      </c>
      <c r="AI255" cm="1">
        <f t="array" ref="AI255">_xlfn.LET(
    _xlpm.vals,   _xlfn.HSTACK(S255,V255,Y255,AB255,AE255,AH255),
    _xlpm.ints,   _xlfn.HSTACK(R255,U255,X255,AA255,AD255,AG255),
    _xlpm.slopes, _xlfn.HSTACK(Q255,T255,W255,Z255,AC255,AF255),
    _xlpm.limit,  -0.00001*_xlpm.slopes + 0.1086*_xlpm.slopes + 63.253,
    _xlpm.mask,   (_xlpm.vals&gt;=0) * (_xlpm.ints&lt;=_xlpm.limit),
    _xlpm.validVals, _xlfn._xlws.FILTER(_xlpm.vals, _xlpm.mask),
    _xlpm.minVal, MIN(_xlpm.validVals),
    IFERROR( _xlfn.XMATCH(_xlpm.minVal, _xlpm.vals), "" )
)</f>
        <v>6</v>
      </c>
      <c r="AJ255" cm="1">
        <f t="array" ref="AJ255">_xlfn.LET(
    _xlpm.vals, CHOOSE({1,2,3,4,5,6}, S255, V255, Y255, AB255, AE255, AH255),
    _xlpm.slopes, CHOOSE({1,2,3,4,5,6}, Q255, T255, W255, Z255, AC255, AF255),
    _xlpm.ints, CHOOSE({1,2,3,4,5,6}, R255, U255, X255, AA255, AD255, AG255),
    _xlpm.limit, -0.00001*_xlpm.slopes + 0.1086*_xlpm.slopes + 63.253,
    _xlpm.valid, (_xlpm.vals &gt;= 0) * (_xlpm.ints &lt;= _xlpm.limit),
    _xlpm.target, MIN(_xlfn._xlws.FILTER(_xlpm.vals, _xlpm.valid)),
    IFERROR(
        _xlfn.XLOOKUP(_xlpm.target, _xlpm.vals, _xlpm.vals),
        CHOOSE({1,2,3,4,5,6}, S$1, V$1, Y$1, AB$1, AE$1, AH$1)
    )
)</f>
        <v>0.94085981698357601</v>
      </c>
    </row>
    <row r="256" spans="9:36" x14ac:dyDescent="0.45">
      <c r="I256">
        <v>254</v>
      </c>
      <c r="J256">
        <v>53.7</v>
      </c>
      <c r="K256">
        <f t="shared" si="70"/>
        <v>53.7</v>
      </c>
      <c r="L256">
        <f t="shared" si="69"/>
        <v>1.4916666666666667E-2</v>
      </c>
      <c r="M256">
        <v>12.31</v>
      </c>
      <c r="N256">
        <f t="shared" si="71"/>
        <v>12.31</v>
      </c>
      <c r="O256">
        <f t="shared" si="72"/>
        <v>697.84131567147176</v>
      </c>
      <c r="P256">
        <f t="shared" si="73"/>
        <v>2233.0922101487099</v>
      </c>
      <c r="Q256">
        <f t="shared" si="74"/>
        <v>10227.562322481092</v>
      </c>
      <c r="R256">
        <f t="shared" si="75"/>
        <v>11.493632330089497</v>
      </c>
      <c r="S256">
        <f t="shared" si="76"/>
        <v>37.487423950049774</v>
      </c>
      <c r="T256">
        <f t="shared" si="77"/>
        <v>6609.9529420401814</v>
      </c>
      <c r="U256">
        <f t="shared" si="78"/>
        <v>17.784066240476317</v>
      </c>
      <c r="V256">
        <f t="shared" si="79"/>
        <v>9.2336922718521368</v>
      </c>
      <c r="W256">
        <f t="shared" si="80"/>
        <v>4265.2061213840361</v>
      </c>
      <c r="X256">
        <f t="shared" si="81"/>
        <v>27.560647158015655</v>
      </c>
      <c r="Y256">
        <f t="shared" si="82"/>
        <v>2.8181298810293463</v>
      </c>
      <c r="Z256">
        <f t="shared" si="83"/>
        <v>3215.6527826141423</v>
      </c>
      <c r="AA256">
        <f t="shared" si="84"/>
        <v>36.556136160979101</v>
      </c>
      <c r="AB256">
        <f t="shared" si="85"/>
        <v>1.7826430478884328</v>
      </c>
      <c r="AC256">
        <f t="shared" si="86"/>
        <v>1652.4882355100453</v>
      </c>
      <c r="AD256">
        <f t="shared" si="87"/>
        <v>71.136264961905269</v>
      </c>
      <c r="AE256">
        <f t="shared" si="88"/>
        <v>1.3945071526454562</v>
      </c>
      <c r="AF256">
        <f t="shared" si="89"/>
        <v>1518.5027029011228</v>
      </c>
      <c r="AG256">
        <f t="shared" si="90"/>
        <v>77.412994223249854</v>
      </c>
      <c r="AH256">
        <f t="shared" si="91"/>
        <v>1.3941695378013617</v>
      </c>
      <c r="AI256" cm="1">
        <f t="array" ref="AI256">_xlfn.LET(
    _xlpm.vals,   _xlfn.HSTACK(S256,V256,Y256,AB256,AE256,AH256),
    _xlpm.ints,   _xlfn.HSTACK(R256,U256,X256,AA256,AD256,AG256),
    _xlpm.slopes, _xlfn.HSTACK(Q256,T256,W256,Z256,AC256,AF256),
    _xlpm.limit,  -0.00001*_xlpm.slopes + 0.1086*_xlpm.slopes + 63.253,
    _xlpm.mask,   (_xlpm.vals&gt;=0) * (_xlpm.ints&lt;=_xlpm.limit),
    _xlpm.validVals, _xlfn._xlws.FILTER(_xlpm.vals, _xlpm.mask),
    _xlpm.minVal, MIN(_xlpm.validVals),
    IFERROR( _xlfn.XMATCH(_xlpm.minVal, _xlpm.vals), "" )
)</f>
        <v>6</v>
      </c>
      <c r="AJ256" cm="1">
        <f t="array" ref="AJ256">_xlfn.LET(
    _xlpm.vals, CHOOSE({1,2,3,4,5,6}, S256, V256, Y256, AB256, AE256, AH256),
    _xlpm.slopes, CHOOSE({1,2,3,4,5,6}, Q256, T256, W256, Z256, AC256, AF256),
    _xlpm.ints, CHOOSE({1,2,3,4,5,6}, R256, U256, X256, AA256, AD256, AG256),
    _xlpm.limit, -0.00001*_xlpm.slopes + 0.1086*_xlpm.slopes + 63.253,
    _xlpm.valid, (_xlpm.vals &gt;= 0) * (_xlpm.ints &lt;= _xlpm.limit),
    _xlpm.target, MIN(_xlfn._xlws.FILTER(_xlpm.vals, _xlpm.valid)),
    IFERROR(
        _xlfn.XLOOKUP(_xlpm.target, _xlpm.vals, _xlpm.vals),
        CHOOSE({1,2,3,4,5,6}, S$1, V$1, Y$1, AB$1, AE$1, AH$1)
    )
)</f>
        <v>1.3941695378013617</v>
      </c>
    </row>
    <row r="257" spans="9:36" x14ac:dyDescent="0.45">
      <c r="I257">
        <v>255</v>
      </c>
      <c r="J257">
        <v>53.8</v>
      </c>
      <c r="K257">
        <f t="shared" si="70"/>
        <v>53.8</v>
      </c>
      <c r="L257">
        <f t="shared" si="69"/>
        <v>1.4944444444444444E-2</v>
      </c>
      <c r="M257">
        <v>13.12</v>
      </c>
      <c r="N257">
        <f t="shared" si="71"/>
        <v>13.12</v>
      </c>
      <c r="O257">
        <f t="shared" si="72"/>
        <v>699.14083395018963</v>
      </c>
      <c r="P257">
        <f t="shared" si="73"/>
        <v>2237.2506686406068</v>
      </c>
      <c r="Q257">
        <f t="shared" si="74"/>
        <v>10246.60806237398</v>
      </c>
      <c r="R257">
        <f t="shared" si="75"/>
        <v>12.227145845657828</v>
      </c>
      <c r="S257">
        <f t="shared" si="76"/>
        <v>37.684119731809119</v>
      </c>
      <c r="T257">
        <f t="shared" si="77"/>
        <v>6622.2619791761963</v>
      </c>
      <c r="U257">
        <f t="shared" si="78"/>
        <v>18.919029720646236</v>
      </c>
      <c r="V257">
        <f t="shared" si="79"/>
        <v>9.2958573363015482</v>
      </c>
      <c r="W257">
        <f t="shared" si="80"/>
        <v>4273.148777103559</v>
      </c>
      <c r="X257">
        <f t="shared" si="81"/>
        <v>29.319543441420343</v>
      </c>
      <c r="Y257">
        <f t="shared" si="82"/>
        <v>2.86591231956927</v>
      </c>
      <c r="Z257">
        <f t="shared" si="83"/>
        <v>3221.6409628424735</v>
      </c>
      <c r="AA257">
        <f t="shared" si="84"/>
        <v>38.889116647995039</v>
      </c>
      <c r="AB257">
        <f t="shared" si="85"/>
        <v>1.8368259992991265</v>
      </c>
      <c r="AC257">
        <f t="shared" si="86"/>
        <v>1655.5654947940491</v>
      </c>
      <c r="AD257">
        <f t="shared" si="87"/>
        <v>75.676118882584944</v>
      </c>
      <c r="AE257">
        <f t="shared" si="88"/>
        <v>1.4671804727583564</v>
      </c>
      <c r="AF257">
        <f t="shared" si="89"/>
        <v>1521.3304546756128</v>
      </c>
      <c r="AG257">
        <f t="shared" si="90"/>
        <v>82.353423489871844</v>
      </c>
      <c r="AH257">
        <f t="shared" si="91"/>
        <v>1.4673988536752038</v>
      </c>
      <c r="AI257" cm="1">
        <f t="array" ref="AI257">_xlfn.LET(
    _xlpm.vals,   _xlfn.HSTACK(S257,V257,Y257,AB257,AE257,AH257),
    _xlpm.ints,   _xlfn.HSTACK(R257,U257,X257,AA257,AD257,AG257),
    _xlpm.slopes, _xlfn.HSTACK(Q257,T257,W257,Z257,AC257,AF257),
    _xlpm.limit,  -0.00001*_xlpm.slopes + 0.1086*_xlpm.slopes + 63.253,
    _xlpm.mask,   (_xlpm.vals&gt;=0) * (_xlpm.ints&lt;=_xlpm.limit),
    _xlpm.validVals, _xlfn._xlws.FILTER(_xlpm.vals, _xlpm.mask),
    _xlpm.minVal, MIN(_xlpm.validVals),
    IFERROR( _xlfn.XMATCH(_xlpm.minVal, _xlpm.vals), "" )
)</f>
        <v>5</v>
      </c>
      <c r="AJ257" cm="1">
        <f t="array" ref="AJ257">_xlfn.LET(
    _xlpm.vals, CHOOSE({1,2,3,4,5,6}, S257, V257, Y257, AB257, AE257, AH257),
    _xlpm.slopes, CHOOSE({1,2,3,4,5,6}, Q257, T257, W257, Z257, AC257, AF257),
    _xlpm.ints, CHOOSE({1,2,3,4,5,6}, R257, U257, X257, AA257, AD257, AG257),
    _xlpm.limit, -0.00001*_xlpm.slopes + 0.1086*_xlpm.slopes + 63.253,
    _xlpm.valid, (_xlpm.vals &gt;= 0) * (_xlpm.ints &lt;= _xlpm.limit),
    _xlpm.target, MIN(_xlfn._xlws.FILTER(_xlpm.vals, _xlpm.valid)),
    IFERROR(
        _xlfn.XLOOKUP(_xlpm.target, _xlpm.vals, _xlpm.vals),
        CHOOSE({1,2,3,4,5,6}, S$1, V$1, Y$1, AB$1, AE$1, AH$1)
    )
)</f>
        <v>1.4671804727583564</v>
      </c>
    </row>
    <row r="258" spans="9:36" x14ac:dyDescent="0.45">
      <c r="I258">
        <v>256</v>
      </c>
      <c r="J258">
        <v>54</v>
      </c>
      <c r="K258">
        <f t="shared" si="70"/>
        <v>54</v>
      </c>
      <c r="L258">
        <f t="shared" ref="L258:L321" si="92">K258*(1/3600)</f>
        <v>1.4999999999999999E-2</v>
      </c>
      <c r="M258">
        <v>13.79</v>
      </c>
      <c r="N258">
        <f t="shared" si="71"/>
        <v>13.79</v>
      </c>
      <c r="O258">
        <f t="shared" si="72"/>
        <v>701.73987050762526</v>
      </c>
      <c r="P258">
        <f t="shared" si="73"/>
        <v>2245.5675856244011</v>
      </c>
      <c r="Q258">
        <f t="shared" si="74"/>
        <v>10284.699542159757</v>
      </c>
      <c r="R258">
        <f t="shared" si="75"/>
        <v>12.803952062422699</v>
      </c>
      <c r="S258">
        <f t="shared" si="76"/>
        <v>38.116075708610374</v>
      </c>
      <c r="T258">
        <f t="shared" si="77"/>
        <v>6646.880053448227</v>
      </c>
      <c r="U258">
        <f t="shared" si="78"/>
        <v>19.811520420910799</v>
      </c>
      <c r="V258">
        <f t="shared" si="79"/>
        <v>9.4103881080265364</v>
      </c>
      <c r="W258">
        <f t="shared" si="80"/>
        <v>4289.0340885426058</v>
      </c>
      <c r="X258">
        <f t="shared" si="81"/>
        <v>30.702670390521448</v>
      </c>
      <c r="Y258">
        <f t="shared" si="82"/>
        <v>2.9189209292239853</v>
      </c>
      <c r="Z258">
        <f t="shared" si="83"/>
        <v>3233.6173232991373</v>
      </c>
      <c r="AA258">
        <f t="shared" si="84"/>
        <v>40.72368086520553</v>
      </c>
      <c r="AB258">
        <f t="shared" si="85"/>
        <v>1.8863399670365362</v>
      </c>
      <c r="AC258">
        <f t="shared" si="86"/>
        <v>1661.7200133620568</v>
      </c>
      <c r="AD258">
        <f t="shared" si="87"/>
        <v>79.246081683643197</v>
      </c>
      <c r="AE258">
        <f t="shared" si="88"/>
        <v>1.5272608295598371</v>
      </c>
      <c r="AF258">
        <f t="shared" si="89"/>
        <v>1526.9859582245929</v>
      </c>
      <c r="AG258">
        <f t="shared" si="90"/>
        <v>86.23838300867051</v>
      </c>
      <c r="AH258">
        <f t="shared" si="91"/>
        <v>1.5276250985365751</v>
      </c>
      <c r="AI258" cm="1">
        <f t="array" ref="AI258">_xlfn.LET(
    _xlpm.vals,   _xlfn.HSTACK(S258,V258,Y258,AB258,AE258,AH258),
    _xlpm.ints,   _xlfn.HSTACK(R258,U258,X258,AA258,AD258,AG258),
    _xlpm.slopes, _xlfn.HSTACK(Q258,T258,W258,Z258,AC258,AF258),
    _xlpm.limit,  -0.00001*_xlpm.slopes + 0.1086*_xlpm.slopes + 63.253,
    _xlpm.mask,   (_xlpm.vals&gt;=0) * (_xlpm.ints&lt;=_xlpm.limit),
    _xlpm.validVals, _xlfn._xlws.FILTER(_xlpm.vals, _xlpm.mask),
    _xlpm.minVal, MIN(_xlpm.validVals),
    IFERROR( _xlfn.XMATCH(_xlpm.minVal, _xlpm.vals), "" )
)</f>
        <v>5</v>
      </c>
      <c r="AJ258" cm="1">
        <f t="array" ref="AJ258">_xlfn.LET(
    _xlpm.vals, CHOOSE({1,2,3,4,5,6}, S258, V258, Y258, AB258, AE258, AH258),
    _xlpm.slopes, CHOOSE({1,2,3,4,5,6}, Q258, T258, W258, Z258, AC258, AF258),
    _xlpm.ints, CHOOSE({1,2,3,4,5,6}, R258, U258, X258, AA258, AD258, AG258),
    _xlpm.limit, -0.00001*_xlpm.slopes + 0.1086*_xlpm.slopes + 63.253,
    _xlpm.valid, (_xlpm.vals &gt;= 0) * (_xlpm.ints &lt;= _xlpm.limit),
    _xlpm.target, MIN(_xlfn._xlws.FILTER(_xlpm.vals, _xlpm.valid)),
    IFERROR(
        _xlfn.XLOOKUP(_xlpm.target, _xlpm.vals, _xlpm.vals),
        CHOOSE({1,2,3,4,5,6}, S$1, V$1, Y$1, AB$1, AE$1, AH$1)
    )
)</f>
        <v>1.5272608295598371</v>
      </c>
    </row>
    <row r="259" spans="9:36" x14ac:dyDescent="0.45">
      <c r="I259">
        <v>257</v>
      </c>
      <c r="J259">
        <v>54.1</v>
      </c>
      <c r="K259">
        <f t="shared" ref="K259:K322" si="93">IF(J259&lt;0,0,J259)</f>
        <v>54.1</v>
      </c>
      <c r="L259">
        <f t="shared" si="92"/>
        <v>1.5027777777777779E-2</v>
      </c>
      <c r="M259">
        <v>12.17</v>
      </c>
      <c r="N259">
        <f t="shared" ref="N259:N322" si="94">IF(M259&lt;0,0,M259)</f>
        <v>12.17</v>
      </c>
      <c r="O259">
        <f t="shared" ref="O259:O322" si="95">(K259*0.44704*60)/(PI()*$B$2)</f>
        <v>703.03938878634312</v>
      </c>
      <c r="P259">
        <f t="shared" ref="P259:P322" si="96">O259*3.2</f>
        <v>2249.726044116298</v>
      </c>
      <c r="Q259">
        <f t="shared" ref="Q259:Q322" si="97">IF(4.58*P259&lt;1000,1000,4.58*P259)</f>
        <v>10303.745282052645</v>
      </c>
      <c r="R259">
        <f t="shared" ref="R259:R322" si="98">(1000*N259*60)/(Q259*2*PI())</f>
        <v>11.278902599439103</v>
      </c>
      <c r="S259">
        <f t="shared" ref="S259:S322" si="99">(0.072946 + (0.000364279 * Q259) + (-0.00248749 * R259) + (0.00000951906 * Q259 * R259) + (-0.000000165418 * Q259^2) + (0.000045414 * R259^2) + (-0.00000000135106 * Q259^2 * R259) + (0.0000000203184 * Q259 * R259^2) + (0.0000000000481318 * Q259^3) + (-0.00000034778 * R259^3))</f>
        <v>38.409021901371617</v>
      </c>
      <c r="T259">
        <f t="shared" ref="T259:T322" si="100">IF(2.96*P259&lt;1000,6000,2.96*P259)</f>
        <v>6659.189090584242</v>
      </c>
      <c r="U259">
        <f t="shared" ref="U259:U322" si="101">(1000*N259*60)/(T259*2*PI())</f>
        <v>17.451815508591586</v>
      </c>
      <c r="V259">
        <f t="shared" ref="V259:V322" si="102">(0.072946 + (0.000364279 * T259) + (-0.00248749 * U259) + (0.00000951906 * T259 * U259) + (-0.000000165418 * T259^2) + (0.000045414 * U259^2) + (-0.00000000135106 * T259^2 * U259) + (0.0000000203184 * T259 * U259^2) + (0.0000000000481318 * T259^3) + (-0.00000034778 * U259^3))</f>
        <v>9.4471168726177321</v>
      </c>
      <c r="W259">
        <f t="shared" ref="W259:W322" si="103">IF(1.91*P259&lt;1000,6000,1.91*P259)</f>
        <v>4296.9767442621287</v>
      </c>
      <c r="X259">
        <f t="shared" ref="X259:X322" si="104">(1000*N259*60)/(W259*2*PI())</f>
        <v>27.045745500225706</v>
      </c>
      <c r="Y259">
        <f t="shared" ref="Y259:Y322" si="105">(0.072946 + (0.000364279 * W259) + (-0.00248749 * X259) + (0.00000951906 * W259 * X259) + (-0.000000165418 * W259^2) + (0.000045414 * X259^2) + (-0.00000000135106 * W259^2 * X259) + (0.0000000203184 * W259 * X259^2) + (0.0000000000481318 * W259^3) + (-0.00000034778 * X259^3))</f>
        <v>2.8572141830165481</v>
      </c>
      <c r="Z259">
        <f t="shared" ref="Z259:Z322" si="106">IF(1.44*P259&lt;1000,6000,1.44*P259)</f>
        <v>3239.605503527469</v>
      </c>
      <c r="AA259">
        <f t="shared" ref="AA259:AA322" si="107">(1000*N259*60)/(Z259*2*PI())</f>
        <v>35.873176323216036</v>
      </c>
      <c r="AB259">
        <f t="shared" ref="AB259:AB322" si="108">(0.072946 + (0.000364279 * Z259) + (-0.00248749 * AA259) + (0.00000951906 * Z259 * AA259) + (-0.000000165418 * Z259^2) + (0.000045414 * AA259^2) + (-0.00000000135106 * Z259^2 * AA259) + (0.0000000203184 * Z259 * AA259^2) + (0.0000000000481318 * Z259^3) + (-0.00000034778 * AA259^3))</f>
        <v>1.7889250674421369</v>
      </c>
      <c r="AC259">
        <f t="shared" ref="AC259:AC322" si="109">IF(0.74*P259&lt;1000,6000,0.74*P259)</f>
        <v>1664.7972726460605</v>
      </c>
      <c r="AD259">
        <f t="shared" ref="AD259:AD322" si="110">(1000*N259*60)/(AC259*2*PI())</f>
        <v>69.807262034366346</v>
      </c>
      <c r="AE259">
        <f t="shared" ref="AE259:AE322" si="111">(0.072946 + (0.000364279 * AC259) + (-0.00248749 * AD259) + (0.00000951906 * AC259 * AD259) + (-0.000000165418 * AC259^2) + (0.000045414 * AD259^2) + (-0.00000000135106 * AC259^2 * AD259) + (0.0000000203184 * AC259 * AD259^2) + (0.0000000000481318 * AC259^3) + (-0.00000034778 * AD259^3))</f>
        <v>1.382067544644527</v>
      </c>
      <c r="AF259">
        <f t="shared" ref="AF259:AF322" si="112">IF(0.68*P259&lt;1000,6000,0.68*P259)</f>
        <v>1529.8137099990827</v>
      </c>
      <c r="AG259">
        <f t="shared" ref="AG259:AG322" si="113">(1000*N259*60)/(AF259*2*PI())</f>
        <v>75.966726331516313</v>
      </c>
      <c r="AH259">
        <f t="shared" ref="AH259:AH322" si="114">(0.072946 + (0.000364279 * AF259) + (-0.00248749 * AG259) + (0.00000951906 * AF259 * AG259) + (-0.000000165418 * AF259^2) + (0.000045414 * AG259^2) + (-0.00000000135106 * AF259^2 * AG259) + (0.0000000203184 * AF259 * AG259^2) + (0.0000000000481318 * AF259^3) + (-0.00000034778 * AG259^3))</f>
        <v>1.3815017539260452</v>
      </c>
      <c r="AI259" cm="1">
        <f t="array" ref="AI259">_xlfn.LET(
    _xlpm.vals,   _xlfn.HSTACK(S259,V259,Y259,AB259,AE259,AH259),
    _xlpm.ints,   _xlfn.HSTACK(R259,U259,X259,AA259,AD259,AG259),
    _xlpm.slopes, _xlfn.HSTACK(Q259,T259,W259,Z259,AC259,AF259),
    _xlpm.limit,  -0.00001*_xlpm.slopes + 0.1086*_xlpm.slopes + 63.253,
    _xlpm.mask,   (_xlpm.vals&gt;=0) * (_xlpm.ints&lt;=_xlpm.limit),
    _xlpm.validVals, _xlfn._xlws.FILTER(_xlpm.vals, _xlpm.mask),
    _xlpm.minVal, MIN(_xlpm.validVals),
    IFERROR( _xlfn.XMATCH(_xlpm.minVal, _xlpm.vals), "" )
)</f>
        <v>6</v>
      </c>
      <c r="AJ259" cm="1">
        <f t="array" ref="AJ259">_xlfn.LET(
    _xlpm.vals, CHOOSE({1,2,3,4,5,6}, S259, V259, Y259, AB259, AE259, AH259),
    _xlpm.slopes, CHOOSE({1,2,3,4,5,6}, Q259, T259, W259, Z259, AC259, AF259),
    _xlpm.ints, CHOOSE({1,2,3,4,5,6}, R259, U259, X259, AA259, AD259, AG259),
    _xlpm.limit, -0.00001*_xlpm.slopes + 0.1086*_xlpm.slopes + 63.253,
    _xlpm.valid, (_xlpm.vals &gt;= 0) * (_xlpm.ints &lt;= _xlpm.limit),
    _xlpm.target, MIN(_xlfn._xlws.FILTER(_xlpm.vals, _xlpm.valid)),
    IFERROR(
        _xlfn.XLOOKUP(_xlpm.target, _xlpm.vals, _xlpm.vals),
        CHOOSE({1,2,3,4,5,6}, S$1, V$1, Y$1, AB$1, AE$1, AH$1)
    )
)</f>
        <v>1.3815017539260452</v>
      </c>
    </row>
    <row r="260" spans="9:36" x14ac:dyDescent="0.45">
      <c r="I260">
        <v>258</v>
      </c>
      <c r="J260">
        <v>54</v>
      </c>
      <c r="K260">
        <f t="shared" si="93"/>
        <v>54</v>
      </c>
      <c r="L260">
        <f t="shared" si="92"/>
        <v>1.4999999999999999E-2</v>
      </c>
      <c r="M260">
        <v>7.74</v>
      </c>
      <c r="N260">
        <f t="shared" si="94"/>
        <v>7.74</v>
      </c>
      <c r="O260">
        <f t="shared" si="95"/>
        <v>701.73987050762526</v>
      </c>
      <c r="P260">
        <f t="shared" si="96"/>
        <v>2245.5675856244011</v>
      </c>
      <c r="Q260">
        <f t="shared" si="97"/>
        <v>10284.699542159757</v>
      </c>
      <c r="R260">
        <f t="shared" si="98"/>
        <v>7.1865546746302895</v>
      </c>
      <c r="S260">
        <f t="shared" si="99"/>
        <v>38.354910540029522</v>
      </c>
      <c r="T260">
        <f t="shared" si="100"/>
        <v>6646.880053448227</v>
      </c>
      <c r="U260">
        <f t="shared" si="101"/>
        <v>11.119736624934704</v>
      </c>
      <c r="V260">
        <f t="shared" si="102"/>
        <v>9.3545925983098233</v>
      </c>
      <c r="W260">
        <f t="shared" si="103"/>
        <v>4289.0340885426058</v>
      </c>
      <c r="X260">
        <f t="shared" si="104"/>
        <v>17.232680842830746</v>
      </c>
      <c r="Y260">
        <f t="shared" si="105"/>
        <v>2.6599544705820204</v>
      </c>
      <c r="Z260">
        <f t="shared" si="106"/>
        <v>3233.6173232991373</v>
      </c>
      <c r="AA260">
        <f t="shared" si="107"/>
        <v>22.857236395699115</v>
      </c>
      <c r="AB260">
        <f t="shared" si="108"/>
        <v>1.526347024986054</v>
      </c>
      <c r="AC260">
        <f t="shared" si="109"/>
        <v>1661.7200133620568</v>
      </c>
      <c r="AD260">
        <f t="shared" si="110"/>
        <v>44.478946499738818</v>
      </c>
      <c r="AE260">
        <f t="shared" si="111"/>
        <v>0.99538856465783598</v>
      </c>
      <c r="AF260">
        <f t="shared" si="112"/>
        <v>1526.9859582245929</v>
      </c>
      <c r="AG260">
        <f t="shared" si="113"/>
        <v>48.403559426186348</v>
      </c>
      <c r="AH260">
        <f t="shared" si="114"/>
        <v>0.98519643322447392</v>
      </c>
      <c r="AI260" cm="1">
        <f t="array" ref="AI260">_xlfn.LET(
    _xlpm.vals,   _xlfn.HSTACK(S260,V260,Y260,AB260,AE260,AH260),
    _xlpm.ints,   _xlfn.HSTACK(R260,U260,X260,AA260,AD260,AG260),
    _xlpm.slopes, _xlfn.HSTACK(Q260,T260,W260,Z260,AC260,AF260),
    _xlpm.limit,  -0.00001*_xlpm.slopes + 0.1086*_xlpm.slopes + 63.253,
    _xlpm.mask,   (_xlpm.vals&gt;=0) * (_xlpm.ints&lt;=_xlpm.limit),
    _xlpm.validVals, _xlfn._xlws.FILTER(_xlpm.vals, _xlpm.mask),
    _xlpm.minVal, MIN(_xlpm.validVals),
    IFERROR( _xlfn.XMATCH(_xlpm.minVal, _xlpm.vals), "" )
)</f>
        <v>6</v>
      </c>
      <c r="AJ260" cm="1">
        <f t="array" ref="AJ260">_xlfn.LET(
    _xlpm.vals, CHOOSE({1,2,3,4,5,6}, S260, V260, Y260, AB260, AE260, AH260),
    _xlpm.slopes, CHOOSE({1,2,3,4,5,6}, Q260, T260, W260, Z260, AC260, AF260),
    _xlpm.ints, CHOOSE({1,2,3,4,5,6}, R260, U260, X260, AA260, AD260, AG260),
    _xlpm.limit, -0.00001*_xlpm.slopes + 0.1086*_xlpm.slopes + 63.253,
    _xlpm.valid, (_xlpm.vals &gt;= 0) * (_xlpm.ints &lt;= _xlpm.limit),
    _xlpm.target, MIN(_xlfn._xlws.FILTER(_xlpm.vals, _xlpm.valid)),
    IFERROR(
        _xlfn.XLOOKUP(_xlpm.target, _xlpm.vals, _xlpm.vals),
        CHOOSE({1,2,3,4,5,6}, S$1, V$1, Y$1, AB$1, AE$1, AH$1)
    )
)</f>
        <v>0.98519643322447392</v>
      </c>
    </row>
    <row r="261" spans="9:36" x14ac:dyDescent="0.45">
      <c r="I261">
        <v>259</v>
      </c>
      <c r="J261">
        <v>53.9</v>
      </c>
      <c r="K261">
        <f t="shared" si="93"/>
        <v>53.9</v>
      </c>
      <c r="L261">
        <f t="shared" si="92"/>
        <v>1.4972222222222222E-2</v>
      </c>
      <c r="M261">
        <v>10.63</v>
      </c>
      <c r="N261">
        <f t="shared" si="94"/>
        <v>10.63</v>
      </c>
      <c r="O261">
        <f t="shared" si="95"/>
        <v>700.44035222890739</v>
      </c>
      <c r="P261">
        <f t="shared" si="96"/>
        <v>2241.4091271325037</v>
      </c>
      <c r="Q261">
        <f t="shared" si="97"/>
        <v>10265.653802266866</v>
      </c>
      <c r="R261">
        <f t="shared" si="98"/>
        <v>9.8882179994805171</v>
      </c>
      <c r="S261">
        <f t="shared" si="99"/>
        <v>38.008970971687461</v>
      </c>
      <c r="T261">
        <f t="shared" si="100"/>
        <v>6634.5710163122112</v>
      </c>
      <c r="U261">
        <f t="shared" si="101"/>
        <v>15.300012985682692</v>
      </c>
      <c r="V261">
        <f t="shared" si="102"/>
        <v>9.3240333591060907</v>
      </c>
      <c r="W261">
        <f t="shared" si="103"/>
        <v>4281.091432823082</v>
      </c>
      <c r="X261">
        <f t="shared" si="104"/>
        <v>23.711014888806687</v>
      </c>
      <c r="Y261">
        <f t="shared" si="105"/>
        <v>2.7672326227898396</v>
      </c>
      <c r="Z261">
        <f t="shared" si="106"/>
        <v>3227.6291430708052</v>
      </c>
      <c r="AA261">
        <f t="shared" si="107"/>
        <v>31.450026692792203</v>
      </c>
      <c r="AB261">
        <f t="shared" si="108"/>
        <v>1.688188626379358</v>
      </c>
      <c r="AC261">
        <f t="shared" si="109"/>
        <v>1658.6427540780528</v>
      </c>
      <c r="AD261">
        <f t="shared" si="110"/>
        <v>61.200051942730767</v>
      </c>
      <c r="AE261">
        <f t="shared" si="111"/>
        <v>1.2448674320303805</v>
      </c>
      <c r="AF261">
        <f t="shared" si="112"/>
        <v>1524.1582064501026</v>
      </c>
      <c r="AG261">
        <f t="shared" si="113"/>
        <v>66.60005652591289</v>
      </c>
      <c r="AH261">
        <f t="shared" si="114"/>
        <v>1.2419451864531641</v>
      </c>
      <c r="AI261" cm="1">
        <f t="array" ref="AI261">_xlfn.LET(
    _xlpm.vals,   _xlfn.HSTACK(S261,V261,Y261,AB261,AE261,AH261),
    _xlpm.ints,   _xlfn.HSTACK(R261,U261,X261,AA261,AD261,AG261),
    _xlpm.slopes, _xlfn.HSTACK(Q261,T261,W261,Z261,AC261,AF261),
    _xlpm.limit,  -0.00001*_xlpm.slopes + 0.1086*_xlpm.slopes + 63.253,
    _xlpm.mask,   (_xlpm.vals&gt;=0) * (_xlpm.ints&lt;=_xlpm.limit),
    _xlpm.validVals, _xlfn._xlws.FILTER(_xlpm.vals, _xlpm.mask),
    _xlpm.minVal, MIN(_xlpm.validVals),
    IFERROR( _xlfn.XMATCH(_xlpm.minVal, _xlpm.vals), "" )
)</f>
        <v>6</v>
      </c>
      <c r="AJ261" cm="1">
        <f t="array" ref="AJ261">_xlfn.LET(
    _xlpm.vals, CHOOSE({1,2,3,4,5,6}, S261, V261, Y261, AB261, AE261, AH261),
    _xlpm.slopes, CHOOSE({1,2,3,4,5,6}, Q261, T261, W261, Z261, AC261, AF261),
    _xlpm.ints, CHOOSE({1,2,3,4,5,6}, R261, U261, X261, AA261, AD261, AG261),
    _xlpm.limit, -0.00001*_xlpm.slopes + 0.1086*_xlpm.slopes + 63.253,
    _xlpm.valid, (_xlpm.vals &gt;= 0) * (_xlpm.ints &lt;= _xlpm.limit),
    _xlpm.target, MIN(_xlfn._xlws.FILTER(_xlpm.vals, _xlpm.valid)),
    IFERROR(
        _xlfn.XLOOKUP(_xlpm.target, _xlpm.vals, _xlpm.vals),
        CHOOSE({1,2,3,4,5,6}, S$1, V$1, Y$1, AB$1, AE$1, AH$1)
    )
)</f>
        <v>1.2419451864531641</v>
      </c>
    </row>
    <row r="262" spans="9:36" x14ac:dyDescent="0.45">
      <c r="I262">
        <v>260</v>
      </c>
      <c r="J262">
        <v>53.6</v>
      </c>
      <c r="K262">
        <f t="shared" si="93"/>
        <v>53.6</v>
      </c>
      <c r="L262">
        <f t="shared" si="92"/>
        <v>1.4888888888888889E-2</v>
      </c>
      <c r="M262">
        <v>6.84</v>
      </c>
      <c r="N262">
        <f t="shared" si="94"/>
        <v>6.84</v>
      </c>
      <c r="O262">
        <f t="shared" si="95"/>
        <v>696.54179739275401</v>
      </c>
      <c r="P262">
        <f t="shared" si="96"/>
        <v>2228.933751656813</v>
      </c>
      <c r="Q262">
        <f t="shared" si="97"/>
        <v>10208.516582588203</v>
      </c>
      <c r="R262">
        <f t="shared" si="98"/>
        <v>6.3983036238898618</v>
      </c>
      <c r="S262">
        <f t="shared" si="99"/>
        <v>37.473982455781325</v>
      </c>
      <c r="T262">
        <f t="shared" si="100"/>
        <v>6597.6439049041664</v>
      </c>
      <c r="U262">
        <f t="shared" si="101"/>
        <v>9.9000779045322869</v>
      </c>
      <c r="V262">
        <f t="shared" si="102"/>
        <v>9.1309095835931</v>
      </c>
      <c r="W262">
        <f t="shared" si="103"/>
        <v>4257.2634656645123</v>
      </c>
      <c r="X262">
        <f t="shared" si="104"/>
        <v>15.342529108594539</v>
      </c>
      <c r="Y262">
        <f t="shared" si="105"/>
        <v>2.5772348314628521</v>
      </c>
      <c r="Z262">
        <f t="shared" si="106"/>
        <v>3209.6646023858107</v>
      </c>
      <c r="AA262">
        <f t="shared" si="107"/>
        <v>20.350160137094143</v>
      </c>
      <c r="AB262">
        <f t="shared" si="108"/>
        <v>1.4603247229979712</v>
      </c>
      <c r="AC262">
        <f t="shared" si="109"/>
        <v>1649.4109762260416</v>
      </c>
      <c r="AD262">
        <f t="shared" si="110"/>
        <v>39.600311618129147</v>
      </c>
      <c r="AE262">
        <f t="shared" si="111"/>
        <v>0.91961728489014871</v>
      </c>
      <c r="AF262">
        <f t="shared" si="112"/>
        <v>1515.674951126633</v>
      </c>
      <c r="AG262">
        <f t="shared" si="113"/>
        <v>43.094456760905238</v>
      </c>
      <c r="AH262">
        <f t="shared" si="114"/>
        <v>0.90716093115251351</v>
      </c>
      <c r="AI262" cm="1">
        <f t="array" ref="AI262">_xlfn.LET(
    _xlpm.vals,   _xlfn.HSTACK(S262,V262,Y262,AB262,AE262,AH262),
    _xlpm.ints,   _xlfn.HSTACK(R262,U262,X262,AA262,AD262,AG262),
    _xlpm.slopes, _xlfn.HSTACK(Q262,T262,W262,Z262,AC262,AF262),
    _xlpm.limit,  -0.00001*_xlpm.slopes + 0.1086*_xlpm.slopes + 63.253,
    _xlpm.mask,   (_xlpm.vals&gt;=0) * (_xlpm.ints&lt;=_xlpm.limit),
    _xlpm.validVals, _xlfn._xlws.FILTER(_xlpm.vals, _xlpm.mask),
    _xlpm.minVal, MIN(_xlpm.validVals),
    IFERROR( _xlfn.XMATCH(_xlpm.minVal, _xlpm.vals), "" )
)</f>
        <v>6</v>
      </c>
      <c r="AJ262" cm="1">
        <f t="array" ref="AJ262">_xlfn.LET(
    _xlpm.vals, CHOOSE({1,2,3,4,5,6}, S262, V262, Y262, AB262, AE262, AH262),
    _xlpm.slopes, CHOOSE({1,2,3,4,5,6}, Q262, T262, W262, Z262, AC262, AF262),
    _xlpm.ints, CHOOSE({1,2,3,4,5,6}, R262, U262, X262, AA262, AD262, AG262),
    _xlpm.limit, -0.00001*_xlpm.slopes + 0.1086*_xlpm.slopes + 63.253,
    _xlpm.valid, (_xlpm.vals &gt;= 0) * (_xlpm.ints &lt;= _xlpm.limit),
    _xlpm.target, MIN(_xlfn._xlws.FILTER(_xlpm.vals, _xlpm.valid)),
    IFERROR(
        _xlfn.XLOOKUP(_xlpm.target, _xlpm.vals, _xlpm.vals),
        CHOOSE({1,2,3,4,5,6}, S$1, V$1, Y$1, AB$1, AE$1, AH$1)
    )
)</f>
        <v>0.90716093115251351</v>
      </c>
    </row>
    <row r="263" spans="9:36" x14ac:dyDescent="0.45">
      <c r="I263">
        <v>261</v>
      </c>
      <c r="J263">
        <v>53.3</v>
      </c>
      <c r="K263">
        <f t="shared" si="93"/>
        <v>53.3</v>
      </c>
      <c r="L263">
        <f t="shared" si="92"/>
        <v>1.4805555555555554E-2</v>
      </c>
      <c r="M263">
        <v>4.66</v>
      </c>
      <c r="N263">
        <f t="shared" si="94"/>
        <v>4.66</v>
      </c>
      <c r="O263">
        <f t="shared" si="95"/>
        <v>692.64324255660051</v>
      </c>
      <c r="P263">
        <f t="shared" si="96"/>
        <v>2216.4583761811218</v>
      </c>
      <c r="Q263">
        <f t="shared" si="97"/>
        <v>10151.379362909538</v>
      </c>
      <c r="R263">
        <f t="shared" si="98"/>
        <v>4.3836133492443574</v>
      </c>
      <c r="S263">
        <f t="shared" si="99"/>
        <v>36.882555860013355</v>
      </c>
      <c r="T263">
        <f t="shared" si="100"/>
        <v>6560.7167934961208</v>
      </c>
      <c r="U263">
        <f t="shared" si="101"/>
        <v>6.7827530876821482</v>
      </c>
      <c r="V263">
        <f t="shared" si="102"/>
        <v>8.9552662009695769</v>
      </c>
      <c r="W263">
        <f t="shared" si="103"/>
        <v>4233.4354985059426</v>
      </c>
      <c r="X263">
        <f t="shared" si="104"/>
        <v>10.511491696093803</v>
      </c>
      <c r="Y263">
        <f t="shared" si="105"/>
        <v>2.4593581027406133</v>
      </c>
      <c r="Z263">
        <f t="shared" si="106"/>
        <v>3191.7000617008152</v>
      </c>
      <c r="AA263">
        <f t="shared" si="107"/>
        <v>13.94232579134664</v>
      </c>
      <c r="AB263">
        <f t="shared" si="108"/>
        <v>1.3329677183599704</v>
      </c>
      <c r="AC263">
        <f t="shared" si="109"/>
        <v>1640.1791983740302</v>
      </c>
      <c r="AD263">
        <f t="shared" si="110"/>
        <v>27.131012350728593</v>
      </c>
      <c r="AE263">
        <f t="shared" si="111"/>
        <v>0.74631076542065289</v>
      </c>
      <c r="AF263">
        <f t="shared" si="112"/>
        <v>1507.1916958031629</v>
      </c>
      <c r="AG263">
        <f t="shared" si="113"/>
        <v>29.524925205204646</v>
      </c>
      <c r="AH263">
        <f t="shared" si="114"/>
        <v>0.72787907955507036</v>
      </c>
      <c r="AI263" cm="1">
        <f t="array" ref="AI263">_xlfn.LET(
    _xlpm.vals,   _xlfn.HSTACK(S263,V263,Y263,AB263,AE263,AH263),
    _xlpm.ints,   _xlfn.HSTACK(R263,U263,X263,AA263,AD263,AG263),
    _xlpm.slopes, _xlfn.HSTACK(Q263,T263,W263,Z263,AC263,AF263),
    _xlpm.limit,  -0.00001*_xlpm.slopes + 0.1086*_xlpm.slopes + 63.253,
    _xlpm.mask,   (_xlpm.vals&gt;=0) * (_xlpm.ints&lt;=_xlpm.limit),
    _xlpm.validVals, _xlfn._xlws.FILTER(_xlpm.vals, _xlpm.mask),
    _xlpm.minVal, MIN(_xlpm.validVals),
    IFERROR( _xlfn.XMATCH(_xlpm.minVal, _xlpm.vals), "" )
)</f>
        <v>6</v>
      </c>
      <c r="AJ263" cm="1">
        <f t="array" ref="AJ263">_xlfn.LET(
    _xlpm.vals, CHOOSE({1,2,3,4,5,6}, S263, V263, Y263, AB263, AE263, AH263),
    _xlpm.slopes, CHOOSE({1,2,3,4,5,6}, Q263, T263, W263, Z263, AC263, AF263),
    _xlpm.ints, CHOOSE({1,2,3,4,5,6}, R263, U263, X263, AA263, AD263, AG263),
    _xlpm.limit, -0.00001*_xlpm.slopes + 0.1086*_xlpm.slopes + 63.253,
    _xlpm.valid, (_xlpm.vals &gt;= 0) * (_xlpm.ints &lt;= _xlpm.limit),
    _xlpm.target, MIN(_xlfn._xlws.FILTER(_xlpm.vals, _xlpm.valid)),
    IFERROR(
        _xlfn.XLOOKUP(_xlpm.target, _xlpm.vals, _xlpm.vals),
        CHOOSE({1,2,3,4,5,6}, S$1, V$1, Y$1, AB$1, AE$1, AH$1)
    )
)</f>
        <v>0.72787907955507036</v>
      </c>
    </row>
    <row r="264" spans="9:36" x14ac:dyDescent="0.45">
      <c r="I264">
        <v>262</v>
      </c>
      <c r="J264">
        <v>52.9</v>
      </c>
      <c r="K264">
        <f t="shared" si="93"/>
        <v>52.9</v>
      </c>
      <c r="L264">
        <f t="shared" si="92"/>
        <v>1.4694444444444444E-2</v>
      </c>
      <c r="M264">
        <v>5.26</v>
      </c>
      <c r="N264">
        <f t="shared" si="94"/>
        <v>5.26</v>
      </c>
      <c r="O264">
        <f t="shared" si="95"/>
        <v>687.44516944172915</v>
      </c>
      <c r="P264">
        <f t="shared" si="96"/>
        <v>2199.8245422135333</v>
      </c>
      <c r="Q264">
        <f t="shared" si="97"/>
        <v>10075.196403337983</v>
      </c>
      <c r="R264">
        <f t="shared" si="98"/>
        <v>4.9854412786594269</v>
      </c>
      <c r="S264">
        <f t="shared" si="99"/>
        <v>35.965580274537814</v>
      </c>
      <c r="T264">
        <f t="shared" si="100"/>
        <v>6511.4806449520584</v>
      </c>
      <c r="U264">
        <f t="shared" si="101"/>
        <v>7.7139598163041141</v>
      </c>
      <c r="V264">
        <f t="shared" si="102"/>
        <v>8.7471558393385038</v>
      </c>
      <c r="W264">
        <f t="shared" si="103"/>
        <v>4201.6648756278482</v>
      </c>
      <c r="X264">
        <f t="shared" si="104"/>
        <v>11.954618354062919</v>
      </c>
      <c r="Y264">
        <f t="shared" si="105"/>
        <v>2.434826779381797</v>
      </c>
      <c r="Z264">
        <f t="shared" si="106"/>
        <v>3167.7473407874877</v>
      </c>
      <c r="AA264">
        <f t="shared" si="107"/>
        <v>15.856472955736235</v>
      </c>
      <c r="AB264">
        <f t="shared" si="108"/>
        <v>1.3468906382243977</v>
      </c>
      <c r="AC264">
        <f t="shared" si="109"/>
        <v>1627.8701612380146</v>
      </c>
      <c r="AD264">
        <f t="shared" si="110"/>
        <v>30.855839265216456</v>
      </c>
      <c r="AE264">
        <f t="shared" si="111"/>
        <v>0.79064641160816596</v>
      </c>
      <c r="AF264">
        <f t="shared" si="112"/>
        <v>1495.8806887052028</v>
      </c>
      <c r="AG264">
        <f t="shared" si="113"/>
        <v>33.578413318029668</v>
      </c>
      <c r="AH264">
        <f t="shared" si="114"/>
        <v>0.77422732673707695</v>
      </c>
      <c r="AI264" cm="1">
        <f t="array" ref="AI264">_xlfn.LET(
    _xlpm.vals,   _xlfn.HSTACK(S264,V264,Y264,AB264,AE264,AH264),
    _xlpm.ints,   _xlfn.HSTACK(R264,U264,X264,AA264,AD264,AG264),
    _xlpm.slopes, _xlfn.HSTACK(Q264,T264,W264,Z264,AC264,AF264),
    _xlpm.limit,  -0.00001*_xlpm.slopes + 0.1086*_xlpm.slopes + 63.253,
    _xlpm.mask,   (_xlpm.vals&gt;=0) * (_xlpm.ints&lt;=_xlpm.limit),
    _xlpm.validVals, _xlfn._xlws.FILTER(_xlpm.vals, _xlpm.mask),
    _xlpm.minVal, MIN(_xlpm.validVals),
    IFERROR( _xlfn.XMATCH(_xlpm.minVal, _xlpm.vals), "" )
)</f>
        <v>6</v>
      </c>
      <c r="AJ264" cm="1">
        <f t="array" ref="AJ264">_xlfn.LET(
    _xlpm.vals, CHOOSE({1,2,3,4,5,6}, S264, V264, Y264, AB264, AE264, AH264),
    _xlpm.slopes, CHOOSE({1,2,3,4,5,6}, Q264, T264, W264, Z264, AC264, AF264),
    _xlpm.ints, CHOOSE({1,2,3,4,5,6}, R264, U264, X264, AA264, AD264, AG264),
    _xlpm.limit, -0.00001*_xlpm.slopes + 0.1086*_xlpm.slopes + 63.253,
    _xlpm.valid, (_xlpm.vals &gt;= 0) * (_xlpm.ints &lt;= _xlpm.limit),
    _xlpm.target, MIN(_xlfn._xlws.FILTER(_xlpm.vals, _xlpm.valid)),
    IFERROR(
        _xlfn.XLOOKUP(_xlpm.target, _xlpm.vals, _xlpm.vals),
        CHOOSE({1,2,3,4,5,6}, S$1, V$1, Y$1, AB$1, AE$1, AH$1)
    )
)</f>
        <v>0.77422732673707695</v>
      </c>
    </row>
    <row r="265" spans="9:36" x14ac:dyDescent="0.45">
      <c r="I265">
        <v>263</v>
      </c>
      <c r="J265">
        <v>52.5</v>
      </c>
      <c r="K265">
        <f t="shared" si="93"/>
        <v>52.5</v>
      </c>
      <c r="L265">
        <f t="shared" si="92"/>
        <v>1.4583333333333334E-2</v>
      </c>
      <c r="M265">
        <v>4.09</v>
      </c>
      <c r="N265">
        <f t="shared" si="94"/>
        <v>4.09</v>
      </c>
      <c r="O265">
        <f t="shared" si="95"/>
        <v>682.2470963268579</v>
      </c>
      <c r="P265">
        <f t="shared" si="96"/>
        <v>2183.1907082459452</v>
      </c>
      <c r="Q265">
        <f t="shared" si="97"/>
        <v>9999.0134437664292</v>
      </c>
      <c r="R265">
        <f t="shared" si="98"/>
        <v>3.9060476570415794</v>
      </c>
      <c r="S265">
        <f t="shared" si="99"/>
        <v>35.132607938010075</v>
      </c>
      <c r="T265">
        <f t="shared" si="100"/>
        <v>6462.2444964079978</v>
      </c>
      <c r="U265">
        <f t="shared" si="101"/>
        <v>6.0438169828548771</v>
      </c>
      <c r="V265">
        <f t="shared" si="102"/>
        <v>8.5303740482963555</v>
      </c>
      <c r="W265">
        <f t="shared" si="103"/>
        <v>4169.8942527497547</v>
      </c>
      <c r="X265">
        <f t="shared" si="104"/>
        <v>9.3663341723824285</v>
      </c>
      <c r="Y265">
        <f t="shared" si="105"/>
        <v>2.3450919932448429</v>
      </c>
      <c r="Z265">
        <f t="shared" si="106"/>
        <v>3143.7946198741611</v>
      </c>
      <c r="AA265">
        <f t="shared" si="107"/>
        <v>12.423401575868358</v>
      </c>
      <c r="AB265">
        <f t="shared" si="108"/>
        <v>1.2699821076045195</v>
      </c>
      <c r="AC265">
        <f t="shared" si="109"/>
        <v>1615.5611241019994</v>
      </c>
      <c r="AD265">
        <f t="shared" si="110"/>
        <v>24.175267931419508</v>
      </c>
      <c r="AE265">
        <f t="shared" si="111"/>
        <v>0.69987970797808041</v>
      </c>
      <c r="AF265">
        <f t="shared" si="112"/>
        <v>1484.5696816072427</v>
      </c>
      <c r="AG265">
        <f t="shared" si="113"/>
        <v>26.308379807721227</v>
      </c>
      <c r="AH265">
        <f t="shared" si="114"/>
        <v>0.68063431774404071</v>
      </c>
      <c r="AI265" cm="1">
        <f t="array" ref="AI265">_xlfn.LET(
    _xlpm.vals,   _xlfn.HSTACK(S265,V265,Y265,AB265,AE265,AH265),
    _xlpm.ints,   _xlfn.HSTACK(R265,U265,X265,AA265,AD265,AG265),
    _xlpm.slopes, _xlfn.HSTACK(Q265,T265,W265,Z265,AC265,AF265),
    _xlpm.limit,  -0.00001*_xlpm.slopes + 0.1086*_xlpm.slopes + 63.253,
    _xlpm.mask,   (_xlpm.vals&gt;=0) * (_xlpm.ints&lt;=_xlpm.limit),
    _xlpm.validVals, _xlfn._xlws.FILTER(_xlpm.vals, _xlpm.mask),
    _xlpm.minVal, MIN(_xlpm.validVals),
    IFERROR( _xlfn.XMATCH(_xlpm.minVal, _xlpm.vals), "" )
)</f>
        <v>6</v>
      </c>
      <c r="AJ265" cm="1">
        <f t="array" ref="AJ265">_xlfn.LET(
    _xlpm.vals, CHOOSE({1,2,3,4,5,6}, S265, V265, Y265, AB265, AE265, AH265),
    _xlpm.slopes, CHOOSE({1,2,3,4,5,6}, Q265, T265, W265, Z265, AC265, AF265),
    _xlpm.ints, CHOOSE({1,2,3,4,5,6}, R265, U265, X265, AA265, AD265, AG265),
    _xlpm.limit, -0.00001*_xlpm.slopes + 0.1086*_xlpm.slopes + 63.253,
    _xlpm.valid, (_xlpm.vals &gt;= 0) * (_xlpm.ints &lt;= _xlpm.limit),
    _xlpm.target, MIN(_xlfn._xlws.FILTER(_xlpm.vals, _xlpm.valid)),
    IFERROR(
        _xlfn.XLOOKUP(_xlpm.target, _xlpm.vals, _xlpm.vals),
        CHOOSE({1,2,3,4,5,6}, S$1, V$1, Y$1, AB$1, AE$1, AH$1)
    )
)</f>
        <v>0.68063431774404071</v>
      </c>
    </row>
    <row r="266" spans="9:36" x14ac:dyDescent="0.45">
      <c r="I266">
        <v>264</v>
      </c>
      <c r="J266">
        <v>52.2</v>
      </c>
      <c r="K266">
        <f t="shared" si="93"/>
        <v>52.2</v>
      </c>
      <c r="L266">
        <f t="shared" si="92"/>
        <v>1.4500000000000001E-2</v>
      </c>
      <c r="M266">
        <v>4.0999999999999996</v>
      </c>
      <c r="N266">
        <f t="shared" si="94"/>
        <v>4.0999999999999996</v>
      </c>
      <c r="O266">
        <f t="shared" si="95"/>
        <v>678.34854149070452</v>
      </c>
      <c r="P266">
        <f t="shared" si="96"/>
        <v>2170.7153327702545</v>
      </c>
      <c r="Q266">
        <f t="shared" si="97"/>
        <v>9941.8762240877659</v>
      </c>
      <c r="R266">
        <f t="shared" si="98"/>
        <v>3.9381013319946785</v>
      </c>
      <c r="S266">
        <f t="shared" si="99"/>
        <v>34.482703639433453</v>
      </c>
      <c r="T266">
        <f t="shared" si="100"/>
        <v>6425.317384999953</v>
      </c>
      <c r="U266">
        <f t="shared" si="101"/>
        <v>6.0934135474782529</v>
      </c>
      <c r="V266">
        <f t="shared" si="102"/>
        <v>8.3762246722081048</v>
      </c>
      <c r="W266">
        <f t="shared" si="103"/>
        <v>4146.066285591186</v>
      </c>
      <c r="X266">
        <f t="shared" si="104"/>
        <v>9.4431958641547791</v>
      </c>
      <c r="Y266">
        <f t="shared" si="105"/>
        <v>2.3112832220563755</v>
      </c>
      <c r="Z266">
        <f t="shared" si="106"/>
        <v>3125.8300791891661</v>
      </c>
      <c r="AA266">
        <f t="shared" si="107"/>
        <v>12.525350069816408</v>
      </c>
      <c r="AB266">
        <f t="shared" si="108"/>
        <v>1.2579820178848289</v>
      </c>
      <c r="AC266">
        <f t="shared" si="109"/>
        <v>1606.3293462499882</v>
      </c>
      <c r="AD266">
        <f t="shared" si="110"/>
        <v>24.373654189913012</v>
      </c>
      <c r="AE266">
        <f t="shared" si="111"/>
        <v>0.69919309350075531</v>
      </c>
      <c r="AF266">
        <f t="shared" si="112"/>
        <v>1476.0864262837731</v>
      </c>
      <c r="AG266">
        <f t="shared" si="113"/>
        <v>26.524270736081803</v>
      </c>
      <c r="AH266">
        <f t="shared" si="114"/>
        <v>0.68022715325623107</v>
      </c>
      <c r="AI266" cm="1">
        <f t="array" ref="AI266">_xlfn.LET(
    _xlpm.vals,   _xlfn.HSTACK(S266,V266,Y266,AB266,AE266,AH266),
    _xlpm.ints,   _xlfn.HSTACK(R266,U266,X266,AA266,AD266,AG266),
    _xlpm.slopes, _xlfn.HSTACK(Q266,T266,W266,Z266,AC266,AF266),
    _xlpm.limit,  -0.00001*_xlpm.slopes + 0.1086*_xlpm.slopes + 63.253,
    _xlpm.mask,   (_xlpm.vals&gt;=0) * (_xlpm.ints&lt;=_xlpm.limit),
    _xlpm.validVals, _xlfn._xlws.FILTER(_xlpm.vals, _xlpm.mask),
    _xlpm.minVal, MIN(_xlpm.validVals),
    IFERROR( _xlfn.XMATCH(_xlpm.minVal, _xlpm.vals), "" )
)</f>
        <v>6</v>
      </c>
      <c r="AJ266" cm="1">
        <f t="array" ref="AJ266">_xlfn.LET(
    _xlpm.vals, CHOOSE({1,2,3,4,5,6}, S266, V266, Y266, AB266, AE266, AH266),
    _xlpm.slopes, CHOOSE({1,2,3,4,5,6}, Q266, T266, W266, Z266, AC266, AF266),
    _xlpm.ints, CHOOSE({1,2,3,4,5,6}, R266, U266, X266, AA266, AD266, AG266),
    _xlpm.limit, -0.00001*_xlpm.slopes + 0.1086*_xlpm.slopes + 63.253,
    _xlpm.valid, (_xlpm.vals &gt;= 0) * (_xlpm.ints &lt;= _xlpm.limit),
    _xlpm.target, MIN(_xlfn._xlws.FILTER(_xlpm.vals, _xlpm.valid)),
    IFERROR(
        _xlfn.XLOOKUP(_xlpm.target, _xlpm.vals, _xlpm.vals),
        CHOOSE({1,2,3,4,5,6}, S$1, V$1, Y$1, AB$1, AE$1, AH$1)
    )
)</f>
        <v>0.68022715325623107</v>
      </c>
    </row>
    <row r="267" spans="9:36" x14ac:dyDescent="0.45">
      <c r="I267">
        <v>265</v>
      </c>
      <c r="J267">
        <v>52.5</v>
      </c>
      <c r="K267">
        <f t="shared" si="93"/>
        <v>52.5</v>
      </c>
      <c r="L267">
        <f t="shared" si="92"/>
        <v>1.4583333333333334E-2</v>
      </c>
      <c r="M267">
        <v>12.52</v>
      </c>
      <c r="N267">
        <f t="shared" si="94"/>
        <v>12.52</v>
      </c>
      <c r="O267">
        <f t="shared" si="95"/>
        <v>682.2470963268579</v>
      </c>
      <c r="P267">
        <f t="shared" si="96"/>
        <v>2183.1907082459452</v>
      </c>
      <c r="Q267">
        <f t="shared" si="97"/>
        <v>9999.0134437664292</v>
      </c>
      <c r="R267">
        <f t="shared" si="98"/>
        <v>11.956898940381558</v>
      </c>
      <c r="S267">
        <f t="shared" si="99"/>
        <v>34.822539739685631</v>
      </c>
      <c r="T267">
        <f t="shared" si="100"/>
        <v>6462.2444964079978</v>
      </c>
      <c r="U267">
        <f t="shared" si="101"/>
        <v>18.500877414509304</v>
      </c>
      <c r="V267">
        <f t="shared" si="102"/>
        <v>8.6147425210909088</v>
      </c>
      <c r="W267">
        <f t="shared" si="103"/>
        <v>4169.8942527497547</v>
      </c>
      <c r="X267">
        <f t="shared" si="104"/>
        <v>28.67151683086259</v>
      </c>
      <c r="Y267">
        <f t="shared" si="105"/>
        <v>2.6974918442280127</v>
      </c>
      <c r="Z267">
        <f t="shared" si="106"/>
        <v>3143.7946198741611</v>
      </c>
      <c r="AA267">
        <f t="shared" si="107"/>
        <v>38.029581352046904</v>
      </c>
      <c r="AB267">
        <f t="shared" si="108"/>
        <v>1.7533868227762779</v>
      </c>
      <c r="AC267">
        <f t="shared" si="109"/>
        <v>1615.5611241019994</v>
      </c>
      <c r="AD267">
        <f t="shared" si="110"/>
        <v>74.003509658037217</v>
      </c>
      <c r="AE267">
        <f t="shared" si="111"/>
        <v>1.4132311057458886</v>
      </c>
      <c r="AF267">
        <f t="shared" si="112"/>
        <v>1484.5696816072427</v>
      </c>
      <c r="AG267">
        <f t="shared" si="113"/>
        <v>80.533231098452276</v>
      </c>
      <c r="AH267">
        <f t="shared" si="114"/>
        <v>1.4131211867128954</v>
      </c>
      <c r="AI267" cm="1">
        <f t="array" ref="AI267">_xlfn.LET(
    _xlpm.vals,   _xlfn.HSTACK(S267,V267,Y267,AB267,AE267,AH267),
    _xlpm.ints,   _xlfn.HSTACK(R267,U267,X267,AA267,AD267,AG267),
    _xlpm.slopes, _xlfn.HSTACK(Q267,T267,W267,Z267,AC267,AF267),
    _xlpm.limit,  -0.00001*_xlpm.slopes + 0.1086*_xlpm.slopes + 63.253,
    _xlpm.mask,   (_xlpm.vals&gt;=0) * (_xlpm.ints&lt;=_xlpm.limit),
    _xlpm.validVals, _xlfn._xlws.FILTER(_xlpm.vals, _xlpm.mask),
    _xlpm.minVal, MIN(_xlpm.validVals),
    IFERROR( _xlfn.XMATCH(_xlpm.minVal, _xlpm.vals), "" )
)</f>
        <v>6</v>
      </c>
      <c r="AJ267" cm="1">
        <f t="array" ref="AJ267">_xlfn.LET(
    _xlpm.vals, CHOOSE({1,2,3,4,5,6}, S267, V267, Y267, AB267, AE267, AH267),
    _xlpm.slopes, CHOOSE({1,2,3,4,5,6}, Q267, T267, W267, Z267, AC267, AF267),
    _xlpm.ints, CHOOSE({1,2,3,4,5,6}, R267, U267, X267, AA267, AD267, AG267),
    _xlpm.limit, -0.00001*_xlpm.slopes + 0.1086*_xlpm.slopes + 63.253,
    _xlpm.valid, (_xlpm.vals &gt;= 0) * (_xlpm.ints &lt;= _xlpm.limit),
    _xlpm.target, MIN(_xlfn._xlws.FILTER(_xlpm.vals, _xlpm.valid)),
    IFERROR(
        _xlfn.XLOOKUP(_xlpm.target, _xlpm.vals, _xlpm.vals),
        CHOOSE({1,2,3,4,5,6}, S$1, V$1, Y$1, AB$1, AE$1, AH$1)
    )
)</f>
        <v>1.4131211867128954</v>
      </c>
    </row>
    <row r="268" spans="9:36" x14ac:dyDescent="0.45">
      <c r="I268">
        <v>266</v>
      </c>
      <c r="J268">
        <v>52.1</v>
      </c>
      <c r="K268">
        <f t="shared" si="93"/>
        <v>52.1</v>
      </c>
      <c r="L268">
        <f t="shared" si="92"/>
        <v>1.4472222222222223E-2</v>
      </c>
      <c r="M268">
        <v>3.6</v>
      </c>
      <c r="N268">
        <f t="shared" si="94"/>
        <v>3.6</v>
      </c>
      <c r="O268">
        <f t="shared" si="95"/>
        <v>677.04902321198665</v>
      </c>
      <c r="P268">
        <f t="shared" si="96"/>
        <v>2166.5568742783576</v>
      </c>
      <c r="Q268">
        <f t="shared" si="97"/>
        <v>9922.8304841948775</v>
      </c>
      <c r="R268">
        <f t="shared" si="98"/>
        <v>3.4644820107131689</v>
      </c>
      <c r="S268">
        <f t="shared" si="99"/>
        <v>34.286926594246474</v>
      </c>
      <c r="T268">
        <f t="shared" si="100"/>
        <v>6413.0083478639381</v>
      </c>
      <c r="U268">
        <f t="shared" si="101"/>
        <v>5.3605836517115915</v>
      </c>
      <c r="V268">
        <f t="shared" si="102"/>
        <v>8.3215777004572793</v>
      </c>
      <c r="W268">
        <f t="shared" si="103"/>
        <v>4138.1236298716631</v>
      </c>
      <c r="X268">
        <f t="shared" si="104"/>
        <v>8.3075013660033044</v>
      </c>
      <c r="Y268">
        <f t="shared" si="105"/>
        <v>2.2815550309557562</v>
      </c>
      <c r="Z268">
        <f t="shared" si="106"/>
        <v>3119.8418989608349</v>
      </c>
      <c r="AA268">
        <f t="shared" si="107"/>
        <v>11.01897750629605</v>
      </c>
      <c r="AB268">
        <f t="shared" si="108"/>
        <v>1.2286343815206646</v>
      </c>
      <c r="AC268">
        <f t="shared" si="109"/>
        <v>1603.2520869659845</v>
      </c>
      <c r="AD268">
        <f t="shared" si="110"/>
        <v>21.442334606846366</v>
      </c>
      <c r="AE268">
        <f t="shared" si="111"/>
        <v>0.66200402700965011</v>
      </c>
      <c r="AF268">
        <f t="shared" si="112"/>
        <v>1473.2586745092833</v>
      </c>
      <c r="AG268">
        <f t="shared" si="113"/>
        <v>23.334305307450457</v>
      </c>
      <c r="AH268">
        <f t="shared" si="114"/>
        <v>0.64187374152588816</v>
      </c>
      <c r="AI268" cm="1">
        <f t="array" ref="AI268">_xlfn.LET(
    _xlpm.vals,   _xlfn.HSTACK(S268,V268,Y268,AB268,AE268,AH268),
    _xlpm.ints,   _xlfn.HSTACK(R268,U268,X268,AA268,AD268,AG268),
    _xlpm.slopes, _xlfn.HSTACK(Q268,T268,W268,Z268,AC268,AF268),
    _xlpm.limit,  -0.00001*_xlpm.slopes + 0.1086*_xlpm.slopes + 63.253,
    _xlpm.mask,   (_xlpm.vals&gt;=0) * (_xlpm.ints&lt;=_xlpm.limit),
    _xlpm.validVals, _xlfn._xlws.FILTER(_xlpm.vals, _xlpm.mask),
    _xlpm.minVal, MIN(_xlpm.validVals),
    IFERROR( _xlfn.XMATCH(_xlpm.minVal, _xlpm.vals), "" )
)</f>
        <v>6</v>
      </c>
      <c r="AJ268" cm="1">
        <f t="array" ref="AJ268">_xlfn.LET(
    _xlpm.vals, CHOOSE({1,2,3,4,5,6}, S268, V268, Y268, AB268, AE268, AH268),
    _xlpm.slopes, CHOOSE({1,2,3,4,5,6}, Q268, T268, W268, Z268, AC268, AF268),
    _xlpm.ints, CHOOSE({1,2,3,4,5,6}, R268, U268, X268, AA268, AD268, AG268),
    _xlpm.limit, -0.00001*_xlpm.slopes + 0.1086*_xlpm.slopes + 63.253,
    _xlpm.valid, (_xlpm.vals &gt;= 0) * (_xlpm.ints &lt;= _xlpm.limit),
    _xlpm.target, MIN(_xlfn._xlws.FILTER(_xlpm.vals, _xlpm.valid)),
    IFERROR(
        _xlfn.XLOOKUP(_xlpm.target, _xlpm.vals, _xlpm.vals),
        CHOOSE({1,2,3,4,5,6}, S$1, V$1, Y$1, AB$1, AE$1, AH$1)
    )
)</f>
        <v>0.64187374152588816</v>
      </c>
    </row>
    <row r="269" spans="9:36" x14ac:dyDescent="0.45">
      <c r="I269">
        <v>267</v>
      </c>
      <c r="J269">
        <v>51.9</v>
      </c>
      <c r="K269">
        <f t="shared" si="93"/>
        <v>51.9</v>
      </c>
      <c r="L269">
        <f t="shared" si="92"/>
        <v>1.4416666666666666E-2</v>
      </c>
      <c r="M269">
        <v>7.24</v>
      </c>
      <c r="N269">
        <f t="shared" si="94"/>
        <v>7.24</v>
      </c>
      <c r="O269">
        <f t="shared" si="95"/>
        <v>674.44998665455103</v>
      </c>
      <c r="P269">
        <f t="shared" si="96"/>
        <v>2158.2399572945633</v>
      </c>
      <c r="Q269">
        <f t="shared" si="97"/>
        <v>9884.7390044091007</v>
      </c>
      <c r="R269">
        <f t="shared" si="98"/>
        <v>6.9943078161477734</v>
      </c>
      <c r="S269">
        <f t="shared" si="99"/>
        <v>33.727002967815274</v>
      </c>
      <c r="T269">
        <f t="shared" si="100"/>
        <v>6388.3902735919073</v>
      </c>
      <c r="U269">
        <f t="shared" si="101"/>
        <v>10.822273580390812</v>
      </c>
      <c r="V269">
        <f t="shared" si="102"/>
        <v>8.2526141431359417</v>
      </c>
      <c r="W269">
        <f t="shared" si="103"/>
        <v>4122.2383184326154</v>
      </c>
      <c r="X269">
        <f t="shared" si="104"/>
        <v>16.771690993694666</v>
      </c>
      <c r="Y269">
        <f t="shared" si="105"/>
        <v>2.4012739525288169</v>
      </c>
      <c r="Z269">
        <f t="shared" si="106"/>
        <v>3107.8655385041711</v>
      </c>
      <c r="AA269">
        <f t="shared" si="107"/>
        <v>22.24578458191445</v>
      </c>
      <c r="AB269">
        <f t="shared" si="108"/>
        <v>1.4145465440819947</v>
      </c>
      <c r="AC269">
        <f t="shared" si="109"/>
        <v>1597.0975683979768</v>
      </c>
      <c r="AD269">
        <f t="shared" si="110"/>
        <v>43.289094321563248</v>
      </c>
      <c r="AE269">
        <f t="shared" si="111"/>
        <v>0.94783359750019924</v>
      </c>
      <c r="AF269">
        <f t="shared" si="112"/>
        <v>1467.603170960303</v>
      </c>
      <c r="AG269">
        <f t="shared" si="113"/>
        <v>47.108720291112952</v>
      </c>
      <c r="AH269">
        <f t="shared" si="114"/>
        <v>0.93787243974065371</v>
      </c>
      <c r="AI269" cm="1">
        <f t="array" ref="AI269">_xlfn.LET(
    _xlpm.vals,   _xlfn.HSTACK(S269,V269,Y269,AB269,AE269,AH269),
    _xlpm.ints,   _xlfn.HSTACK(R269,U269,X269,AA269,AD269,AG269),
    _xlpm.slopes, _xlfn.HSTACK(Q269,T269,W269,Z269,AC269,AF269),
    _xlpm.limit,  -0.00001*_xlpm.slopes + 0.1086*_xlpm.slopes + 63.253,
    _xlpm.mask,   (_xlpm.vals&gt;=0) * (_xlpm.ints&lt;=_xlpm.limit),
    _xlpm.validVals, _xlfn._xlws.FILTER(_xlpm.vals, _xlpm.mask),
    _xlpm.minVal, MIN(_xlpm.validVals),
    IFERROR( _xlfn.XMATCH(_xlpm.minVal, _xlpm.vals), "" )
)</f>
        <v>6</v>
      </c>
      <c r="AJ269" cm="1">
        <f t="array" ref="AJ269">_xlfn.LET(
    _xlpm.vals, CHOOSE({1,2,3,4,5,6}, S269, V269, Y269, AB269, AE269, AH269),
    _xlpm.slopes, CHOOSE({1,2,3,4,5,6}, Q269, T269, W269, Z269, AC269, AF269),
    _xlpm.ints, CHOOSE({1,2,3,4,5,6}, R269, U269, X269, AA269, AD269, AG269),
    _xlpm.limit, -0.00001*_xlpm.slopes + 0.1086*_xlpm.slopes + 63.253,
    _xlpm.valid, (_xlpm.vals &gt;= 0) * (_xlpm.ints &lt;= _xlpm.limit),
    _xlpm.target, MIN(_xlfn._xlws.FILTER(_xlpm.vals, _xlpm.valid)),
    IFERROR(
        _xlfn.XLOOKUP(_xlpm.target, _xlpm.vals, _xlpm.vals),
        CHOOSE({1,2,3,4,5,6}, S$1, V$1, Y$1, AB$1, AE$1, AH$1)
    )
)</f>
        <v>0.93787243974065371</v>
      </c>
    </row>
    <row r="270" spans="9:36" x14ac:dyDescent="0.45">
      <c r="I270">
        <v>268</v>
      </c>
      <c r="J270">
        <v>51.7</v>
      </c>
      <c r="K270">
        <f t="shared" si="93"/>
        <v>51.7</v>
      </c>
      <c r="L270">
        <f t="shared" si="92"/>
        <v>1.4361111111111113E-2</v>
      </c>
      <c r="M270">
        <v>7.88</v>
      </c>
      <c r="N270">
        <f t="shared" si="94"/>
        <v>7.88</v>
      </c>
      <c r="O270">
        <f t="shared" si="95"/>
        <v>671.8509500971154</v>
      </c>
      <c r="P270">
        <f t="shared" si="96"/>
        <v>2149.9230403107695</v>
      </c>
      <c r="Q270">
        <f t="shared" si="97"/>
        <v>9846.647524623324</v>
      </c>
      <c r="R270">
        <f t="shared" si="98"/>
        <v>7.6420382577598858</v>
      </c>
      <c r="S270">
        <f t="shared" si="99"/>
        <v>33.283177644780679</v>
      </c>
      <c r="T270">
        <f t="shared" si="100"/>
        <v>6363.7721993198775</v>
      </c>
      <c r="U270">
        <f t="shared" si="101"/>
        <v>11.824505142074418</v>
      </c>
      <c r="V270">
        <f t="shared" si="102"/>
        <v>8.1602700796264074</v>
      </c>
      <c r="W270">
        <f t="shared" si="103"/>
        <v>4106.3530069935696</v>
      </c>
      <c r="X270">
        <f t="shared" si="104"/>
        <v>18.324887550021089</v>
      </c>
      <c r="Y270">
        <f t="shared" si="105"/>
        <v>2.406605719304924</v>
      </c>
      <c r="Z270">
        <f t="shared" si="106"/>
        <v>3095.8891780475078</v>
      </c>
      <c r="AA270">
        <f t="shared" si="107"/>
        <v>24.305927236486305</v>
      </c>
      <c r="AB270">
        <f t="shared" si="108"/>
        <v>1.4435447327602806</v>
      </c>
      <c r="AC270">
        <f t="shared" si="109"/>
        <v>1590.9430498299694</v>
      </c>
      <c r="AD270">
        <f t="shared" si="110"/>
        <v>47.298020568297673</v>
      </c>
      <c r="AE270">
        <f t="shared" si="111"/>
        <v>1.0016325149580605</v>
      </c>
      <c r="AF270">
        <f t="shared" si="112"/>
        <v>1461.9476674113234</v>
      </c>
      <c r="AG270">
        <f t="shared" si="113"/>
        <v>51.471375324323922</v>
      </c>
      <c r="AH270">
        <f t="shared" si="114"/>
        <v>0.99356734845082206</v>
      </c>
      <c r="AI270" cm="1">
        <f t="array" ref="AI270">_xlfn.LET(
    _xlpm.vals,   _xlfn.HSTACK(S270,V270,Y270,AB270,AE270,AH270),
    _xlpm.ints,   _xlfn.HSTACK(R270,U270,X270,AA270,AD270,AG270),
    _xlpm.slopes, _xlfn.HSTACK(Q270,T270,W270,Z270,AC270,AF270),
    _xlpm.limit,  -0.00001*_xlpm.slopes + 0.1086*_xlpm.slopes + 63.253,
    _xlpm.mask,   (_xlpm.vals&gt;=0) * (_xlpm.ints&lt;=_xlpm.limit),
    _xlpm.validVals, _xlfn._xlws.FILTER(_xlpm.vals, _xlpm.mask),
    _xlpm.minVal, MIN(_xlpm.validVals),
    IFERROR( _xlfn.XMATCH(_xlpm.minVal, _xlpm.vals), "" )
)</f>
        <v>6</v>
      </c>
      <c r="AJ270" cm="1">
        <f t="array" ref="AJ270">_xlfn.LET(
    _xlpm.vals, CHOOSE({1,2,3,4,5,6}, S270, V270, Y270, AB270, AE270, AH270),
    _xlpm.slopes, CHOOSE({1,2,3,4,5,6}, Q270, T270, W270, Z270, AC270, AF270),
    _xlpm.ints, CHOOSE({1,2,3,4,5,6}, R270, U270, X270, AA270, AD270, AG270),
    _xlpm.limit, -0.00001*_xlpm.slopes + 0.1086*_xlpm.slopes + 63.253,
    _xlpm.valid, (_xlpm.vals &gt;= 0) * (_xlpm.ints &lt;= _xlpm.limit),
    _xlpm.target, MIN(_xlfn._xlws.FILTER(_xlpm.vals, _xlpm.valid)),
    IFERROR(
        _xlfn.XLOOKUP(_xlpm.target, _xlpm.vals, _xlpm.vals),
        CHOOSE({1,2,3,4,5,6}, S$1, V$1, Y$1, AB$1, AE$1, AH$1)
    )
)</f>
        <v>0.99356734845082206</v>
      </c>
    </row>
    <row r="271" spans="9:36" x14ac:dyDescent="0.45">
      <c r="I271">
        <v>269</v>
      </c>
      <c r="J271">
        <v>51.6</v>
      </c>
      <c r="K271">
        <f t="shared" si="93"/>
        <v>51.6</v>
      </c>
      <c r="L271">
        <f t="shared" si="92"/>
        <v>1.4333333333333333E-2</v>
      </c>
      <c r="M271">
        <v>9.8000000000000007</v>
      </c>
      <c r="N271">
        <f t="shared" si="94"/>
        <v>9.8000000000000007</v>
      </c>
      <c r="O271">
        <f t="shared" si="95"/>
        <v>670.55143181839753</v>
      </c>
      <c r="P271">
        <f t="shared" si="96"/>
        <v>2145.7645818188721</v>
      </c>
      <c r="Q271">
        <f t="shared" si="97"/>
        <v>9827.6017847304338</v>
      </c>
      <c r="R271">
        <f t="shared" si="98"/>
        <v>9.5224764482662039</v>
      </c>
      <c r="S271">
        <f t="shared" si="99"/>
        <v>33.008186276938318</v>
      </c>
      <c r="T271">
        <f t="shared" si="100"/>
        <v>6351.4631621838616</v>
      </c>
      <c r="U271">
        <f t="shared" si="101"/>
        <v>14.734102071979461</v>
      </c>
      <c r="V271">
        <f t="shared" si="102"/>
        <v>8.1339544693189456</v>
      </c>
      <c r="W271">
        <f t="shared" si="103"/>
        <v>4098.4103512740458</v>
      </c>
      <c r="X271">
        <f t="shared" si="104"/>
        <v>22.834001116784926</v>
      </c>
      <c r="Y271">
        <f t="shared" si="105"/>
        <v>2.4796163749891496</v>
      </c>
      <c r="Z271">
        <f t="shared" si="106"/>
        <v>3089.9009978191757</v>
      </c>
      <c r="AA271">
        <f t="shared" si="107"/>
        <v>30.286765370180007</v>
      </c>
      <c r="AB271">
        <f t="shared" si="108"/>
        <v>1.5535260233456452</v>
      </c>
      <c r="AC271">
        <f t="shared" si="109"/>
        <v>1587.8657905459654</v>
      </c>
      <c r="AD271">
        <f t="shared" si="110"/>
        <v>58.936408287917843</v>
      </c>
      <c r="AE271">
        <f t="shared" si="111"/>
        <v>1.1690673261320197</v>
      </c>
      <c r="AF271">
        <f t="shared" si="112"/>
        <v>1459.1199156368332</v>
      </c>
      <c r="AG271">
        <f t="shared" si="113"/>
        <v>64.136679607440001</v>
      </c>
      <c r="AH271">
        <f t="shared" si="114"/>
        <v>1.1656232761415906</v>
      </c>
      <c r="AI271" cm="1">
        <f t="array" ref="AI271">_xlfn.LET(
    _xlpm.vals,   _xlfn.HSTACK(S271,V271,Y271,AB271,AE271,AH271),
    _xlpm.ints,   _xlfn.HSTACK(R271,U271,X271,AA271,AD271,AG271),
    _xlpm.slopes, _xlfn.HSTACK(Q271,T271,W271,Z271,AC271,AF271),
    _xlpm.limit,  -0.00001*_xlpm.slopes + 0.1086*_xlpm.slopes + 63.253,
    _xlpm.mask,   (_xlpm.vals&gt;=0) * (_xlpm.ints&lt;=_xlpm.limit),
    _xlpm.validVals, _xlfn._xlws.FILTER(_xlpm.vals, _xlpm.mask),
    _xlpm.minVal, MIN(_xlpm.validVals),
    IFERROR( _xlfn.XMATCH(_xlpm.minVal, _xlpm.vals), "" )
)</f>
        <v>6</v>
      </c>
      <c r="AJ271" cm="1">
        <f t="array" ref="AJ271">_xlfn.LET(
    _xlpm.vals, CHOOSE({1,2,3,4,5,6}, S271, V271, Y271, AB271, AE271, AH271),
    _xlpm.slopes, CHOOSE({1,2,3,4,5,6}, Q271, T271, W271, Z271, AC271, AF271),
    _xlpm.ints, CHOOSE({1,2,3,4,5,6}, R271, U271, X271, AA271, AD271, AG271),
    _xlpm.limit, -0.00001*_xlpm.slopes + 0.1086*_xlpm.slopes + 63.253,
    _xlpm.valid, (_xlpm.vals &gt;= 0) * (_xlpm.ints &lt;= _xlpm.limit),
    _xlpm.target, MIN(_xlfn._xlws.FILTER(_xlpm.vals, _xlpm.valid)),
    IFERROR(
        _xlfn.XLOOKUP(_xlpm.target, _xlpm.vals, _xlpm.vals),
        CHOOSE({1,2,3,4,5,6}, S$1, V$1, Y$1, AB$1, AE$1, AH$1)
    )
)</f>
        <v>1.1656232761415906</v>
      </c>
    </row>
    <row r="272" spans="9:36" x14ac:dyDescent="0.45">
      <c r="I272">
        <v>270</v>
      </c>
      <c r="J272">
        <v>51.6</v>
      </c>
      <c r="K272">
        <f t="shared" si="93"/>
        <v>51.6</v>
      </c>
      <c r="L272">
        <f t="shared" si="92"/>
        <v>1.4333333333333333E-2</v>
      </c>
      <c r="M272">
        <v>12.5</v>
      </c>
      <c r="N272">
        <f t="shared" si="94"/>
        <v>12.5</v>
      </c>
      <c r="O272">
        <f t="shared" si="95"/>
        <v>670.55143181839753</v>
      </c>
      <c r="P272">
        <f t="shared" si="96"/>
        <v>2145.7645818188721</v>
      </c>
      <c r="Q272">
        <f t="shared" si="97"/>
        <v>9827.6017847304338</v>
      </c>
      <c r="R272">
        <f t="shared" si="98"/>
        <v>12.146015877890566</v>
      </c>
      <c r="S272">
        <f t="shared" si="99"/>
        <v>32.918361713088231</v>
      </c>
      <c r="T272">
        <f t="shared" si="100"/>
        <v>6351.4631621838616</v>
      </c>
      <c r="U272">
        <f t="shared" si="101"/>
        <v>18.793497540790128</v>
      </c>
      <c r="V272">
        <f t="shared" si="102"/>
        <v>8.1705865269945779</v>
      </c>
      <c r="W272">
        <f t="shared" si="103"/>
        <v>4098.4103512740458</v>
      </c>
      <c r="X272">
        <f t="shared" si="104"/>
        <v>29.125001424470568</v>
      </c>
      <c r="Y272">
        <f t="shared" si="105"/>
        <v>2.6042451273349907</v>
      </c>
      <c r="Z272">
        <f t="shared" si="106"/>
        <v>3089.9009978191757</v>
      </c>
      <c r="AA272">
        <f t="shared" si="107"/>
        <v>38.631078278290829</v>
      </c>
      <c r="AB272">
        <f t="shared" si="108"/>
        <v>1.7223975953151636</v>
      </c>
      <c r="AC272">
        <f t="shared" si="109"/>
        <v>1587.8657905459654</v>
      </c>
      <c r="AD272">
        <f t="shared" si="110"/>
        <v>75.173990163160511</v>
      </c>
      <c r="AE272">
        <f t="shared" si="111"/>
        <v>1.4113991020377634</v>
      </c>
      <c r="AF272">
        <f t="shared" si="112"/>
        <v>1459.1199156368332</v>
      </c>
      <c r="AG272">
        <f t="shared" si="113"/>
        <v>81.80698929520409</v>
      </c>
      <c r="AH272">
        <f t="shared" si="114"/>
        <v>1.4111941012977052</v>
      </c>
      <c r="AI272" cm="1">
        <f t="array" ref="AI272">_xlfn.LET(
    _xlpm.vals,   _xlfn.HSTACK(S272,V272,Y272,AB272,AE272,AH272),
    _xlpm.ints,   _xlfn.HSTACK(R272,U272,X272,AA272,AD272,AG272),
    _xlpm.slopes, _xlfn.HSTACK(Q272,T272,W272,Z272,AC272,AF272),
    _xlpm.limit,  -0.00001*_xlpm.slopes + 0.1086*_xlpm.slopes + 63.253,
    _xlpm.mask,   (_xlpm.vals&gt;=0) * (_xlpm.ints&lt;=_xlpm.limit),
    _xlpm.validVals, _xlfn._xlws.FILTER(_xlpm.vals, _xlpm.mask),
    _xlpm.minVal, MIN(_xlpm.validVals),
    IFERROR( _xlfn.XMATCH(_xlpm.minVal, _xlpm.vals), "" )
)</f>
        <v>6</v>
      </c>
      <c r="AJ272" cm="1">
        <f t="array" ref="AJ272">_xlfn.LET(
    _xlpm.vals, CHOOSE({1,2,3,4,5,6}, S272, V272, Y272, AB272, AE272, AH272),
    _xlpm.slopes, CHOOSE({1,2,3,4,5,6}, Q272, T272, W272, Z272, AC272, AF272),
    _xlpm.ints, CHOOSE({1,2,3,4,5,6}, R272, U272, X272, AA272, AD272, AG272),
    _xlpm.limit, -0.00001*_xlpm.slopes + 0.1086*_xlpm.slopes + 63.253,
    _xlpm.valid, (_xlpm.vals &gt;= 0) * (_xlpm.ints &lt;= _xlpm.limit),
    _xlpm.target, MIN(_xlfn._xlws.FILTER(_xlpm.vals, _xlpm.valid)),
    IFERROR(
        _xlfn.XLOOKUP(_xlpm.target, _xlpm.vals, _xlpm.vals),
        CHOOSE({1,2,3,4,5,6}, S$1, V$1, Y$1, AB$1, AE$1, AH$1)
    )
)</f>
        <v>1.4111941012977052</v>
      </c>
    </row>
    <row r="273" spans="9:36" x14ac:dyDescent="0.45">
      <c r="I273">
        <v>271</v>
      </c>
      <c r="J273">
        <v>51.8</v>
      </c>
      <c r="K273">
        <f t="shared" si="93"/>
        <v>51.8</v>
      </c>
      <c r="L273">
        <f t="shared" si="92"/>
        <v>1.4388888888888889E-2</v>
      </c>
      <c r="M273">
        <v>13.08</v>
      </c>
      <c r="N273">
        <f t="shared" si="94"/>
        <v>13.08</v>
      </c>
      <c r="O273">
        <f t="shared" si="95"/>
        <v>673.15046837583304</v>
      </c>
      <c r="P273">
        <f t="shared" si="96"/>
        <v>2154.0814988026659</v>
      </c>
      <c r="Q273">
        <f t="shared" si="97"/>
        <v>9865.6932645162105</v>
      </c>
      <c r="R273">
        <f t="shared" si="98"/>
        <v>12.660519234645443</v>
      </c>
      <c r="S273">
        <f t="shared" si="99"/>
        <v>33.316078088154747</v>
      </c>
      <c r="T273">
        <f t="shared" si="100"/>
        <v>6376.0812364558915</v>
      </c>
      <c r="U273">
        <f t="shared" si="101"/>
        <v>19.589587194147338</v>
      </c>
      <c r="V273">
        <f t="shared" si="102"/>
        <v>8.2759595604022778</v>
      </c>
      <c r="W273">
        <f t="shared" si="103"/>
        <v>4114.2956627130916</v>
      </c>
      <c r="X273">
        <f t="shared" si="104"/>
        <v>30.358731986741432</v>
      </c>
      <c r="Y273">
        <f t="shared" si="105"/>
        <v>2.6520359291296489</v>
      </c>
      <c r="Z273">
        <f t="shared" si="106"/>
        <v>3101.877358275839</v>
      </c>
      <c r="AA273">
        <f t="shared" si="107"/>
        <v>40.267484787969536</v>
      </c>
      <c r="AB273">
        <f t="shared" si="108"/>
        <v>1.7662839090188849</v>
      </c>
      <c r="AC273">
        <f t="shared" si="109"/>
        <v>1594.0203091139729</v>
      </c>
      <c r="AD273">
        <f t="shared" si="110"/>
        <v>78.358348776589352</v>
      </c>
      <c r="AE273">
        <f t="shared" si="111"/>
        <v>1.4636941421363934</v>
      </c>
      <c r="AF273">
        <f t="shared" si="112"/>
        <v>1464.775419185813</v>
      </c>
      <c r="AG273">
        <f t="shared" si="113"/>
        <v>85.272320727464887</v>
      </c>
      <c r="AH273">
        <f t="shared" si="114"/>
        <v>1.4635524491861007</v>
      </c>
      <c r="AI273" cm="1">
        <f t="array" ref="AI273">_xlfn.LET(
    _xlpm.vals,   _xlfn.HSTACK(S273,V273,Y273,AB273,AE273,AH273),
    _xlpm.ints,   _xlfn.HSTACK(R273,U273,X273,AA273,AD273,AG273),
    _xlpm.slopes, _xlfn.HSTACK(Q273,T273,W273,Z273,AC273,AF273),
    _xlpm.limit,  -0.00001*_xlpm.slopes + 0.1086*_xlpm.slopes + 63.253,
    _xlpm.mask,   (_xlpm.vals&gt;=0) * (_xlpm.ints&lt;=_xlpm.limit),
    _xlpm.validVals, _xlfn._xlws.FILTER(_xlpm.vals, _xlpm.mask),
    _xlpm.minVal, MIN(_xlpm.validVals),
    IFERROR( _xlfn.XMATCH(_xlpm.minVal, _xlpm.vals), "" )
)</f>
        <v>6</v>
      </c>
      <c r="AJ273" cm="1">
        <f t="array" ref="AJ273">_xlfn.LET(
    _xlpm.vals, CHOOSE({1,2,3,4,5,6}, S273, V273, Y273, AB273, AE273, AH273),
    _xlpm.slopes, CHOOSE({1,2,3,4,5,6}, Q273, T273, W273, Z273, AC273, AF273),
    _xlpm.ints, CHOOSE({1,2,3,4,5,6}, R273, U273, X273, AA273, AD273, AG273),
    _xlpm.limit, -0.00001*_xlpm.slopes + 0.1086*_xlpm.slopes + 63.253,
    _xlpm.valid, (_xlpm.vals &gt;= 0) * (_xlpm.ints &lt;= _xlpm.limit),
    _xlpm.target, MIN(_xlfn._xlws.FILTER(_xlpm.vals, _xlpm.valid)),
    IFERROR(
        _xlfn.XLOOKUP(_xlpm.target, _xlpm.vals, _xlpm.vals),
        CHOOSE({1,2,3,4,5,6}, S$1, V$1, Y$1, AB$1, AE$1, AH$1)
    )
)</f>
        <v>1.4635524491861007</v>
      </c>
    </row>
    <row r="274" spans="9:36" x14ac:dyDescent="0.45">
      <c r="I274">
        <v>272</v>
      </c>
      <c r="J274">
        <v>52</v>
      </c>
      <c r="K274">
        <f t="shared" si="93"/>
        <v>52</v>
      </c>
      <c r="L274">
        <f t="shared" si="92"/>
        <v>1.4444444444444444E-2</v>
      </c>
      <c r="M274">
        <v>13.56</v>
      </c>
      <c r="N274">
        <f t="shared" si="94"/>
        <v>13.56</v>
      </c>
      <c r="O274">
        <f t="shared" si="95"/>
        <v>675.74950493326878</v>
      </c>
      <c r="P274">
        <f t="shared" si="96"/>
        <v>2162.3984157864602</v>
      </c>
      <c r="Q274">
        <f t="shared" si="97"/>
        <v>9903.7847443019873</v>
      </c>
      <c r="R274">
        <f t="shared" si="98"/>
        <v>13.074644193379257</v>
      </c>
      <c r="S274">
        <f t="shared" si="99"/>
        <v>33.720327021896843</v>
      </c>
      <c r="T274">
        <f t="shared" si="100"/>
        <v>6400.6993107279222</v>
      </c>
      <c r="U274">
        <f t="shared" si="101"/>
        <v>20.230361623539526</v>
      </c>
      <c r="V274">
        <f t="shared" si="102"/>
        <v>8.380620904114183</v>
      </c>
      <c r="W274">
        <f t="shared" si="103"/>
        <v>4130.1809741521392</v>
      </c>
      <c r="X274">
        <f t="shared" si="104"/>
        <v>31.351764610302087</v>
      </c>
      <c r="Y274">
        <f t="shared" si="105"/>
        <v>2.6952766059765287</v>
      </c>
      <c r="Z274">
        <f t="shared" si="106"/>
        <v>3113.8537187325028</v>
      </c>
      <c r="AA274">
        <f t="shared" si="107"/>
        <v>41.58463222616458</v>
      </c>
      <c r="AB274">
        <f t="shared" si="108"/>
        <v>1.8038970030776798</v>
      </c>
      <c r="AC274">
        <f t="shared" si="109"/>
        <v>1600.1748276819806</v>
      </c>
      <c r="AD274">
        <f t="shared" si="110"/>
        <v>80.921446494158104</v>
      </c>
      <c r="AE274">
        <f t="shared" si="111"/>
        <v>1.5068782735152031</v>
      </c>
      <c r="AF274">
        <f t="shared" si="112"/>
        <v>1470.4309227347931</v>
      </c>
      <c r="AG274">
        <f t="shared" si="113"/>
        <v>88.061574125995577</v>
      </c>
      <c r="AH274">
        <f t="shared" si="114"/>
        <v>1.5066351806605105</v>
      </c>
      <c r="AI274" cm="1">
        <f t="array" ref="AI274">_xlfn.LET(
    _xlpm.vals,   _xlfn.HSTACK(S274,V274,Y274,AB274,AE274,AH274),
    _xlpm.ints,   _xlfn.HSTACK(R274,U274,X274,AA274,AD274,AG274),
    _xlpm.slopes, _xlfn.HSTACK(Q274,T274,W274,Z274,AC274,AF274),
    _xlpm.limit,  -0.00001*_xlpm.slopes + 0.1086*_xlpm.slopes + 63.253,
    _xlpm.mask,   (_xlpm.vals&gt;=0) * (_xlpm.ints&lt;=_xlpm.limit),
    _xlpm.validVals, _xlfn._xlws.FILTER(_xlpm.vals, _xlpm.mask),
    _xlpm.minVal, MIN(_xlpm.validVals),
    IFERROR( _xlfn.XMATCH(_xlpm.minVal, _xlpm.vals), "" )
)</f>
        <v>6</v>
      </c>
      <c r="AJ274" cm="1">
        <f t="array" ref="AJ274">_xlfn.LET(
    _xlpm.vals, CHOOSE({1,2,3,4,5,6}, S274, V274, Y274, AB274, AE274, AH274),
    _xlpm.slopes, CHOOSE({1,2,3,4,5,6}, Q274, T274, W274, Z274, AC274, AF274),
    _xlpm.ints, CHOOSE({1,2,3,4,5,6}, R274, U274, X274, AA274, AD274, AG274),
    _xlpm.limit, -0.00001*_xlpm.slopes + 0.1086*_xlpm.slopes + 63.253,
    _xlpm.valid, (_xlpm.vals &gt;= 0) * (_xlpm.ints &lt;= _xlpm.limit),
    _xlpm.target, MIN(_xlfn._xlws.FILTER(_xlpm.vals, _xlpm.valid)),
    IFERROR(
        _xlfn.XLOOKUP(_xlpm.target, _xlpm.vals, _xlpm.vals),
        CHOOSE({1,2,3,4,5,6}, S$1, V$1, Y$1, AB$1, AE$1, AH$1)
    )
)</f>
        <v>1.5066351806605105</v>
      </c>
    </row>
    <row r="275" spans="9:36" x14ac:dyDescent="0.45">
      <c r="I275">
        <v>273</v>
      </c>
      <c r="J275">
        <v>52.3</v>
      </c>
      <c r="K275">
        <f t="shared" si="93"/>
        <v>52.3</v>
      </c>
      <c r="L275">
        <f t="shared" si="92"/>
        <v>1.4527777777777777E-2</v>
      </c>
      <c r="M275">
        <v>16.22</v>
      </c>
      <c r="N275">
        <f t="shared" si="94"/>
        <v>16.22</v>
      </c>
      <c r="O275">
        <f t="shared" si="95"/>
        <v>679.64805976942216</v>
      </c>
      <c r="P275">
        <f t="shared" si="96"/>
        <v>2174.8737912621509</v>
      </c>
      <c r="Q275">
        <f t="shared" si="97"/>
        <v>9960.9219639806506</v>
      </c>
      <c r="R275">
        <f t="shared" si="98"/>
        <v>15.549724330450884</v>
      </c>
      <c r="S275">
        <f t="shared" si="99"/>
        <v>34.268325408238304</v>
      </c>
      <c r="T275">
        <f t="shared" si="100"/>
        <v>6437.626422135967</v>
      </c>
      <c r="U275">
        <f t="shared" si="101"/>
        <v>24.060046430224677</v>
      </c>
      <c r="V275">
        <f t="shared" si="102"/>
        <v>8.5684755185392305</v>
      </c>
      <c r="W275">
        <f t="shared" si="103"/>
        <v>4154.008941310708</v>
      </c>
      <c r="X275">
        <f t="shared" si="104"/>
        <v>37.286773525374372</v>
      </c>
      <c r="Y275">
        <f t="shared" si="105"/>
        <v>2.8566868519918063</v>
      </c>
      <c r="Z275">
        <f t="shared" si="106"/>
        <v>3131.8182594174973</v>
      </c>
      <c r="AA275">
        <f t="shared" si="107"/>
        <v>49.456762106572945</v>
      </c>
      <c r="AB275">
        <f t="shared" si="108"/>
        <v>1.9904921091822123</v>
      </c>
      <c r="AC275">
        <f t="shared" si="109"/>
        <v>1609.4066055339918</v>
      </c>
      <c r="AD275">
        <f t="shared" si="110"/>
        <v>96.240185720898708</v>
      </c>
      <c r="AE275">
        <f t="shared" si="111"/>
        <v>1.7431165802294581</v>
      </c>
      <c r="AF275">
        <f t="shared" si="112"/>
        <v>1478.9141780582627</v>
      </c>
      <c r="AG275">
        <f t="shared" si="113"/>
        <v>104.73196681391919</v>
      </c>
      <c r="AH275">
        <f t="shared" si="114"/>
        <v>1.7381875090667886</v>
      </c>
      <c r="AI275" cm="1">
        <f t="array" ref="AI275">_xlfn.LET(
    _xlpm.vals,   _xlfn.HSTACK(S275,V275,Y275,AB275,AE275,AH275),
    _xlpm.ints,   _xlfn.HSTACK(R275,U275,X275,AA275,AD275,AG275),
    _xlpm.slopes, _xlfn.HSTACK(Q275,T275,W275,Z275,AC275,AF275),
    _xlpm.limit,  -0.00001*_xlpm.slopes + 0.1086*_xlpm.slopes + 63.253,
    _xlpm.mask,   (_xlpm.vals&gt;=0) * (_xlpm.ints&lt;=_xlpm.limit),
    _xlpm.validVals, _xlfn._xlws.FILTER(_xlpm.vals, _xlpm.mask),
    _xlpm.minVal, MIN(_xlpm.validVals),
    IFERROR( _xlfn.XMATCH(_xlpm.minVal, _xlpm.vals), "" )
)</f>
        <v>6</v>
      </c>
      <c r="AJ275" cm="1">
        <f t="array" ref="AJ275">_xlfn.LET(
    _xlpm.vals, CHOOSE({1,2,3,4,5,6}, S275, V275, Y275, AB275, AE275, AH275),
    _xlpm.slopes, CHOOSE({1,2,3,4,5,6}, Q275, T275, W275, Z275, AC275, AF275),
    _xlpm.ints, CHOOSE({1,2,3,4,5,6}, R275, U275, X275, AA275, AD275, AG275),
    _xlpm.limit, -0.00001*_xlpm.slopes + 0.1086*_xlpm.slopes + 63.253,
    _xlpm.valid, (_xlpm.vals &gt;= 0) * (_xlpm.ints &lt;= _xlpm.limit),
    _xlpm.target, MIN(_xlfn._xlws.FILTER(_xlpm.vals, _xlpm.valid)),
    IFERROR(
        _xlfn.XLOOKUP(_xlpm.target, _xlpm.vals, _xlpm.vals),
        CHOOSE({1,2,3,4,5,6}, S$1, V$1, Y$1, AB$1, AE$1, AH$1)
    )
)</f>
        <v>1.7381875090667886</v>
      </c>
    </row>
    <row r="276" spans="9:36" x14ac:dyDescent="0.45">
      <c r="I276">
        <v>274</v>
      </c>
      <c r="J276">
        <v>52.9</v>
      </c>
      <c r="K276">
        <f t="shared" si="93"/>
        <v>52.9</v>
      </c>
      <c r="L276">
        <f t="shared" si="92"/>
        <v>1.4694444444444444E-2</v>
      </c>
      <c r="M276">
        <v>19.38</v>
      </c>
      <c r="N276">
        <f t="shared" si="94"/>
        <v>19.38</v>
      </c>
      <c r="O276">
        <f t="shared" si="95"/>
        <v>687.44516944172915</v>
      </c>
      <c r="P276">
        <f t="shared" si="96"/>
        <v>2199.8245422135333</v>
      </c>
      <c r="Q276">
        <f t="shared" si="97"/>
        <v>10075.196403337983</v>
      </c>
      <c r="R276">
        <f t="shared" si="98"/>
        <v>18.36841292403416</v>
      </c>
      <c r="S276">
        <f t="shared" si="99"/>
        <v>35.456451125608773</v>
      </c>
      <c r="T276">
        <f t="shared" si="100"/>
        <v>6511.4806449520584</v>
      </c>
      <c r="U276">
        <f t="shared" si="101"/>
        <v>28.421395672998806</v>
      </c>
      <c r="V276">
        <f t="shared" si="102"/>
        <v>8.91810752140068</v>
      </c>
      <c r="W276">
        <f t="shared" si="103"/>
        <v>4201.6648756278482</v>
      </c>
      <c r="X276">
        <f t="shared" si="104"/>
        <v>44.045723137212811</v>
      </c>
      <c r="Y276">
        <f t="shared" si="105"/>
        <v>3.079001030820121</v>
      </c>
      <c r="Z276">
        <f t="shared" si="106"/>
        <v>3167.7473407874877</v>
      </c>
      <c r="AA276">
        <f t="shared" si="107"/>
        <v>58.421757772275328</v>
      </c>
      <c r="AB276">
        <f t="shared" si="108"/>
        <v>2.226569123442137</v>
      </c>
      <c r="AC276">
        <f t="shared" si="109"/>
        <v>1627.8701612380146</v>
      </c>
      <c r="AD276">
        <f t="shared" si="110"/>
        <v>113.68558269199522</v>
      </c>
      <c r="AE276">
        <f t="shared" si="111"/>
        <v>2.0104908240704411</v>
      </c>
      <c r="AF276">
        <f t="shared" si="112"/>
        <v>1495.8806887052028</v>
      </c>
      <c r="AG276">
        <f t="shared" si="113"/>
        <v>123.7166635177595</v>
      </c>
      <c r="AH276">
        <f t="shared" si="114"/>
        <v>1.9904586223866922</v>
      </c>
      <c r="AI276" cm="1">
        <f t="array" ref="AI276">_xlfn.LET(
    _xlpm.vals,   _xlfn.HSTACK(S276,V276,Y276,AB276,AE276,AH276),
    _xlpm.ints,   _xlfn.HSTACK(R276,U276,X276,AA276,AD276,AG276),
    _xlpm.slopes, _xlfn.HSTACK(Q276,T276,W276,Z276,AC276,AF276),
    _xlpm.limit,  -0.00001*_xlpm.slopes + 0.1086*_xlpm.slopes + 63.253,
    _xlpm.mask,   (_xlpm.vals&gt;=0) * (_xlpm.ints&lt;=_xlpm.limit),
    _xlpm.validVals, _xlfn._xlws.FILTER(_xlpm.vals, _xlpm.mask),
    _xlpm.minVal, MIN(_xlpm.validVals),
    IFERROR( _xlfn.XMATCH(_xlpm.minVal, _xlpm.vals), "" )
)</f>
        <v>6</v>
      </c>
      <c r="AJ276" cm="1">
        <f t="array" ref="AJ276">_xlfn.LET(
    _xlpm.vals, CHOOSE({1,2,3,4,5,6}, S276, V276, Y276, AB276, AE276, AH276),
    _xlpm.slopes, CHOOSE({1,2,3,4,5,6}, Q276, T276, W276, Z276, AC276, AF276),
    _xlpm.ints, CHOOSE({1,2,3,4,5,6}, R276, U276, X276, AA276, AD276, AG276),
    _xlpm.limit, -0.00001*_xlpm.slopes + 0.1086*_xlpm.slopes + 63.253,
    _xlpm.valid, (_xlpm.vals &gt;= 0) * (_xlpm.ints &lt;= _xlpm.limit),
    _xlpm.target, MIN(_xlfn._xlws.FILTER(_xlpm.vals, _xlpm.valid)),
    IFERROR(
        _xlfn.XLOOKUP(_xlpm.target, _xlpm.vals, _xlpm.vals),
        CHOOSE({1,2,3,4,5,6}, S$1, V$1, Y$1, AB$1, AE$1, AH$1)
    )
)</f>
        <v>1.9904586223866922</v>
      </c>
    </row>
    <row r="277" spans="9:36" x14ac:dyDescent="0.45">
      <c r="I277">
        <v>275</v>
      </c>
      <c r="J277">
        <v>53.5</v>
      </c>
      <c r="K277">
        <f t="shared" si="93"/>
        <v>53.5</v>
      </c>
      <c r="L277">
        <f t="shared" si="92"/>
        <v>1.4861111111111111E-2</v>
      </c>
      <c r="M277">
        <v>21.54</v>
      </c>
      <c r="N277">
        <f t="shared" si="94"/>
        <v>21.54</v>
      </c>
      <c r="O277">
        <f t="shared" si="95"/>
        <v>695.24227911403614</v>
      </c>
      <c r="P277">
        <f t="shared" si="96"/>
        <v>2224.7752931649156</v>
      </c>
      <c r="Q277">
        <f t="shared" si="97"/>
        <v>10189.470842695313</v>
      </c>
      <c r="R277">
        <f t="shared" si="98"/>
        <v>20.18670563245422</v>
      </c>
      <c r="S277">
        <f t="shared" si="99"/>
        <v>36.706132654204424</v>
      </c>
      <c r="T277">
        <f t="shared" si="100"/>
        <v>6585.3348677681506</v>
      </c>
      <c r="U277">
        <f t="shared" si="101"/>
        <v>31.234835066432545</v>
      </c>
      <c r="V277">
        <f t="shared" si="102"/>
        <v>9.2583542817960627</v>
      </c>
      <c r="W277">
        <f t="shared" si="103"/>
        <v>4249.3208099449885</v>
      </c>
      <c r="X277">
        <f t="shared" si="104"/>
        <v>48.405817694576093</v>
      </c>
      <c r="Y277">
        <f t="shared" si="105"/>
        <v>3.2530313277894489</v>
      </c>
      <c r="Z277">
        <f t="shared" si="106"/>
        <v>3203.6764221574786</v>
      </c>
      <c r="AA277">
        <f t="shared" si="107"/>
        <v>64.204938747666901</v>
      </c>
      <c r="AB277">
        <f t="shared" si="108"/>
        <v>2.3962996174772839</v>
      </c>
      <c r="AC277">
        <f t="shared" si="109"/>
        <v>1646.3337169420377</v>
      </c>
      <c r="AD277">
        <f t="shared" si="110"/>
        <v>124.93934026573018</v>
      </c>
      <c r="AE277">
        <f t="shared" si="111"/>
        <v>2.181582063909834</v>
      </c>
      <c r="AF277">
        <f t="shared" si="112"/>
        <v>1512.8471993521428</v>
      </c>
      <c r="AG277">
        <f t="shared" si="113"/>
        <v>135.96339970094166</v>
      </c>
      <c r="AH277">
        <f t="shared" si="114"/>
        <v>2.1451098606634913</v>
      </c>
      <c r="AI277" cm="1">
        <f t="array" ref="AI277">_xlfn.LET(
    _xlpm.vals,   _xlfn.HSTACK(S277,V277,Y277,AB277,AE277,AH277),
    _xlpm.ints,   _xlfn.HSTACK(R277,U277,X277,AA277,AD277,AG277),
    _xlpm.slopes, _xlfn.HSTACK(Q277,T277,W277,Z277,AC277,AF277),
    _xlpm.limit,  -0.00001*_xlpm.slopes + 0.1086*_xlpm.slopes + 63.253,
    _xlpm.mask,   (_xlpm.vals&gt;=0) * (_xlpm.ints&lt;=_xlpm.limit),
    _xlpm.validVals, _xlfn._xlws.FILTER(_xlpm.vals, _xlpm.mask),
    _xlpm.minVal, MIN(_xlpm.validVals),
    IFERROR( _xlfn.XMATCH(_xlpm.minVal, _xlpm.vals), "" )
)</f>
        <v>6</v>
      </c>
      <c r="AJ277" cm="1">
        <f t="array" ref="AJ277">_xlfn.LET(
    _xlpm.vals, CHOOSE({1,2,3,4,5,6}, S277, V277, Y277, AB277, AE277, AH277),
    _xlpm.slopes, CHOOSE({1,2,3,4,5,6}, Q277, T277, W277, Z277, AC277, AF277),
    _xlpm.ints, CHOOSE({1,2,3,4,5,6}, R277, U277, X277, AA277, AD277, AG277),
    _xlpm.limit, -0.00001*_xlpm.slopes + 0.1086*_xlpm.slopes + 63.253,
    _xlpm.valid, (_xlpm.vals &gt;= 0) * (_xlpm.ints &lt;= _xlpm.limit),
    _xlpm.target, MIN(_xlfn._xlws.FILTER(_xlpm.vals, _xlpm.valid)),
    IFERROR(
        _xlfn.XLOOKUP(_xlpm.target, _xlpm.vals, _xlpm.vals),
        CHOOSE({1,2,3,4,5,6}, S$1, V$1, Y$1, AB$1, AE$1, AH$1)
    )
)</f>
        <v>2.1451098606634913</v>
      </c>
    </row>
    <row r="278" spans="9:36" x14ac:dyDescent="0.45">
      <c r="I278">
        <v>276</v>
      </c>
      <c r="J278">
        <v>54.1</v>
      </c>
      <c r="K278">
        <f t="shared" si="93"/>
        <v>54.1</v>
      </c>
      <c r="L278">
        <f t="shared" si="92"/>
        <v>1.5027777777777779E-2</v>
      </c>
      <c r="M278">
        <v>19.55</v>
      </c>
      <c r="N278">
        <f t="shared" si="94"/>
        <v>19.55</v>
      </c>
      <c r="O278">
        <f t="shared" si="95"/>
        <v>703.03938878634312</v>
      </c>
      <c r="P278">
        <f t="shared" si="96"/>
        <v>2249.726044116298</v>
      </c>
      <c r="Q278">
        <f t="shared" si="97"/>
        <v>10303.745282052645</v>
      </c>
      <c r="R278">
        <f t="shared" si="98"/>
        <v>18.11853293500694</v>
      </c>
      <c r="S278">
        <f t="shared" si="99"/>
        <v>38.13144478706792</v>
      </c>
      <c r="T278">
        <f t="shared" si="100"/>
        <v>6659.189090584242</v>
      </c>
      <c r="U278">
        <f t="shared" si="101"/>
        <v>28.034757041328305</v>
      </c>
      <c r="V278">
        <f t="shared" si="102"/>
        <v>9.5387659789752455</v>
      </c>
      <c r="W278">
        <f t="shared" si="103"/>
        <v>4296.9767442621287</v>
      </c>
      <c r="X278">
        <f t="shared" si="104"/>
        <v>43.446534472425029</v>
      </c>
      <c r="Y278">
        <f t="shared" si="105"/>
        <v>3.2099302349236556</v>
      </c>
      <c r="Z278">
        <f t="shared" si="106"/>
        <v>3239.605503527469</v>
      </c>
      <c r="AA278">
        <f t="shared" si="107"/>
        <v>57.627000584952633</v>
      </c>
      <c r="AB278">
        <f t="shared" si="108"/>
        <v>2.2729557560701963</v>
      </c>
      <c r="AC278">
        <f t="shared" si="109"/>
        <v>1664.7972726460605</v>
      </c>
      <c r="AD278">
        <f t="shared" si="110"/>
        <v>112.13902816531322</v>
      </c>
      <c r="AE278">
        <f t="shared" si="111"/>
        <v>2.0272929175693837</v>
      </c>
      <c r="AF278">
        <f t="shared" si="112"/>
        <v>1529.8137099990827</v>
      </c>
      <c r="AG278">
        <f t="shared" si="113"/>
        <v>122.03364829754675</v>
      </c>
      <c r="AH278">
        <f t="shared" si="114"/>
        <v>2.0102762759668318</v>
      </c>
      <c r="AI278" cm="1">
        <f t="array" ref="AI278">_xlfn.LET(
    _xlpm.vals,   _xlfn.HSTACK(S278,V278,Y278,AB278,AE278,AH278),
    _xlpm.ints,   _xlfn.HSTACK(R278,U278,X278,AA278,AD278,AG278),
    _xlpm.slopes, _xlfn.HSTACK(Q278,T278,W278,Z278,AC278,AF278),
    _xlpm.limit,  -0.00001*_xlpm.slopes + 0.1086*_xlpm.slopes + 63.253,
    _xlpm.mask,   (_xlpm.vals&gt;=0) * (_xlpm.ints&lt;=_xlpm.limit),
    _xlpm.validVals, _xlfn._xlws.FILTER(_xlpm.vals, _xlpm.mask),
    _xlpm.minVal, MIN(_xlpm.validVals),
    IFERROR( _xlfn.XMATCH(_xlpm.minVal, _xlpm.vals), "" )
)</f>
        <v>6</v>
      </c>
      <c r="AJ278" cm="1">
        <f t="array" ref="AJ278">_xlfn.LET(
    _xlpm.vals, CHOOSE({1,2,3,4,5,6}, S278, V278, Y278, AB278, AE278, AH278),
    _xlpm.slopes, CHOOSE({1,2,3,4,5,6}, Q278, T278, W278, Z278, AC278, AF278),
    _xlpm.ints, CHOOSE({1,2,3,4,5,6}, R278, U278, X278, AA278, AD278, AG278),
    _xlpm.limit, -0.00001*_xlpm.slopes + 0.1086*_xlpm.slopes + 63.253,
    _xlpm.valid, (_xlpm.vals &gt;= 0) * (_xlpm.ints &lt;= _xlpm.limit),
    _xlpm.target, MIN(_xlfn._xlws.FILTER(_xlpm.vals, _xlpm.valid)),
    IFERROR(
        _xlfn.XLOOKUP(_xlpm.target, _xlpm.vals, _xlpm.vals),
        CHOOSE({1,2,3,4,5,6}, S$1, V$1, Y$1, AB$1, AE$1, AH$1)
    )
)</f>
        <v>2.0102762759668318</v>
      </c>
    </row>
    <row r="279" spans="9:36" x14ac:dyDescent="0.45">
      <c r="I279">
        <v>277</v>
      </c>
      <c r="J279">
        <v>54.7</v>
      </c>
      <c r="K279">
        <f t="shared" si="93"/>
        <v>54.7</v>
      </c>
      <c r="L279">
        <f t="shared" si="92"/>
        <v>1.5194444444444444E-2</v>
      </c>
      <c r="M279">
        <v>20.92</v>
      </c>
      <c r="N279">
        <f t="shared" si="94"/>
        <v>20.92</v>
      </c>
      <c r="O279">
        <f t="shared" si="95"/>
        <v>710.83649845865011</v>
      </c>
      <c r="P279">
        <f t="shared" si="96"/>
        <v>2274.6767950676804</v>
      </c>
      <c r="Q279">
        <f t="shared" si="97"/>
        <v>10418.019721409975</v>
      </c>
      <c r="R279">
        <f t="shared" si="98"/>
        <v>19.175552543675735</v>
      </c>
      <c r="S279">
        <f t="shared" si="99"/>
        <v>39.472154367971008</v>
      </c>
      <c r="T279">
        <f t="shared" si="100"/>
        <v>6733.0433134003342</v>
      </c>
      <c r="U279">
        <f t="shared" si="101"/>
        <v>29.670280625011774</v>
      </c>
      <c r="V279">
        <f t="shared" si="102"/>
        <v>9.8800098814638542</v>
      </c>
      <c r="W279">
        <f t="shared" si="103"/>
        <v>4344.6326785792689</v>
      </c>
      <c r="X279">
        <f t="shared" si="104"/>
        <v>45.981167879599411</v>
      </c>
      <c r="Y279">
        <f t="shared" si="105"/>
        <v>3.3438958253197173</v>
      </c>
      <c r="Z279">
        <f t="shared" si="106"/>
        <v>3275.5345848974598</v>
      </c>
      <c r="AA279">
        <f t="shared" si="107"/>
        <v>60.988910173635318</v>
      </c>
      <c r="AB279">
        <f t="shared" si="108"/>
        <v>2.3863223359026025</v>
      </c>
      <c r="AC279">
        <f t="shared" si="109"/>
        <v>1683.2608283500836</v>
      </c>
      <c r="AD279">
        <f t="shared" si="110"/>
        <v>118.6811225000471</v>
      </c>
      <c r="AE279">
        <f t="shared" si="111"/>
        <v>2.1391174309882786</v>
      </c>
      <c r="AF279">
        <f t="shared" si="112"/>
        <v>1546.7802206460228</v>
      </c>
      <c r="AG279">
        <f t="shared" si="113"/>
        <v>129.15298625005127</v>
      </c>
      <c r="AH279">
        <f t="shared" si="114"/>
        <v>2.1141771380184959</v>
      </c>
      <c r="AI279" cm="1">
        <f t="array" ref="AI279">_xlfn.LET(
    _xlpm.vals,   _xlfn.HSTACK(S279,V279,Y279,AB279,AE279,AH279),
    _xlpm.ints,   _xlfn.HSTACK(R279,U279,X279,AA279,AD279,AG279),
    _xlpm.slopes, _xlfn.HSTACK(Q279,T279,W279,Z279,AC279,AF279),
    _xlpm.limit,  -0.00001*_xlpm.slopes + 0.1086*_xlpm.slopes + 63.253,
    _xlpm.mask,   (_xlpm.vals&gt;=0) * (_xlpm.ints&lt;=_xlpm.limit),
    _xlpm.validVals, _xlfn._xlws.FILTER(_xlpm.vals, _xlpm.mask),
    _xlpm.minVal, MIN(_xlpm.validVals),
    IFERROR( _xlfn.XMATCH(_xlpm.minVal, _xlpm.vals), "" )
)</f>
        <v>6</v>
      </c>
      <c r="AJ279" cm="1">
        <f t="array" ref="AJ279">_xlfn.LET(
    _xlpm.vals, CHOOSE({1,2,3,4,5,6}, S279, V279, Y279, AB279, AE279, AH279),
    _xlpm.slopes, CHOOSE({1,2,3,4,5,6}, Q279, T279, W279, Z279, AC279, AF279),
    _xlpm.ints, CHOOSE({1,2,3,4,5,6}, R279, U279, X279, AA279, AD279, AG279),
    _xlpm.limit, -0.00001*_xlpm.slopes + 0.1086*_xlpm.slopes + 63.253,
    _xlpm.valid, (_xlpm.vals &gt;= 0) * (_xlpm.ints &lt;= _xlpm.limit),
    _xlpm.target, MIN(_xlfn._xlws.FILTER(_xlpm.vals, _xlpm.valid)),
    IFERROR(
        _xlfn.XLOOKUP(_xlpm.target, _xlpm.vals, _xlpm.vals),
        CHOOSE({1,2,3,4,5,6}, S$1, V$1, Y$1, AB$1, AE$1, AH$1)
    )
)</f>
        <v>2.1141771380184959</v>
      </c>
    </row>
    <row r="280" spans="9:36" x14ac:dyDescent="0.45">
      <c r="I280">
        <v>278</v>
      </c>
      <c r="J280">
        <v>55.4</v>
      </c>
      <c r="K280">
        <f t="shared" si="93"/>
        <v>55.4</v>
      </c>
      <c r="L280">
        <f t="shared" si="92"/>
        <v>1.5388888888888888E-2</v>
      </c>
      <c r="M280">
        <v>19.03</v>
      </c>
      <c r="N280">
        <f t="shared" si="94"/>
        <v>19.03</v>
      </c>
      <c r="O280">
        <f t="shared" si="95"/>
        <v>719.93312640967486</v>
      </c>
      <c r="P280">
        <f t="shared" si="96"/>
        <v>2303.7860045109596</v>
      </c>
      <c r="Q280">
        <f t="shared" si="97"/>
        <v>10551.339900660196</v>
      </c>
      <c r="R280">
        <f t="shared" si="98"/>
        <v>17.22275234550597</v>
      </c>
      <c r="S280">
        <f t="shared" si="99"/>
        <v>41.212076964399955</v>
      </c>
      <c r="T280">
        <f t="shared" si="100"/>
        <v>6819.2065733524405</v>
      </c>
      <c r="U280">
        <f t="shared" si="101"/>
        <v>26.648718156222074</v>
      </c>
      <c r="V280">
        <f t="shared" si="102"/>
        <v>10.240987810794026</v>
      </c>
      <c r="W280">
        <f t="shared" si="103"/>
        <v>4400.231268615933</v>
      </c>
      <c r="X280">
        <f t="shared" si="104"/>
        <v>41.298537037914834</v>
      </c>
      <c r="Y280">
        <f t="shared" si="105"/>
        <v>3.3259458884491737</v>
      </c>
      <c r="Z280">
        <f t="shared" si="106"/>
        <v>3317.4518464957819</v>
      </c>
      <c r="AA280">
        <f t="shared" si="107"/>
        <v>54.777920654456487</v>
      </c>
      <c r="AB280">
        <f t="shared" si="108"/>
        <v>2.2786596826206678</v>
      </c>
      <c r="AC280">
        <f t="shared" si="109"/>
        <v>1704.8016433381101</v>
      </c>
      <c r="AD280">
        <f t="shared" si="110"/>
        <v>106.5948726248883</v>
      </c>
      <c r="AE280">
        <f t="shared" si="111"/>
        <v>1.9861799703937095</v>
      </c>
      <c r="AF280">
        <f t="shared" si="112"/>
        <v>1566.5744830674525</v>
      </c>
      <c r="AG280">
        <f t="shared" si="113"/>
        <v>116.00030256237845</v>
      </c>
      <c r="AH280">
        <f t="shared" si="114"/>
        <v>1.9759150239665915</v>
      </c>
      <c r="AI280" cm="1">
        <f t="array" ref="AI280">_xlfn.LET(
    _xlpm.vals,   _xlfn.HSTACK(S280,V280,Y280,AB280,AE280,AH280),
    _xlpm.ints,   _xlfn.HSTACK(R280,U280,X280,AA280,AD280,AG280),
    _xlpm.slopes, _xlfn.HSTACK(Q280,T280,W280,Z280,AC280,AF280),
    _xlpm.limit,  -0.00001*_xlpm.slopes + 0.1086*_xlpm.slopes + 63.253,
    _xlpm.mask,   (_xlpm.vals&gt;=0) * (_xlpm.ints&lt;=_xlpm.limit),
    _xlpm.validVals, _xlfn._xlws.FILTER(_xlpm.vals, _xlpm.mask),
    _xlpm.minVal, MIN(_xlpm.validVals),
    IFERROR( _xlfn.XMATCH(_xlpm.minVal, _xlpm.vals), "" )
)</f>
        <v>6</v>
      </c>
      <c r="AJ280" cm="1">
        <f t="array" ref="AJ280">_xlfn.LET(
    _xlpm.vals, CHOOSE({1,2,3,4,5,6}, S280, V280, Y280, AB280, AE280, AH280),
    _xlpm.slopes, CHOOSE({1,2,3,4,5,6}, Q280, T280, W280, Z280, AC280, AF280),
    _xlpm.ints, CHOOSE({1,2,3,4,5,6}, R280, U280, X280, AA280, AD280, AG280),
    _xlpm.limit, -0.00001*_xlpm.slopes + 0.1086*_xlpm.slopes + 63.253,
    _xlpm.valid, (_xlpm.vals &gt;= 0) * (_xlpm.ints &lt;= _xlpm.limit),
    _xlpm.target, MIN(_xlfn._xlws.FILTER(_xlpm.vals, _xlpm.valid)),
    IFERROR(
        _xlfn.XLOOKUP(_xlpm.target, _xlpm.vals, _xlpm.vals),
        CHOOSE({1,2,3,4,5,6}, S$1, V$1, Y$1, AB$1, AE$1, AH$1)
    )
)</f>
        <v>1.9759150239665915</v>
      </c>
    </row>
    <row r="281" spans="9:36" x14ac:dyDescent="0.45">
      <c r="I281">
        <v>279</v>
      </c>
      <c r="J281">
        <v>55.8</v>
      </c>
      <c r="K281">
        <f t="shared" si="93"/>
        <v>55.8</v>
      </c>
      <c r="L281">
        <f t="shared" si="92"/>
        <v>1.55E-2</v>
      </c>
      <c r="M281">
        <v>17.29</v>
      </c>
      <c r="N281">
        <f t="shared" si="94"/>
        <v>17.29</v>
      </c>
      <c r="O281">
        <f t="shared" si="95"/>
        <v>725.13119952454599</v>
      </c>
      <c r="P281">
        <f t="shared" si="96"/>
        <v>2320.4198384785473</v>
      </c>
      <c r="Q281">
        <f t="shared" si="97"/>
        <v>10627.522860231747</v>
      </c>
      <c r="R281">
        <f t="shared" si="98"/>
        <v>15.535825246856428</v>
      </c>
      <c r="S281">
        <f t="shared" si="99"/>
        <v>42.258877522838837</v>
      </c>
      <c r="T281">
        <f t="shared" si="100"/>
        <v>6868.4427218965002</v>
      </c>
      <c r="U281">
        <f t="shared" si="101"/>
        <v>24.03854041574407</v>
      </c>
      <c r="V281">
        <f t="shared" si="102"/>
        <v>10.448854346675891</v>
      </c>
      <c r="W281">
        <f t="shared" si="103"/>
        <v>4432.0018914940247</v>
      </c>
      <c r="X281">
        <f t="shared" si="104"/>
        <v>37.253444832776154</v>
      </c>
      <c r="Y281">
        <f t="shared" si="105"/>
        <v>3.2887308557527914</v>
      </c>
      <c r="Z281">
        <f t="shared" si="106"/>
        <v>3341.404567409108</v>
      </c>
      <c r="AA281">
        <f t="shared" si="107"/>
        <v>49.412555299029478</v>
      </c>
      <c r="AB281">
        <f t="shared" si="108"/>
        <v>2.176976571186179</v>
      </c>
      <c r="AC281">
        <f t="shared" si="109"/>
        <v>1717.110680474125</v>
      </c>
      <c r="AD281">
        <f t="shared" si="110"/>
        <v>96.154161662976279</v>
      </c>
      <c r="AE281">
        <f t="shared" si="111"/>
        <v>1.8371283880751788</v>
      </c>
      <c r="AF281">
        <f t="shared" si="112"/>
        <v>1577.8854901654122</v>
      </c>
      <c r="AG281">
        <f t="shared" si="113"/>
        <v>104.63835239794477</v>
      </c>
      <c r="AH281">
        <f t="shared" si="114"/>
        <v>1.8342034302220429</v>
      </c>
      <c r="AI281" cm="1">
        <f t="array" ref="AI281">_xlfn.LET(
    _xlpm.vals,   _xlfn.HSTACK(S281,V281,Y281,AB281,AE281,AH281),
    _xlpm.ints,   _xlfn.HSTACK(R281,U281,X281,AA281,AD281,AG281),
    _xlpm.slopes, _xlfn.HSTACK(Q281,T281,W281,Z281,AC281,AF281),
    _xlpm.limit,  -0.00001*_xlpm.slopes + 0.1086*_xlpm.slopes + 63.253,
    _xlpm.mask,   (_xlpm.vals&gt;=0) * (_xlpm.ints&lt;=_xlpm.limit),
    _xlpm.validVals, _xlfn._xlws.FILTER(_xlpm.vals, _xlpm.mask),
    _xlpm.minVal, MIN(_xlpm.validVals),
    IFERROR( _xlfn.XMATCH(_xlpm.minVal, _xlpm.vals), "" )
)</f>
        <v>6</v>
      </c>
      <c r="AJ281" cm="1">
        <f t="array" ref="AJ281">_xlfn.LET(
    _xlpm.vals, CHOOSE({1,2,3,4,5,6}, S281, V281, Y281, AB281, AE281, AH281),
    _xlpm.slopes, CHOOSE({1,2,3,4,5,6}, Q281, T281, W281, Z281, AC281, AF281),
    _xlpm.ints, CHOOSE({1,2,3,4,5,6}, R281, U281, X281, AA281, AD281, AG281),
    _xlpm.limit, -0.00001*_xlpm.slopes + 0.1086*_xlpm.slopes + 63.253,
    _xlpm.valid, (_xlpm.vals &gt;= 0) * (_xlpm.ints &lt;= _xlpm.limit),
    _xlpm.target, MIN(_xlfn._xlws.FILTER(_xlpm.vals, _xlpm.valid)),
    IFERROR(
        _xlfn.XLOOKUP(_xlpm.target, _xlpm.vals, _xlpm.vals),
        CHOOSE({1,2,3,4,5,6}, S$1, V$1, Y$1, AB$1, AE$1, AH$1)
    )
)</f>
        <v>1.8342034302220429</v>
      </c>
    </row>
    <row r="282" spans="9:36" x14ac:dyDescent="0.45">
      <c r="I282">
        <v>280</v>
      </c>
      <c r="J282">
        <v>56.1</v>
      </c>
      <c r="K282">
        <f t="shared" si="93"/>
        <v>56.1</v>
      </c>
      <c r="L282">
        <f t="shared" si="92"/>
        <v>1.5583333333333334E-2</v>
      </c>
      <c r="M282">
        <v>14.93</v>
      </c>
      <c r="N282">
        <f t="shared" si="94"/>
        <v>14.93</v>
      </c>
      <c r="O282">
        <f t="shared" si="95"/>
        <v>729.0297543606996</v>
      </c>
      <c r="P282">
        <f t="shared" si="96"/>
        <v>2332.8952139542389</v>
      </c>
      <c r="Q282">
        <f t="shared" si="97"/>
        <v>10684.660079910414</v>
      </c>
      <c r="R282">
        <f t="shared" si="98"/>
        <v>13.343522110711382</v>
      </c>
      <c r="S282">
        <f t="shared" si="99"/>
        <v>43.102754239172867</v>
      </c>
      <c r="T282">
        <f t="shared" si="100"/>
        <v>6905.3698333045468</v>
      </c>
      <c r="U282">
        <f t="shared" si="101"/>
        <v>20.646395698330451</v>
      </c>
      <c r="V282">
        <f t="shared" si="102"/>
        <v>10.601052387403437</v>
      </c>
      <c r="W282">
        <f t="shared" si="103"/>
        <v>4455.8298586525962</v>
      </c>
      <c r="X282">
        <f t="shared" si="104"/>
        <v>31.996508516784363</v>
      </c>
      <c r="Y282">
        <f t="shared" si="105"/>
        <v>3.2170024618157131</v>
      </c>
      <c r="Z282">
        <f t="shared" si="106"/>
        <v>3359.3691080941039</v>
      </c>
      <c r="AA282">
        <f t="shared" si="107"/>
        <v>42.43981337990148</v>
      </c>
      <c r="AB282">
        <f t="shared" si="108"/>
        <v>2.037287627583622</v>
      </c>
      <c r="AC282">
        <f t="shared" si="109"/>
        <v>1726.3424583261367</v>
      </c>
      <c r="AD282">
        <f t="shared" si="110"/>
        <v>82.585582793321805</v>
      </c>
      <c r="AE282">
        <f t="shared" si="111"/>
        <v>1.628726564385699</v>
      </c>
      <c r="AF282">
        <f t="shared" si="112"/>
        <v>1586.3687454888825</v>
      </c>
      <c r="AG282">
        <f t="shared" si="113"/>
        <v>89.872545980967828</v>
      </c>
      <c r="AH282">
        <f t="shared" si="114"/>
        <v>1.6294090618253076</v>
      </c>
      <c r="AI282" cm="1">
        <f t="array" ref="AI282">_xlfn.LET(
    _xlpm.vals,   _xlfn.HSTACK(S282,V282,Y282,AB282,AE282,AH282),
    _xlpm.ints,   _xlfn.HSTACK(R282,U282,X282,AA282,AD282,AG282),
    _xlpm.slopes, _xlfn.HSTACK(Q282,T282,W282,Z282,AC282,AF282),
    _xlpm.limit,  -0.00001*_xlpm.slopes + 0.1086*_xlpm.slopes + 63.253,
    _xlpm.mask,   (_xlpm.vals&gt;=0) * (_xlpm.ints&lt;=_xlpm.limit),
    _xlpm.validVals, _xlfn._xlws.FILTER(_xlpm.vals, _xlpm.mask),
    _xlpm.minVal, MIN(_xlpm.validVals),
    IFERROR( _xlfn.XMATCH(_xlpm.minVal, _xlpm.vals), "" )
)</f>
        <v>5</v>
      </c>
      <c r="AJ282" cm="1">
        <f t="array" ref="AJ282">_xlfn.LET(
    _xlpm.vals, CHOOSE({1,2,3,4,5,6}, S282, V282, Y282, AB282, AE282, AH282),
    _xlpm.slopes, CHOOSE({1,2,3,4,5,6}, Q282, T282, W282, Z282, AC282, AF282),
    _xlpm.ints, CHOOSE({1,2,3,4,5,6}, R282, U282, X282, AA282, AD282, AG282),
    _xlpm.limit, -0.00001*_xlpm.slopes + 0.1086*_xlpm.slopes + 63.253,
    _xlpm.valid, (_xlpm.vals &gt;= 0) * (_xlpm.ints &lt;= _xlpm.limit),
    _xlpm.target, MIN(_xlfn._xlws.FILTER(_xlpm.vals, _xlpm.valid)),
    IFERROR(
        _xlfn.XLOOKUP(_xlpm.target, _xlpm.vals, _xlpm.vals),
        CHOOSE({1,2,3,4,5,6}, S$1, V$1, Y$1, AB$1, AE$1, AH$1)
    )
)</f>
        <v>1.628726564385699</v>
      </c>
    </row>
    <row r="283" spans="9:36" x14ac:dyDescent="0.45">
      <c r="I283">
        <v>281</v>
      </c>
      <c r="J283">
        <v>56.2</v>
      </c>
      <c r="K283">
        <f t="shared" si="93"/>
        <v>56.2</v>
      </c>
      <c r="L283">
        <f t="shared" si="92"/>
        <v>1.5611111111111112E-2</v>
      </c>
      <c r="M283">
        <v>12.74</v>
      </c>
      <c r="N283">
        <f t="shared" si="94"/>
        <v>12.74</v>
      </c>
      <c r="O283">
        <f t="shared" si="95"/>
        <v>730.32927263941735</v>
      </c>
      <c r="P283">
        <f t="shared" si="96"/>
        <v>2337.0536724461358</v>
      </c>
      <c r="Q283">
        <f t="shared" si="97"/>
        <v>10703.705819803303</v>
      </c>
      <c r="R283">
        <f t="shared" si="98"/>
        <v>11.365973668144072</v>
      </c>
      <c r="S283">
        <f t="shared" si="99"/>
        <v>43.448973410073549</v>
      </c>
      <c r="T283">
        <f t="shared" si="100"/>
        <v>6917.6788704405617</v>
      </c>
      <c r="U283">
        <f t="shared" si="101"/>
        <v>17.586540337871575</v>
      </c>
      <c r="V283">
        <f t="shared" si="102"/>
        <v>10.643439085374766</v>
      </c>
      <c r="W283">
        <f t="shared" si="103"/>
        <v>4463.7725143721191</v>
      </c>
      <c r="X283">
        <f t="shared" si="104"/>
        <v>27.254533717329771</v>
      </c>
      <c r="Y283">
        <f t="shared" si="105"/>
        <v>3.1345785278807989</v>
      </c>
      <c r="Z283">
        <f t="shared" si="106"/>
        <v>3365.3572883224356</v>
      </c>
      <c r="AA283">
        <f t="shared" si="107"/>
        <v>36.150110694513785</v>
      </c>
      <c r="AB283">
        <f t="shared" si="108"/>
        <v>1.9072157446261024</v>
      </c>
      <c r="AC283">
        <f t="shared" si="109"/>
        <v>1729.4197176101404</v>
      </c>
      <c r="AD283">
        <f t="shared" si="110"/>
        <v>70.346161351486302</v>
      </c>
      <c r="AE283">
        <f t="shared" si="111"/>
        <v>1.4335330525782954</v>
      </c>
      <c r="AF283">
        <f t="shared" si="112"/>
        <v>1589.1964972633725</v>
      </c>
      <c r="AG283">
        <f t="shared" si="113"/>
        <v>76.553175588382132</v>
      </c>
      <c r="AH283">
        <f t="shared" si="114"/>
        <v>1.4330506166984844</v>
      </c>
      <c r="AI283" cm="1">
        <f t="array" ref="AI283">_xlfn.LET(
    _xlpm.vals,   _xlfn.HSTACK(S283,V283,Y283,AB283,AE283,AH283),
    _xlpm.ints,   _xlfn.HSTACK(R283,U283,X283,AA283,AD283,AG283),
    _xlpm.slopes, _xlfn.HSTACK(Q283,T283,W283,Z283,AC283,AF283),
    _xlpm.limit,  -0.00001*_xlpm.slopes + 0.1086*_xlpm.slopes + 63.253,
    _xlpm.mask,   (_xlpm.vals&gt;=0) * (_xlpm.ints&lt;=_xlpm.limit),
    _xlpm.validVals, _xlfn._xlws.FILTER(_xlpm.vals, _xlpm.mask),
    _xlpm.minVal, MIN(_xlpm.validVals),
    IFERROR( _xlfn.XMATCH(_xlpm.minVal, _xlpm.vals), "" )
)</f>
        <v>6</v>
      </c>
      <c r="AJ283" cm="1">
        <f t="array" ref="AJ283">_xlfn.LET(
    _xlpm.vals, CHOOSE({1,2,3,4,5,6}, S283, V283, Y283, AB283, AE283, AH283),
    _xlpm.slopes, CHOOSE({1,2,3,4,5,6}, Q283, T283, W283, Z283, AC283, AF283),
    _xlpm.ints, CHOOSE({1,2,3,4,5,6}, R283, U283, X283, AA283, AD283, AG283),
    _xlpm.limit, -0.00001*_xlpm.slopes + 0.1086*_xlpm.slopes + 63.253,
    _xlpm.valid, (_xlpm.vals &gt;= 0) * (_xlpm.ints &lt;= _xlpm.limit),
    _xlpm.target, MIN(_xlfn._xlws.FILTER(_xlpm.vals, _xlpm.valid)),
    IFERROR(
        _xlfn.XLOOKUP(_xlpm.target, _xlpm.vals, _xlpm.vals),
        CHOOSE({1,2,3,4,5,6}, S$1, V$1, Y$1, AB$1, AE$1, AH$1)
    )
)</f>
        <v>1.4330506166984844</v>
      </c>
    </row>
    <row r="284" spans="9:36" x14ac:dyDescent="0.45">
      <c r="I284">
        <v>282</v>
      </c>
      <c r="J284">
        <v>55.9</v>
      </c>
      <c r="K284">
        <f t="shared" si="93"/>
        <v>55.9</v>
      </c>
      <c r="L284">
        <f t="shared" si="92"/>
        <v>1.5527777777777777E-2</v>
      </c>
      <c r="M284">
        <v>4.21</v>
      </c>
      <c r="N284">
        <f t="shared" si="94"/>
        <v>4.21</v>
      </c>
      <c r="O284">
        <f t="shared" si="95"/>
        <v>726.43071780326386</v>
      </c>
      <c r="P284">
        <f t="shared" si="96"/>
        <v>2324.5782969704446</v>
      </c>
      <c r="Q284">
        <f t="shared" si="97"/>
        <v>10646.568600124636</v>
      </c>
      <c r="R284">
        <f t="shared" si="98"/>
        <v>3.7761029055448088</v>
      </c>
      <c r="S284">
        <f t="shared" si="99"/>
        <v>43.084573226471178</v>
      </c>
      <c r="T284">
        <f t="shared" si="100"/>
        <v>6880.751759032516</v>
      </c>
      <c r="U284">
        <f t="shared" si="101"/>
        <v>5.8427538200659539</v>
      </c>
      <c r="V284">
        <f t="shared" si="102"/>
        <v>10.428234459883747</v>
      </c>
      <c r="W284">
        <f t="shared" si="103"/>
        <v>4439.9445472135494</v>
      </c>
      <c r="X284">
        <f t="shared" si="104"/>
        <v>9.0547389043954052</v>
      </c>
      <c r="Y284">
        <f t="shared" si="105"/>
        <v>2.7720307519808358</v>
      </c>
      <c r="Z284">
        <f t="shared" si="106"/>
        <v>3347.3927476374402</v>
      </c>
      <c r="AA284">
        <f t="shared" si="107"/>
        <v>12.010105074580016</v>
      </c>
      <c r="AB284">
        <f t="shared" si="108"/>
        <v>1.4308840941647816</v>
      </c>
      <c r="AC284">
        <f t="shared" si="109"/>
        <v>1720.187939758129</v>
      </c>
      <c r="AD284">
        <f t="shared" si="110"/>
        <v>23.371015280263816</v>
      </c>
      <c r="AE284">
        <f t="shared" si="111"/>
        <v>0.72566907959097282</v>
      </c>
      <c r="AF284">
        <f t="shared" si="112"/>
        <v>1580.7132419399024</v>
      </c>
      <c r="AG284">
        <f t="shared" si="113"/>
        <v>25.433163687345914</v>
      </c>
      <c r="AH284">
        <f t="shared" si="114"/>
        <v>0.70354535965263165</v>
      </c>
      <c r="AI284" cm="1">
        <f t="array" ref="AI284">_xlfn.LET(
    _xlpm.vals,   _xlfn.HSTACK(S284,V284,Y284,AB284,AE284,AH284),
    _xlpm.ints,   _xlfn.HSTACK(R284,U284,X284,AA284,AD284,AG284),
    _xlpm.slopes, _xlfn.HSTACK(Q284,T284,W284,Z284,AC284,AF284),
    _xlpm.limit,  -0.00001*_xlpm.slopes + 0.1086*_xlpm.slopes + 63.253,
    _xlpm.mask,   (_xlpm.vals&gt;=0) * (_xlpm.ints&lt;=_xlpm.limit),
    _xlpm.validVals, _xlfn._xlws.FILTER(_xlpm.vals, _xlpm.mask),
    _xlpm.minVal, MIN(_xlpm.validVals),
    IFERROR( _xlfn.XMATCH(_xlpm.minVal, _xlpm.vals), "" )
)</f>
        <v>6</v>
      </c>
      <c r="AJ284" cm="1">
        <f t="array" ref="AJ284">_xlfn.LET(
    _xlpm.vals, CHOOSE({1,2,3,4,5,6}, S284, V284, Y284, AB284, AE284, AH284),
    _xlpm.slopes, CHOOSE({1,2,3,4,5,6}, Q284, T284, W284, Z284, AC284, AF284),
    _xlpm.ints, CHOOSE({1,2,3,4,5,6}, R284, U284, X284, AA284, AD284, AG284),
    _xlpm.limit, -0.00001*_xlpm.slopes + 0.1086*_xlpm.slopes + 63.253,
    _xlpm.valid, (_xlpm.vals &gt;= 0) * (_xlpm.ints &lt;= _xlpm.limit),
    _xlpm.target, MIN(_xlfn._xlws.FILTER(_xlpm.vals, _xlpm.valid)),
    IFERROR(
        _xlfn.XLOOKUP(_xlpm.target, _xlpm.vals, _xlpm.vals),
        CHOOSE({1,2,3,4,5,6}, S$1, V$1, Y$1, AB$1, AE$1, AH$1)
    )
)</f>
        <v>0.70354535965263165</v>
      </c>
    </row>
    <row r="285" spans="9:36" x14ac:dyDescent="0.45">
      <c r="I285">
        <v>283</v>
      </c>
      <c r="J285">
        <v>55.2</v>
      </c>
      <c r="K285">
        <f t="shared" si="93"/>
        <v>55.2</v>
      </c>
      <c r="L285">
        <f t="shared" si="92"/>
        <v>1.5333333333333334E-2</v>
      </c>
      <c r="M285">
        <v>-2.97</v>
      </c>
      <c r="N285">
        <f t="shared" si="94"/>
        <v>0</v>
      </c>
      <c r="O285">
        <f t="shared" si="95"/>
        <v>717.33408985223923</v>
      </c>
      <c r="P285">
        <f t="shared" si="96"/>
        <v>2295.4690875271658</v>
      </c>
      <c r="Q285">
        <f t="shared" si="97"/>
        <v>10513.248420874419</v>
      </c>
      <c r="R285">
        <f t="shared" si="98"/>
        <v>0</v>
      </c>
      <c r="S285">
        <f t="shared" si="99"/>
        <v>41.549066683354575</v>
      </c>
      <c r="T285">
        <f t="shared" si="100"/>
        <v>6794.5884990804107</v>
      </c>
      <c r="U285">
        <f t="shared" si="101"/>
        <v>0</v>
      </c>
      <c r="V285">
        <f t="shared" si="102"/>
        <v>10.009388051364649</v>
      </c>
      <c r="W285">
        <f t="shared" si="103"/>
        <v>4384.3459571768863</v>
      </c>
      <c r="X285">
        <f t="shared" si="104"/>
        <v>0</v>
      </c>
      <c r="Y285">
        <f t="shared" si="105"/>
        <v>2.5467793558295702</v>
      </c>
      <c r="Z285">
        <f t="shared" si="106"/>
        <v>3305.4754860391186</v>
      </c>
      <c r="AA285">
        <f t="shared" si="107"/>
        <v>0</v>
      </c>
      <c r="AB285">
        <f t="shared" si="108"/>
        <v>1.2080132208055572</v>
      </c>
      <c r="AC285">
        <f t="shared" si="109"/>
        <v>1698.6471247701027</v>
      </c>
      <c r="AD285">
        <f t="shared" si="110"/>
        <v>0</v>
      </c>
      <c r="AE285">
        <f t="shared" si="111"/>
        <v>0.45033746298175537</v>
      </c>
      <c r="AF285">
        <f t="shared" si="112"/>
        <v>1560.918979518473</v>
      </c>
      <c r="AG285">
        <f t="shared" si="113"/>
        <v>0</v>
      </c>
      <c r="AH285">
        <f t="shared" si="114"/>
        <v>0.42157178718494809</v>
      </c>
      <c r="AI285" cm="1">
        <f t="array" ref="AI285">_xlfn.LET(
    _xlpm.vals,   _xlfn.HSTACK(S285,V285,Y285,AB285,AE285,AH285),
    _xlpm.ints,   _xlfn.HSTACK(R285,U285,X285,AA285,AD285,AG285),
    _xlpm.slopes, _xlfn.HSTACK(Q285,T285,W285,Z285,AC285,AF285),
    _xlpm.limit,  -0.00001*_xlpm.slopes + 0.1086*_xlpm.slopes + 63.253,
    _xlpm.mask,   (_xlpm.vals&gt;=0) * (_xlpm.ints&lt;=_xlpm.limit),
    _xlpm.validVals, _xlfn._xlws.FILTER(_xlpm.vals, _xlpm.mask),
    _xlpm.minVal, MIN(_xlpm.validVals),
    IFERROR( _xlfn.XMATCH(_xlpm.minVal, _xlpm.vals), "" )
)</f>
        <v>6</v>
      </c>
      <c r="AJ285" cm="1">
        <f t="array" ref="AJ285">_xlfn.LET(
    _xlpm.vals, CHOOSE({1,2,3,4,5,6}, S285, V285, Y285, AB285, AE285, AH285),
    _xlpm.slopes, CHOOSE({1,2,3,4,5,6}, Q285, T285, W285, Z285, AC285, AF285),
    _xlpm.ints, CHOOSE({1,2,3,4,5,6}, R285, U285, X285, AA285, AD285, AG285),
    _xlpm.limit, -0.00001*_xlpm.slopes + 0.1086*_xlpm.slopes + 63.253,
    _xlpm.valid, (_xlpm.vals &gt;= 0) * (_xlpm.ints &lt;= _xlpm.limit),
    _xlpm.target, MIN(_xlfn._xlws.FILTER(_xlpm.vals, _xlpm.valid)),
    IFERROR(
        _xlfn.XLOOKUP(_xlpm.target, _xlpm.vals, _xlpm.vals),
        CHOOSE({1,2,3,4,5,6}, S$1, V$1, Y$1, AB$1, AE$1, AH$1)
    )
)</f>
        <v>0.42157178718494809</v>
      </c>
    </row>
    <row r="286" spans="9:36" x14ac:dyDescent="0.45">
      <c r="I286">
        <v>284</v>
      </c>
      <c r="J286">
        <v>51.6</v>
      </c>
      <c r="K286">
        <f t="shared" si="93"/>
        <v>51.6</v>
      </c>
      <c r="L286">
        <f t="shared" si="92"/>
        <v>1.4333333333333333E-2</v>
      </c>
      <c r="M286">
        <v>0.98</v>
      </c>
      <c r="N286">
        <f t="shared" si="94"/>
        <v>0.98</v>
      </c>
      <c r="O286">
        <f t="shared" si="95"/>
        <v>670.55143181839753</v>
      </c>
      <c r="P286">
        <f t="shared" si="96"/>
        <v>2145.7645818188721</v>
      </c>
      <c r="Q286">
        <f t="shared" si="97"/>
        <v>9827.6017847304338</v>
      </c>
      <c r="R286">
        <f t="shared" si="98"/>
        <v>0.95224764482662028</v>
      </c>
      <c r="S286">
        <f t="shared" si="99"/>
        <v>33.324371225889045</v>
      </c>
      <c r="T286">
        <f t="shared" si="100"/>
        <v>6351.4631621838616</v>
      </c>
      <c r="U286">
        <f t="shared" si="101"/>
        <v>1.473410207197946</v>
      </c>
      <c r="V286">
        <f t="shared" si="102"/>
        <v>8.0515645911692353</v>
      </c>
      <c r="W286">
        <f t="shared" si="103"/>
        <v>4098.4103512740458</v>
      </c>
      <c r="X286">
        <f t="shared" si="104"/>
        <v>2.2834001116784926</v>
      </c>
      <c r="Y286">
        <f t="shared" si="105"/>
        <v>2.1330752076132602</v>
      </c>
      <c r="Z286">
        <f t="shared" si="106"/>
        <v>3089.9009978191757</v>
      </c>
      <c r="AA286">
        <f t="shared" si="107"/>
        <v>3.0286765370180007</v>
      </c>
      <c r="AB286">
        <f t="shared" si="108"/>
        <v>1.0825956570402127</v>
      </c>
      <c r="AC286">
        <f t="shared" si="109"/>
        <v>1587.8657905459654</v>
      </c>
      <c r="AD286">
        <f t="shared" si="110"/>
        <v>5.8936408287917841</v>
      </c>
      <c r="AE286">
        <f t="shared" si="111"/>
        <v>0.48396962282719308</v>
      </c>
      <c r="AF286">
        <f t="shared" si="112"/>
        <v>1459.1199156368332</v>
      </c>
      <c r="AG286">
        <f t="shared" si="113"/>
        <v>6.4136679607440001</v>
      </c>
      <c r="AH286">
        <f t="shared" si="114"/>
        <v>0.4594903823470266</v>
      </c>
      <c r="AI286" cm="1">
        <f t="array" ref="AI286">_xlfn.LET(
    _xlpm.vals,   _xlfn.HSTACK(S286,V286,Y286,AB286,AE286,AH286),
    _xlpm.ints,   _xlfn.HSTACK(R286,U286,X286,AA286,AD286,AG286),
    _xlpm.slopes, _xlfn.HSTACK(Q286,T286,W286,Z286,AC286,AF286),
    _xlpm.limit,  -0.00001*_xlpm.slopes + 0.1086*_xlpm.slopes + 63.253,
    _xlpm.mask,   (_xlpm.vals&gt;=0) * (_xlpm.ints&lt;=_xlpm.limit),
    _xlpm.validVals, _xlfn._xlws.FILTER(_xlpm.vals, _xlpm.mask),
    _xlpm.minVal, MIN(_xlpm.validVals),
    IFERROR( _xlfn.XMATCH(_xlpm.minVal, _xlpm.vals), "" )
)</f>
        <v>6</v>
      </c>
      <c r="AJ286" cm="1">
        <f t="array" ref="AJ286">_xlfn.LET(
    _xlpm.vals, CHOOSE({1,2,3,4,5,6}, S286, V286, Y286, AB286, AE286, AH286),
    _xlpm.slopes, CHOOSE({1,2,3,4,5,6}, Q286, T286, W286, Z286, AC286, AF286),
    _xlpm.ints, CHOOSE({1,2,3,4,5,6}, R286, U286, X286, AA286, AD286, AG286),
    _xlpm.limit, -0.00001*_xlpm.slopes + 0.1086*_xlpm.slopes + 63.253,
    _xlpm.valid, (_xlpm.vals &gt;= 0) * (_xlpm.ints &lt;= _xlpm.limit),
    _xlpm.target, MIN(_xlfn._xlws.FILTER(_xlpm.vals, _xlpm.valid)),
    IFERROR(
        _xlfn.XLOOKUP(_xlpm.target, _xlpm.vals, _xlpm.vals),
        CHOOSE({1,2,3,4,5,6}, S$1, V$1, Y$1, AB$1, AE$1, AH$1)
    )
)</f>
        <v>0.4594903823470266</v>
      </c>
    </row>
    <row r="287" spans="9:36" x14ac:dyDescent="0.45">
      <c r="I287">
        <v>285</v>
      </c>
      <c r="J287">
        <v>51.7</v>
      </c>
      <c r="K287">
        <f t="shared" si="93"/>
        <v>51.7</v>
      </c>
      <c r="L287">
        <f t="shared" si="92"/>
        <v>1.4361111111111113E-2</v>
      </c>
      <c r="M287">
        <v>9.64</v>
      </c>
      <c r="N287">
        <f t="shared" si="94"/>
        <v>9.64</v>
      </c>
      <c r="O287">
        <f t="shared" si="95"/>
        <v>671.8509500971154</v>
      </c>
      <c r="P287">
        <f t="shared" si="96"/>
        <v>2149.9230403107695</v>
      </c>
      <c r="Q287">
        <f t="shared" si="97"/>
        <v>9846.647524623324</v>
      </c>
      <c r="R287">
        <f t="shared" si="98"/>
        <v>9.3488894422341744</v>
      </c>
      <c r="S287">
        <f t="shared" si="99"/>
        <v>33.222319436464588</v>
      </c>
      <c r="T287">
        <f t="shared" si="100"/>
        <v>6363.7721993198775</v>
      </c>
      <c r="U287">
        <f t="shared" si="101"/>
        <v>14.465511366700177</v>
      </c>
      <c r="V287">
        <f t="shared" si="102"/>
        <v>8.1808365138988588</v>
      </c>
      <c r="W287">
        <f t="shared" si="103"/>
        <v>4106.3530069935696</v>
      </c>
      <c r="X287">
        <f t="shared" si="104"/>
        <v>22.417755835304984</v>
      </c>
      <c r="Y287">
        <f t="shared" si="105"/>
        <v>2.4828745640679539</v>
      </c>
      <c r="Z287">
        <f t="shared" si="106"/>
        <v>3095.8891780475078</v>
      </c>
      <c r="AA287">
        <f t="shared" si="107"/>
        <v>29.734662253772587</v>
      </c>
      <c r="AB287">
        <f t="shared" si="108"/>
        <v>1.5473553450424899</v>
      </c>
      <c r="AC287">
        <f t="shared" si="109"/>
        <v>1590.9430498299694</v>
      </c>
      <c r="AD287">
        <f t="shared" si="110"/>
        <v>57.862045466800708</v>
      </c>
      <c r="AE287">
        <f t="shared" si="111"/>
        <v>1.1550012793132611</v>
      </c>
      <c r="AF287">
        <f t="shared" si="112"/>
        <v>1461.9476674113234</v>
      </c>
      <c r="AG287">
        <f t="shared" si="113"/>
        <v>62.967520066812519</v>
      </c>
      <c r="AH287">
        <f t="shared" si="114"/>
        <v>1.151182783867726</v>
      </c>
      <c r="AI287" cm="1">
        <f t="array" ref="AI287">_xlfn.LET(
    _xlpm.vals,   _xlfn.HSTACK(S287,V287,Y287,AB287,AE287,AH287),
    _xlpm.ints,   _xlfn.HSTACK(R287,U287,X287,AA287,AD287,AG287),
    _xlpm.slopes, _xlfn.HSTACK(Q287,T287,W287,Z287,AC287,AF287),
    _xlpm.limit,  -0.00001*_xlpm.slopes + 0.1086*_xlpm.slopes + 63.253,
    _xlpm.mask,   (_xlpm.vals&gt;=0) * (_xlpm.ints&lt;=_xlpm.limit),
    _xlpm.validVals, _xlfn._xlws.FILTER(_xlpm.vals, _xlpm.mask),
    _xlpm.minVal, MIN(_xlpm.validVals),
    IFERROR( _xlfn.XMATCH(_xlpm.minVal, _xlpm.vals), "" )
)</f>
        <v>6</v>
      </c>
      <c r="AJ287" cm="1">
        <f t="array" ref="AJ287">_xlfn.LET(
    _xlpm.vals, CHOOSE({1,2,3,4,5,6}, S287, V287, Y287, AB287, AE287, AH287),
    _xlpm.slopes, CHOOSE({1,2,3,4,5,6}, Q287, T287, W287, Z287, AC287, AF287),
    _xlpm.ints, CHOOSE({1,2,3,4,5,6}, R287, U287, X287, AA287, AD287, AG287),
    _xlpm.limit, -0.00001*_xlpm.slopes + 0.1086*_xlpm.slopes + 63.253,
    _xlpm.valid, (_xlpm.vals &gt;= 0) * (_xlpm.ints &lt;= _xlpm.limit),
    _xlpm.target, MIN(_xlfn._xlws.FILTER(_xlpm.vals, _xlpm.valid)),
    IFERROR(
        _xlfn.XLOOKUP(_xlpm.target, _xlpm.vals, _xlpm.vals),
        CHOOSE({1,2,3,4,5,6}, S$1, V$1, Y$1, AB$1, AE$1, AH$1)
    )
)</f>
        <v>1.151182783867726</v>
      </c>
    </row>
    <row r="288" spans="9:36" x14ac:dyDescent="0.45">
      <c r="I288">
        <v>286</v>
      </c>
      <c r="J288">
        <v>51.5</v>
      </c>
      <c r="K288">
        <f t="shared" si="93"/>
        <v>51.5</v>
      </c>
      <c r="L288">
        <f t="shared" si="92"/>
        <v>1.4305555555555556E-2</v>
      </c>
      <c r="M288">
        <v>3.51</v>
      </c>
      <c r="N288">
        <f t="shared" si="94"/>
        <v>3.51</v>
      </c>
      <c r="O288">
        <f t="shared" si="95"/>
        <v>669.25191353967966</v>
      </c>
      <c r="P288">
        <f t="shared" si="96"/>
        <v>2141.6061233269752</v>
      </c>
      <c r="Q288">
        <f t="shared" si="97"/>
        <v>9808.5560448375472</v>
      </c>
      <c r="R288">
        <f t="shared" si="98"/>
        <v>3.4172237852272267</v>
      </c>
      <c r="S288">
        <f t="shared" si="99"/>
        <v>33.020745819239657</v>
      </c>
      <c r="T288">
        <f t="shared" si="100"/>
        <v>6339.1541250478467</v>
      </c>
      <c r="U288">
        <f t="shared" si="101"/>
        <v>5.2874611271421283</v>
      </c>
      <c r="V288">
        <f t="shared" si="102"/>
        <v>8.0195281729139616</v>
      </c>
      <c r="W288">
        <f t="shared" si="103"/>
        <v>4090.4676955545224</v>
      </c>
      <c r="X288">
        <f t="shared" si="104"/>
        <v>8.1941805949427753</v>
      </c>
      <c r="Y288">
        <f t="shared" si="105"/>
        <v>2.2113430237674931</v>
      </c>
      <c r="Z288">
        <f t="shared" si="106"/>
        <v>3083.912817590844</v>
      </c>
      <c r="AA288">
        <f t="shared" si="107"/>
        <v>10.868670094681043</v>
      </c>
      <c r="AB288">
        <f t="shared" si="108"/>
        <v>1.1995165682872739</v>
      </c>
      <c r="AC288">
        <f t="shared" si="109"/>
        <v>1584.7885312619617</v>
      </c>
      <c r="AD288">
        <f t="shared" si="110"/>
        <v>21.149844508568513</v>
      </c>
      <c r="AE288">
        <f t="shared" si="111"/>
        <v>0.65248410700741433</v>
      </c>
      <c r="AF288">
        <f t="shared" si="112"/>
        <v>1456.2921638623432</v>
      </c>
      <c r="AG288">
        <f t="shared" si="113"/>
        <v>23.016007259324557</v>
      </c>
      <c r="AH288">
        <f t="shared" si="114"/>
        <v>0.63263257769351722</v>
      </c>
      <c r="AI288" cm="1">
        <f t="array" ref="AI288">_xlfn.LET(
    _xlpm.vals,   _xlfn.HSTACK(S288,V288,Y288,AB288,AE288,AH288),
    _xlpm.ints,   _xlfn.HSTACK(R288,U288,X288,AA288,AD288,AG288),
    _xlpm.slopes, _xlfn.HSTACK(Q288,T288,W288,Z288,AC288,AF288),
    _xlpm.limit,  -0.00001*_xlpm.slopes + 0.1086*_xlpm.slopes + 63.253,
    _xlpm.mask,   (_xlpm.vals&gt;=0) * (_xlpm.ints&lt;=_xlpm.limit),
    _xlpm.validVals, _xlfn._xlws.FILTER(_xlpm.vals, _xlpm.mask),
    _xlpm.minVal, MIN(_xlpm.validVals),
    IFERROR( _xlfn.XMATCH(_xlpm.minVal, _xlpm.vals), "" )
)</f>
        <v>6</v>
      </c>
      <c r="AJ288" cm="1">
        <f t="array" ref="AJ288">_xlfn.LET(
    _xlpm.vals, CHOOSE({1,2,3,4,5,6}, S288, V288, Y288, AB288, AE288, AH288),
    _xlpm.slopes, CHOOSE({1,2,3,4,5,6}, Q288, T288, W288, Z288, AC288, AF288),
    _xlpm.ints, CHOOSE({1,2,3,4,5,6}, R288, U288, X288, AA288, AD288, AG288),
    _xlpm.limit, -0.00001*_xlpm.slopes + 0.1086*_xlpm.slopes + 63.253,
    _xlpm.valid, (_xlpm.vals &gt;= 0) * (_xlpm.ints &lt;= _xlpm.limit),
    _xlpm.target, MIN(_xlfn._xlws.FILTER(_xlpm.vals, _xlpm.valid)),
    IFERROR(
        _xlfn.XLOOKUP(_xlpm.target, _xlpm.vals, _xlpm.vals),
        CHOOSE({1,2,3,4,5,6}, S$1, V$1, Y$1, AB$1, AE$1, AH$1)
    )
)</f>
        <v>0.63263257769351722</v>
      </c>
    </row>
    <row r="289" spans="9:36" x14ac:dyDescent="0.45">
      <c r="I289">
        <v>287</v>
      </c>
      <c r="J289">
        <v>50.9</v>
      </c>
      <c r="K289">
        <f t="shared" si="93"/>
        <v>50.9</v>
      </c>
      <c r="L289">
        <f t="shared" si="92"/>
        <v>1.4138888888888888E-2</v>
      </c>
      <c r="M289">
        <v>1.48</v>
      </c>
      <c r="N289">
        <f t="shared" si="94"/>
        <v>1.48</v>
      </c>
      <c r="O289">
        <f t="shared" si="95"/>
        <v>661.45480386737256</v>
      </c>
      <c r="P289">
        <f t="shared" si="96"/>
        <v>2116.6553723755924</v>
      </c>
      <c r="Q289">
        <f t="shared" si="97"/>
        <v>9694.2816054802133</v>
      </c>
      <c r="R289">
        <f t="shared" si="98"/>
        <v>1.4578655254424311</v>
      </c>
      <c r="S289">
        <f t="shared" si="99"/>
        <v>31.855797103310774</v>
      </c>
      <c r="T289">
        <f t="shared" si="100"/>
        <v>6265.2999022317535</v>
      </c>
      <c r="U289">
        <f t="shared" si="101"/>
        <v>2.2557513873399779</v>
      </c>
      <c r="V289">
        <f t="shared" si="102"/>
        <v>7.7095488334436997</v>
      </c>
      <c r="W289">
        <f t="shared" si="103"/>
        <v>4042.8117612373812</v>
      </c>
      <c r="X289">
        <f t="shared" si="104"/>
        <v>3.495824139542584</v>
      </c>
      <c r="Y289">
        <f t="shared" si="105"/>
        <v>2.0726035711907982</v>
      </c>
      <c r="Z289">
        <f t="shared" si="106"/>
        <v>3047.9837362208527</v>
      </c>
      <c r="AA289">
        <f t="shared" si="107"/>
        <v>4.6368222961988446</v>
      </c>
      <c r="AB289">
        <f t="shared" si="108"/>
        <v>1.0764863655406889</v>
      </c>
      <c r="AC289">
        <f t="shared" si="109"/>
        <v>1566.3249755579384</v>
      </c>
      <c r="AD289">
        <f t="shared" si="110"/>
        <v>9.0230055493599117</v>
      </c>
      <c r="AE289">
        <f t="shared" si="111"/>
        <v>0.51086566260196764</v>
      </c>
      <c r="AF289">
        <f t="shared" si="112"/>
        <v>1439.325653215403</v>
      </c>
      <c r="AG289">
        <f t="shared" si="113"/>
        <v>9.8191530978328441</v>
      </c>
      <c r="AH289">
        <f t="shared" si="114"/>
        <v>0.4875848033423123</v>
      </c>
      <c r="AI289" cm="1">
        <f t="array" ref="AI289">_xlfn.LET(
    _xlpm.vals,   _xlfn.HSTACK(S289,V289,Y289,AB289,AE289,AH289),
    _xlpm.ints,   _xlfn.HSTACK(R289,U289,X289,AA289,AD289,AG289),
    _xlpm.slopes, _xlfn.HSTACK(Q289,T289,W289,Z289,AC289,AF289),
    _xlpm.limit,  -0.00001*_xlpm.slopes + 0.1086*_xlpm.slopes + 63.253,
    _xlpm.mask,   (_xlpm.vals&gt;=0) * (_xlpm.ints&lt;=_xlpm.limit),
    _xlpm.validVals, _xlfn._xlws.FILTER(_xlpm.vals, _xlpm.mask),
    _xlpm.minVal, MIN(_xlpm.validVals),
    IFERROR( _xlfn.XMATCH(_xlpm.minVal, _xlpm.vals), "" )
)</f>
        <v>6</v>
      </c>
      <c r="AJ289" cm="1">
        <f t="array" ref="AJ289">_xlfn.LET(
    _xlpm.vals, CHOOSE({1,2,3,4,5,6}, S289, V289, Y289, AB289, AE289, AH289),
    _xlpm.slopes, CHOOSE({1,2,3,4,5,6}, Q289, T289, W289, Z289, AC289, AF289),
    _xlpm.ints, CHOOSE({1,2,3,4,5,6}, R289, U289, X289, AA289, AD289, AG289),
    _xlpm.limit, -0.00001*_xlpm.slopes + 0.1086*_xlpm.slopes + 63.253,
    _xlpm.valid, (_xlpm.vals &gt;= 0) * (_xlpm.ints &lt;= _xlpm.limit),
    _xlpm.target, MIN(_xlfn._xlws.FILTER(_xlpm.vals, _xlpm.valid)),
    IFERROR(
        _xlfn.XLOOKUP(_xlpm.target, _xlpm.vals, _xlpm.vals),
        CHOOSE({1,2,3,4,5,6}, S$1, V$1, Y$1, AB$1, AE$1, AH$1)
    )
)</f>
        <v>0.4875848033423123</v>
      </c>
    </row>
    <row r="290" spans="9:36" x14ac:dyDescent="0.45">
      <c r="I290">
        <v>288</v>
      </c>
      <c r="J290">
        <v>50.4</v>
      </c>
      <c r="K290">
        <f t="shared" si="93"/>
        <v>50.4</v>
      </c>
      <c r="L290">
        <f t="shared" si="92"/>
        <v>1.4E-2</v>
      </c>
      <c r="M290">
        <v>2.0099999999999998</v>
      </c>
      <c r="N290">
        <f t="shared" si="94"/>
        <v>2.0099999999999998</v>
      </c>
      <c r="O290">
        <f t="shared" si="95"/>
        <v>654.95721247378344</v>
      </c>
      <c r="P290">
        <f t="shared" si="96"/>
        <v>2095.8630799161069</v>
      </c>
      <c r="Q290">
        <f t="shared" si="97"/>
        <v>9599.0529060157696</v>
      </c>
      <c r="R290">
        <f t="shared" si="98"/>
        <v>1.9995812425258699</v>
      </c>
      <c r="S290">
        <f t="shared" si="99"/>
        <v>30.828866600396267</v>
      </c>
      <c r="T290">
        <f t="shared" si="100"/>
        <v>6203.7547165516762</v>
      </c>
      <c r="U290">
        <f t="shared" si="101"/>
        <v>3.0939466522866503</v>
      </c>
      <c r="V290">
        <f t="shared" si="102"/>
        <v>7.4742472579594184</v>
      </c>
      <c r="W290">
        <f t="shared" si="103"/>
        <v>4003.0984826397639</v>
      </c>
      <c r="X290">
        <f t="shared" si="104"/>
        <v>4.7948073773656992</v>
      </c>
      <c r="Y290">
        <f t="shared" si="105"/>
        <v>2.037848522402395</v>
      </c>
      <c r="Z290">
        <f t="shared" si="106"/>
        <v>3018.042835079194</v>
      </c>
      <c r="AA290">
        <f t="shared" si="107"/>
        <v>6.3597792297003366</v>
      </c>
      <c r="AB290">
        <f t="shared" si="108"/>
        <v>1.0816321936112925</v>
      </c>
      <c r="AC290">
        <f t="shared" si="109"/>
        <v>1550.9386791379191</v>
      </c>
      <c r="AD290">
        <f t="shared" si="110"/>
        <v>12.375786609146601</v>
      </c>
      <c r="AE290">
        <f t="shared" si="111"/>
        <v>0.54241317486498641</v>
      </c>
      <c r="AF290">
        <f t="shared" si="112"/>
        <v>1425.1868943429529</v>
      </c>
      <c r="AG290">
        <f t="shared" si="113"/>
        <v>13.467767780541887</v>
      </c>
      <c r="AH290">
        <f t="shared" si="114"/>
        <v>0.52034281931327653</v>
      </c>
      <c r="AI290" cm="1">
        <f t="array" ref="AI290">_xlfn.LET(
    _xlpm.vals,   _xlfn.HSTACK(S290,V290,Y290,AB290,AE290,AH290),
    _xlpm.ints,   _xlfn.HSTACK(R290,U290,X290,AA290,AD290,AG290),
    _xlpm.slopes, _xlfn.HSTACK(Q290,T290,W290,Z290,AC290,AF290),
    _xlpm.limit,  -0.00001*_xlpm.slopes + 0.1086*_xlpm.slopes + 63.253,
    _xlpm.mask,   (_xlpm.vals&gt;=0) * (_xlpm.ints&lt;=_xlpm.limit),
    _xlpm.validVals, _xlfn._xlws.FILTER(_xlpm.vals, _xlpm.mask),
    _xlpm.minVal, MIN(_xlpm.validVals),
    IFERROR( _xlfn.XMATCH(_xlpm.minVal, _xlpm.vals), "" )
)</f>
        <v>6</v>
      </c>
      <c r="AJ290" cm="1">
        <f t="array" ref="AJ290">_xlfn.LET(
    _xlpm.vals, CHOOSE({1,2,3,4,5,6}, S290, V290, Y290, AB290, AE290, AH290),
    _xlpm.slopes, CHOOSE({1,2,3,4,5,6}, Q290, T290, W290, Z290, AC290, AF290),
    _xlpm.ints, CHOOSE({1,2,3,4,5,6}, R290, U290, X290, AA290, AD290, AG290),
    _xlpm.limit, -0.00001*_xlpm.slopes + 0.1086*_xlpm.slopes + 63.253,
    _xlpm.valid, (_xlpm.vals &gt;= 0) * (_xlpm.ints &lt;= _xlpm.limit),
    _xlpm.target, MIN(_xlfn._xlws.FILTER(_xlpm.vals, _xlpm.valid)),
    IFERROR(
        _xlfn.XLOOKUP(_xlpm.target, _xlpm.vals, _xlpm.vals),
        CHOOSE({1,2,3,4,5,6}, S$1, V$1, Y$1, AB$1, AE$1, AH$1)
    )
)</f>
        <v>0.52034281931327653</v>
      </c>
    </row>
    <row r="291" spans="9:36" x14ac:dyDescent="0.45">
      <c r="I291">
        <v>289</v>
      </c>
      <c r="J291">
        <v>50</v>
      </c>
      <c r="K291">
        <f t="shared" si="93"/>
        <v>50</v>
      </c>
      <c r="L291">
        <f t="shared" si="92"/>
        <v>1.3888888888888888E-2</v>
      </c>
      <c r="M291">
        <v>8.02</v>
      </c>
      <c r="N291">
        <f t="shared" si="94"/>
        <v>8.02</v>
      </c>
      <c r="O291">
        <f t="shared" si="95"/>
        <v>649.75913935891231</v>
      </c>
      <c r="P291">
        <f t="shared" si="96"/>
        <v>2079.2292459485193</v>
      </c>
      <c r="Q291">
        <f t="shared" si="97"/>
        <v>9522.8699464442179</v>
      </c>
      <c r="R291">
        <f t="shared" si="98"/>
        <v>8.0422560684467346</v>
      </c>
      <c r="S291">
        <f t="shared" si="99"/>
        <v>29.845683256959131</v>
      </c>
      <c r="T291">
        <f t="shared" si="100"/>
        <v>6154.5185680076174</v>
      </c>
      <c r="U291">
        <f t="shared" si="101"/>
        <v>12.443761078880419</v>
      </c>
      <c r="V291">
        <f t="shared" si="102"/>
        <v>7.3567200118523903</v>
      </c>
      <c r="W291">
        <f t="shared" si="103"/>
        <v>3971.3278597616718</v>
      </c>
      <c r="X291">
        <f t="shared" si="104"/>
        <v>19.284572143186409</v>
      </c>
      <c r="Y291">
        <f t="shared" si="105"/>
        <v>2.2399384524232633</v>
      </c>
      <c r="Z291">
        <f t="shared" si="106"/>
        <v>2994.0901141658678</v>
      </c>
      <c r="AA291">
        <f t="shared" si="107"/>
        <v>25.578842217698639</v>
      </c>
      <c r="AB291">
        <f t="shared" si="108"/>
        <v>1.3919082796367821</v>
      </c>
      <c r="AC291">
        <f t="shared" si="109"/>
        <v>1538.6296420019044</v>
      </c>
      <c r="AD291">
        <f t="shared" si="110"/>
        <v>49.775044315521676</v>
      </c>
      <c r="AE291">
        <f t="shared" si="111"/>
        <v>1.0102335600431462</v>
      </c>
      <c r="AF291">
        <f t="shared" si="112"/>
        <v>1413.8758872449932</v>
      </c>
      <c r="AG291">
        <f t="shared" si="113"/>
        <v>54.166959990420644</v>
      </c>
      <c r="AH291">
        <f t="shared" si="114"/>
        <v>1.0036019666299101</v>
      </c>
      <c r="AI291" cm="1">
        <f t="array" ref="AI291">_xlfn.LET(
    _xlpm.vals,   _xlfn.HSTACK(S291,V291,Y291,AB291,AE291,AH291),
    _xlpm.ints,   _xlfn.HSTACK(R291,U291,X291,AA291,AD291,AG291),
    _xlpm.slopes, _xlfn.HSTACK(Q291,T291,W291,Z291,AC291,AF291),
    _xlpm.limit,  -0.00001*_xlpm.slopes + 0.1086*_xlpm.slopes + 63.253,
    _xlpm.mask,   (_xlpm.vals&gt;=0) * (_xlpm.ints&lt;=_xlpm.limit),
    _xlpm.validVals, _xlfn._xlws.FILTER(_xlpm.vals, _xlpm.mask),
    _xlpm.minVal, MIN(_xlpm.validVals),
    IFERROR( _xlfn.XMATCH(_xlpm.minVal, _xlpm.vals), "" )
)</f>
        <v>6</v>
      </c>
      <c r="AJ291" cm="1">
        <f t="array" ref="AJ291">_xlfn.LET(
    _xlpm.vals, CHOOSE({1,2,3,4,5,6}, S291, V291, Y291, AB291, AE291, AH291),
    _xlpm.slopes, CHOOSE({1,2,3,4,5,6}, Q291, T291, W291, Z291, AC291, AF291),
    _xlpm.ints, CHOOSE({1,2,3,4,5,6}, R291, U291, X291, AA291, AD291, AG291),
    _xlpm.limit, -0.00001*_xlpm.slopes + 0.1086*_xlpm.slopes + 63.253,
    _xlpm.valid, (_xlpm.vals &gt;= 0) * (_xlpm.ints &lt;= _xlpm.limit),
    _xlpm.target, MIN(_xlfn._xlws.FILTER(_xlpm.vals, _xlpm.valid)),
    IFERROR(
        _xlfn.XLOOKUP(_xlpm.target, _xlpm.vals, _xlpm.vals),
        CHOOSE({1,2,3,4,5,6}, S$1, V$1, Y$1, AB$1, AE$1, AH$1)
    )
)</f>
        <v>1.0036019666299101</v>
      </c>
    </row>
    <row r="292" spans="9:36" x14ac:dyDescent="0.45">
      <c r="I292">
        <v>290</v>
      </c>
      <c r="J292">
        <v>50.2</v>
      </c>
      <c r="K292">
        <f t="shared" si="93"/>
        <v>50.2</v>
      </c>
      <c r="L292">
        <f t="shared" si="92"/>
        <v>1.3944444444444445E-2</v>
      </c>
      <c r="M292">
        <v>14.48</v>
      </c>
      <c r="N292">
        <f t="shared" si="94"/>
        <v>14.48</v>
      </c>
      <c r="O292">
        <f t="shared" si="95"/>
        <v>652.35817591634793</v>
      </c>
      <c r="P292">
        <f t="shared" si="96"/>
        <v>2087.5461629323136</v>
      </c>
      <c r="Q292">
        <f t="shared" si="97"/>
        <v>9560.9614262299965</v>
      </c>
      <c r="R292">
        <f t="shared" si="98"/>
        <v>14.462333691556553</v>
      </c>
      <c r="S292">
        <f t="shared" si="99"/>
        <v>30.044354735230609</v>
      </c>
      <c r="T292">
        <f t="shared" si="100"/>
        <v>6179.1366422796482</v>
      </c>
      <c r="U292">
        <f t="shared" si="101"/>
        <v>22.377529833557102</v>
      </c>
      <c r="V292">
        <f t="shared" si="102"/>
        <v>7.5515957143562504</v>
      </c>
      <c r="W292">
        <f t="shared" si="103"/>
        <v>3987.2131712007185</v>
      </c>
      <c r="X292">
        <f t="shared" si="104"/>
        <v>34.679313249910486</v>
      </c>
      <c r="Y292">
        <f t="shared" si="105"/>
        <v>2.5692383833835688</v>
      </c>
      <c r="Z292">
        <f t="shared" si="106"/>
        <v>3006.0664746225316</v>
      </c>
      <c r="AA292">
        <f t="shared" si="107"/>
        <v>45.998255768978481</v>
      </c>
      <c r="AB292">
        <f t="shared" si="108"/>
        <v>1.8123699252639207</v>
      </c>
      <c r="AC292">
        <f t="shared" si="109"/>
        <v>1544.784160569912</v>
      </c>
      <c r="AD292">
        <f t="shared" si="110"/>
        <v>89.510119334228406</v>
      </c>
      <c r="AE292">
        <f t="shared" si="111"/>
        <v>1.5892803529291757</v>
      </c>
      <c r="AF292">
        <f t="shared" si="112"/>
        <v>1419.5313907939733</v>
      </c>
      <c r="AG292">
        <f t="shared" si="113"/>
        <v>97.408071040189739</v>
      </c>
      <c r="AH292">
        <f t="shared" si="114"/>
        <v>1.5862843082356306</v>
      </c>
      <c r="AI292" cm="1">
        <f t="array" ref="AI292">_xlfn.LET(
    _xlpm.vals,   _xlfn.HSTACK(S292,V292,Y292,AB292,AE292,AH292),
    _xlpm.ints,   _xlfn.HSTACK(R292,U292,X292,AA292,AD292,AG292),
    _xlpm.slopes, _xlfn.HSTACK(Q292,T292,W292,Z292,AC292,AF292),
    _xlpm.limit,  -0.00001*_xlpm.slopes + 0.1086*_xlpm.slopes + 63.253,
    _xlpm.mask,   (_xlpm.vals&gt;=0) * (_xlpm.ints&lt;=_xlpm.limit),
    _xlpm.validVals, _xlfn._xlws.FILTER(_xlpm.vals, _xlpm.mask),
    _xlpm.minVal, MIN(_xlpm.validVals),
    IFERROR( _xlfn.XMATCH(_xlpm.minVal, _xlpm.vals), "" )
)</f>
        <v>6</v>
      </c>
      <c r="AJ292" cm="1">
        <f t="array" ref="AJ292">_xlfn.LET(
    _xlpm.vals, CHOOSE({1,2,3,4,5,6}, S292, V292, Y292, AB292, AE292, AH292),
    _xlpm.slopes, CHOOSE({1,2,3,4,5,6}, Q292, T292, W292, Z292, AC292, AF292),
    _xlpm.ints, CHOOSE({1,2,3,4,5,6}, R292, U292, X292, AA292, AD292, AG292),
    _xlpm.limit, -0.00001*_xlpm.slopes + 0.1086*_xlpm.slopes + 63.253,
    _xlpm.valid, (_xlpm.vals &gt;= 0) * (_xlpm.ints &lt;= _xlpm.limit),
    _xlpm.target, MIN(_xlfn._xlws.FILTER(_xlpm.vals, _xlpm.valid)),
    IFERROR(
        _xlfn.XLOOKUP(_xlpm.target, _xlpm.vals, _xlpm.vals),
        CHOOSE({1,2,3,4,5,6}, S$1, V$1, Y$1, AB$1, AE$1, AH$1)
    )
)</f>
        <v>1.5862843082356306</v>
      </c>
    </row>
    <row r="293" spans="9:36" x14ac:dyDescent="0.45">
      <c r="I293">
        <v>291</v>
      </c>
      <c r="J293">
        <v>50.1</v>
      </c>
      <c r="K293">
        <f t="shared" si="93"/>
        <v>50.1</v>
      </c>
      <c r="L293">
        <f t="shared" si="92"/>
        <v>1.3916666666666667E-2</v>
      </c>
      <c r="M293">
        <v>5.61</v>
      </c>
      <c r="N293">
        <f t="shared" si="94"/>
        <v>5.61</v>
      </c>
      <c r="O293">
        <f t="shared" si="95"/>
        <v>651.05865763763006</v>
      </c>
      <c r="P293">
        <f t="shared" si="96"/>
        <v>2083.3877044404162</v>
      </c>
      <c r="Q293">
        <f t="shared" si="97"/>
        <v>9541.9156863371063</v>
      </c>
      <c r="R293">
        <f t="shared" si="98"/>
        <v>5.6143394686918153</v>
      </c>
      <c r="S293">
        <f t="shared" si="99"/>
        <v>30.116347334332914</v>
      </c>
      <c r="T293">
        <f t="shared" si="100"/>
        <v>6166.8276051436314</v>
      </c>
      <c r="U293">
        <f t="shared" si="101"/>
        <v>8.6870522860163923</v>
      </c>
      <c r="V293">
        <f t="shared" si="102"/>
        <v>7.371249968619412</v>
      </c>
      <c r="W293">
        <f t="shared" si="103"/>
        <v>3979.2705154811947</v>
      </c>
      <c r="X293">
        <f t="shared" si="104"/>
        <v>13.462656945868334</v>
      </c>
      <c r="Y293">
        <f t="shared" si="105"/>
        <v>2.1464607052012727</v>
      </c>
      <c r="Z293">
        <f t="shared" si="106"/>
        <v>3000.078294394199</v>
      </c>
      <c r="AA293">
        <f t="shared" si="107"/>
        <v>17.856718587922582</v>
      </c>
      <c r="AB293">
        <f t="shared" si="108"/>
        <v>1.2569612151605036</v>
      </c>
      <c r="AC293">
        <f t="shared" si="109"/>
        <v>1541.7069012859079</v>
      </c>
      <c r="AD293">
        <f t="shared" si="110"/>
        <v>34.748209144065569</v>
      </c>
      <c r="AE293">
        <f t="shared" si="111"/>
        <v>0.80775200908717781</v>
      </c>
      <c r="AF293">
        <f t="shared" si="112"/>
        <v>1416.703639019483</v>
      </c>
      <c r="AG293">
        <f t="shared" si="113"/>
        <v>37.814227597953696</v>
      </c>
      <c r="AH293">
        <f t="shared" si="114"/>
        <v>0.79452026070108239</v>
      </c>
      <c r="AI293" cm="1">
        <f t="array" ref="AI293">_xlfn.LET(
    _xlpm.vals,   _xlfn.HSTACK(S293,V293,Y293,AB293,AE293,AH293),
    _xlpm.ints,   _xlfn.HSTACK(R293,U293,X293,AA293,AD293,AG293),
    _xlpm.slopes, _xlfn.HSTACK(Q293,T293,W293,Z293,AC293,AF293),
    _xlpm.limit,  -0.00001*_xlpm.slopes + 0.1086*_xlpm.slopes + 63.253,
    _xlpm.mask,   (_xlpm.vals&gt;=0) * (_xlpm.ints&lt;=_xlpm.limit),
    _xlpm.validVals, _xlfn._xlws.FILTER(_xlpm.vals, _xlpm.mask),
    _xlpm.minVal, MIN(_xlpm.validVals),
    IFERROR( _xlfn.XMATCH(_xlpm.minVal, _xlpm.vals), "" )
)</f>
        <v>6</v>
      </c>
      <c r="AJ293" cm="1">
        <f t="array" ref="AJ293">_xlfn.LET(
    _xlpm.vals, CHOOSE({1,2,3,4,5,6}, S293, V293, Y293, AB293, AE293, AH293),
    _xlpm.slopes, CHOOSE({1,2,3,4,5,6}, Q293, T293, W293, Z293, AC293, AF293),
    _xlpm.ints, CHOOSE({1,2,3,4,5,6}, R293, U293, X293, AA293, AD293, AG293),
    _xlpm.limit, -0.00001*_xlpm.slopes + 0.1086*_xlpm.slopes + 63.253,
    _xlpm.valid, (_xlpm.vals &gt;= 0) * (_xlpm.ints &lt;= _xlpm.limit),
    _xlpm.target, MIN(_xlfn._xlws.FILTER(_xlpm.vals, _xlpm.valid)),
    IFERROR(
        _xlfn.XLOOKUP(_xlpm.target, _xlpm.vals, _xlpm.vals),
        CHOOSE({1,2,3,4,5,6}, S$1, V$1, Y$1, AB$1, AE$1, AH$1)
    )
)</f>
        <v>0.79452026070108239</v>
      </c>
    </row>
    <row r="294" spans="9:36" x14ac:dyDescent="0.45">
      <c r="I294">
        <v>292</v>
      </c>
      <c r="J294">
        <v>49.6</v>
      </c>
      <c r="K294">
        <f t="shared" si="93"/>
        <v>49.6</v>
      </c>
      <c r="L294">
        <f t="shared" si="92"/>
        <v>1.3777777777777778E-2</v>
      </c>
      <c r="M294">
        <v>0.22</v>
      </c>
      <c r="N294">
        <f t="shared" si="94"/>
        <v>0.22</v>
      </c>
      <c r="O294">
        <f t="shared" si="95"/>
        <v>644.56106624404094</v>
      </c>
      <c r="P294">
        <f t="shared" si="96"/>
        <v>2062.5954119809312</v>
      </c>
      <c r="Q294">
        <f t="shared" si="97"/>
        <v>9446.6869868726644</v>
      </c>
      <c r="R294">
        <f t="shared" si="98"/>
        <v>0.22238963265453823</v>
      </c>
      <c r="S294">
        <f t="shared" si="99"/>
        <v>29.321069432348647</v>
      </c>
      <c r="T294">
        <f t="shared" si="100"/>
        <v>6105.2824194635559</v>
      </c>
      <c r="U294">
        <f t="shared" si="101"/>
        <v>0.34410287755330582</v>
      </c>
      <c r="V294">
        <f t="shared" si="102"/>
        <v>7.0863473345507595</v>
      </c>
      <c r="W294">
        <f t="shared" si="103"/>
        <v>3939.5572368835783</v>
      </c>
      <c r="X294">
        <f t="shared" si="104"/>
        <v>0.5332693809203064</v>
      </c>
      <c r="Y294">
        <f t="shared" si="105"/>
        <v>1.8911556491796893</v>
      </c>
      <c r="Z294">
        <f t="shared" si="106"/>
        <v>2970.1373932525407</v>
      </c>
      <c r="AA294">
        <f t="shared" si="107"/>
        <v>0.70732258163735084</v>
      </c>
      <c r="AB294">
        <f t="shared" si="108"/>
        <v>0.9666305171116546</v>
      </c>
      <c r="AC294">
        <f t="shared" si="109"/>
        <v>1526.320604865889</v>
      </c>
      <c r="AD294">
        <f t="shared" si="110"/>
        <v>1.3764115102132233</v>
      </c>
      <c r="AE294">
        <f t="shared" si="111"/>
        <v>0.42711867186707281</v>
      </c>
      <c r="AF294">
        <f t="shared" si="112"/>
        <v>1402.5648801470334</v>
      </c>
      <c r="AG294">
        <f t="shared" si="113"/>
        <v>1.4978595846438014</v>
      </c>
      <c r="AH294">
        <f t="shared" si="114"/>
        <v>0.40371930130330685</v>
      </c>
      <c r="AI294" cm="1">
        <f t="array" ref="AI294">_xlfn.LET(
    _xlpm.vals,   _xlfn.HSTACK(S294,V294,Y294,AB294,AE294,AH294),
    _xlpm.ints,   _xlfn.HSTACK(R294,U294,X294,AA294,AD294,AG294),
    _xlpm.slopes, _xlfn.HSTACK(Q294,T294,W294,Z294,AC294,AF294),
    _xlpm.limit,  -0.00001*_xlpm.slopes + 0.1086*_xlpm.slopes + 63.253,
    _xlpm.mask,   (_xlpm.vals&gt;=0) * (_xlpm.ints&lt;=_xlpm.limit),
    _xlpm.validVals, _xlfn._xlws.FILTER(_xlpm.vals, _xlpm.mask),
    _xlpm.minVal, MIN(_xlpm.validVals),
    IFERROR( _xlfn.XMATCH(_xlpm.minVal, _xlpm.vals), "" )
)</f>
        <v>6</v>
      </c>
      <c r="AJ294" cm="1">
        <f t="array" ref="AJ294">_xlfn.LET(
    _xlpm.vals, CHOOSE({1,2,3,4,5,6}, S294, V294, Y294, AB294, AE294, AH294),
    _xlpm.slopes, CHOOSE({1,2,3,4,5,6}, Q294, T294, W294, Z294, AC294, AF294),
    _xlpm.ints, CHOOSE({1,2,3,4,5,6}, R294, U294, X294, AA294, AD294, AG294),
    _xlpm.limit, -0.00001*_xlpm.slopes + 0.1086*_xlpm.slopes + 63.253,
    _xlpm.valid, (_xlpm.vals &gt;= 0) * (_xlpm.ints &lt;= _xlpm.limit),
    _xlpm.target, MIN(_xlfn._xlws.FILTER(_xlpm.vals, _xlpm.valid)),
    IFERROR(
        _xlfn.XLOOKUP(_xlpm.target, _xlpm.vals, _xlpm.vals),
        CHOOSE({1,2,3,4,5,6}, S$1, V$1, Y$1, AB$1, AE$1, AH$1)
    )
)</f>
        <v>0.40371930130330685</v>
      </c>
    </row>
    <row r="295" spans="9:36" x14ac:dyDescent="0.45">
      <c r="I295">
        <v>293</v>
      </c>
      <c r="J295">
        <v>49.4</v>
      </c>
      <c r="K295">
        <f t="shared" si="93"/>
        <v>49.4</v>
      </c>
      <c r="L295">
        <f t="shared" si="92"/>
        <v>1.3722222222222222E-2</v>
      </c>
      <c r="M295">
        <v>3.99</v>
      </c>
      <c r="N295">
        <f t="shared" si="94"/>
        <v>3.99</v>
      </c>
      <c r="O295">
        <f t="shared" si="95"/>
        <v>641.96202968660532</v>
      </c>
      <c r="P295">
        <f t="shared" si="96"/>
        <v>2054.2784949971369</v>
      </c>
      <c r="Q295">
        <f t="shared" si="97"/>
        <v>9408.5955070868877</v>
      </c>
      <c r="R295">
        <f t="shared" si="98"/>
        <v>4.0496685554714515</v>
      </c>
      <c r="S295">
        <f t="shared" si="99"/>
        <v>28.816636679797806</v>
      </c>
      <c r="T295">
        <f t="shared" si="100"/>
        <v>6080.6643451915252</v>
      </c>
      <c r="U295">
        <f t="shared" si="101"/>
        <v>6.2660412108308279</v>
      </c>
      <c r="V295">
        <f t="shared" si="102"/>
        <v>7.0338391000731626</v>
      </c>
      <c r="W295">
        <f t="shared" si="103"/>
        <v>3923.6719254445316</v>
      </c>
      <c r="X295">
        <f t="shared" si="104"/>
        <v>9.7107235518634809</v>
      </c>
      <c r="Y295">
        <f t="shared" si="105"/>
        <v>2.011087043977271</v>
      </c>
      <c r="Z295">
        <f t="shared" si="106"/>
        <v>2958.161032795877</v>
      </c>
      <c r="AA295">
        <f t="shared" si="107"/>
        <v>12.880195822263369</v>
      </c>
      <c r="AB295">
        <f t="shared" si="108"/>
        <v>1.1440931815505011</v>
      </c>
      <c r="AC295">
        <f t="shared" si="109"/>
        <v>1520.1660862978813</v>
      </c>
      <c r="AD295">
        <f t="shared" si="110"/>
        <v>25.064164843323312</v>
      </c>
      <c r="AE295">
        <f t="shared" si="111"/>
        <v>0.67807863197271967</v>
      </c>
      <c r="AF295">
        <f t="shared" si="112"/>
        <v>1396.9093765980533</v>
      </c>
      <c r="AG295">
        <f t="shared" si="113"/>
        <v>27.275708800087124</v>
      </c>
      <c r="AH295">
        <f t="shared" si="114"/>
        <v>0.66100197968103824</v>
      </c>
      <c r="AI295" cm="1">
        <f t="array" ref="AI295">_xlfn.LET(
    _xlpm.vals,   _xlfn.HSTACK(S295,V295,Y295,AB295,AE295,AH295),
    _xlpm.ints,   _xlfn.HSTACK(R295,U295,X295,AA295,AD295,AG295),
    _xlpm.slopes, _xlfn.HSTACK(Q295,T295,W295,Z295,AC295,AF295),
    _xlpm.limit,  -0.00001*_xlpm.slopes + 0.1086*_xlpm.slopes + 63.253,
    _xlpm.mask,   (_xlpm.vals&gt;=0) * (_xlpm.ints&lt;=_xlpm.limit),
    _xlpm.validVals, _xlfn._xlws.FILTER(_xlpm.vals, _xlpm.mask),
    _xlpm.minVal, MIN(_xlpm.validVals),
    IFERROR( _xlfn.XMATCH(_xlpm.minVal, _xlpm.vals), "" )
)</f>
        <v>6</v>
      </c>
      <c r="AJ295" cm="1">
        <f t="array" ref="AJ295">_xlfn.LET(
    _xlpm.vals, CHOOSE({1,2,3,4,5,6}, S295, V295, Y295, AB295, AE295, AH295),
    _xlpm.slopes, CHOOSE({1,2,3,4,5,6}, Q295, T295, W295, Z295, AC295, AF295),
    _xlpm.ints, CHOOSE({1,2,3,4,5,6}, R295, U295, X295, AA295, AD295, AG295),
    _xlpm.limit, -0.00001*_xlpm.slopes + 0.1086*_xlpm.slopes + 63.253,
    _xlpm.valid, (_xlpm.vals &gt;= 0) * (_xlpm.ints &lt;= _xlpm.limit),
    _xlpm.target, MIN(_xlfn._xlws.FILTER(_xlpm.vals, _xlpm.valid)),
    IFERROR(
        _xlfn.XLOOKUP(_xlpm.target, _xlpm.vals, _xlpm.vals),
        CHOOSE({1,2,3,4,5,6}, S$1, V$1, Y$1, AB$1, AE$1, AH$1)
    )
)</f>
        <v>0.66100197968103824</v>
      </c>
    </row>
    <row r="296" spans="9:36" x14ac:dyDescent="0.45">
      <c r="I296">
        <v>294</v>
      </c>
      <c r="J296">
        <v>49.3</v>
      </c>
      <c r="K296">
        <f t="shared" si="93"/>
        <v>49.3</v>
      </c>
      <c r="L296">
        <f t="shared" si="92"/>
        <v>1.3694444444444443E-2</v>
      </c>
      <c r="M296">
        <v>9.43</v>
      </c>
      <c r="N296">
        <f t="shared" si="94"/>
        <v>9.43</v>
      </c>
      <c r="O296">
        <f t="shared" si="95"/>
        <v>640.66251140788745</v>
      </c>
      <c r="P296">
        <f t="shared" si="96"/>
        <v>2050.12003650524</v>
      </c>
      <c r="Q296">
        <f t="shared" si="97"/>
        <v>9389.5497671939993</v>
      </c>
      <c r="R296">
        <f t="shared" si="98"/>
        <v>9.5904350085046879</v>
      </c>
      <c r="S296">
        <f t="shared" si="99"/>
        <v>28.466219827475456</v>
      </c>
      <c r="T296">
        <f t="shared" si="100"/>
        <v>6068.3553080555102</v>
      </c>
      <c r="U296">
        <f t="shared" si="101"/>
        <v>14.839254168564688</v>
      </c>
      <c r="V296">
        <f t="shared" si="102"/>
        <v>7.0658717582440191</v>
      </c>
      <c r="W296">
        <f t="shared" si="103"/>
        <v>3915.7292697250082</v>
      </c>
      <c r="X296">
        <f t="shared" si="104"/>
        <v>22.996959339765169</v>
      </c>
      <c r="Y296">
        <f t="shared" si="105"/>
        <v>2.2382872321262983</v>
      </c>
      <c r="Z296">
        <f t="shared" si="106"/>
        <v>2952.1728525675453</v>
      </c>
      <c r="AA296">
        <f t="shared" si="107"/>
        <v>30.502911346494084</v>
      </c>
      <c r="AB296">
        <f t="shared" si="108"/>
        <v>1.4554183389925373</v>
      </c>
      <c r="AC296">
        <f t="shared" si="109"/>
        <v>1517.0888270138776</v>
      </c>
      <c r="AD296">
        <f t="shared" si="110"/>
        <v>59.357016674258752</v>
      </c>
      <c r="AE296">
        <f t="shared" si="111"/>
        <v>1.133775181437904</v>
      </c>
      <c r="AF296">
        <f t="shared" si="112"/>
        <v>1394.0816248235633</v>
      </c>
      <c r="AG296">
        <f t="shared" si="113"/>
        <v>64.594400498458057</v>
      </c>
      <c r="AH296">
        <f t="shared" si="114"/>
        <v>1.1305479994656009</v>
      </c>
      <c r="AI296" cm="1">
        <f t="array" ref="AI296">_xlfn.LET(
    _xlpm.vals,   _xlfn.HSTACK(S296,V296,Y296,AB296,AE296,AH296),
    _xlpm.ints,   _xlfn.HSTACK(R296,U296,X296,AA296,AD296,AG296),
    _xlpm.slopes, _xlfn.HSTACK(Q296,T296,W296,Z296,AC296,AF296),
    _xlpm.limit,  -0.00001*_xlpm.slopes + 0.1086*_xlpm.slopes + 63.253,
    _xlpm.mask,   (_xlpm.vals&gt;=0) * (_xlpm.ints&lt;=_xlpm.limit),
    _xlpm.validVals, _xlfn._xlws.FILTER(_xlpm.vals, _xlpm.mask),
    _xlpm.minVal, MIN(_xlpm.validVals),
    IFERROR( _xlfn.XMATCH(_xlpm.minVal, _xlpm.vals), "" )
)</f>
        <v>6</v>
      </c>
      <c r="AJ296" cm="1">
        <f t="array" ref="AJ296">_xlfn.LET(
    _xlpm.vals, CHOOSE({1,2,3,4,5,6}, S296, V296, Y296, AB296, AE296, AH296),
    _xlpm.slopes, CHOOSE({1,2,3,4,5,6}, Q296, T296, W296, Z296, AC296, AF296),
    _xlpm.ints, CHOOSE({1,2,3,4,5,6}, R296, U296, X296, AA296, AD296, AG296),
    _xlpm.limit, -0.00001*_xlpm.slopes + 0.1086*_xlpm.slopes + 63.253,
    _xlpm.valid, (_xlpm.vals &gt;= 0) * (_xlpm.ints &lt;= _xlpm.limit),
    _xlpm.target, MIN(_xlfn._xlws.FILTER(_xlpm.vals, _xlpm.valid)),
    IFERROR(
        _xlfn.XLOOKUP(_xlpm.target, _xlpm.vals, _xlpm.vals),
        CHOOSE({1,2,3,4,5,6}, S$1, V$1, Y$1, AB$1, AE$1, AH$1)
    )
)</f>
        <v>1.1305479994656009</v>
      </c>
    </row>
    <row r="297" spans="9:36" x14ac:dyDescent="0.45">
      <c r="I297">
        <v>295</v>
      </c>
      <c r="J297">
        <v>49.4</v>
      </c>
      <c r="K297">
        <f t="shared" si="93"/>
        <v>49.4</v>
      </c>
      <c r="L297">
        <f t="shared" si="92"/>
        <v>1.3722222222222222E-2</v>
      </c>
      <c r="M297">
        <v>11.06</v>
      </c>
      <c r="N297">
        <f t="shared" si="94"/>
        <v>11.06</v>
      </c>
      <c r="O297">
        <f t="shared" si="95"/>
        <v>641.96202968660532</v>
      </c>
      <c r="P297">
        <f t="shared" si="96"/>
        <v>2054.2784949971369</v>
      </c>
      <c r="Q297">
        <f t="shared" si="97"/>
        <v>9408.5955070868877</v>
      </c>
      <c r="R297">
        <f t="shared" si="98"/>
        <v>11.225397048499813</v>
      </c>
      <c r="S297">
        <f t="shared" si="99"/>
        <v>28.608711846243036</v>
      </c>
      <c r="T297">
        <f t="shared" si="100"/>
        <v>6080.6643451915252</v>
      </c>
      <c r="U297">
        <f t="shared" si="101"/>
        <v>17.369026514232822</v>
      </c>
      <c r="V297">
        <f t="shared" si="102"/>
        <v>7.1368416617091501</v>
      </c>
      <c r="W297">
        <f t="shared" si="103"/>
        <v>3923.6719254445316</v>
      </c>
      <c r="X297">
        <f t="shared" si="104"/>
        <v>26.917444231481227</v>
      </c>
      <c r="Y297">
        <f t="shared" si="105"/>
        <v>2.3254569794390574</v>
      </c>
      <c r="Z297">
        <f t="shared" si="106"/>
        <v>2958.161032795877</v>
      </c>
      <c r="AA297">
        <f t="shared" si="107"/>
        <v>35.702998945923021</v>
      </c>
      <c r="AB297">
        <f t="shared" si="108"/>
        <v>1.5620743393217238</v>
      </c>
      <c r="AC297">
        <f t="shared" si="109"/>
        <v>1520.1660862978813</v>
      </c>
      <c r="AD297">
        <f t="shared" si="110"/>
        <v>69.476106056931286</v>
      </c>
      <c r="AE297">
        <f t="shared" si="111"/>
        <v>1.2808215551045328</v>
      </c>
      <c r="AF297">
        <f t="shared" si="112"/>
        <v>1396.9093765980533</v>
      </c>
      <c r="AG297">
        <f t="shared" si="113"/>
        <v>75.606350709013427</v>
      </c>
      <c r="AH297">
        <f t="shared" si="114"/>
        <v>1.2797213584205194</v>
      </c>
      <c r="AI297" cm="1">
        <f t="array" ref="AI297">_xlfn.LET(
    _xlpm.vals,   _xlfn.HSTACK(S297,V297,Y297,AB297,AE297,AH297),
    _xlpm.ints,   _xlfn.HSTACK(R297,U297,X297,AA297,AD297,AG297),
    _xlpm.slopes, _xlfn.HSTACK(Q297,T297,W297,Z297,AC297,AF297),
    _xlpm.limit,  -0.00001*_xlpm.slopes + 0.1086*_xlpm.slopes + 63.253,
    _xlpm.mask,   (_xlpm.vals&gt;=0) * (_xlpm.ints&lt;=_xlpm.limit),
    _xlpm.validVals, _xlfn._xlws.FILTER(_xlpm.vals, _xlpm.mask),
    _xlpm.minVal, MIN(_xlpm.validVals),
    IFERROR( _xlfn.XMATCH(_xlpm.minVal, _xlpm.vals), "" )
)</f>
        <v>6</v>
      </c>
      <c r="AJ297" cm="1">
        <f t="array" ref="AJ297">_xlfn.LET(
    _xlpm.vals, CHOOSE({1,2,3,4,5,6}, S297, V297, Y297, AB297, AE297, AH297),
    _xlpm.slopes, CHOOSE({1,2,3,4,5,6}, Q297, T297, W297, Z297, AC297, AF297),
    _xlpm.ints, CHOOSE({1,2,3,4,5,6}, R297, U297, X297, AA297, AD297, AG297),
    _xlpm.limit, -0.00001*_xlpm.slopes + 0.1086*_xlpm.slopes + 63.253,
    _xlpm.valid, (_xlpm.vals &gt;= 0) * (_xlpm.ints &lt;= _xlpm.limit),
    _xlpm.target, MIN(_xlfn._xlws.FILTER(_xlpm.vals, _xlpm.valid)),
    IFERROR(
        _xlfn.XLOOKUP(_xlpm.target, _xlpm.vals, _xlpm.vals),
        CHOOSE({1,2,3,4,5,6}, S$1, V$1, Y$1, AB$1, AE$1, AH$1)
    )
)</f>
        <v>1.2797213584205194</v>
      </c>
    </row>
    <row r="298" spans="9:36" x14ac:dyDescent="0.45">
      <c r="I298">
        <v>296</v>
      </c>
      <c r="J298">
        <v>49.1</v>
      </c>
      <c r="K298">
        <f t="shared" si="93"/>
        <v>49.1</v>
      </c>
      <c r="L298">
        <f t="shared" si="92"/>
        <v>1.363888888888889E-2</v>
      </c>
      <c r="M298">
        <v>3.48</v>
      </c>
      <c r="N298">
        <f t="shared" si="94"/>
        <v>3.48</v>
      </c>
      <c r="O298">
        <f t="shared" si="95"/>
        <v>638.06347485045194</v>
      </c>
      <c r="P298">
        <f t="shared" si="96"/>
        <v>2041.8031195214462</v>
      </c>
      <c r="Q298">
        <f t="shared" si="97"/>
        <v>9351.4582874082244</v>
      </c>
      <c r="R298">
        <f t="shared" si="98"/>
        <v>3.5536224507715723</v>
      </c>
      <c r="S298">
        <f t="shared" si="99"/>
        <v>28.265673047757772</v>
      </c>
      <c r="T298">
        <f t="shared" si="100"/>
        <v>6043.7372337834804</v>
      </c>
      <c r="U298">
        <f t="shared" si="101"/>
        <v>5.498510413693853</v>
      </c>
      <c r="V298">
        <f t="shared" si="102"/>
        <v>6.8941884469709143</v>
      </c>
      <c r="W298">
        <f t="shared" si="103"/>
        <v>3899.8439582859619</v>
      </c>
      <c r="X298">
        <f t="shared" si="104"/>
        <v>8.5212517405936161</v>
      </c>
      <c r="Y298">
        <f t="shared" si="105"/>
        <v>1.9614365271093857</v>
      </c>
      <c r="Z298">
        <f t="shared" si="106"/>
        <v>2940.1964921108824</v>
      </c>
      <c r="AA298">
        <f t="shared" si="107"/>
        <v>11.302493628148474</v>
      </c>
      <c r="AB298">
        <f t="shared" si="108"/>
        <v>1.1065198951026058</v>
      </c>
      <c r="AC298">
        <f t="shared" si="109"/>
        <v>1510.9343084458701</v>
      </c>
      <c r="AD298">
        <f t="shared" si="110"/>
        <v>21.994041654775412</v>
      </c>
      <c r="AE298">
        <f t="shared" si="111"/>
        <v>0.63863887493908866</v>
      </c>
      <c r="AF298">
        <f t="shared" si="112"/>
        <v>1388.4261212745835</v>
      </c>
      <c r="AG298">
        <f t="shared" si="113"/>
        <v>23.934692389020299</v>
      </c>
      <c r="AH298">
        <f t="shared" si="114"/>
        <v>0.62053204110049931</v>
      </c>
      <c r="AI298" cm="1">
        <f t="array" ref="AI298">_xlfn.LET(
    _xlpm.vals,   _xlfn.HSTACK(S298,V298,Y298,AB298,AE298,AH298),
    _xlpm.ints,   _xlfn.HSTACK(R298,U298,X298,AA298,AD298,AG298),
    _xlpm.slopes, _xlfn.HSTACK(Q298,T298,W298,Z298,AC298,AF298),
    _xlpm.limit,  -0.00001*_xlpm.slopes + 0.1086*_xlpm.slopes + 63.253,
    _xlpm.mask,   (_xlpm.vals&gt;=0) * (_xlpm.ints&lt;=_xlpm.limit),
    _xlpm.validVals, _xlfn._xlws.FILTER(_xlpm.vals, _xlpm.mask),
    _xlpm.minVal, MIN(_xlpm.validVals),
    IFERROR( _xlfn.XMATCH(_xlpm.minVal, _xlpm.vals), "" )
)</f>
        <v>6</v>
      </c>
      <c r="AJ298" cm="1">
        <f t="array" ref="AJ298">_xlfn.LET(
    _xlpm.vals, CHOOSE({1,2,3,4,5,6}, S298, V298, Y298, AB298, AE298, AH298),
    _xlpm.slopes, CHOOSE({1,2,3,4,5,6}, Q298, T298, W298, Z298, AC298, AF298),
    _xlpm.ints, CHOOSE({1,2,3,4,5,6}, R298, U298, X298, AA298, AD298, AG298),
    _xlpm.limit, -0.00001*_xlpm.slopes + 0.1086*_xlpm.slopes + 63.253,
    _xlpm.valid, (_xlpm.vals &gt;= 0) * (_xlpm.ints &lt;= _xlpm.limit),
    _xlpm.target, MIN(_xlfn._xlws.FILTER(_xlpm.vals, _xlpm.valid)),
    IFERROR(
        _xlfn.XLOOKUP(_xlpm.target, _xlpm.vals, _xlpm.vals),
        CHOOSE({1,2,3,4,5,6}, S$1, V$1, Y$1, AB$1, AE$1, AH$1)
    )
)</f>
        <v>0.62053204110049931</v>
      </c>
    </row>
    <row r="299" spans="9:36" x14ac:dyDescent="0.45">
      <c r="I299">
        <v>297</v>
      </c>
      <c r="J299">
        <v>48.6</v>
      </c>
      <c r="K299">
        <f t="shared" si="93"/>
        <v>48.6</v>
      </c>
      <c r="L299">
        <f t="shared" si="92"/>
        <v>1.35E-2</v>
      </c>
      <c r="M299">
        <v>2.74</v>
      </c>
      <c r="N299">
        <f t="shared" si="94"/>
        <v>2.74</v>
      </c>
      <c r="O299">
        <f t="shared" si="95"/>
        <v>631.56588345686282</v>
      </c>
      <c r="P299">
        <f t="shared" si="96"/>
        <v>2021.0108270619612</v>
      </c>
      <c r="Q299">
        <f t="shared" si="97"/>
        <v>9256.2295879437825</v>
      </c>
      <c r="R299">
        <f t="shared" si="98"/>
        <v>2.826752771818402</v>
      </c>
      <c r="S299">
        <f t="shared" si="99"/>
        <v>27.359908983557034</v>
      </c>
      <c r="T299">
        <f t="shared" si="100"/>
        <v>5982.1920481034049</v>
      </c>
      <c r="U299">
        <f t="shared" si="101"/>
        <v>4.373826923962258</v>
      </c>
      <c r="V299">
        <f t="shared" si="102"/>
        <v>6.6664329389719885</v>
      </c>
      <c r="W299">
        <f t="shared" si="103"/>
        <v>3860.1306796883459</v>
      </c>
      <c r="X299">
        <f t="shared" si="104"/>
        <v>6.7782867512713523</v>
      </c>
      <c r="Y299">
        <f t="shared" si="105"/>
        <v>1.8840707223677919</v>
      </c>
      <c r="Z299">
        <f t="shared" si="106"/>
        <v>2910.2555909692242</v>
      </c>
      <c r="AA299">
        <f t="shared" si="107"/>
        <v>8.9906442325890854</v>
      </c>
      <c r="AB299">
        <f t="shared" si="108"/>
        <v>1.0504747456709953</v>
      </c>
      <c r="AC299">
        <f t="shared" si="109"/>
        <v>1495.5480120258512</v>
      </c>
      <c r="AD299">
        <f t="shared" si="110"/>
        <v>17.495307695849032</v>
      </c>
      <c r="AE299">
        <f t="shared" si="111"/>
        <v>0.58277924883489352</v>
      </c>
      <c r="AF299">
        <f t="shared" si="112"/>
        <v>1374.2873624021338</v>
      </c>
      <c r="AG299">
        <f t="shared" si="113"/>
        <v>19.039011316071001</v>
      </c>
      <c r="AH299">
        <f t="shared" si="114"/>
        <v>0.56338928698224688</v>
      </c>
      <c r="AI299" cm="1">
        <f t="array" ref="AI299">_xlfn.LET(
    _xlpm.vals,   _xlfn.HSTACK(S299,V299,Y299,AB299,AE299,AH299),
    _xlpm.ints,   _xlfn.HSTACK(R299,U299,X299,AA299,AD299,AG299),
    _xlpm.slopes, _xlfn.HSTACK(Q299,T299,W299,Z299,AC299,AF299),
    _xlpm.limit,  -0.00001*_xlpm.slopes + 0.1086*_xlpm.slopes + 63.253,
    _xlpm.mask,   (_xlpm.vals&gt;=0) * (_xlpm.ints&lt;=_xlpm.limit),
    _xlpm.validVals, _xlfn._xlws.FILTER(_xlpm.vals, _xlpm.mask),
    _xlpm.minVal, MIN(_xlpm.validVals),
    IFERROR( _xlfn.XMATCH(_xlpm.minVal, _xlpm.vals), "" )
)</f>
        <v>6</v>
      </c>
      <c r="AJ299" cm="1">
        <f t="array" ref="AJ299">_xlfn.LET(
    _xlpm.vals, CHOOSE({1,2,3,4,5,6}, S299, V299, Y299, AB299, AE299, AH299),
    _xlpm.slopes, CHOOSE({1,2,3,4,5,6}, Q299, T299, W299, Z299, AC299, AF299),
    _xlpm.ints, CHOOSE({1,2,3,4,5,6}, R299, U299, X299, AA299, AD299, AG299),
    _xlpm.limit, -0.00001*_xlpm.slopes + 0.1086*_xlpm.slopes + 63.253,
    _xlpm.valid, (_xlpm.vals &gt;= 0) * (_xlpm.ints &lt;= _xlpm.limit),
    _xlpm.target, MIN(_xlfn._xlws.FILTER(_xlpm.vals, _xlpm.valid)),
    IFERROR(
        _xlfn.XLOOKUP(_xlpm.target, _xlpm.vals, _xlpm.vals),
        CHOOSE({1,2,3,4,5,6}, S$1, V$1, Y$1, AB$1, AE$1, AH$1)
    )
)</f>
        <v>0.56338928698224688</v>
      </c>
    </row>
    <row r="300" spans="9:36" x14ac:dyDescent="0.45">
      <c r="I300">
        <v>298</v>
      </c>
      <c r="J300">
        <v>48.1</v>
      </c>
      <c r="K300">
        <f t="shared" si="93"/>
        <v>48.1</v>
      </c>
      <c r="L300">
        <f t="shared" si="92"/>
        <v>1.3361111111111112E-2</v>
      </c>
      <c r="M300">
        <v>-1.59</v>
      </c>
      <c r="N300">
        <f t="shared" si="94"/>
        <v>0</v>
      </c>
      <c r="O300">
        <f t="shared" si="95"/>
        <v>625.06829206327359</v>
      </c>
      <c r="P300">
        <f t="shared" si="96"/>
        <v>2000.2185346024755</v>
      </c>
      <c r="Q300">
        <f t="shared" si="97"/>
        <v>9161.0008884793388</v>
      </c>
      <c r="R300">
        <f t="shared" si="98"/>
        <v>0</v>
      </c>
      <c r="S300">
        <f t="shared" si="99"/>
        <v>26.532616490076592</v>
      </c>
      <c r="T300">
        <f t="shared" si="100"/>
        <v>5920.6468624233275</v>
      </c>
      <c r="U300">
        <f t="shared" si="101"/>
        <v>0</v>
      </c>
      <c r="V300">
        <f t="shared" si="102"/>
        <v>6.4205449602119664</v>
      </c>
      <c r="W300">
        <f t="shared" si="103"/>
        <v>3820.4174010907282</v>
      </c>
      <c r="X300">
        <f t="shared" si="104"/>
        <v>0</v>
      </c>
      <c r="Y300">
        <f t="shared" si="105"/>
        <v>1.7341596485093029</v>
      </c>
      <c r="Z300">
        <f t="shared" si="106"/>
        <v>2880.3146898275645</v>
      </c>
      <c r="AA300">
        <f t="shared" si="107"/>
        <v>0</v>
      </c>
      <c r="AB300">
        <f t="shared" si="108"/>
        <v>0.89998445471794275</v>
      </c>
      <c r="AC300">
        <f t="shared" si="109"/>
        <v>1480.1617156058319</v>
      </c>
      <c r="AD300">
        <f t="shared" si="110"/>
        <v>0</v>
      </c>
      <c r="AE300">
        <f t="shared" si="111"/>
        <v>0.40581149386600956</v>
      </c>
      <c r="AF300">
        <f t="shared" si="112"/>
        <v>1360.1486035296834</v>
      </c>
      <c r="AG300">
        <f t="shared" si="113"/>
        <v>0</v>
      </c>
      <c r="AH300">
        <f t="shared" si="114"/>
        <v>0.38350869200867793</v>
      </c>
      <c r="AI300" cm="1">
        <f t="array" ref="AI300">_xlfn.LET(
    _xlpm.vals,   _xlfn.HSTACK(S300,V300,Y300,AB300,AE300,AH300),
    _xlpm.ints,   _xlfn.HSTACK(R300,U300,X300,AA300,AD300,AG300),
    _xlpm.slopes, _xlfn.HSTACK(Q300,T300,W300,Z300,AC300,AF300),
    _xlpm.limit,  -0.00001*_xlpm.slopes + 0.1086*_xlpm.slopes + 63.253,
    _xlpm.mask,   (_xlpm.vals&gt;=0) * (_xlpm.ints&lt;=_xlpm.limit),
    _xlpm.validVals, _xlfn._xlws.FILTER(_xlpm.vals, _xlpm.mask),
    _xlpm.minVal, MIN(_xlpm.validVals),
    IFERROR( _xlfn.XMATCH(_xlpm.minVal, _xlpm.vals), "" )
)</f>
        <v>6</v>
      </c>
      <c r="AJ300" cm="1">
        <f t="array" ref="AJ300">_xlfn.LET(
    _xlpm.vals, CHOOSE({1,2,3,4,5,6}, S300, V300, Y300, AB300, AE300, AH300),
    _xlpm.slopes, CHOOSE({1,2,3,4,5,6}, Q300, T300, W300, Z300, AC300, AF300),
    _xlpm.ints, CHOOSE({1,2,3,4,5,6}, R300, U300, X300, AA300, AD300, AG300),
    _xlpm.limit, -0.00001*_xlpm.slopes + 0.1086*_xlpm.slopes + 63.253,
    _xlpm.valid, (_xlpm.vals &gt;= 0) * (_xlpm.ints &lt;= _xlpm.limit),
    _xlpm.target, MIN(_xlfn._xlws.FILTER(_xlpm.vals, _xlpm.valid)),
    IFERROR(
        _xlfn.XLOOKUP(_xlpm.target, _xlpm.vals, _xlpm.vals),
        CHOOSE({1,2,3,4,5,6}, S$1, V$1, Y$1, AB$1, AE$1, AH$1)
    )
)</f>
        <v>0.38350869200867793</v>
      </c>
    </row>
    <row r="301" spans="9:36" x14ac:dyDescent="0.45">
      <c r="I301">
        <v>299</v>
      </c>
      <c r="J301">
        <v>30.1</v>
      </c>
      <c r="K301">
        <f t="shared" si="93"/>
        <v>30.1</v>
      </c>
      <c r="L301">
        <f t="shared" si="92"/>
        <v>8.3611111111111108E-3</v>
      </c>
      <c r="M301">
        <v>2.23</v>
      </c>
      <c r="N301">
        <f t="shared" si="94"/>
        <v>2.23</v>
      </c>
      <c r="O301">
        <f t="shared" si="95"/>
        <v>391.15500189406521</v>
      </c>
      <c r="P301">
        <f t="shared" si="96"/>
        <v>1251.6960060610088</v>
      </c>
      <c r="Q301">
        <f t="shared" si="97"/>
        <v>5732.7677077594208</v>
      </c>
      <c r="R301">
        <f t="shared" si="98"/>
        <v>3.7145986844840171</v>
      </c>
      <c r="S301">
        <f t="shared" si="99"/>
        <v>5.8239045800025089</v>
      </c>
      <c r="T301">
        <f t="shared" si="100"/>
        <v>3705.0201779405861</v>
      </c>
      <c r="U301">
        <f t="shared" si="101"/>
        <v>5.7475885050462159</v>
      </c>
      <c r="V301">
        <f t="shared" si="102"/>
        <v>1.685578173286054</v>
      </c>
      <c r="W301">
        <f t="shared" si="103"/>
        <v>2390.7393715765265</v>
      </c>
      <c r="X301">
        <f t="shared" si="104"/>
        <v>8.9072575785009427</v>
      </c>
      <c r="Y301">
        <f t="shared" si="105"/>
        <v>0.77505375654383057</v>
      </c>
      <c r="Z301">
        <f t="shared" si="106"/>
        <v>1802.4422487278525</v>
      </c>
      <c r="AA301">
        <f t="shared" si="107"/>
        <v>11.814487482595</v>
      </c>
      <c r="AB301">
        <f t="shared" si="108"/>
        <v>0.60631604721203392</v>
      </c>
      <c r="AC301">
        <f t="shared" si="109"/>
        <v>6000</v>
      </c>
      <c r="AD301">
        <f t="shared" si="110"/>
        <v>3.5491552309492662</v>
      </c>
      <c r="AE301">
        <f t="shared" si="111"/>
        <v>6.7233878155241937</v>
      </c>
      <c r="AF301">
        <f t="shared" si="112"/>
        <v>6000</v>
      </c>
      <c r="AG301">
        <f t="shared" si="113"/>
        <v>3.5491552309492662</v>
      </c>
      <c r="AH301">
        <f t="shared" si="114"/>
        <v>6.7233878155241937</v>
      </c>
      <c r="AI301" cm="1">
        <f t="array" ref="AI301">_xlfn.LET(
    _xlpm.vals,   _xlfn.HSTACK(S301,V301,Y301,AB301,AE301,AH301),
    _xlpm.ints,   _xlfn.HSTACK(R301,U301,X301,AA301,AD301,AG301),
    _xlpm.slopes, _xlfn.HSTACK(Q301,T301,W301,Z301,AC301,AF301),
    _xlpm.limit,  -0.00001*_xlpm.slopes + 0.1086*_xlpm.slopes + 63.253,
    _xlpm.mask,   (_xlpm.vals&gt;=0) * (_xlpm.ints&lt;=_xlpm.limit),
    _xlpm.validVals, _xlfn._xlws.FILTER(_xlpm.vals, _xlpm.mask),
    _xlpm.minVal, MIN(_xlpm.validVals),
    IFERROR( _xlfn.XMATCH(_xlpm.minVal, _xlpm.vals), "" )
)</f>
        <v>4</v>
      </c>
      <c r="AJ301" cm="1">
        <f t="array" ref="AJ301">_xlfn.LET(
    _xlpm.vals, CHOOSE({1,2,3,4,5,6}, S301, V301, Y301, AB301, AE301, AH301),
    _xlpm.slopes, CHOOSE({1,2,3,4,5,6}, Q301, T301, W301, Z301, AC301, AF301),
    _xlpm.ints, CHOOSE({1,2,3,4,5,6}, R301, U301, X301, AA301, AD301, AG301),
    _xlpm.limit, -0.00001*_xlpm.slopes + 0.1086*_xlpm.slopes + 63.253,
    _xlpm.valid, (_xlpm.vals &gt;= 0) * (_xlpm.ints &lt;= _xlpm.limit),
    _xlpm.target, MIN(_xlfn._xlws.FILTER(_xlpm.vals, _xlpm.valid)),
    IFERROR(
        _xlfn.XLOOKUP(_xlpm.target, _xlpm.vals, _xlpm.vals),
        CHOOSE({1,2,3,4,5,6}, S$1, V$1, Y$1, AB$1, AE$1, AH$1)
    )
)</f>
        <v>0.60631604721203392</v>
      </c>
    </row>
    <row r="302" spans="9:36" x14ac:dyDescent="0.45">
      <c r="I302">
        <v>300</v>
      </c>
      <c r="J302">
        <v>29.9</v>
      </c>
      <c r="K302">
        <f t="shared" si="93"/>
        <v>29.9</v>
      </c>
      <c r="L302">
        <f t="shared" si="92"/>
        <v>8.3055555555555556E-3</v>
      </c>
      <c r="M302">
        <v>0.88</v>
      </c>
      <c r="N302">
        <f t="shared" si="94"/>
        <v>0.88</v>
      </c>
      <c r="O302">
        <f t="shared" si="95"/>
        <v>388.55596533662953</v>
      </c>
      <c r="P302">
        <f t="shared" si="96"/>
        <v>1243.3790890772145</v>
      </c>
      <c r="Q302">
        <f t="shared" si="97"/>
        <v>5694.6762279736422</v>
      </c>
      <c r="R302">
        <f t="shared" si="98"/>
        <v>1.4756556226976718</v>
      </c>
      <c r="S302">
        <f t="shared" si="99"/>
        <v>5.6837376109522975</v>
      </c>
      <c r="T302">
        <f t="shared" si="100"/>
        <v>3680.4021036685549</v>
      </c>
      <c r="U302">
        <f t="shared" si="101"/>
        <v>2.2832779567416677</v>
      </c>
      <c r="V302">
        <f t="shared" si="102"/>
        <v>1.60562699369623</v>
      </c>
      <c r="W302">
        <f t="shared" si="103"/>
        <v>2374.8540601374798</v>
      </c>
      <c r="X302">
        <f t="shared" si="104"/>
        <v>3.5384831162069825</v>
      </c>
      <c r="Y302">
        <f t="shared" si="105"/>
        <v>0.69517216520483061</v>
      </c>
      <c r="Z302">
        <f t="shared" si="106"/>
        <v>1790.4658882711888</v>
      </c>
      <c r="AA302">
        <f t="shared" si="107"/>
        <v>4.6934046888578731</v>
      </c>
      <c r="AB302">
        <f t="shared" si="108"/>
        <v>0.52090644827866761</v>
      </c>
      <c r="AC302">
        <f t="shared" si="109"/>
        <v>6000</v>
      </c>
      <c r="AD302">
        <f t="shared" si="110"/>
        <v>1.4005634992086791</v>
      </c>
      <c r="AE302">
        <f t="shared" si="111"/>
        <v>6.7087556330534337</v>
      </c>
      <c r="AF302">
        <f t="shared" si="112"/>
        <v>6000</v>
      </c>
      <c r="AG302">
        <f t="shared" si="113"/>
        <v>1.4005634992086791</v>
      </c>
      <c r="AH302">
        <f t="shared" si="114"/>
        <v>6.7087556330534337</v>
      </c>
      <c r="AI302" cm="1">
        <f t="array" ref="AI302">_xlfn.LET(
    _xlpm.vals,   _xlfn.HSTACK(S302,V302,Y302,AB302,AE302,AH302),
    _xlpm.ints,   _xlfn.HSTACK(R302,U302,X302,AA302,AD302,AG302),
    _xlpm.slopes, _xlfn.HSTACK(Q302,T302,W302,Z302,AC302,AF302),
    _xlpm.limit,  -0.00001*_xlpm.slopes + 0.1086*_xlpm.slopes + 63.253,
    _xlpm.mask,   (_xlpm.vals&gt;=0) * (_xlpm.ints&lt;=_xlpm.limit),
    _xlpm.validVals, _xlfn._xlws.FILTER(_xlpm.vals, _xlpm.mask),
    _xlpm.minVal, MIN(_xlpm.validVals),
    IFERROR( _xlfn.XMATCH(_xlpm.minVal, _xlpm.vals), "" )
)</f>
        <v>4</v>
      </c>
      <c r="AJ302" cm="1">
        <f t="array" ref="AJ302">_xlfn.LET(
    _xlpm.vals, CHOOSE({1,2,3,4,5,6}, S302, V302, Y302, AB302, AE302, AH302),
    _xlpm.slopes, CHOOSE({1,2,3,4,5,6}, Q302, T302, W302, Z302, AC302, AF302),
    _xlpm.ints, CHOOSE({1,2,3,4,5,6}, R302, U302, X302, AA302, AD302, AG302),
    _xlpm.limit, -0.00001*_xlpm.slopes + 0.1086*_xlpm.slopes + 63.253,
    _xlpm.valid, (_xlpm.vals &gt;= 0) * (_xlpm.ints &lt;= _xlpm.limit),
    _xlpm.target, MIN(_xlfn._xlws.FILTER(_xlpm.vals, _xlpm.valid)),
    IFERROR(
        _xlfn.XLOOKUP(_xlpm.target, _xlpm.vals, _xlpm.vals),
        CHOOSE({1,2,3,4,5,6}, S$1, V$1, Y$1, AB$1, AE$1, AH$1)
    )
)</f>
        <v>0.52090644827866761</v>
      </c>
    </row>
    <row r="303" spans="9:36" x14ac:dyDescent="0.45">
      <c r="I303">
        <v>301</v>
      </c>
      <c r="J303">
        <v>28.9</v>
      </c>
      <c r="K303">
        <f t="shared" si="93"/>
        <v>28.9</v>
      </c>
      <c r="L303">
        <f t="shared" si="92"/>
        <v>8.0277777777777778E-3</v>
      </c>
      <c r="M303">
        <v>-0.66</v>
      </c>
      <c r="N303">
        <f t="shared" si="94"/>
        <v>0</v>
      </c>
      <c r="O303">
        <f t="shared" si="95"/>
        <v>375.56078254945123</v>
      </c>
      <c r="P303">
        <f t="shared" si="96"/>
        <v>1201.7945041582441</v>
      </c>
      <c r="Q303">
        <f t="shared" si="97"/>
        <v>5504.2188290447584</v>
      </c>
      <c r="R303">
        <f t="shared" si="98"/>
        <v>0</v>
      </c>
      <c r="S303">
        <f t="shared" si="99"/>
        <v>5.092813357585686</v>
      </c>
      <c r="T303">
        <f t="shared" si="100"/>
        <v>3557.3117323084025</v>
      </c>
      <c r="U303">
        <f t="shared" si="101"/>
        <v>0</v>
      </c>
      <c r="V303">
        <f t="shared" si="102"/>
        <v>1.4422188588512872</v>
      </c>
      <c r="W303">
        <f t="shared" si="103"/>
        <v>2295.4275029422461</v>
      </c>
      <c r="X303">
        <f t="shared" si="104"/>
        <v>0</v>
      </c>
      <c r="Y303">
        <f t="shared" si="105"/>
        <v>0.61967051425079844</v>
      </c>
      <c r="Z303">
        <f t="shared" si="106"/>
        <v>1730.5840859878715</v>
      </c>
      <c r="AA303">
        <f t="shared" si="107"/>
        <v>0</v>
      </c>
      <c r="AB303">
        <f t="shared" si="108"/>
        <v>0.45741289569656746</v>
      </c>
      <c r="AC303">
        <f t="shared" si="109"/>
        <v>6000</v>
      </c>
      <c r="AD303">
        <f t="shared" si="110"/>
        <v>0</v>
      </c>
      <c r="AE303">
        <f t="shared" si="111"/>
        <v>6.7000407999999982</v>
      </c>
      <c r="AF303">
        <f t="shared" si="112"/>
        <v>6000</v>
      </c>
      <c r="AG303">
        <f t="shared" si="113"/>
        <v>0</v>
      </c>
      <c r="AH303">
        <f t="shared" si="114"/>
        <v>6.7000407999999982</v>
      </c>
      <c r="AI303" cm="1">
        <f t="array" ref="AI303">_xlfn.LET(
    _xlpm.vals,   _xlfn.HSTACK(S303,V303,Y303,AB303,AE303,AH303),
    _xlpm.ints,   _xlfn.HSTACK(R303,U303,X303,AA303,AD303,AG303),
    _xlpm.slopes, _xlfn.HSTACK(Q303,T303,W303,Z303,AC303,AF303),
    _xlpm.limit,  -0.00001*_xlpm.slopes + 0.1086*_xlpm.slopes + 63.253,
    _xlpm.mask,   (_xlpm.vals&gt;=0) * (_xlpm.ints&lt;=_xlpm.limit),
    _xlpm.validVals, _xlfn._xlws.FILTER(_xlpm.vals, _xlpm.mask),
    _xlpm.minVal, MIN(_xlpm.validVals),
    IFERROR( _xlfn.XMATCH(_xlpm.minVal, _xlpm.vals), "" )
)</f>
        <v>4</v>
      </c>
      <c r="AJ303" cm="1">
        <f t="array" ref="AJ303">_xlfn.LET(
    _xlpm.vals, CHOOSE({1,2,3,4,5,6}, S303, V303, Y303, AB303, AE303, AH303),
    _xlpm.slopes, CHOOSE({1,2,3,4,5,6}, Q303, T303, W303, Z303, AC303, AF303),
    _xlpm.ints, CHOOSE({1,2,3,4,5,6}, R303, U303, X303, AA303, AD303, AG303),
    _xlpm.limit, -0.00001*_xlpm.slopes + 0.1086*_xlpm.slopes + 63.253,
    _xlpm.valid, (_xlpm.vals &gt;= 0) * (_xlpm.ints &lt;= _xlpm.limit),
    _xlpm.target, MIN(_xlfn._xlws.FILTER(_xlpm.vals, _xlpm.valid)),
    IFERROR(
        _xlfn.XLOOKUP(_xlpm.target, _xlpm.vals, _xlpm.vals),
        CHOOSE({1,2,3,4,5,6}, S$1, V$1, Y$1, AB$1, AE$1, AH$1)
    )
)</f>
        <v>0.45741289569656746</v>
      </c>
    </row>
    <row r="304" spans="9:36" x14ac:dyDescent="0.45">
      <c r="I304">
        <v>302</v>
      </c>
      <c r="J304">
        <v>27.1</v>
      </c>
      <c r="K304">
        <f t="shared" si="93"/>
        <v>27.1</v>
      </c>
      <c r="L304">
        <f t="shared" si="92"/>
        <v>7.5277777777777782E-3</v>
      </c>
      <c r="M304">
        <v>-0.53</v>
      </c>
      <c r="N304">
        <f t="shared" si="94"/>
        <v>0</v>
      </c>
      <c r="O304">
        <f t="shared" si="95"/>
        <v>352.1694535325305</v>
      </c>
      <c r="P304">
        <f t="shared" si="96"/>
        <v>1126.9422513040977</v>
      </c>
      <c r="Q304">
        <f t="shared" si="97"/>
        <v>5161.3955109727676</v>
      </c>
      <c r="R304">
        <f t="shared" si="98"/>
        <v>0</v>
      </c>
      <c r="S304">
        <f t="shared" si="99"/>
        <v>4.1645008878546612</v>
      </c>
      <c r="T304">
        <f t="shared" si="100"/>
        <v>3335.7490638601289</v>
      </c>
      <c r="U304">
        <f t="shared" si="101"/>
        <v>0</v>
      </c>
      <c r="V304">
        <f t="shared" si="102"/>
        <v>1.2339844054457212</v>
      </c>
      <c r="W304">
        <f t="shared" si="103"/>
        <v>2152.4596999908263</v>
      </c>
      <c r="X304">
        <f t="shared" si="104"/>
        <v>0</v>
      </c>
      <c r="Y304">
        <f t="shared" si="105"/>
        <v>0.57064211023357814</v>
      </c>
      <c r="Z304">
        <f t="shared" si="106"/>
        <v>1622.7968418779005</v>
      </c>
      <c r="AA304">
        <f t="shared" si="107"/>
        <v>0</v>
      </c>
      <c r="AB304">
        <f t="shared" si="108"/>
        <v>0.43416893119949046</v>
      </c>
      <c r="AC304">
        <f t="shared" si="109"/>
        <v>6000</v>
      </c>
      <c r="AD304">
        <f t="shared" si="110"/>
        <v>0</v>
      </c>
      <c r="AE304">
        <f t="shared" si="111"/>
        <v>6.7000407999999982</v>
      </c>
      <c r="AF304">
        <f t="shared" si="112"/>
        <v>6000</v>
      </c>
      <c r="AG304">
        <f t="shared" si="113"/>
        <v>0</v>
      </c>
      <c r="AH304">
        <f t="shared" si="114"/>
        <v>6.7000407999999982</v>
      </c>
      <c r="AI304" cm="1">
        <f t="array" ref="AI304">_xlfn.LET(
    _xlpm.vals,   _xlfn.HSTACK(S304,V304,Y304,AB304,AE304,AH304),
    _xlpm.ints,   _xlfn.HSTACK(R304,U304,X304,AA304,AD304,AG304),
    _xlpm.slopes, _xlfn.HSTACK(Q304,T304,W304,Z304,AC304,AF304),
    _xlpm.limit,  -0.00001*_xlpm.slopes + 0.1086*_xlpm.slopes + 63.253,
    _xlpm.mask,   (_xlpm.vals&gt;=0) * (_xlpm.ints&lt;=_xlpm.limit),
    _xlpm.validVals, _xlfn._xlws.FILTER(_xlpm.vals, _xlpm.mask),
    _xlpm.minVal, MIN(_xlpm.validVals),
    IFERROR( _xlfn.XMATCH(_xlpm.minVal, _xlpm.vals), "" )
)</f>
        <v>4</v>
      </c>
      <c r="AJ304" cm="1">
        <f t="array" ref="AJ304">_xlfn.LET(
    _xlpm.vals, CHOOSE({1,2,3,4,5,6}, S304, V304, Y304, AB304, AE304, AH304),
    _xlpm.slopes, CHOOSE({1,2,3,4,5,6}, Q304, T304, W304, Z304, AC304, AF304),
    _xlpm.ints, CHOOSE({1,2,3,4,5,6}, R304, U304, X304, AA304, AD304, AG304),
    _xlpm.limit, -0.00001*_xlpm.slopes + 0.1086*_xlpm.slopes + 63.253,
    _xlpm.valid, (_xlpm.vals &gt;= 0) * (_xlpm.ints &lt;= _xlpm.limit),
    _xlpm.target, MIN(_xlfn._xlws.FILTER(_xlpm.vals, _xlpm.valid)),
    IFERROR(
        _xlfn.XLOOKUP(_xlpm.target, _xlpm.vals, _xlpm.vals),
        CHOOSE({1,2,3,4,5,6}, S$1, V$1, Y$1, AB$1, AE$1, AH$1)
    )
)</f>
        <v>0.43416893119949046</v>
      </c>
    </row>
    <row r="305" spans="9:36" x14ac:dyDescent="0.45">
      <c r="I305">
        <v>303</v>
      </c>
      <c r="J305">
        <v>24.5</v>
      </c>
      <c r="K305">
        <f t="shared" si="93"/>
        <v>24.5</v>
      </c>
      <c r="L305">
        <f t="shared" si="92"/>
        <v>6.8055555555555551E-3</v>
      </c>
      <c r="M305">
        <v>-0.48</v>
      </c>
      <c r="N305">
        <f t="shared" si="94"/>
        <v>0</v>
      </c>
      <c r="O305">
        <f t="shared" si="95"/>
        <v>318.38197828586698</v>
      </c>
      <c r="P305">
        <f t="shared" si="96"/>
        <v>1018.8223305147744</v>
      </c>
      <c r="Q305">
        <f t="shared" si="97"/>
        <v>4666.2062737576671</v>
      </c>
      <c r="R305">
        <f t="shared" si="98"/>
        <v>0</v>
      </c>
      <c r="S305">
        <f t="shared" si="99"/>
        <v>3.0611906705742857</v>
      </c>
      <c r="T305">
        <f t="shared" si="100"/>
        <v>3015.7140983237323</v>
      </c>
      <c r="U305">
        <f t="shared" si="101"/>
        <v>0</v>
      </c>
      <c r="V305">
        <f t="shared" si="102"/>
        <v>0.98719524688362559</v>
      </c>
      <c r="W305">
        <f t="shared" si="103"/>
        <v>1945.950651283219</v>
      </c>
      <c r="X305">
        <f t="shared" si="104"/>
        <v>0</v>
      </c>
      <c r="Y305">
        <f t="shared" si="105"/>
        <v>0.51009520174926215</v>
      </c>
      <c r="Z305">
        <f t="shared" si="106"/>
        <v>1467.1041559412752</v>
      </c>
      <c r="AA305">
        <f t="shared" si="107"/>
        <v>0</v>
      </c>
      <c r="AB305">
        <f t="shared" si="108"/>
        <v>0.4033263998174717</v>
      </c>
      <c r="AC305">
        <f t="shared" si="109"/>
        <v>6000</v>
      </c>
      <c r="AD305">
        <f t="shared" si="110"/>
        <v>0</v>
      </c>
      <c r="AE305">
        <f t="shared" si="111"/>
        <v>6.7000407999999982</v>
      </c>
      <c r="AF305">
        <f t="shared" si="112"/>
        <v>6000</v>
      </c>
      <c r="AG305">
        <f t="shared" si="113"/>
        <v>0</v>
      </c>
      <c r="AH305">
        <f t="shared" si="114"/>
        <v>6.7000407999999982</v>
      </c>
      <c r="AI305" cm="1">
        <f t="array" ref="AI305">_xlfn.LET(
    _xlpm.vals,   _xlfn.HSTACK(S305,V305,Y305,AB305,AE305,AH305),
    _xlpm.ints,   _xlfn.HSTACK(R305,U305,X305,AA305,AD305,AG305),
    _xlpm.slopes, _xlfn.HSTACK(Q305,T305,W305,Z305,AC305,AF305),
    _xlpm.limit,  -0.00001*_xlpm.slopes + 0.1086*_xlpm.slopes + 63.253,
    _xlpm.mask,   (_xlpm.vals&gt;=0) * (_xlpm.ints&lt;=_xlpm.limit),
    _xlpm.validVals, _xlfn._xlws.FILTER(_xlpm.vals, _xlpm.mask),
    _xlpm.minVal, MIN(_xlpm.validVals),
    IFERROR( _xlfn.XMATCH(_xlpm.minVal, _xlpm.vals), "" )
)</f>
        <v>4</v>
      </c>
      <c r="AJ305" cm="1">
        <f t="array" ref="AJ305">_xlfn.LET(
    _xlpm.vals, CHOOSE({1,2,3,4,5,6}, S305, V305, Y305, AB305, AE305, AH305),
    _xlpm.slopes, CHOOSE({1,2,3,4,5,6}, Q305, T305, W305, Z305, AC305, AF305),
    _xlpm.ints, CHOOSE({1,2,3,4,5,6}, R305, U305, X305, AA305, AD305, AG305),
    _xlpm.limit, -0.00001*_xlpm.slopes + 0.1086*_xlpm.slopes + 63.253,
    _xlpm.valid, (_xlpm.vals &gt;= 0) * (_xlpm.ints &lt;= _xlpm.limit),
    _xlpm.target, MIN(_xlfn._xlws.FILTER(_xlpm.vals, _xlpm.valid)),
    IFERROR(
        _xlfn.XLOOKUP(_xlpm.target, _xlpm.vals, _xlpm.vals),
        CHOOSE({1,2,3,4,5,6}, S$1, V$1, Y$1, AB$1, AE$1, AH$1)
    )
)</f>
        <v>0.4033263998174717</v>
      </c>
    </row>
    <row r="306" spans="9:36" x14ac:dyDescent="0.45">
      <c r="I306">
        <v>304</v>
      </c>
      <c r="J306">
        <v>21.5</v>
      </c>
      <c r="K306">
        <f t="shared" si="93"/>
        <v>21.5</v>
      </c>
      <c r="L306">
        <f t="shared" si="92"/>
        <v>5.9722222222222225E-3</v>
      </c>
      <c r="M306">
        <v>-1.37</v>
      </c>
      <c r="N306">
        <f t="shared" si="94"/>
        <v>0</v>
      </c>
      <c r="O306">
        <f t="shared" si="95"/>
        <v>279.39642992433227</v>
      </c>
      <c r="P306">
        <f t="shared" si="96"/>
        <v>894.0685757578633</v>
      </c>
      <c r="Q306">
        <f t="shared" si="97"/>
        <v>4094.8340769710139</v>
      </c>
      <c r="R306">
        <f t="shared" si="98"/>
        <v>0</v>
      </c>
      <c r="S306">
        <f t="shared" si="99"/>
        <v>2.0957026729941433</v>
      </c>
      <c r="T306">
        <f t="shared" si="100"/>
        <v>2646.4429842432755</v>
      </c>
      <c r="U306">
        <f t="shared" si="101"/>
        <v>0</v>
      </c>
      <c r="V306">
        <f t="shared" si="102"/>
        <v>0.77057081086092871</v>
      </c>
      <c r="W306">
        <f t="shared" si="103"/>
        <v>1707.6709796975188</v>
      </c>
      <c r="X306">
        <f t="shared" si="104"/>
        <v>0</v>
      </c>
      <c r="Y306">
        <f t="shared" si="105"/>
        <v>0.45231972162079104</v>
      </c>
      <c r="Z306">
        <f t="shared" si="106"/>
        <v>1287.4587490913232</v>
      </c>
      <c r="AA306">
        <f t="shared" si="107"/>
        <v>0</v>
      </c>
      <c r="AB306">
        <f t="shared" si="108"/>
        <v>0.37046614936363403</v>
      </c>
      <c r="AC306">
        <f t="shared" si="109"/>
        <v>6000</v>
      </c>
      <c r="AD306">
        <f t="shared" si="110"/>
        <v>0</v>
      </c>
      <c r="AE306">
        <f t="shared" si="111"/>
        <v>6.7000407999999982</v>
      </c>
      <c r="AF306">
        <f t="shared" si="112"/>
        <v>6000</v>
      </c>
      <c r="AG306">
        <f t="shared" si="113"/>
        <v>0</v>
      </c>
      <c r="AH306">
        <f t="shared" si="114"/>
        <v>6.7000407999999982</v>
      </c>
      <c r="AI306" cm="1">
        <f t="array" ref="AI306">_xlfn.LET(
    _xlpm.vals,   _xlfn.HSTACK(S306,V306,Y306,AB306,AE306,AH306),
    _xlpm.ints,   _xlfn.HSTACK(R306,U306,X306,AA306,AD306,AG306),
    _xlpm.slopes, _xlfn.HSTACK(Q306,T306,W306,Z306,AC306,AF306),
    _xlpm.limit,  -0.00001*_xlpm.slopes + 0.1086*_xlpm.slopes + 63.253,
    _xlpm.mask,   (_xlpm.vals&gt;=0) * (_xlpm.ints&lt;=_xlpm.limit),
    _xlpm.validVals, _xlfn._xlws.FILTER(_xlpm.vals, _xlpm.mask),
    _xlpm.minVal, MIN(_xlpm.validVals),
    IFERROR( _xlfn.XMATCH(_xlpm.minVal, _xlpm.vals), "" )
)</f>
        <v>4</v>
      </c>
      <c r="AJ306" cm="1">
        <f t="array" ref="AJ306">_xlfn.LET(
    _xlpm.vals, CHOOSE({1,2,3,4,5,6}, S306, V306, Y306, AB306, AE306, AH306),
    _xlpm.slopes, CHOOSE({1,2,3,4,5,6}, Q306, T306, W306, Z306, AC306, AF306),
    _xlpm.ints, CHOOSE({1,2,3,4,5,6}, R306, U306, X306, AA306, AD306, AG306),
    _xlpm.limit, -0.00001*_xlpm.slopes + 0.1086*_xlpm.slopes + 63.253,
    _xlpm.valid, (_xlpm.vals &gt;= 0) * (_xlpm.ints &lt;= _xlpm.limit),
    _xlpm.target, MIN(_xlfn._xlws.FILTER(_xlpm.vals, _xlpm.valid)),
    IFERROR(
        _xlfn.XLOOKUP(_xlpm.target, _xlpm.vals, _xlpm.vals),
        CHOOSE({1,2,3,4,5,6}, S$1, V$1, Y$1, AB$1, AE$1, AH$1)
    )
)</f>
        <v>0.37046614936363403</v>
      </c>
    </row>
    <row r="307" spans="9:36" x14ac:dyDescent="0.45">
      <c r="I307">
        <v>305</v>
      </c>
      <c r="J307">
        <v>20.3</v>
      </c>
      <c r="K307">
        <f t="shared" si="93"/>
        <v>20.3</v>
      </c>
      <c r="L307">
        <f t="shared" si="92"/>
        <v>5.6388888888888895E-3</v>
      </c>
      <c r="M307">
        <v>-1.04</v>
      </c>
      <c r="N307">
        <f t="shared" si="94"/>
        <v>0</v>
      </c>
      <c r="O307">
        <f t="shared" si="95"/>
        <v>263.80221057971835</v>
      </c>
      <c r="P307">
        <f t="shared" si="96"/>
        <v>844.16707385509881</v>
      </c>
      <c r="Q307">
        <f t="shared" si="97"/>
        <v>3866.2851982563525</v>
      </c>
      <c r="R307">
        <f t="shared" si="98"/>
        <v>0</v>
      </c>
      <c r="S307">
        <f t="shared" si="99"/>
        <v>1.7903798177287202</v>
      </c>
      <c r="T307">
        <f t="shared" si="100"/>
        <v>2498.7345386110924</v>
      </c>
      <c r="U307">
        <f t="shared" si="101"/>
        <v>0</v>
      </c>
      <c r="V307">
        <f t="shared" si="102"/>
        <v>0.70128431501698552</v>
      </c>
      <c r="W307">
        <f t="shared" si="103"/>
        <v>1612.3591110632387</v>
      </c>
      <c r="X307">
        <f t="shared" si="104"/>
        <v>0</v>
      </c>
      <c r="Y307">
        <f t="shared" si="105"/>
        <v>0.43200888146676464</v>
      </c>
      <c r="Z307">
        <f t="shared" si="106"/>
        <v>1215.6005863513421</v>
      </c>
      <c r="AA307">
        <f t="shared" si="107"/>
        <v>0</v>
      </c>
      <c r="AB307">
        <f t="shared" si="108"/>
        <v>0.35778602872303411</v>
      </c>
      <c r="AC307">
        <f t="shared" si="109"/>
        <v>6000</v>
      </c>
      <c r="AD307">
        <f t="shared" si="110"/>
        <v>0</v>
      </c>
      <c r="AE307">
        <f t="shared" si="111"/>
        <v>6.7000407999999982</v>
      </c>
      <c r="AF307">
        <f t="shared" si="112"/>
        <v>6000</v>
      </c>
      <c r="AG307">
        <f t="shared" si="113"/>
        <v>0</v>
      </c>
      <c r="AH307">
        <f t="shared" si="114"/>
        <v>6.7000407999999982</v>
      </c>
      <c r="AI307" cm="1">
        <f t="array" ref="AI307">_xlfn.LET(
    _xlpm.vals,   _xlfn.HSTACK(S307,V307,Y307,AB307,AE307,AH307),
    _xlpm.ints,   _xlfn.HSTACK(R307,U307,X307,AA307,AD307,AG307),
    _xlpm.slopes, _xlfn.HSTACK(Q307,T307,W307,Z307,AC307,AF307),
    _xlpm.limit,  -0.00001*_xlpm.slopes + 0.1086*_xlpm.slopes + 63.253,
    _xlpm.mask,   (_xlpm.vals&gt;=0) * (_xlpm.ints&lt;=_xlpm.limit),
    _xlpm.validVals, _xlfn._xlws.FILTER(_xlpm.vals, _xlpm.mask),
    _xlpm.minVal, MIN(_xlpm.validVals),
    IFERROR( _xlfn.XMATCH(_xlpm.minVal, _xlpm.vals), "" )
)</f>
        <v>4</v>
      </c>
      <c r="AJ307" cm="1">
        <f t="array" ref="AJ307">_xlfn.LET(
    _xlpm.vals, CHOOSE({1,2,3,4,5,6}, S307, V307, Y307, AB307, AE307, AH307),
    _xlpm.slopes, CHOOSE({1,2,3,4,5,6}, Q307, T307, W307, Z307, AC307, AF307),
    _xlpm.ints, CHOOSE({1,2,3,4,5,6}, R307, U307, X307, AA307, AD307, AG307),
    _xlpm.limit, -0.00001*_xlpm.slopes + 0.1086*_xlpm.slopes + 63.253,
    _xlpm.valid, (_xlpm.vals &gt;= 0) * (_xlpm.ints &lt;= _xlpm.limit),
    _xlpm.target, MIN(_xlfn._xlws.FILTER(_xlpm.vals, _xlpm.valid)),
    IFERROR(
        _xlfn.XLOOKUP(_xlpm.target, _xlpm.vals, _xlpm.vals),
        CHOOSE({1,2,3,4,5,6}, S$1, V$1, Y$1, AB$1, AE$1, AH$1)
    )
)</f>
        <v>0.35778602872303411</v>
      </c>
    </row>
    <row r="308" spans="9:36" x14ac:dyDescent="0.45">
      <c r="I308">
        <v>306</v>
      </c>
      <c r="J308">
        <v>19.2</v>
      </c>
      <c r="K308">
        <f t="shared" si="93"/>
        <v>19.2</v>
      </c>
      <c r="L308">
        <f t="shared" si="92"/>
        <v>5.3333333333333332E-3</v>
      </c>
      <c r="M308">
        <v>-1.03</v>
      </c>
      <c r="N308">
        <f t="shared" si="94"/>
        <v>0</v>
      </c>
      <c r="O308">
        <f t="shared" si="95"/>
        <v>249.50750951382227</v>
      </c>
      <c r="P308">
        <f t="shared" si="96"/>
        <v>798.42403044423133</v>
      </c>
      <c r="Q308">
        <f t="shared" si="97"/>
        <v>3656.7820594345794</v>
      </c>
      <c r="R308">
        <f t="shared" si="98"/>
        <v>0</v>
      </c>
      <c r="S308">
        <f t="shared" si="99"/>
        <v>1.5466383250539877</v>
      </c>
      <c r="T308">
        <f t="shared" si="100"/>
        <v>2363.3351301149246</v>
      </c>
      <c r="U308">
        <f t="shared" si="101"/>
        <v>0</v>
      </c>
      <c r="V308">
        <f t="shared" si="102"/>
        <v>0.64528413261800965</v>
      </c>
      <c r="W308">
        <f t="shared" si="103"/>
        <v>1524.9898981484819</v>
      </c>
      <c r="X308">
        <f t="shared" si="104"/>
        <v>0</v>
      </c>
      <c r="Y308">
        <f t="shared" si="105"/>
        <v>0.41447245219748952</v>
      </c>
      <c r="Z308">
        <f t="shared" si="106"/>
        <v>1149.730603839693</v>
      </c>
      <c r="AA308">
        <f t="shared" si="107"/>
        <v>0</v>
      </c>
      <c r="AB308">
        <f t="shared" si="108"/>
        <v>0.34625691117022617</v>
      </c>
      <c r="AC308">
        <f t="shared" si="109"/>
        <v>6000</v>
      </c>
      <c r="AD308">
        <f t="shared" si="110"/>
        <v>0</v>
      </c>
      <c r="AE308">
        <f t="shared" si="111"/>
        <v>6.7000407999999982</v>
      </c>
      <c r="AF308">
        <f t="shared" si="112"/>
        <v>6000</v>
      </c>
      <c r="AG308">
        <f t="shared" si="113"/>
        <v>0</v>
      </c>
      <c r="AH308">
        <f t="shared" si="114"/>
        <v>6.7000407999999982</v>
      </c>
      <c r="AI308" cm="1">
        <f t="array" ref="AI308">_xlfn.LET(
    _xlpm.vals,   _xlfn.HSTACK(S308,V308,Y308,AB308,AE308,AH308),
    _xlpm.ints,   _xlfn.HSTACK(R308,U308,X308,AA308,AD308,AG308),
    _xlpm.slopes, _xlfn.HSTACK(Q308,T308,W308,Z308,AC308,AF308),
    _xlpm.limit,  -0.00001*_xlpm.slopes + 0.1086*_xlpm.slopes + 63.253,
    _xlpm.mask,   (_xlpm.vals&gt;=0) * (_xlpm.ints&lt;=_xlpm.limit),
    _xlpm.validVals, _xlfn._xlws.FILTER(_xlpm.vals, _xlpm.mask),
    _xlpm.minVal, MIN(_xlpm.validVals),
    IFERROR( _xlfn.XMATCH(_xlpm.minVal, _xlpm.vals), "" )
)</f>
        <v>4</v>
      </c>
      <c r="AJ308" cm="1">
        <f t="array" ref="AJ308">_xlfn.LET(
    _xlpm.vals, CHOOSE({1,2,3,4,5,6}, S308, V308, Y308, AB308, AE308, AH308),
    _xlpm.slopes, CHOOSE({1,2,3,4,5,6}, Q308, T308, W308, Z308, AC308, AF308),
    _xlpm.ints, CHOOSE({1,2,3,4,5,6}, R308, U308, X308, AA308, AD308, AG308),
    _xlpm.limit, -0.00001*_xlpm.slopes + 0.1086*_xlpm.slopes + 63.253,
    _xlpm.valid, (_xlpm.vals &gt;= 0) * (_xlpm.ints &lt;= _xlpm.limit),
    _xlpm.target, MIN(_xlfn._xlws.FILTER(_xlpm.vals, _xlpm.valid)),
    IFERROR(
        _xlfn.XLOOKUP(_xlpm.target, _xlpm.vals, _xlpm.vals),
        CHOOSE({1,2,3,4,5,6}, S$1, V$1, Y$1, AB$1, AE$1, AH$1)
    )
)</f>
        <v>0.34625691117022617</v>
      </c>
    </row>
    <row r="309" spans="9:36" x14ac:dyDescent="0.45">
      <c r="I309">
        <v>307</v>
      </c>
      <c r="J309">
        <v>18</v>
      </c>
      <c r="K309">
        <f t="shared" si="93"/>
        <v>18</v>
      </c>
      <c r="L309">
        <f t="shared" si="92"/>
        <v>5.0000000000000001E-3</v>
      </c>
      <c r="M309">
        <v>-0.65</v>
      </c>
      <c r="N309">
        <f t="shared" si="94"/>
        <v>0</v>
      </c>
      <c r="O309">
        <f t="shared" si="95"/>
        <v>233.91329016920844</v>
      </c>
      <c r="P309">
        <f t="shared" si="96"/>
        <v>748.52252854146707</v>
      </c>
      <c r="Q309">
        <f t="shared" si="97"/>
        <v>3428.2331807199193</v>
      </c>
      <c r="R309">
        <f t="shared" si="98"/>
        <v>0</v>
      </c>
      <c r="S309">
        <f t="shared" si="99"/>
        <v>1.3169493584681948</v>
      </c>
      <c r="T309">
        <f t="shared" si="100"/>
        <v>2215.6266844827423</v>
      </c>
      <c r="U309">
        <f t="shared" si="101"/>
        <v>0</v>
      </c>
      <c r="V309">
        <f t="shared" si="102"/>
        <v>0.59152128778162427</v>
      </c>
      <c r="W309">
        <f t="shared" si="103"/>
        <v>1429.6780295142021</v>
      </c>
      <c r="X309">
        <f t="shared" si="104"/>
        <v>0</v>
      </c>
      <c r="Y309">
        <f t="shared" si="105"/>
        <v>0.39628901867054278</v>
      </c>
      <c r="Z309">
        <f t="shared" si="106"/>
        <v>1077.8724410997124</v>
      </c>
      <c r="AA309">
        <f t="shared" si="107"/>
        <v>0</v>
      </c>
      <c r="AB309">
        <f t="shared" si="108"/>
        <v>0.33368275598589642</v>
      </c>
      <c r="AC309">
        <f t="shared" si="109"/>
        <v>6000</v>
      </c>
      <c r="AD309">
        <f t="shared" si="110"/>
        <v>0</v>
      </c>
      <c r="AE309">
        <f t="shared" si="111"/>
        <v>6.7000407999999982</v>
      </c>
      <c r="AF309">
        <f t="shared" si="112"/>
        <v>6000</v>
      </c>
      <c r="AG309">
        <f t="shared" si="113"/>
        <v>0</v>
      </c>
      <c r="AH309">
        <f t="shared" si="114"/>
        <v>6.7000407999999982</v>
      </c>
      <c r="AI309" cm="1">
        <f t="array" ref="AI309">_xlfn.LET(
    _xlpm.vals,   _xlfn.HSTACK(S309,V309,Y309,AB309,AE309,AH309),
    _xlpm.ints,   _xlfn.HSTACK(R309,U309,X309,AA309,AD309,AG309),
    _xlpm.slopes, _xlfn.HSTACK(Q309,T309,W309,Z309,AC309,AF309),
    _xlpm.limit,  -0.00001*_xlpm.slopes + 0.1086*_xlpm.slopes + 63.253,
    _xlpm.mask,   (_xlpm.vals&gt;=0) * (_xlpm.ints&lt;=_xlpm.limit),
    _xlpm.validVals, _xlfn._xlws.FILTER(_xlpm.vals, _xlpm.mask),
    _xlpm.minVal, MIN(_xlpm.validVals),
    IFERROR( _xlfn.XMATCH(_xlpm.minVal, _xlpm.vals), "" )
)</f>
        <v>4</v>
      </c>
      <c r="AJ309" cm="1">
        <f t="array" ref="AJ309">_xlfn.LET(
    _xlpm.vals, CHOOSE({1,2,3,4,5,6}, S309, V309, Y309, AB309, AE309, AH309),
    _xlpm.slopes, CHOOSE({1,2,3,4,5,6}, Q309, T309, W309, Z309, AC309, AF309),
    _xlpm.ints, CHOOSE({1,2,3,4,5,6}, R309, U309, X309, AA309, AD309, AG309),
    _xlpm.limit, -0.00001*_xlpm.slopes + 0.1086*_xlpm.slopes + 63.253,
    _xlpm.valid, (_xlpm.vals &gt;= 0) * (_xlpm.ints &lt;= _xlpm.limit),
    _xlpm.target, MIN(_xlfn._xlws.FILTER(_xlpm.vals, _xlpm.valid)),
    IFERROR(
        _xlfn.XLOOKUP(_xlpm.target, _xlpm.vals, _xlpm.vals),
        CHOOSE({1,2,3,4,5,6}, S$1, V$1, Y$1, AB$1, AE$1, AH$1)
    )
)</f>
        <v>0.33368275598589642</v>
      </c>
    </row>
    <row r="310" spans="9:36" x14ac:dyDescent="0.45">
      <c r="I310">
        <v>308</v>
      </c>
      <c r="J310">
        <v>16.399999999999999</v>
      </c>
      <c r="K310">
        <f t="shared" si="93"/>
        <v>16.399999999999999</v>
      </c>
      <c r="L310">
        <f t="shared" si="92"/>
        <v>4.5555555555555549E-3</v>
      </c>
      <c r="M310">
        <v>-0.95</v>
      </c>
      <c r="N310">
        <f t="shared" si="94"/>
        <v>0</v>
      </c>
      <c r="O310">
        <f t="shared" si="95"/>
        <v>213.12099770972321</v>
      </c>
      <c r="P310">
        <f t="shared" si="96"/>
        <v>681.98719267111437</v>
      </c>
      <c r="Q310">
        <f t="shared" si="97"/>
        <v>3123.5013424337039</v>
      </c>
      <c r="R310">
        <f t="shared" si="98"/>
        <v>0</v>
      </c>
      <c r="S310">
        <f t="shared" si="99"/>
        <v>1.0636645296912912</v>
      </c>
      <c r="T310">
        <f t="shared" si="100"/>
        <v>2018.6820903064986</v>
      </c>
      <c r="U310">
        <f t="shared" si="101"/>
        <v>0</v>
      </c>
      <c r="V310">
        <f t="shared" si="102"/>
        <v>0.53016428220432554</v>
      </c>
      <c r="W310">
        <f t="shared" si="103"/>
        <v>1302.5955380018283</v>
      </c>
      <c r="X310">
        <f t="shared" si="104"/>
        <v>0</v>
      </c>
      <c r="Y310">
        <f t="shared" si="105"/>
        <v>0.37316057353421972</v>
      </c>
      <c r="Z310">
        <f t="shared" si="106"/>
        <v>6000</v>
      </c>
      <c r="AA310">
        <f t="shared" si="107"/>
        <v>0</v>
      </c>
      <c r="AB310">
        <f t="shared" si="108"/>
        <v>6.7000407999999982</v>
      </c>
      <c r="AC310">
        <f t="shared" si="109"/>
        <v>6000</v>
      </c>
      <c r="AD310">
        <f t="shared" si="110"/>
        <v>0</v>
      </c>
      <c r="AE310">
        <f t="shared" si="111"/>
        <v>6.7000407999999982</v>
      </c>
      <c r="AF310">
        <f t="shared" si="112"/>
        <v>6000</v>
      </c>
      <c r="AG310">
        <f t="shared" si="113"/>
        <v>0</v>
      </c>
      <c r="AH310">
        <f t="shared" si="114"/>
        <v>6.7000407999999982</v>
      </c>
      <c r="AI310" cm="1">
        <f t="array" ref="AI310">_xlfn.LET(
    _xlpm.vals,   _xlfn.HSTACK(S310,V310,Y310,AB310,AE310,AH310),
    _xlpm.ints,   _xlfn.HSTACK(R310,U310,X310,AA310,AD310,AG310),
    _xlpm.slopes, _xlfn.HSTACK(Q310,T310,W310,Z310,AC310,AF310),
    _xlpm.limit,  -0.00001*_xlpm.slopes + 0.1086*_xlpm.slopes + 63.253,
    _xlpm.mask,   (_xlpm.vals&gt;=0) * (_xlpm.ints&lt;=_xlpm.limit),
    _xlpm.validVals, _xlfn._xlws.FILTER(_xlpm.vals, _xlpm.mask),
    _xlpm.minVal, MIN(_xlpm.validVals),
    IFERROR( _xlfn.XMATCH(_xlpm.minVal, _xlpm.vals), "" )
)</f>
        <v>3</v>
      </c>
      <c r="AJ310" cm="1">
        <f t="array" ref="AJ310">_xlfn.LET(
    _xlpm.vals, CHOOSE({1,2,3,4,5,6}, S310, V310, Y310, AB310, AE310, AH310),
    _xlpm.slopes, CHOOSE({1,2,3,4,5,6}, Q310, T310, W310, Z310, AC310, AF310),
    _xlpm.ints, CHOOSE({1,2,3,4,5,6}, R310, U310, X310, AA310, AD310, AG310),
    _xlpm.limit, -0.00001*_xlpm.slopes + 0.1086*_xlpm.slopes + 63.253,
    _xlpm.valid, (_xlpm.vals &gt;= 0) * (_xlpm.ints &lt;= _xlpm.limit),
    _xlpm.target, MIN(_xlfn._xlws.FILTER(_xlpm.vals, _xlpm.valid)),
    IFERROR(
        _xlfn.XLOOKUP(_xlpm.target, _xlpm.vals, _xlpm.vals),
        CHOOSE({1,2,3,4,5,6}, S$1, V$1, Y$1, AB$1, AE$1, AH$1)
    )
)</f>
        <v>0.37316057353421972</v>
      </c>
    </row>
    <row r="311" spans="9:36" x14ac:dyDescent="0.45">
      <c r="I311">
        <v>309</v>
      </c>
      <c r="J311">
        <v>14.5</v>
      </c>
      <c r="K311">
        <f t="shared" si="93"/>
        <v>14.5</v>
      </c>
      <c r="L311">
        <f t="shared" si="92"/>
        <v>4.0277777777777777E-3</v>
      </c>
      <c r="M311">
        <v>-0.8</v>
      </c>
      <c r="N311">
        <f t="shared" si="94"/>
        <v>0</v>
      </c>
      <c r="O311">
        <f t="shared" si="95"/>
        <v>188.43015041408455</v>
      </c>
      <c r="P311">
        <f t="shared" si="96"/>
        <v>602.97648132507061</v>
      </c>
      <c r="Q311">
        <f t="shared" si="97"/>
        <v>2761.6322844688234</v>
      </c>
      <c r="R311">
        <f t="shared" si="98"/>
        <v>0</v>
      </c>
      <c r="S311">
        <f t="shared" si="99"/>
        <v>0.83111877303777226</v>
      </c>
      <c r="T311">
        <f t="shared" si="100"/>
        <v>1784.8103847222089</v>
      </c>
      <c r="U311">
        <f t="shared" si="101"/>
        <v>0</v>
      </c>
      <c r="V311">
        <f t="shared" si="102"/>
        <v>0.46982607560950007</v>
      </c>
      <c r="W311">
        <f t="shared" si="103"/>
        <v>1151.6850793308847</v>
      </c>
      <c r="X311">
        <f t="shared" si="104"/>
        <v>0</v>
      </c>
      <c r="Y311">
        <f t="shared" si="105"/>
        <v>0.34659851739902831</v>
      </c>
      <c r="Z311">
        <f t="shared" si="106"/>
        <v>6000</v>
      </c>
      <c r="AA311">
        <f t="shared" si="107"/>
        <v>0</v>
      </c>
      <c r="AB311">
        <f t="shared" si="108"/>
        <v>6.7000407999999982</v>
      </c>
      <c r="AC311">
        <f t="shared" si="109"/>
        <v>6000</v>
      </c>
      <c r="AD311">
        <f t="shared" si="110"/>
        <v>0</v>
      </c>
      <c r="AE311">
        <f t="shared" si="111"/>
        <v>6.7000407999999982</v>
      </c>
      <c r="AF311">
        <f t="shared" si="112"/>
        <v>6000</v>
      </c>
      <c r="AG311">
        <f t="shared" si="113"/>
        <v>0</v>
      </c>
      <c r="AH311">
        <f t="shared" si="114"/>
        <v>6.7000407999999982</v>
      </c>
      <c r="AI311" cm="1">
        <f t="array" ref="AI311">_xlfn.LET(
    _xlpm.vals,   _xlfn.HSTACK(S311,V311,Y311,AB311,AE311,AH311),
    _xlpm.ints,   _xlfn.HSTACK(R311,U311,X311,AA311,AD311,AG311),
    _xlpm.slopes, _xlfn.HSTACK(Q311,T311,W311,Z311,AC311,AF311),
    _xlpm.limit,  -0.00001*_xlpm.slopes + 0.1086*_xlpm.slopes + 63.253,
    _xlpm.mask,   (_xlpm.vals&gt;=0) * (_xlpm.ints&lt;=_xlpm.limit),
    _xlpm.validVals, _xlfn._xlws.FILTER(_xlpm.vals, _xlpm.mask),
    _xlpm.minVal, MIN(_xlpm.validVals),
    IFERROR( _xlfn.XMATCH(_xlpm.minVal, _xlpm.vals), "" )
)</f>
        <v>3</v>
      </c>
      <c r="AJ311" cm="1">
        <f t="array" ref="AJ311">_xlfn.LET(
    _xlpm.vals, CHOOSE({1,2,3,4,5,6}, S311, V311, Y311, AB311, AE311, AH311),
    _xlpm.slopes, CHOOSE({1,2,3,4,5,6}, Q311, T311, W311, Z311, AC311, AF311),
    _xlpm.ints, CHOOSE({1,2,3,4,5,6}, R311, U311, X311, AA311, AD311, AG311),
    _xlpm.limit, -0.00001*_xlpm.slopes + 0.1086*_xlpm.slopes + 63.253,
    _xlpm.valid, (_xlpm.vals &gt;= 0) * (_xlpm.ints &lt;= _xlpm.limit),
    _xlpm.target, MIN(_xlfn._xlws.FILTER(_xlpm.vals, _xlpm.valid)),
    IFERROR(
        _xlfn.XLOOKUP(_xlpm.target, _xlpm.vals, _xlpm.vals),
        CHOOSE({1,2,3,4,5,6}, S$1, V$1, Y$1, AB$1, AE$1, AH$1)
    )
)</f>
        <v>0.34659851739902831</v>
      </c>
    </row>
    <row r="312" spans="9:36" x14ac:dyDescent="0.45">
      <c r="I312">
        <v>310</v>
      </c>
      <c r="J312">
        <v>12.3</v>
      </c>
      <c r="K312">
        <f t="shared" si="93"/>
        <v>12.3</v>
      </c>
      <c r="L312">
        <f t="shared" si="92"/>
        <v>3.4166666666666668E-3</v>
      </c>
      <c r="M312">
        <v>-0.75</v>
      </c>
      <c r="N312">
        <f t="shared" si="94"/>
        <v>0</v>
      </c>
      <c r="O312">
        <f t="shared" si="95"/>
        <v>159.84074828229242</v>
      </c>
      <c r="P312">
        <f t="shared" si="96"/>
        <v>511.49039450333578</v>
      </c>
      <c r="Q312">
        <f t="shared" si="97"/>
        <v>2342.6260068252777</v>
      </c>
      <c r="R312">
        <f t="shared" si="98"/>
        <v>0</v>
      </c>
      <c r="S312">
        <f t="shared" si="99"/>
        <v>0.63730529781789269</v>
      </c>
      <c r="T312">
        <f t="shared" si="100"/>
        <v>1514.0115677298738</v>
      </c>
      <c r="U312">
        <f t="shared" si="101"/>
        <v>0</v>
      </c>
      <c r="V312">
        <f t="shared" si="102"/>
        <v>0.41233204098775411</v>
      </c>
      <c r="W312">
        <f t="shared" si="103"/>
        <v>6000</v>
      </c>
      <c r="X312">
        <f t="shared" si="104"/>
        <v>0</v>
      </c>
      <c r="Y312">
        <f t="shared" si="105"/>
        <v>6.7000407999999982</v>
      </c>
      <c r="Z312">
        <f t="shared" si="106"/>
        <v>6000</v>
      </c>
      <c r="AA312">
        <f t="shared" si="107"/>
        <v>0</v>
      </c>
      <c r="AB312">
        <f t="shared" si="108"/>
        <v>6.7000407999999982</v>
      </c>
      <c r="AC312">
        <f t="shared" si="109"/>
        <v>6000</v>
      </c>
      <c r="AD312">
        <f t="shared" si="110"/>
        <v>0</v>
      </c>
      <c r="AE312">
        <f t="shared" si="111"/>
        <v>6.7000407999999982</v>
      </c>
      <c r="AF312">
        <f t="shared" si="112"/>
        <v>6000</v>
      </c>
      <c r="AG312">
        <f t="shared" si="113"/>
        <v>0</v>
      </c>
      <c r="AH312">
        <f t="shared" si="114"/>
        <v>6.7000407999999982</v>
      </c>
      <c r="AI312" cm="1">
        <f t="array" ref="AI312">_xlfn.LET(
    _xlpm.vals,   _xlfn.HSTACK(S312,V312,Y312,AB312,AE312,AH312),
    _xlpm.ints,   _xlfn.HSTACK(R312,U312,X312,AA312,AD312,AG312),
    _xlpm.slopes, _xlfn.HSTACK(Q312,T312,W312,Z312,AC312,AF312),
    _xlpm.limit,  -0.00001*_xlpm.slopes + 0.1086*_xlpm.slopes + 63.253,
    _xlpm.mask,   (_xlpm.vals&gt;=0) * (_xlpm.ints&lt;=_xlpm.limit),
    _xlpm.validVals, _xlfn._xlws.FILTER(_xlpm.vals, _xlpm.mask),
    _xlpm.minVal, MIN(_xlpm.validVals),
    IFERROR( _xlfn.XMATCH(_xlpm.minVal, _xlpm.vals), "" )
)</f>
        <v>2</v>
      </c>
      <c r="AJ312" cm="1">
        <f t="array" ref="AJ312">_xlfn.LET(
    _xlpm.vals, CHOOSE({1,2,3,4,5,6}, S312, V312, Y312, AB312, AE312, AH312),
    _xlpm.slopes, CHOOSE({1,2,3,4,5,6}, Q312, T312, W312, Z312, AC312, AF312),
    _xlpm.ints, CHOOSE({1,2,3,4,5,6}, R312, U312, X312, AA312, AD312, AG312),
    _xlpm.limit, -0.00001*_xlpm.slopes + 0.1086*_xlpm.slopes + 63.253,
    _xlpm.valid, (_xlpm.vals &gt;= 0) * (_xlpm.ints &lt;= _xlpm.limit),
    _xlpm.target, MIN(_xlfn._xlws.FILTER(_xlpm.vals, _xlpm.valid)),
    IFERROR(
        _xlfn.XLOOKUP(_xlpm.target, _xlpm.vals, _xlpm.vals),
        CHOOSE({1,2,3,4,5,6}, S$1, V$1, Y$1, AB$1, AE$1, AH$1)
    )
)</f>
        <v>0.41233204098775411</v>
      </c>
    </row>
    <row r="313" spans="9:36" x14ac:dyDescent="0.45">
      <c r="I313">
        <v>311</v>
      </c>
      <c r="J313">
        <v>10.3</v>
      </c>
      <c r="K313">
        <f t="shared" si="93"/>
        <v>10.3</v>
      </c>
      <c r="L313">
        <f t="shared" si="92"/>
        <v>2.8611111111111111E-3</v>
      </c>
      <c r="M313">
        <v>-0.03</v>
      </c>
      <c r="N313">
        <f t="shared" si="94"/>
        <v>0</v>
      </c>
      <c r="O313">
        <f t="shared" si="95"/>
        <v>133.85038270793595</v>
      </c>
      <c r="P313">
        <f t="shared" si="96"/>
        <v>428.32122466539505</v>
      </c>
      <c r="Q313">
        <f t="shared" si="97"/>
        <v>1961.7112089675093</v>
      </c>
      <c r="R313">
        <f t="shared" si="98"/>
        <v>0</v>
      </c>
      <c r="S313">
        <f t="shared" si="99"/>
        <v>0.51433648389641995</v>
      </c>
      <c r="T313">
        <f t="shared" si="100"/>
        <v>1267.8308250095693</v>
      </c>
      <c r="U313">
        <f t="shared" si="101"/>
        <v>0</v>
      </c>
      <c r="V313">
        <f t="shared" si="102"/>
        <v>0.36698611136552306</v>
      </c>
      <c r="W313">
        <f t="shared" si="103"/>
        <v>6000</v>
      </c>
      <c r="X313">
        <f t="shared" si="104"/>
        <v>0</v>
      </c>
      <c r="Y313">
        <f t="shared" si="105"/>
        <v>6.7000407999999982</v>
      </c>
      <c r="Z313">
        <f t="shared" si="106"/>
        <v>6000</v>
      </c>
      <c r="AA313">
        <f t="shared" si="107"/>
        <v>0</v>
      </c>
      <c r="AB313">
        <f t="shared" si="108"/>
        <v>6.7000407999999982</v>
      </c>
      <c r="AC313">
        <f t="shared" si="109"/>
        <v>6000</v>
      </c>
      <c r="AD313">
        <f t="shared" si="110"/>
        <v>0</v>
      </c>
      <c r="AE313">
        <f t="shared" si="111"/>
        <v>6.7000407999999982</v>
      </c>
      <c r="AF313">
        <f t="shared" si="112"/>
        <v>6000</v>
      </c>
      <c r="AG313">
        <f t="shared" si="113"/>
        <v>0</v>
      </c>
      <c r="AH313">
        <f t="shared" si="114"/>
        <v>6.7000407999999982</v>
      </c>
      <c r="AI313" cm="1">
        <f t="array" ref="AI313">_xlfn.LET(
    _xlpm.vals,   _xlfn.HSTACK(S313,V313,Y313,AB313,AE313,AH313),
    _xlpm.ints,   _xlfn.HSTACK(R313,U313,X313,AA313,AD313,AG313),
    _xlpm.slopes, _xlfn.HSTACK(Q313,T313,W313,Z313,AC313,AF313),
    _xlpm.limit,  -0.00001*_xlpm.slopes + 0.1086*_xlpm.slopes + 63.253,
    _xlpm.mask,   (_xlpm.vals&gt;=0) * (_xlpm.ints&lt;=_xlpm.limit),
    _xlpm.validVals, _xlfn._xlws.FILTER(_xlpm.vals, _xlpm.mask),
    _xlpm.minVal, MIN(_xlpm.validVals),
    IFERROR( _xlfn.XMATCH(_xlpm.minVal, _xlpm.vals), "" )
)</f>
        <v>2</v>
      </c>
      <c r="AJ313" cm="1">
        <f t="array" ref="AJ313">_xlfn.LET(
    _xlpm.vals, CHOOSE({1,2,3,4,5,6}, S313, V313, Y313, AB313, AE313, AH313),
    _xlpm.slopes, CHOOSE({1,2,3,4,5,6}, Q313, T313, W313, Z313, AC313, AF313),
    _xlpm.ints, CHOOSE({1,2,3,4,5,6}, R313, U313, X313, AA313, AD313, AG313),
    _xlpm.limit, -0.00001*_xlpm.slopes + 0.1086*_xlpm.slopes + 63.253,
    _xlpm.valid, (_xlpm.vals &gt;= 0) * (_xlpm.ints &lt;= _xlpm.limit),
    _xlpm.target, MIN(_xlfn._xlws.FILTER(_xlpm.vals, _xlpm.valid)),
    IFERROR(
        _xlfn.XLOOKUP(_xlpm.target, _xlpm.vals, _xlpm.vals),
        CHOOSE({1,2,3,4,5,6}, S$1, V$1, Y$1, AB$1, AE$1, AH$1)
    )
)</f>
        <v>0.36698611136552306</v>
      </c>
    </row>
    <row r="314" spans="9:36" x14ac:dyDescent="0.45">
      <c r="I314">
        <v>312</v>
      </c>
      <c r="J314">
        <v>8</v>
      </c>
      <c r="K314">
        <f t="shared" si="93"/>
        <v>8</v>
      </c>
      <c r="L314">
        <f t="shared" si="92"/>
        <v>2.2222222222222222E-3</v>
      </c>
      <c r="M314">
        <v>-0.08</v>
      </c>
      <c r="N314">
        <f t="shared" si="94"/>
        <v>0</v>
      </c>
      <c r="O314">
        <f t="shared" si="95"/>
        <v>103.96146229742595</v>
      </c>
      <c r="P314">
        <f t="shared" si="96"/>
        <v>332.67667935176308</v>
      </c>
      <c r="Q314">
        <f t="shared" si="97"/>
        <v>1523.659191431075</v>
      </c>
      <c r="R314">
        <f t="shared" si="98"/>
        <v>0</v>
      </c>
      <c r="S314">
        <f t="shared" si="99"/>
        <v>0.41421231270098757</v>
      </c>
      <c r="T314">
        <f t="shared" si="100"/>
        <v>6000</v>
      </c>
      <c r="U314">
        <f t="shared" si="101"/>
        <v>0</v>
      </c>
      <c r="V314">
        <f t="shared" si="102"/>
        <v>6.7000407999999982</v>
      </c>
      <c r="W314">
        <f t="shared" si="103"/>
        <v>6000</v>
      </c>
      <c r="X314">
        <f t="shared" si="104"/>
        <v>0</v>
      </c>
      <c r="Y314">
        <f t="shared" si="105"/>
        <v>6.7000407999999982</v>
      </c>
      <c r="Z314">
        <f t="shared" si="106"/>
        <v>6000</v>
      </c>
      <c r="AA314">
        <f t="shared" si="107"/>
        <v>0</v>
      </c>
      <c r="AB314">
        <f t="shared" si="108"/>
        <v>6.7000407999999982</v>
      </c>
      <c r="AC314">
        <f t="shared" si="109"/>
        <v>6000</v>
      </c>
      <c r="AD314">
        <f t="shared" si="110"/>
        <v>0</v>
      </c>
      <c r="AE314">
        <f t="shared" si="111"/>
        <v>6.7000407999999982</v>
      </c>
      <c r="AF314">
        <f t="shared" si="112"/>
        <v>6000</v>
      </c>
      <c r="AG314">
        <f t="shared" si="113"/>
        <v>0</v>
      </c>
      <c r="AH314">
        <f t="shared" si="114"/>
        <v>6.7000407999999982</v>
      </c>
      <c r="AI314" cm="1">
        <f t="array" ref="AI314">_xlfn.LET(
    _xlpm.vals,   _xlfn.HSTACK(S314,V314,Y314,AB314,AE314,AH314),
    _xlpm.ints,   _xlfn.HSTACK(R314,U314,X314,AA314,AD314,AG314),
    _xlpm.slopes, _xlfn.HSTACK(Q314,T314,W314,Z314,AC314,AF314),
    _xlpm.limit,  -0.00001*_xlpm.slopes + 0.1086*_xlpm.slopes + 63.253,
    _xlpm.mask,   (_xlpm.vals&gt;=0) * (_xlpm.ints&lt;=_xlpm.limit),
    _xlpm.validVals, _xlfn._xlws.FILTER(_xlpm.vals, _xlpm.mask),
    _xlpm.minVal, MIN(_xlpm.validVals),
    IFERROR( _xlfn.XMATCH(_xlpm.minVal, _xlpm.vals), "" )
)</f>
        <v>1</v>
      </c>
      <c r="AJ314" cm="1">
        <f t="array" ref="AJ314">_xlfn.LET(
    _xlpm.vals, CHOOSE({1,2,3,4,5,6}, S314, V314, Y314, AB314, AE314, AH314),
    _xlpm.slopes, CHOOSE({1,2,3,4,5,6}, Q314, T314, W314, Z314, AC314, AF314),
    _xlpm.ints, CHOOSE({1,2,3,4,5,6}, R314, U314, X314, AA314, AD314, AG314),
    _xlpm.limit, -0.00001*_xlpm.slopes + 0.1086*_xlpm.slopes + 63.253,
    _xlpm.valid, (_xlpm.vals &gt;= 0) * (_xlpm.ints &lt;= _xlpm.limit),
    _xlpm.target, MIN(_xlfn._xlws.FILTER(_xlpm.vals, _xlpm.valid)),
    IFERROR(
        _xlfn.XLOOKUP(_xlpm.target, _xlpm.vals, _xlpm.vals),
        CHOOSE({1,2,3,4,5,6}, S$1, V$1, Y$1, AB$1, AE$1, AH$1)
    )
)</f>
        <v>0.41421231270098757</v>
      </c>
    </row>
    <row r="315" spans="9:36" x14ac:dyDescent="0.45">
      <c r="I315">
        <v>313</v>
      </c>
      <c r="J315">
        <v>4.7</v>
      </c>
      <c r="K315">
        <f t="shared" si="93"/>
        <v>4.7</v>
      </c>
      <c r="L315">
        <f t="shared" si="92"/>
        <v>1.3055555555555557E-3</v>
      </c>
      <c r="M315">
        <v>0.46</v>
      </c>
      <c r="N315">
        <f t="shared" si="94"/>
        <v>0.46</v>
      </c>
      <c r="O315">
        <f t="shared" si="95"/>
        <v>61.077359099737748</v>
      </c>
      <c r="P315">
        <f t="shared" si="96"/>
        <v>195.44754911916081</v>
      </c>
      <c r="Q315">
        <f t="shared" si="97"/>
        <v>1000</v>
      </c>
      <c r="R315">
        <f t="shared" si="98"/>
        <v>4.3926764293363121</v>
      </c>
      <c r="S315">
        <f t="shared" si="99"/>
        <v>0.34613031128109145</v>
      </c>
      <c r="T315">
        <f t="shared" si="100"/>
        <v>6000</v>
      </c>
      <c r="U315">
        <f t="shared" si="101"/>
        <v>0.73211273822271861</v>
      </c>
      <c r="V315">
        <f t="shared" si="102"/>
        <v>6.704514758454228</v>
      </c>
      <c r="W315">
        <f t="shared" si="103"/>
        <v>6000</v>
      </c>
      <c r="X315">
        <f t="shared" si="104"/>
        <v>0.73211273822271861</v>
      </c>
      <c r="Y315">
        <f t="shared" si="105"/>
        <v>6.704514758454228</v>
      </c>
      <c r="Z315">
        <f t="shared" si="106"/>
        <v>6000</v>
      </c>
      <c r="AA315">
        <f t="shared" si="107"/>
        <v>0.73211273822271861</v>
      </c>
      <c r="AB315">
        <f t="shared" si="108"/>
        <v>6.704514758454228</v>
      </c>
      <c r="AC315">
        <f t="shared" si="109"/>
        <v>6000</v>
      </c>
      <c r="AD315">
        <f t="shared" si="110"/>
        <v>0.73211273822271861</v>
      </c>
      <c r="AE315">
        <f t="shared" si="111"/>
        <v>6.704514758454228</v>
      </c>
      <c r="AF315">
        <f t="shared" si="112"/>
        <v>6000</v>
      </c>
      <c r="AG315">
        <f t="shared" si="113"/>
        <v>0.73211273822271861</v>
      </c>
      <c r="AH315">
        <f t="shared" si="114"/>
        <v>6.704514758454228</v>
      </c>
      <c r="AI315" cm="1">
        <f t="array" ref="AI315">_xlfn.LET(
    _xlpm.vals,   _xlfn.HSTACK(S315,V315,Y315,AB315,AE315,AH315),
    _xlpm.ints,   _xlfn.HSTACK(R315,U315,X315,AA315,AD315,AG315),
    _xlpm.slopes, _xlfn.HSTACK(Q315,T315,W315,Z315,AC315,AF315),
    _xlpm.limit,  -0.00001*_xlpm.slopes + 0.1086*_xlpm.slopes + 63.253,
    _xlpm.mask,   (_xlpm.vals&gt;=0) * (_xlpm.ints&lt;=_xlpm.limit),
    _xlpm.validVals, _xlfn._xlws.FILTER(_xlpm.vals, _xlpm.mask),
    _xlpm.minVal, MIN(_xlpm.validVals),
    IFERROR( _xlfn.XMATCH(_xlpm.minVal, _xlpm.vals), "" )
)</f>
        <v>1</v>
      </c>
      <c r="AJ315" cm="1">
        <f t="array" ref="AJ315">_xlfn.LET(
    _xlpm.vals, CHOOSE({1,2,3,4,5,6}, S315, V315, Y315, AB315, AE315, AH315),
    _xlpm.slopes, CHOOSE({1,2,3,4,5,6}, Q315, T315, W315, Z315, AC315, AF315),
    _xlpm.ints, CHOOSE({1,2,3,4,5,6}, R315, U315, X315, AA315, AD315, AG315),
    _xlpm.limit, -0.00001*_xlpm.slopes + 0.1086*_xlpm.slopes + 63.253,
    _xlpm.valid, (_xlpm.vals &gt;= 0) * (_xlpm.ints &lt;= _xlpm.limit),
    _xlpm.target, MIN(_xlfn._xlws.FILTER(_xlpm.vals, _xlpm.valid)),
    IFERROR(
        _xlfn.XLOOKUP(_xlpm.target, _xlpm.vals, _xlpm.vals),
        CHOOSE({1,2,3,4,5,6}, S$1, V$1, Y$1, AB$1, AE$1, AH$1)
    )
)</f>
        <v>0.34613031128109145</v>
      </c>
    </row>
    <row r="316" spans="9:36" x14ac:dyDescent="0.45">
      <c r="I316">
        <v>314</v>
      </c>
      <c r="J316">
        <v>1.7</v>
      </c>
      <c r="K316">
        <f t="shared" si="93"/>
        <v>1.7</v>
      </c>
      <c r="L316">
        <f t="shared" si="92"/>
        <v>4.7222222222222218E-4</v>
      </c>
      <c r="M316">
        <v>0.56999999999999995</v>
      </c>
      <c r="N316">
        <f t="shared" si="94"/>
        <v>0.56999999999999995</v>
      </c>
      <c r="O316">
        <f t="shared" si="95"/>
        <v>22.091810738203016</v>
      </c>
      <c r="P316">
        <f t="shared" si="96"/>
        <v>70.693794362249648</v>
      </c>
      <c r="Q316">
        <f t="shared" si="97"/>
        <v>1000</v>
      </c>
      <c r="R316">
        <f t="shared" si="98"/>
        <v>5.443099053742821</v>
      </c>
      <c r="S316">
        <f t="shared" si="99"/>
        <v>0.35274976937547881</v>
      </c>
      <c r="T316">
        <f t="shared" si="100"/>
        <v>6000</v>
      </c>
      <c r="U316">
        <f t="shared" si="101"/>
        <v>0.90718317562380346</v>
      </c>
      <c r="V316">
        <f t="shared" si="102"/>
        <v>6.7056111021595477</v>
      </c>
      <c r="W316">
        <f t="shared" si="103"/>
        <v>6000</v>
      </c>
      <c r="X316">
        <f t="shared" si="104"/>
        <v>0.90718317562380346</v>
      </c>
      <c r="Y316">
        <f t="shared" si="105"/>
        <v>6.7056111021595477</v>
      </c>
      <c r="Z316">
        <f t="shared" si="106"/>
        <v>6000</v>
      </c>
      <c r="AA316">
        <f t="shared" si="107"/>
        <v>0.90718317562380346</v>
      </c>
      <c r="AB316">
        <f t="shared" si="108"/>
        <v>6.7056111021595477</v>
      </c>
      <c r="AC316">
        <f t="shared" si="109"/>
        <v>6000</v>
      </c>
      <c r="AD316">
        <f t="shared" si="110"/>
        <v>0.90718317562380346</v>
      </c>
      <c r="AE316">
        <f t="shared" si="111"/>
        <v>6.7056111021595477</v>
      </c>
      <c r="AF316">
        <f t="shared" si="112"/>
        <v>6000</v>
      </c>
      <c r="AG316">
        <f t="shared" si="113"/>
        <v>0.90718317562380346</v>
      </c>
      <c r="AH316">
        <f t="shared" si="114"/>
        <v>6.7056111021595477</v>
      </c>
      <c r="AI316" cm="1">
        <f t="array" ref="AI316">_xlfn.LET(
    _xlpm.vals,   _xlfn.HSTACK(S316,V316,Y316,AB316,AE316,AH316),
    _xlpm.ints,   _xlfn.HSTACK(R316,U316,X316,AA316,AD316,AG316),
    _xlpm.slopes, _xlfn.HSTACK(Q316,T316,W316,Z316,AC316,AF316),
    _xlpm.limit,  -0.00001*_xlpm.slopes + 0.1086*_xlpm.slopes + 63.253,
    _xlpm.mask,   (_xlpm.vals&gt;=0) * (_xlpm.ints&lt;=_xlpm.limit),
    _xlpm.validVals, _xlfn._xlws.FILTER(_xlpm.vals, _xlpm.mask),
    _xlpm.minVal, MIN(_xlpm.validVals),
    IFERROR( _xlfn.XMATCH(_xlpm.minVal, _xlpm.vals), "" )
)</f>
        <v>1</v>
      </c>
      <c r="AJ316" cm="1">
        <f t="array" ref="AJ316">_xlfn.LET(
    _xlpm.vals, CHOOSE({1,2,3,4,5,6}, S316, V316, Y316, AB316, AE316, AH316),
    _xlpm.slopes, CHOOSE({1,2,3,4,5,6}, Q316, T316, W316, Z316, AC316, AF316),
    _xlpm.ints, CHOOSE({1,2,3,4,5,6}, R316, U316, X316, AA316, AD316, AG316),
    _xlpm.limit, -0.00001*_xlpm.slopes + 0.1086*_xlpm.slopes + 63.253,
    _xlpm.valid, (_xlpm.vals &gt;= 0) * (_xlpm.ints &lt;= _xlpm.limit),
    _xlpm.target, MIN(_xlfn._xlws.FILTER(_xlpm.vals, _xlpm.valid)),
    IFERROR(
        _xlfn.XLOOKUP(_xlpm.target, _xlpm.vals, _xlpm.vals),
        CHOOSE({1,2,3,4,5,6}, S$1, V$1, Y$1, AB$1, AE$1, AH$1)
    )
)</f>
        <v>0.35274976937547881</v>
      </c>
    </row>
    <row r="317" spans="9:36" x14ac:dyDescent="0.45">
      <c r="I317">
        <v>315</v>
      </c>
      <c r="J317">
        <v>-0.2</v>
      </c>
      <c r="K317">
        <f t="shared" si="93"/>
        <v>0</v>
      </c>
      <c r="L317">
        <f t="shared" si="92"/>
        <v>0</v>
      </c>
      <c r="M317">
        <v>0.85</v>
      </c>
      <c r="N317">
        <f t="shared" si="94"/>
        <v>0.85</v>
      </c>
      <c r="O317">
        <f t="shared" si="95"/>
        <v>0</v>
      </c>
      <c r="P317">
        <f t="shared" si="96"/>
        <v>0</v>
      </c>
      <c r="Q317">
        <f t="shared" si="97"/>
        <v>1000</v>
      </c>
      <c r="R317">
        <f t="shared" si="98"/>
        <v>8.1169020976866637</v>
      </c>
      <c r="S317">
        <f t="shared" si="99"/>
        <v>0.37019167955230636</v>
      </c>
      <c r="T317">
        <f t="shared" si="100"/>
        <v>6000</v>
      </c>
      <c r="U317">
        <f t="shared" si="101"/>
        <v>1.3528170162811104</v>
      </c>
      <c r="V317">
        <f t="shared" si="102"/>
        <v>6.7084477904634747</v>
      </c>
      <c r="W317">
        <f t="shared" si="103"/>
        <v>6000</v>
      </c>
      <c r="X317">
        <f t="shared" si="104"/>
        <v>1.3528170162811104</v>
      </c>
      <c r="Y317">
        <f t="shared" si="105"/>
        <v>6.7084477904634747</v>
      </c>
      <c r="Z317">
        <f t="shared" si="106"/>
        <v>6000</v>
      </c>
      <c r="AA317">
        <f t="shared" si="107"/>
        <v>1.3528170162811104</v>
      </c>
      <c r="AB317">
        <f t="shared" si="108"/>
        <v>6.7084477904634747</v>
      </c>
      <c r="AC317">
        <f t="shared" si="109"/>
        <v>6000</v>
      </c>
      <c r="AD317">
        <f t="shared" si="110"/>
        <v>1.3528170162811104</v>
      </c>
      <c r="AE317">
        <f t="shared" si="111"/>
        <v>6.7084477904634747</v>
      </c>
      <c r="AF317">
        <f t="shared" si="112"/>
        <v>6000</v>
      </c>
      <c r="AG317">
        <f t="shared" si="113"/>
        <v>1.3528170162811104</v>
      </c>
      <c r="AH317">
        <f t="shared" si="114"/>
        <v>6.7084477904634747</v>
      </c>
      <c r="AI317" cm="1">
        <f t="array" ref="AI317">_xlfn.LET(
    _xlpm.vals,   _xlfn.HSTACK(S317,V317,Y317,AB317,AE317,AH317),
    _xlpm.ints,   _xlfn.HSTACK(R317,U317,X317,AA317,AD317,AG317),
    _xlpm.slopes, _xlfn.HSTACK(Q317,T317,W317,Z317,AC317,AF317),
    _xlpm.limit,  -0.00001*_xlpm.slopes + 0.1086*_xlpm.slopes + 63.253,
    _xlpm.mask,   (_xlpm.vals&gt;=0) * (_xlpm.ints&lt;=_xlpm.limit),
    _xlpm.validVals, _xlfn._xlws.FILTER(_xlpm.vals, _xlpm.mask),
    _xlpm.minVal, MIN(_xlpm.validVals),
    IFERROR( _xlfn.XMATCH(_xlpm.minVal, _xlpm.vals), "" )
)</f>
        <v>1</v>
      </c>
      <c r="AJ317" cm="1">
        <f t="array" ref="AJ317">_xlfn.LET(
    _xlpm.vals, CHOOSE({1,2,3,4,5,6}, S317, V317, Y317, AB317, AE317, AH317),
    _xlpm.slopes, CHOOSE({1,2,3,4,5,6}, Q317, T317, W317, Z317, AC317, AF317),
    _xlpm.ints, CHOOSE({1,2,3,4,5,6}, R317, U317, X317, AA317, AD317, AG317),
    _xlpm.limit, -0.00001*_xlpm.slopes + 0.1086*_xlpm.slopes + 63.253,
    _xlpm.valid, (_xlpm.vals &gt;= 0) * (_xlpm.ints &lt;= _xlpm.limit),
    _xlpm.target, MIN(_xlfn._xlws.FILTER(_xlpm.vals, _xlpm.valid)),
    IFERROR(
        _xlfn.XLOOKUP(_xlpm.target, _xlpm.vals, _xlpm.vals),
        CHOOSE({1,2,3,4,5,6}, S$1, V$1, Y$1, AB$1, AE$1, AH$1)
    )
)</f>
        <v>0.37019167955230636</v>
      </c>
    </row>
    <row r="318" spans="9:36" x14ac:dyDescent="0.45">
      <c r="I318">
        <v>316</v>
      </c>
      <c r="J318">
        <v>0</v>
      </c>
      <c r="K318">
        <f t="shared" si="93"/>
        <v>0</v>
      </c>
      <c r="L318">
        <f t="shared" si="92"/>
        <v>0</v>
      </c>
      <c r="M318">
        <v>0.48</v>
      </c>
      <c r="N318">
        <f t="shared" si="94"/>
        <v>0.48</v>
      </c>
      <c r="O318">
        <f t="shared" si="95"/>
        <v>0</v>
      </c>
      <c r="P318">
        <f t="shared" si="96"/>
        <v>0</v>
      </c>
      <c r="Q318">
        <f t="shared" si="97"/>
        <v>1000</v>
      </c>
      <c r="R318">
        <f t="shared" si="98"/>
        <v>4.5836623610465859</v>
      </c>
      <c r="S318">
        <f t="shared" si="99"/>
        <v>0.34732388290899496</v>
      </c>
      <c r="T318">
        <f t="shared" si="100"/>
        <v>6000</v>
      </c>
      <c r="U318">
        <f t="shared" si="101"/>
        <v>0.76394372684109768</v>
      </c>
      <c r="V318">
        <f t="shared" si="102"/>
        <v>6.7047133345763807</v>
      </c>
      <c r="W318">
        <f t="shared" si="103"/>
        <v>6000</v>
      </c>
      <c r="X318">
        <f t="shared" si="104"/>
        <v>0.76394372684109768</v>
      </c>
      <c r="Y318">
        <f t="shared" si="105"/>
        <v>6.7047133345763807</v>
      </c>
      <c r="Z318">
        <f t="shared" si="106"/>
        <v>6000</v>
      </c>
      <c r="AA318">
        <f t="shared" si="107"/>
        <v>0.76394372684109768</v>
      </c>
      <c r="AB318">
        <f t="shared" si="108"/>
        <v>6.7047133345763807</v>
      </c>
      <c r="AC318">
        <f t="shared" si="109"/>
        <v>6000</v>
      </c>
      <c r="AD318">
        <f t="shared" si="110"/>
        <v>0.76394372684109768</v>
      </c>
      <c r="AE318">
        <f t="shared" si="111"/>
        <v>6.7047133345763807</v>
      </c>
      <c r="AF318">
        <f t="shared" si="112"/>
        <v>6000</v>
      </c>
      <c r="AG318">
        <f t="shared" si="113"/>
        <v>0.76394372684109768</v>
      </c>
      <c r="AH318">
        <f t="shared" si="114"/>
        <v>6.7047133345763807</v>
      </c>
      <c r="AI318" cm="1">
        <f t="array" ref="AI318">_xlfn.LET(
    _xlpm.vals,   _xlfn.HSTACK(S318,V318,Y318,AB318,AE318,AH318),
    _xlpm.ints,   _xlfn.HSTACK(R318,U318,X318,AA318,AD318,AG318),
    _xlpm.slopes, _xlfn.HSTACK(Q318,T318,W318,Z318,AC318,AF318),
    _xlpm.limit,  -0.00001*_xlpm.slopes + 0.1086*_xlpm.slopes + 63.253,
    _xlpm.mask,   (_xlpm.vals&gt;=0) * (_xlpm.ints&lt;=_xlpm.limit),
    _xlpm.validVals, _xlfn._xlws.FILTER(_xlpm.vals, _xlpm.mask),
    _xlpm.minVal, MIN(_xlpm.validVals),
    IFERROR( _xlfn.XMATCH(_xlpm.minVal, _xlpm.vals), "" )
)</f>
        <v>1</v>
      </c>
      <c r="AJ318" cm="1">
        <f t="array" ref="AJ318">_xlfn.LET(
    _xlpm.vals, CHOOSE({1,2,3,4,5,6}, S318, V318, Y318, AB318, AE318, AH318),
    _xlpm.slopes, CHOOSE({1,2,3,4,5,6}, Q318, T318, W318, Z318, AC318, AF318),
    _xlpm.ints, CHOOSE({1,2,3,4,5,6}, R318, U318, X318, AA318, AD318, AG318),
    _xlpm.limit, -0.00001*_xlpm.slopes + 0.1086*_xlpm.slopes + 63.253,
    _xlpm.valid, (_xlpm.vals &gt;= 0) * (_xlpm.ints &lt;= _xlpm.limit),
    _xlpm.target, MIN(_xlfn._xlws.FILTER(_xlpm.vals, _xlpm.valid)),
    IFERROR(
        _xlfn.XLOOKUP(_xlpm.target, _xlpm.vals, _xlpm.vals),
        CHOOSE({1,2,3,4,5,6}, S$1, V$1, Y$1, AB$1, AE$1, AH$1)
    )
)</f>
        <v>0.34732388290899496</v>
      </c>
    </row>
    <row r="319" spans="9:36" x14ac:dyDescent="0.45">
      <c r="I319">
        <v>317</v>
      </c>
      <c r="J319">
        <v>0</v>
      </c>
      <c r="K319">
        <f t="shared" si="93"/>
        <v>0</v>
      </c>
      <c r="L319">
        <f t="shared" si="92"/>
        <v>0</v>
      </c>
      <c r="M319">
        <v>0.76</v>
      </c>
      <c r="N319">
        <f t="shared" si="94"/>
        <v>0.76</v>
      </c>
      <c r="O319">
        <f t="shared" si="95"/>
        <v>0</v>
      </c>
      <c r="P319">
        <f t="shared" si="96"/>
        <v>0</v>
      </c>
      <c r="Q319">
        <f t="shared" si="97"/>
        <v>1000</v>
      </c>
      <c r="R319">
        <f t="shared" si="98"/>
        <v>7.2574654049904277</v>
      </c>
      <c r="S319">
        <f t="shared" si="99"/>
        <v>0.36449414199242058</v>
      </c>
      <c r="T319">
        <f t="shared" si="100"/>
        <v>6000</v>
      </c>
      <c r="U319">
        <f t="shared" si="101"/>
        <v>1.2095775674984046</v>
      </c>
      <c r="V319">
        <f t="shared" si="102"/>
        <v>6.7075288024362294</v>
      </c>
      <c r="W319">
        <f t="shared" si="103"/>
        <v>6000</v>
      </c>
      <c r="X319">
        <f t="shared" si="104"/>
        <v>1.2095775674984046</v>
      </c>
      <c r="Y319">
        <f t="shared" si="105"/>
        <v>6.7075288024362294</v>
      </c>
      <c r="Z319">
        <f t="shared" si="106"/>
        <v>6000</v>
      </c>
      <c r="AA319">
        <f t="shared" si="107"/>
        <v>1.2095775674984046</v>
      </c>
      <c r="AB319">
        <f t="shared" si="108"/>
        <v>6.7075288024362294</v>
      </c>
      <c r="AC319">
        <f t="shared" si="109"/>
        <v>6000</v>
      </c>
      <c r="AD319">
        <f t="shared" si="110"/>
        <v>1.2095775674984046</v>
      </c>
      <c r="AE319">
        <f t="shared" si="111"/>
        <v>6.7075288024362294</v>
      </c>
      <c r="AF319">
        <f t="shared" si="112"/>
        <v>6000</v>
      </c>
      <c r="AG319">
        <f t="shared" si="113"/>
        <v>1.2095775674984046</v>
      </c>
      <c r="AH319">
        <f t="shared" si="114"/>
        <v>6.7075288024362294</v>
      </c>
      <c r="AI319" cm="1">
        <f t="array" ref="AI319">_xlfn.LET(
    _xlpm.vals,   _xlfn.HSTACK(S319,V319,Y319,AB319,AE319,AH319),
    _xlpm.ints,   _xlfn.HSTACK(R319,U319,X319,AA319,AD319,AG319),
    _xlpm.slopes, _xlfn.HSTACK(Q319,T319,W319,Z319,AC319,AF319),
    _xlpm.limit,  -0.00001*_xlpm.slopes + 0.1086*_xlpm.slopes + 63.253,
    _xlpm.mask,   (_xlpm.vals&gt;=0) * (_xlpm.ints&lt;=_xlpm.limit),
    _xlpm.validVals, _xlfn._xlws.FILTER(_xlpm.vals, _xlpm.mask),
    _xlpm.minVal, MIN(_xlpm.validVals),
    IFERROR( _xlfn.XMATCH(_xlpm.minVal, _xlpm.vals), "" )
)</f>
        <v>1</v>
      </c>
      <c r="AJ319" cm="1">
        <f t="array" ref="AJ319">_xlfn.LET(
    _xlpm.vals, CHOOSE({1,2,3,4,5,6}, S319, V319, Y319, AB319, AE319, AH319),
    _xlpm.slopes, CHOOSE({1,2,3,4,5,6}, Q319, T319, W319, Z319, AC319, AF319),
    _xlpm.ints, CHOOSE({1,2,3,4,5,6}, R319, U319, X319, AA319, AD319, AG319),
    _xlpm.limit, -0.00001*_xlpm.slopes + 0.1086*_xlpm.slopes + 63.253,
    _xlpm.valid, (_xlpm.vals &gt;= 0) * (_xlpm.ints &lt;= _xlpm.limit),
    _xlpm.target, MIN(_xlfn._xlws.FILTER(_xlpm.vals, _xlpm.valid)),
    IFERROR(
        _xlfn.XLOOKUP(_xlpm.target, _xlpm.vals, _xlpm.vals),
        CHOOSE({1,2,3,4,5,6}, S$1, V$1, Y$1, AB$1, AE$1, AH$1)
    )
)</f>
        <v>0.36449414199242058</v>
      </c>
    </row>
    <row r="320" spans="9:36" x14ac:dyDescent="0.45">
      <c r="I320">
        <v>318</v>
      </c>
      <c r="J320">
        <v>0</v>
      </c>
      <c r="K320">
        <f t="shared" si="93"/>
        <v>0</v>
      </c>
      <c r="L320">
        <f t="shared" si="92"/>
        <v>0</v>
      </c>
      <c r="M320">
        <v>0.21</v>
      </c>
      <c r="N320">
        <f t="shared" si="94"/>
        <v>0.21</v>
      </c>
      <c r="O320">
        <f t="shared" si="95"/>
        <v>0</v>
      </c>
      <c r="P320">
        <f t="shared" si="96"/>
        <v>0</v>
      </c>
      <c r="Q320">
        <f t="shared" si="97"/>
        <v>1000</v>
      </c>
      <c r="R320">
        <f t="shared" si="98"/>
        <v>2.0053522829578814</v>
      </c>
      <c r="S320">
        <f t="shared" si="99"/>
        <v>0.3315917578166801</v>
      </c>
      <c r="T320">
        <f t="shared" si="100"/>
        <v>6000</v>
      </c>
      <c r="U320">
        <f t="shared" si="101"/>
        <v>0.33422538049298023</v>
      </c>
      <c r="V320">
        <f t="shared" si="102"/>
        <v>6.7020610571346335</v>
      </c>
      <c r="W320">
        <f t="shared" si="103"/>
        <v>6000</v>
      </c>
      <c r="X320">
        <f t="shared" si="104"/>
        <v>0.33422538049298023</v>
      </c>
      <c r="Y320">
        <f t="shared" si="105"/>
        <v>6.7020610571346335</v>
      </c>
      <c r="Z320">
        <f t="shared" si="106"/>
        <v>6000</v>
      </c>
      <c r="AA320">
        <f t="shared" si="107"/>
        <v>0.33422538049298023</v>
      </c>
      <c r="AB320">
        <f t="shared" si="108"/>
        <v>6.7020610571346335</v>
      </c>
      <c r="AC320">
        <f t="shared" si="109"/>
        <v>6000</v>
      </c>
      <c r="AD320">
        <f t="shared" si="110"/>
        <v>0.33422538049298023</v>
      </c>
      <c r="AE320">
        <f t="shared" si="111"/>
        <v>6.7020610571346335</v>
      </c>
      <c r="AF320">
        <f t="shared" si="112"/>
        <v>6000</v>
      </c>
      <c r="AG320">
        <f t="shared" si="113"/>
        <v>0.33422538049298023</v>
      </c>
      <c r="AH320">
        <f t="shared" si="114"/>
        <v>6.7020610571346335</v>
      </c>
      <c r="AI320" cm="1">
        <f t="array" ref="AI320">_xlfn.LET(
    _xlpm.vals,   _xlfn.HSTACK(S320,V320,Y320,AB320,AE320,AH320),
    _xlpm.ints,   _xlfn.HSTACK(R320,U320,X320,AA320,AD320,AG320),
    _xlpm.slopes, _xlfn.HSTACK(Q320,T320,W320,Z320,AC320,AF320),
    _xlpm.limit,  -0.00001*_xlpm.slopes + 0.1086*_xlpm.slopes + 63.253,
    _xlpm.mask,   (_xlpm.vals&gt;=0) * (_xlpm.ints&lt;=_xlpm.limit),
    _xlpm.validVals, _xlfn._xlws.FILTER(_xlpm.vals, _xlpm.mask),
    _xlpm.minVal, MIN(_xlpm.validVals),
    IFERROR( _xlfn.XMATCH(_xlpm.minVal, _xlpm.vals), "" )
)</f>
        <v>1</v>
      </c>
      <c r="AJ320" cm="1">
        <f t="array" ref="AJ320">_xlfn.LET(
    _xlpm.vals, CHOOSE({1,2,3,4,5,6}, S320, V320, Y320, AB320, AE320, AH320),
    _xlpm.slopes, CHOOSE({1,2,3,4,5,6}, Q320, T320, W320, Z320, AC320, AF320),
    _xlpm.ints, CHOOSE({1,2,3,4,5,6}, R320, U320, X320, AA320, AD320, AG320),
    _xlpm.limit, -0.00001*_xlpm.slopes + 0.1086*_xlpm.slopes + 63.253,
    _xlpm.valid, (_xlpm.vals &gt;= 0) * (_xlpm.ints &lt;= _xlpm.limit),
    _xlpm.target, MIN(_xlfn._xlws.FILTER(_xlpm.vals, _xlpm.valid)),
    IFERROR(
        _xlfn.XLOOKUP(_xlpm.target, _xlpm.vals, _xlpm.vals),
        CHOOSE({1,2,3,4,5,6}, S$1, V$1, Y$1, AB$1, AE$1, AH$1)
    )
)</f>
        <v>0.3315917578166801</v>
      </c>
    </row>
    <row r="321" spans="9:36" x14ac:dyDescent="0.45">
      <c r="I321">
        <v>319</v>
      </c>
      <c r="J321">
        <v>0</v>
      </c>
      <c r="K321">
        <f t="shared" si="93"/>
        <v>0</v>
      </c>
      <c r="L321">
        <f t="shared" si="92"/>
        <v>0</v>
      </c>
      <c r="M321">
        <v>0.77</v>
      </c>
      <c r="N321">
        <f t="shared" si="94"/>
        <v>0.77</v>
      </c>
      <c r="O321">
        <f t="shared" si="95"/>
        <v>0</v>
      </c>
      <c r="P321">
        <f t="shared" si="96"/>
        <v>0</v>
      </c>
      <c r="Q321">
        <f t="shared" si="97"/>
        <v>1000</v>
      </c>
      <c r="R321">
        <f t="shared" si="98"/>
        <v>7.352958370845565</v>
      </c>
      <c r="S321">
        <f t="shared" si="99"/>
        <v>0.36512298307508295</v>
      </c>
      <c r="T321">
        <f t="shared" si="100"/>
        <v>6000</v>
      </c>
      <c r="U321">
        <f t="shared" si="101"/>
        <v>1.2254930618075941</v>
      </c>
      <c r="V321">
        <f t="shared" si="102"/>
        <v>6.7076305758164212</v>
      </c>
      <c r="W321">
        <f t="shared" si="103"/>
        <v>6000</v>
      </c>
      <c r="X321">
        <f t="shared" si="104"/>
        <v>1.2254930618075941</v>
      </c>
      <c r="Y321">
        <f t="shared" si="105"/>
        <v>6.7076305758164212</v>
      </c>
      <c r="Z321">
        <f t="shared" si="106"/>
        <v>6000</v>
      </c>
      <c r="AA321">
        <f t="shared" si="107"/>
        <v>1.2254930618075941</v>
      </c>
      <c r="AB321">
        <f t="shared" si="108"/>
        <v>6.7076305758164212</v>
      </c>
      <c r="AC321">
        <f t="shared" si="109"/>
        <v>6000</v>
      </c>
      <c r="AD321">
        <f t="shared" si="110"/>
        <v>1.2254930618075941</v>
      </c>
      <c r="AE321">
        <f t="shared" si="111"/>
        <v>6.7076305758164212</v>
      </c>
      <c r="AF321">
        <f t="shared" si="112"/>
        <v>6000</v>
      </c>
      <c r="AG321">
        <f t="shared" si="113"/>
        <v>1.2254930618075941</v>
      </c>
      <c r="AH321">
        <f t="shared" si="114"/>
        <v>6.7076305758164212</v>
      </c>
      <c r="AI321" cm="1">
        <f t="array" ref="AI321">_xlfn.LET(
    _xlpm.vals,   _xlfn.HSTACK(S321,V321,Y321,AB321,AE321,AH321),
    _xlpm.ints,   _xlfn.HSTACK(R321,U321,X321,AA321,AD321,AG321),
    _xlpm.slopes, _xlfn.HSTACK(Q321,T321,W321,Z321,AC321,AF321),
    _xlpm.limit,  -0.00001*_xlpm.slopes + 0.1086*_xlpm.slopes + 63.253,
    _xlpm.mask,   (_xlpm.vals&gt;=0) * (_xlpm.ints&lt;=_xlpm.limit),
    _xlpm.validVals, _xlfn._xlws.FILTER(_xlpm.vals, _xlpm.mask),
    _xlpm.minVal, MIN(_xlpm.validVals),
    IFERROR( _xlfn.XMATCH(_xlpm.minVal, _xlpm.vals), "" )
)</f>
        <v>1</v>
      </c>
      <c r="AJ321" cm="1">
        <f t="array" ref="AJ321">_xlfn.LET(
    _xlpm.vals, CHOOSE({1,2,3,4,5,6}, S321, V321, Y321, AB321, AE321, AH321),
    _xlpm.slopes, CHOOSE({1,2,3,4,5,6}, Q321, T321, W321, Z321, AC321, AF321),
    _xlpm.ints, CHOOSE({1,2,3,4,5,6}, R321, U321, X321, AA321, AD321, AG321),
    _xlpm.limit, -0.00001*_xlpm.slopes + 0.1086*_xlpm.slopes + 63.253,
    _xlpm.valid, (_xlpm.vals &gt;= 0) * (_xlpm.ints &lt;= _xlpm.limit),
    _xlpm.target, MIN(_xlfn._xlws.FILTER(_xlpm.vals, _xlpm.valid)),
    IFERROR(
        _xlfn.XLOOKUP(_xlpm.target, _xlpm.vals, _xlpm.vals),
        CHOOSE({1,2,3,4,5,6}, S$1, V$1, Y$1, AB$1, AE$1, AH$1)
    )
)</f>
        <v>0.36512298307508295</v>
      </c>
    </row>
    <row r="322" spans="9:36" x14ac:dyDescent="0.45">
      <c r="I322">
        <v>320</v>
      </c>
      <c r="J322">
        <v>0</v>
      </c>
      <c r="K322">
        <f t="shared" si="93"/>
        <v>0</v>
      </c>
      <c r="L322">
        <f t="shared" ref="L322:L385" si="115">K322*(1/3600)</f>
        <v>0</v>
      </c>
      <c r="M322">
        <v>0.65</v>
      </c>
      <c r="N322">
        <f t="shared" si="94"/>
        <v>0.65</v>
      </c>
      <c r="O322">
        <f t="shared" si="95"/>
        <v>0</v>
      </c>
      <c r="P322">
        <f t="shared" si="96"/>
        <v>0</v>
      </c>
      <c r="Q322">
        <f t="shared" si="97"/>
        <v>1000</v>
      </c>
      <c r="R322">
        <f t="shared" si="98"/>
        <v>6.2070427805839188</v>
      </c>
      <c r="S322">
        <f t="shared" si="99"/>
        <v>0.35764729725340616</v>
      </c>
      <c r="T322">
        <f t="shared" si="100"/>
        <v>6000</v>
      </c>
      <c r="U322">
        <f t="shared" si="101"/>
        <v>1.0345071300973196</v>
      </c>
      <c r="V322">
        <f t="shared" si="102"/>
        <v>6.7064148495656495</v>
      </c>
      <c r="W322">
        <f t="shared" si="103"/>
        <v>6000</v>
      </c>
      <c r="X322">
        <f t="shared" si="104"/>
        <v>1.0345071300973196</v>
      </c>
      <c r="Y322">
        <f t="shared" si="105"/>
        <v>6.7064148495656495</v>
      </c>
      <c r="Z322">
        <f t="shared" si="106"/>
        <v>6000</v>
      </c>
      <c r="AA322">
        <f t="shared" si="107"/>
        <v>1.0345071300973196</v>
      </c>
      <c r="AB322">
        <f t="shared" si="108"/>
        <v>6.7064148495656495</v>
      </c>
      <c r="AC322">
        <f t="shared" si="109"/>
        <v>6000</v>
      </c>
      <c r="AD322">
        <f t="shared" si="110"/>
        <v>1.0345071300973196</v>
      </c>
      <c r="AE322">
        <f t="shared" si="111"/>
        <v>6.7064148495656495</v>
      </c>
      <c r="AF322">
        <f t="shared" si="112"/>
        <v>6000</v>
      </c>
      <c r="AG322">
        <f t="shared" si="113"/>
        <v>1.0345071300973196</v>
      </c>
      <c r="AH322">
        <f t="shared" si="114"/>
        <v>6.7064148495656495</v>
      </c>
      <c r="AI322" cm="1">
        <f t="array" ref="AI322">_xlfn.LET(
    _xlpm.vals,   _xlfn.HSTACK(S322,V322,Y322,AB322,AE322,AH322),
    _xlpm.ints,   _xlfn.HSTACK(R322,U322,X322,AA322,AD322,AG322),
    _xlpm.slopes, _xlfn.HSTACK(Q322,T322,W322,Z322,AC322,AF322),
    _xlpm.limit,  -0.00001*_xlpm.slopes + 0.1086*_xlpm.slopes + 63.253,
    _xlpm.mask,   (_xlpm.vals&gt;=0) * (_xlpm.ints&lt;=_xlpm.limit),
    _xlpm.validVals, _xlfn._xlws.FILTER(_xlpm.vals, _xlpm.mask),
    _xlpm.minVal, MIN(_xlpm.validVals),
    IFERROR( _xlfn.XMATCH(_xlpm.minVal, _xlpm.vals), "" )
)</f>
        <v>1</v>
      </c>
      <c r="AJ322" cm="1">
        <f t="array" ref="AJ322">_xlfn.LET(
    _xlpm.vals, CHOOSE({1,2,3,4,5,6}, S322, V322, Y322, AB322, AE322, AH322),
    _xlpm.slopes, CHOOSE({1,2,3,4,5,6}, Q322, T322, W322, Z322, AC322, AF322),
    _xlpm.ints, CHOOSE({1,2,3,4,5,6}, R322, U322, X322, AA322, AD322, AG322),
    _xlpm.limit, -0.00001*_xlpm.slopes + 0.1086*_xlpm.slopes + 63.253,
    _xlpm.valid, (_xlpm.vals &gt;= 0) * (_xlpm.ints &lt;= _xlpm.limit),
    _xlpm.target, MIN(_xlfn._xlws.FILTER(_xlpm.vals, _xlpm.valid)),
    IFERROR(
        _xlfn.XLOOKUP(_xlpm.target, _xlpm.vals, _xlpm.vals),
        CHOOSE({1,2,3,4,5,6}, S$1, V$1, Y$1, AB$1, AE$1, AH$1)
    )
)</f>
        <v>0.35764729725340616</v>
      </c>
    </row>
    <row r="323" spans="9:36" x14ac:dyDescent="0.45">
      <c r="I323">
        <v>321</v>
      </c>
      <c r="J323">
        <v>0</v>
      </c>
      <c r="K323">
        <f t="shared" ref="K323:K386" si="116">IF(J323&lt;0,0,J323)</f>
        <v>0</v>
      </c>
      <c r="L323">
        <f t="shared" si="115"/>
        <v>0</v>
      </c>
      <c r="M323">
        <v>0.43</v>
      </c>
      <c r="N323">
        <f t="shared" ref="N323:N386" si="117">IF(M323&lt;0,0,M323)</f>
        <v>0.43</v>
      </c>
      <c r="O323">
        <f t="shared" ref="O323:O386" si="118">(K323*0.44704*60)/(PI()*$B$2)</f>
        <v>0</v>
      </c>
      <c r="P323">
        <f t="shared" ref="P323:P386" si="119">O323*3.2</f>
        <v>0</v>
      </c>
      <c r="Q323">
        <f t="shared" ref="Q323:Q386" si="120">IF(4.58*P323&lt;1000,1000,4.58*P323)</f>
        <v>1000</v>
      </c>
      <c r="R323">
        <f t="shared" ref="R323:R386" si="121">(1000*N323*60)/(Q323*2*PI())</f>
        <v>4.1061975317709001</v>
      </c>
      <c r="S323">
        <f t="shared" ref="S323:S386" si="122">(0.072946 + (0.000364279 * Q323) + (-0.00248749 * R323) + (0.00000951906 * Q323 * R323) + (-0.000000165418 * Q323^2) + (0.000045414 * R323^2) + (-0.00000000135106 * Q323^2 * R323) + (0.0000000203184 * Q323 * R323^2) + (0.0000000000481318 * Q323^3) + (-0.00000034778 * R323^3))</f>
        <v>0.3443483226093097</v>
      </c>
      <c r="T323">
        <f t="shared" ref="T323:T386" si="123">IF(2.96*P323&lt;1000,6000,2.96*P323)</f>
        <v>6000</v>
      </c>
      <c r="U323">
        <f t="shared" ref="U323:U386" si="124">(1000*N323*60)/(T323*2*PI())</f>
        <v>0.68436625529514994</v>
      </c>
      <c r="V323">
        <f t="shared" ref="V323:V386" si="125">(0.072946 + (0.000364279 * T323) + (-0.00248749 * U323) + (0.00000951906 * T323 * U323) + (-0.000000165418 * T323^2) + (0.000045414 * U323^2) + (-0.00000000135106 * T323^2 * U323) + (0.0000000203184 * T323 * U323^2) + (0.0000000000481318 * T323^3) + (-0.00000034778 * U323^3))</f>
        <v>6.7042175271462616</v>
      </c>
      <c r="W323">
        <f t="shared" ref="W323:W386" si="126">IF(1.91*P323&lt;1000,6000,1.91*P323)</f>
        <v>6000</v>
      </c>
      <c r="X323">
        <f t="shared" ref="X323:X386" si="127">(1000*N323*60)/(W323*2*PI())</f>
        <v>0.68436625529514994</v>
      </c>
      <c r="Y323">
        <f t="shared" ref="Y323:Y386" si="128">(0.072946 + (0.000364279 * W323) + (-0.00248749 * X323) + (0.00000951906 * W323 * X323) + (-0.000000165418 * W323^2) + (0.000045414 * X323^2) + (-0.00000000135106 * W323^2 * X323) + (0.0000000203184 * W323 * X323^2) + (0.0000000000481318 * W323^3) + (-0.00000034778 * X323^3))</f>
        <v>6.7042175271462616</v>
      </c>
      <c r="Z323">
        <f t="shared" ref="Z323:Z386" si="129">IF(1.44*P323&lt;1000,6000,1.44*P323)</f>
        <v>6000</v>
      </c>
      <c r="AA323">
        <f t="shared" ref="AA323:AA386" si="130">(1000*N323*60)/(Z323*2*PI())</f>
        <v>0.68436625529514994</v>
      </c>
      <c r="AB323">
        <f t="shared" ref="AB323:AB386" si="131">(0.072946 + (0.000364279 * Z323) + (-0.00248749 * AA323) + (0.00000951906 * Z323 * AA323) + (-0.000000165418 * Z323^2) + (0.000045414 * AA323^2) + (-0.00000000135106 * Z323^2 * AA323) + (0.0000000203184 * Z323 * AA323^2) + (0.0000000000481318 * Z323^3) + (-0.00000034778 * AA323^3))</f>
        <v>6.7042175271462616</v>
      </c>
      <c r="AC323">
        <f t="shared" ref="AC323:AC386" si="132">IF(0.74*P323&lt;1000,6000,0.74*P323)</f>
        <v>6000</v>
      </c>
      <c r="AD323">
        <f t="shared" ref="AD323:AD386" si="133">(1000*N323*60)/(AC323*2*PI())</f>
        <v>0.68436625529514994</v>
      </c>
      <c r="AE323">
        <f t="shared" ref="AE323:AE386" si="134">(0.072946 + (0.000364279 * AC323) + (-0.00248749 * AD323) + (0.00000951906 * AC323 * AD323) + (-0.000000165418 * AC323^2) + (0.000045414 * AD323^2) + (-0.00000000135106 * AC323^2 * AD323) + (0.0000000203184 * AC323 * AD323^2) + (0.0000000000481318 * AC323^3) + (-0.00000034778 * AD323^3))</f>
        <v>6.7042175271462616</v>
      </c>
      <c r="AF323">
        <f t="shared" ref="AF323:AF386" si="135">IF(0.68*P323&lt;1000,6000,0.68*P323)</f>
        <v>6000</v>
      </c>
      <c r="AG323">
        <f t="shared" ref="AG323:AG386" si="136">(1000*N323*60)/(AF323*2*PI())</f>
        <v>0.68436625529514994</v>
      </c>
      <c r="AH323">
        <f t="shared" ref="AH323:AH386" si="137">(0.072946 + (0.000364279 * AF323) + (-0.00248749 * AG323) + (0.00000951906 * AF323 * AG323) + (-0.000000165418 * AF323^2) + (0.000045414 * AG323^2) + (-0.00000000135106 * AF323^2 * AG323) + (0.0000000203184 * AF323 * AG323^2) + (0.0000000000481318 * AF323^3) + (-0.00000034778 * AG323^3))</f>
        <v>6.7042175271462616</v>
      </c>
      <c r="AI323" cm="1">
        <f t="array" ref="AI323">_xlfn.LET(
    _xlpm.vals,   _xlfn.HSTACK(S323,V323,Y323,AB323,AE323,AH323),
    _xlpm.ints,   _xlfn.HSTACK(R323,U323,X323,AA323,AD323,AG323),
    _xlpm.slopes, _xlfn.HSTACK(Q323,T323,W323,Z323,AC323,AF323),
    _xlpm.limit,  -0.00001*_xlpm.slopes + 0.1086*_xlpm.slopes + 63.253,
    _xlpm.mask,   (_xlpm.vals&gt;=0) * (_xlpm.ints&lt;=_xlpm.limit),
    _xlpm.validVals, _xlfn._xlws.FILTER(_xlpm.vals, _xlpm.mask),
    _xlpm.minVal, MIN(_xlpm.validVals),
    IFERROR( _xlfn.XMATCH(_xlpm.minVal, _xlpm.vals), "" )
)</f>
        <v>1</v>
      </c>
      <c r="AJ323" cm="1">
        <f t="array" ref="AJ323">_xlfn.LET(
    _xlpm.vals, CHOOSE({1,2,3,4,5,6}, S323, V323, Y323, AB323, AE323, AH323),
    _xlpm.slopes, CHOOSE({1,2,3,4,5,6}, Q323, T323, W323, Z323, AC323, AF323),
    _xlpm.ints, CHOOSE({1,2,3,4,5,6}, R323, U323, X323, AA323, AD323, AG323),
    _xlpm.limit, -0.00001*_xlpm.slopes + 0.1086*_xlpm.slopes + 63.253,
    _xlpm.valid, (_xlpm.vals &gt;= 0) * (_xlpm.ints &lt;= _xlpm.limit),
    _xlpm.target, MIN(_xlfn._xlws.FILTER(_xlpm.vals, _xlpm.valid)),
    IFERROR(
        _xlfn.XLOOKUP(_xlpm.target, _xlpm.vals, _xlpm.vals),
        CHOOSE({1,2,3,4,5,6}, S$1, V$1, Y$1, AB$1, AE$1, AH$1)
    )
)</f>
        <v>0.3443483226093097</v>
      </c>
    </row>
    <row r="324" spans="9:36" x14ac:dyDescent="0.45">
      <c r="I324">
        <v>322</v>
      </c>
      <c r="J324">
        <v>0</v>
      </c>
      <c r="K324">
        <f t="shared" si="116"/>
        <v>0</v>
      </c>
      <c r="L324">
        <f t="shared" si="115"/>
        <v>0</v>
      </c>
      <c r="M324">
        <v>0.39</v>
      </c>
      <c r="N324">
        <f t="shared" si="117"/>
        <v>0.39</v>
      </c>
      <c r="O324">
        <f t="shared" si="118"/>
        <v>0</v>
      </c>
      <c r="P324">
        <f t="shared" si="119"/>
        <v>0</v>
      </c>
      <c r="Q324">
        <f t="shared" si="120"/>
        <v>1000</v>
      </c>
      <c r="R324">
        <f t="shared" si="121"/>
        <v>3.7242256683503512</v>
      </c>
      <c r="S324">
        <f t="shared" si="122"/>
        <v>0.34198803573438646</v>
      </c>
      <c r="T324">
        <f t="shared" si="123"/>
        <v>6000</v>
      </c>
      <c r="U324">
        <f t="shared" si="124"/>
        <v>0.62070427805839179</v>
      </c>
      <c r="V324">
        <f t="shared" si="125"/>
        <v>6.7038224004561133</v>
      </c>
      <c r="W324">
        <f t="shared" si="126"/>
        <v>6000</v>
      </c>
      <c r="X324">
        <f t="shared" si="127"/>
        <v>0.62070427805839179</v>
      </c>
      <c r="Y324">
        <f t="shared" si="128"/>
        <v>6.7038224004561133</v>
      </c>
      <c r="Z324">
        <f t="shared" si="129"/>
        <v>6000</v>
      </c>
      <c r="AA324">
        <f t="shared" si="130"/>
        <v>0.62070427805839179</v>
      </c>
      <c r="AB324">
        <f t="shared" si="131"/>
        <v>6.7038224004561133</v>
      </c>
      <c r="AC324">
        <f t="shared" si="132"/>
        <v>6000</v>
      </c>
      <c r="AD324">
        <f t="shared" si="133"/>
        <v>0.62070427805839179</v>
      </c>
      <c r="AE324">
        <f t="shared" si="134"/>
        <v>6.7038224004561133</v>
      </c>
      <c r="AF324">
        <f t="shared" si="135"/>
        <v>6000</v>
      </c>
      <c r="AG324">
        <f t="shared" si="136"/>
        <v>0.62070427805839179</v>
      </c>
      <c r="AH324">
        <f t="shared" si="137"/>
        <v>6.7038224004561133</v>
      </c>
      <c r="AI324" cm="1">
        <f t="array" ref="AI324">_xlfn.LET(
    _xlpm.vals,   _xlfn.HSTACK(S324,V324,Y324,AB324,AE324,AH324),
    _xlpm.ints,   _xlfn.HSTACK(R324,U324,X324,AA324,AD324,AG324),
    _xlpm.slopes, _xlfn.HSTACK(Q324,T324,W324,Z324,AC324,AF324),
    _xlpm.limit,  -0.00001*_xlpm.slopes + 0.1086*_xlpm.slopes + 63.253,
    _xlpm.mask,   (_xlpm.vals&gt;=0) * (_xlpm.ints&lt;=_xlpm.limit),
    _xlpm.validVals, _xlfn._xlws.FILTER(_xlpm.vals, _xlpm.mask),
    _xlpm.minVal, MIN(_xlpm.validVals),
    IFERROR( _xlfn.XMATCH(_xlpm.minVal, _xlpm.vals), "" )
)</f>
        <v>1</v>
      </c>
      <c r="AJ324" cm="1">
        <f t="array" ref="AJ324">_xlfn.LET(
    _xlpm.vals, CHOOSE({1,2,3,4,5,6}, S324, V324, Y324, AB324, AE324, AH324),
    _xlpm.slopes, CHOOSE({1,2,3,4,5,6}, Q324, T324, W324, Z324, AC324, AF324),
    _xlpm.ints, CHOOSE({1,2,3,4,5,6}, R324, U324, X324, AA324, AD324, AG324),
    _xlpm.limit, -0.00001*_xlpm.slopes + 0.1086*_xlpm.slopes + 63.253,
    _xlpm.valid, (_xlpm.vals &gt;= 0) * (_xlpm.ints &lt;= _xlpm.limit),
    _xlpm.target, MIN(_xlfn._xlws.FILTER(_xlpm.vals, _xlpm.valid)),
    IFERROR(
        _xlfn.XLOOKUP(_xlpm.target, _xlpm.vals, _xlpm.vals),
        CHOOSE({1,2,3,4,5,6}, S$1, V$1, Y$1, AB$1, AE$1, AH$1)
    )
)</f>
        <v>0.34198803573438646</v>
      </c>
    </row>
    <row r="325" spans="9:36" x14ac:dyDescent="0.45">
      <c r="I325">
        <v>323</v>
      </c>
      <c r="J325">
        <v>0</v>
      </c>
      <c r="K325">
        <f t="shared" si="116"/>
        <v>0</v>
      </c>
      <c r="L325">
        <f t="shared" si="115"/>
        <v>0</v>
      </c>
      <c r="M325">
        <v>0.39</v>
      </c>
      <c r="N325">
        <f t="shared" si="117"/>
        <v>0.39</v>
      </c>
      <c r="O325">
        <f t="shared" si="118"/>
        <v>0</v>
      </c>
      <c r="P325">
        <f t="shared" si="119"/>
        <v>0</v>
      </c>
      <c r="Q325">
        <f t="shared" si="120"/>
        <v>1000</v>
      </c>
      <c r="R325">
        <f t="shared" si="121"/>
        <v>3.7242256683503512</v>
      </c>
      <c r="S325">
        <f t="shared" si="122"/>
        <v>0.34198803573438646</v>
      </c>
      <c r="T325">
        <f t="shared" si="123"/>
        <v>6000</v>
      </c>
      <c r="U325">
        <f t="shared" si="124"/>
        <v>0.62070427805839179</v>
      </c>
      <c r="V325">
        <f t="shared" si="125"/>
        <v>6.7038224004561133</v>
      </c>
      <c r="W325">
        <f t="shared" si="126"/>
        <v>6000</v>
      </c>
      <c r="X325">
        <f t="shared" si="127"/>
        <v>0.62070427805839179</v>
      </c>
      <c r="Y325">
        <f t="shared" si="128"/>
        <v>6.7038224004561133</v>
      </c>
      <c r="Z325">
        <f t="shared" si="129"/>
        <v>6000</v>
      </c>
      <c r="AA325">
        <f t="shared" si="130"/>
        <v>0.62070427805839179</v>
      </c>
      <c r="AB325">
        <f t="shared" si="131"/>
        <v>6.7038224004561133</v>
      </c>
      <c r="AC325">
        <f t="shared" si="132"/>
        <v>6000</v>
      </c>
      <c r="AD325">
        <f t="shared" si="133"/>
        <v>0.62070427805839179</v>
      </c>
      <c r="AE325">
        <f t="shared" si="134"/>
        <v>6.7038224004561133</v>
      </c>
      <c r="AF325">
        <f t="shared" si="135"/>
        <v>6000</v>
      </c>
      <c r="AG325">
        <f t="shared" si="136"/>
        <v>0.62070427805839179</v>
      </c>
      <c r="AH325">
        <f t="shared" si="137"/>
        <v>6.7038224004561133</v>
      </c>
      <c r="AI325" cm="1">
        <f t="array" ref="AI325">_xlfn.LET(
    _xlpm.vals,   _xlfn.HSTACK(S325,V325,Y325,AB325,AE325,AH325),
    _xlpm.ints,   _xlfn.HSTACK(R325,U325,X325,AA325,AD325,AG325),
    _xlpm.slopes, _xlfn.HSTACK(Q325,T325,W325,Z325,AC325,AF325),
    _xlpm.limit,  -0.00001*_xlpm.slopes + 0.1086*_xlpm.slopes + 63.253,
    _xlpm.mask,   (_xlpm.vals&gt;=0) * (_xlpm.ints&lt;=_xlpm.limit),
    _xlpm.validVals, _xlfn._xlws.FILTER(_xlpm.vals, _xlpm.mask),
    _xlpm.minVal, MIN(_xlpm.validVals),
    IFERROR( _xlfn.XMATCH(_xlpm.minVal, _xlpm.vals), "" )
)</f>
        <v>1</v>
      </c>
      <c r="AJ325" cm="1">
        <f t="array" ref="AJ325">_xlfn.LET(
    _xlpm.vals, CHOOSE({1,2,3,4,5,6}, S325, V325, Y325, AB325, AE325, AH325),
    _xlpm.slopes, CHOOSE({1,2,3,4,5,6}, Q325, T325, W325, Z325, AC325, AF325),
    _xlpm.ints, CHOOSE({1,2,3,4,5,6}, R325, U325, X325, AA325, AD325, AG325),
    _xlpm.limit, -0.00001*_xlpm.slopes + 0.1086*_xlpm.slopes + 63.253,
    _xlpm.valid, (_xlpm.vals &gt;= 0) * (_xlpm.ints &lt;= _xlpm.limit),
    _xlpm.target, MIN(_xlfn._xlws.FILTER(_xlpm.vals, _xlpm.valid)),
    IFERROR(
        _xlfn.XLOOKUP(_xlpm.target, _xlpm.vals, _xlpm.vals),
        CHOOSE({1,2,3,4,5,6}, S$1, V$1, Y$1, AB$1, AE$1, AH$1)
    )
)</f>
        <v>0.34198803573438646</v>
      </c>
    </row>
    <row r="326" spans="9:36" x14ac:dyDescent="0.45">
      <c r="I326">
        <v>324</v>
      </c>
      <c r="J326">
        <v>0</v>
      </c>
      <c r="K326">
        <f t="shared" si="116"/>
        <v>0</v>
      </c>
      <c r="L326">
        <f t="shared" si="115"/>
        <v>0</v>
      </c>
      <c r="M326">
        <v>0.43</v>
      </c>
      <c r="N326">
        <f t="shared" si="117"/>
        <v>0.43</v>
      </c>
      <c r="O326">
        <f t="shared" si="118"/>
        <v>0</v>
      </c>
      <c r="P326">
        <f t="shared" si="119"/>
        <v>0</v>
      </c>
      <c r="Q326">
        <f t="shared" si="120"/>
        <v>1000</v>
      </c>
      <c r="R326">
        <f t="shared" si="121"/>
        <v>4.1061975317709001</v>
      </c>
      <c r="S326">
        <f t="shared" si="122"/>
        <v>0.3443483226093097</v>
      </c>
      <c r="T326">
        <f t="shared" si="123"/>
        <v>6000</v>
      </c>
      <c r="U326">
        <f t="shared" si="124"/>
        <v>0.68436625529514994</v>
      </c>
      <c r="V326">
        <f t="shared" si="125"/>
        <v>6.7042175271462616</v>
      </c>
      <c r="W326">
        <f t="shared" si="126"/>
        <v>6000</v>
      </c>
      <c r="X326">
        <f t="shared" si="127"/>
        <v>0.68436625529514994</v>
      </c>
      <c r="Y326">
        <f t="shared" si="128"/>
        <v>6.7042175271462616</v>
      </c>
      <c r="Z326">
        <f t="shared" si="129"/>
        <v>6000</v>
      </c>
      <c r="AA326">
        <f t="shared" si="130"/>
        <v>0.68436625529514994</v>
      </c>
      <c r="AB326">
        <f t="shared" si="131"/>
        <v>6.7042175271462616</v>
      </c>
      <c r="AC326">
        <f t="shared" si="132"/>
        <v>6000</v>
      </c>
      <c r="AD326">
        <f t="shared" si="133"/>
        <v>0.68436625529514994</v>
      </c>
      <c r="AE326">
        <f t="shared" si="134"/>
        <v>6.7042175271462616</v>
      </c>
      <c r="AF326">
        <f t="shared" si="135"/>
        <v>6000</v>
      </c>
      <c r="AG326">
        <f t="shared" si="136"/>
        <v>0.68436625529514994</v>
      </c>
      <c r="AH326">
        <f t="shared" si="137"/>
        <v>6.7042175271462616</v>
      </c>
      <c r="AI326" cm="1">
        <f t="array" ref="AI326">_xlfn.LET(
    _xlpm.vals,   _xlfn.HSTACK(S326,V326,Y326,AB326,AE326,AH326),
    _xlpm.ints,   _xlfn.HSTACK(R326,U326,X326,AA326,AD326,AG326),
    _xlpm.slopes, _xlfn.HSTACK(Q326,T326,W326,Z326,AC326,AF326),
    _xlpm.limit,  -0.00001*_xlpm.slopes + 0.1086*_xlpm.slopes + 63.253,
    _xlpm.mask,   (_xlpm.vals&gt;=0) * (_xlpm.ints&lt;=_xlpm.limit),
    _xlpm.validVals, _xlfn._xlws.FILTER(_xlpm.vals, _xlpm.mask),
    _xlpm.minVal, MIN(_xlpm.validVals),
    IFERROR( _xlfn.XMATCH(_xlpm.minVal, _xlpm.vals), "" )
)</f>
        <v>1</v>
      </c>
      <c r="AJ326" cm="1">
        <f t="array" ref="AJ326">_xlfn.LET(
    _xlpm.vals, CHOOSE({1,2,3,4,5,6}, S326, V326, Y326, AB326, AE326, AH326),
    _xlpm.slopes, CHOOSE({1,2,3,4,5,6}, Q326, T326, W326, Z326, AC326, AF326),
    _xlpm.ints, CHOOSE({1,2,3,4,5,6}, R326, U326, X326, AA326, AD326, AG326),
    _xlpm.limit, -0.00001*_xlpm.slopes + 0.1086*_xlpm.slopes + 63.253,
    _xlpm.valid, (_xlpm.vals &gt;= 0) * (_xlpm.ints &lt;= _xlpm.limit),
    _xlpm.target, MIN(_xlfn._xlws.FILTER(_xlpm.vals, _xlpm.valid)),
    IFERROR(
        _xlfn.XLOOKUP(_xlpm.target, _xlpm.vals, _xlpm.vals),
        CHOOSE({1,2,3,4,5,6}, S$1, V$1, Y$1, AB$1, AE$1, AH$1)
    )
)</f>
        <v>0.3443483226093097</v>
      </c>
    </row>
    <row r="327" spans="9:36" x14ac:dyDescent="0.45">
      <c r="I327">
        <v>325</v>
      </c>
      <c r="J327">
        <v>0</v>
      </c>
      <c r="K327">
        <f t="shared" si="116"/>
        <v>0</v>
      </c>
      <c r="L327">
        <f t="shared" si="115"/>
        <v>0</v>
      </c>
      <c r="M327">
        <v>0.6</v>
      </c>
      <c r="N327">
        <f t="shared" si="117"/>
        <v>0.6</v>
      </c>
      <c r="O327">
        <f t="shared" si="118"/>
        <v>0</v>
      </c>
      <c r="P327">
        <f t="shared" si="119"/>
        <v>0</v>
      </c>
      <c r="Q327">
        <f t="shared" si="120"/>
        <v>1000</v>
      </c>
      <c r="R327">
        <f t="shared" si="121"/>
        <v>5.729577951308233</v>
      </c>
      <c r="S327">
        <f t="shared" si="122"/>
        <v>0.35457817797922231</v>
      </c>
      <c r="T327">
        <f t="shared" si="123"/>
        <v>6000</v>
      </c>
      <c r="U327">
        <f t="shared" si="124"/>
        <v>0.95492965855137202</v>
      </c>
      <c r="V327">
        <f t="shared" si="125"/>
        <v>6.7059118755079608</v>
      </c>
      <c r="W327">
        <f t="shared" si="126"/>
        <v>6000</v>
      </c>
      <c r="X327">
        <f t="shared" si="127"/>
        <v>0.95492965855137202</v>
      </c>
      <c r="Y327">
        <f t="shared" si="128"/>
        <v>6.7059118755079608</v>
      </c>
      <c r="Z327">
        <f t="shared" si="129"/>
        <v>6000</v>
      </c>
      <c r="AA327">
        <f t="shared" si="130"/>
        <v>0.95492965855137202</v>
      </c>
      <c r="AB327">
        <f t="shared" si="131"/>
        <v>6.7059118755079608</v>
      </c>
      <c r="AC327">
        <f t="shared" si="132"/>
        <v>6000</v>
      </c>
      <c r="AD327">
        <f t="shared" si="133"/>
        <v>0.95492965855137202</v>
      </c>
      <c r="AE327">
        <f t="shared" si="134"/>
        <v>6.7059118755079608</v>
      </c>
      <c r="AF327">
        <f t="shared" si="135"/>
        <v>6000</v>
      </c>
      <c r="AG327">
        <f t="shared" si="136"/>
        <v>0.95492965855137202</v>
      </c>
      <c r="AH327">
        <f t="shared" si="137"/>
        <v>6.7059118755079608</v>
      </c>
      <c r="AI327" cm="1">
        <f t="array" ref="AI327">_xlfn.LET(
    _xlpm.vals,   _xlfn.HSTACK(S327,V327,Y327,AB327,AE327,AH327),
    _xlpm.ints,   _xlfn.HSTACK(R327,U327,X327,AA327,AD327,AG327),
    _xlpm.slopes, _xlfn.HSTACK(Q327,T327,W327,Z327,AC327,AF327),
    _xlpm.limit,  -0.00001*_xlpm.slopes + 0.1086*_xlpm.slopes + 63.253,
    _xlpm.mask,   (_xlpm.vals&gt;=0) * (_xlpm.ints&lt;=_xlpm.limit),
    _xlpm.validVals, _xlfn._xlws.FILTER(_xlpm.vals, _xlpm.mask),
    _xlpm.minVal, MIN(_xlpm.validVals),
    IFERROR( _xlfn.XMATCH(_xlpm.minVal, _xlpm.vals), "" )
)</f>
        <v>1</v>
      </c>
      <c r="AJ327" cm="1">
        <f t="array" ref="AJ327">_xlfn.LET(
    _xlpm.vals, CHOOSE({1,2,3,4,5,6}, S327, V327, Y327, AB327, AE327, AH327),
    _xlpm.slopes, CHOOSE({1,2,3,4,5,6}, Q327, T327, W327, Z327, AC327, AF327),
    _xlpm.ints, CHOOSE({1,2,3,4,5,6}, R327, U327, X327, AA327, AD327, AG327),
    _xlpm.limit, -0.00001*_xlpm.slopes + 0.1086*_xlpm.slopes + 63.253,
    _xlpm.valid, (_xlpm.vals &gt;= 0) * (_xlpm.ints &lt;= _xlpm.limit),
    _xlpm.target, MIN(_xlfn._xlws.FILTER(_xlpm.vals, _xlpm.valid)),
    IFERROR(
        _xlfn.XLOOKUP(_xlpm.target, _xlpm.vals, _xlpm.vals),
        CHOOSE({1,2,3,4,5,6}, S$1, V$1, Y$1, AB$1, AE$1, AH$1)
    )
)</f>
        <v>0.35457817797922231</v>
      </c>
    </row>
    <row r="328" spans="9:36" x14ac:dyDescent="0.45">
      <c r="I328">
        <v>326</v>
      </c>
      <c r="J328">
        <v>0</v>
      </c>
      <c r="K328">
        <f t="shared" si="116"/>
        <v>0</v>
      </c>
      <c r="L328">
        <f t="shared" si="115"/>
        <v>0</v>
      </c>
      <c r="M328">
        <v>0.59</v>
      </c>
      <c r="N328">
        <f t="shared" si="117"/>
        <v>0.59</v>
      </c>
      <c r="O328">
        <f t="shared" si="118"/>
        <v>0</v>
      </c>
      <c r="P328">
        <f t="shared" si="119"/>
        <v>0</v>
      </c>
      <c r="Q328">
        <f t="shared" si="120"/>
        <v>1000</v>
      </c>
      <c r="R328">
        <f t="shared" si="121"/>
        <v>5.6340849854530957</v>
      </c>
      <c r="S328">
        <f t="shared" si="122"/>
        <v>0.3539676162304512</v>
      </c>
      <c r="T328">
        <f t="shared" si="123"/>
        <v>6000</v>
      </c>
      <c r="U328">
        <f t="shared" si="124"/>
        <v>0.93901416424218254</v>
      </c>
      <c r="V328">
        <f t="shared" si="125"/>
        <v>6.7058115334511479</v>
      </c>
      <c r="W328">
        <f t="shared" si="126"/>
        <v>6000</v>
      </c>
      <c r="X328">
        <f t="shared" si="127"/>
        <v>0.93901416424218254</v>
      </c>
      <c r="Y328">
        <f t="shared" si="128"/>
        <v>6.7058115334511479</v>
      </c>
      <c r="Z328">
        <f t="shared" si="129"/>
        <v>6000</v>
      </c>
      <c r="AA328">
        <f t="shared" si="130"/>
        <v>0.93901416424218254</v>
      </c>
      <c r="AB328">
        <f t="shared" si="131"/>
        <v>6.7058115334511479</v>
      </c>
      <c r="AC328">
        <f t="shared" si="132"/>
        <v>6000</v>
      </c>
      <c r="AD328">
        <f t="shared" si="133"/>
        <v>0.93901416424218254</v>
      </c>
      <c r="AE328">
        <f t="shared" si="134"/>
        <v>6.7058115334511479</v>
      </c>
      <c r="AF328">
        <f t="shared" si="135"/>
        <v>6000</v>
      </c>
      <c r="AG328">
        <f t="shared" si="136"/>
        <v>0.93901416424218254</v>
      </c>
      <c r="AH328">
        <f t="shared" si="137"/>
        <v>6.7058115334511479</v>
      </c>
      <c r="AI328" cm="1">
        <f t="array" ref="AI328">_xlfn.LET(
    _xlpm.vals,   _xlfn.HSTACK(S328,V328,Y328,AB328,AE328,AH328),
    _xlpm.ints,   _xlfn.HSTACK(R328,U328,X328,AA328,AD328,AG328),
    _xlpm.slopes, _xlfn.HSTACK(Q328,T328,W328,Z328,AC328,AF328),
    _xlpm.limit,  -0.00001*_xlpm.slopes + 0.1086*_xlpm.slopes + 63.253,
    _xlpm.mask,   (_xlpm.vals&gt;=0) * (_xlpm.ints&lt;=_xlpm.limit),
    _xlpm.validVals, _xlfn._xlws.FILTER(_xlpm.vals, _xlpm.mask),
    _xlpm.minVal, MIN(_xlpm.validVals),
    IFERROR( _xlfn.XMATCH(_xlpm.minVal, _xlpm.vals), "" )
)</f>
        <v>1</v>
      </c>
      <c r="AJ328" cm="1">
        <f t="array" ref="AJ328">_xlfn.LET(
    _xlpm.vals, CHOOSE({1,2,3,4,5,6}, S328, V328, Y328, AB328, AE328, AH328),
    _xlpm.slopes, CHOOSE({1,2,3,4,5,6}, Q328, T328, W328, Z328, AC328, AF328),
    _xlpm.ints, CHOOSE({1,2,3,4,5,6}, R328, U328, X328, AA328, AD328, AG328),
    _xlpm.limit, -0.00001*_xlpm.slopes + 0.1086*_xlpm.slopes + 63.253,
    _xlpm.valid, (_xlpm.vals &gt;= 0) * (_xlpm.ints &lt;= _xlpm.limit),
    _xlpm.target, MIN(_xlfn._xlws.FILTER(_xlpm.vals, _xlpm.valid)),
    IFERROR(
        _xlfn.XLOOKUP(_xlpm.target, _xlpm.vals, _xlpm.vals),
        CHOOSE({1,2,3,4,5,6}, S$1, V$1, Y$1, AB$1, AE$1, AH$1)
    )
)</f>
        <v>0.3539676162304512</v>
      </c>
    </row>
    <row r="329" spans="9:36" x14ac:dyDescent="0.45">
      <c r="I329">
        <v>327</v>
      </c>
      <c r="J329">
        <v>0</v>
      </c>
      <c r="K329">
        <f t="shared" si="116"/>
        <v>0</v>
      </c>
      <c r="L329">
        <f t="shared" si="115"/>
        <v>0</v>
      </c>
      <c r="M329">
        <v>0.72</v>
      </c>
      <c r="N329">
        <f t="shared" si="117"/>
        <v>0.72</v>
      </c>
      <c r="O329">
        <f t="shared" si="118"/>
        <v>0</v>
      </c>
      <c r="P329">
        <f t="shared" si="119"/>
        <v>0</v>
      </c>
      <c r="Q329">
        <f t="shared" si="120"/>
        <v>1000</v>
      </c>
      <c r="R329">
        <f t="shared" si="121"/>
        <v>6.8754935415698792</v>
      </c>
      <c r="S329">
        <f t="shared" si="122"/>
        <v>0.36198940301670424</v>
      </c>
      <c r="T329">
        <f t="shared" si="123"/>
        <v>6000</v>
      </c>
      <c r="U329">
        <f t="shared" si="124"/>
        <v>1.1459155902616465</v>
      </c>
      <c r="V329">
        <f t="shared" si="125"/>
        <v>6.7071225502815253</v>
      </c>
      <c r="W329">
        <f t="shared" si="126"/>
        <v>6000</v>
      </c>
      <c r="X329">
        <f t="shared" si="127"/>
        <v>1.1459155902616465</v>
      </c>
      <c r="Y329">
        <f t="shared" si="128"/>
        <v>6.7071225502815253</v>
      </c>
      <c r="Z329">
        <f t="shared" si="129"/>
        <v>6000</v>
      </c>
      <c r="AA329">
        <f t="shared" si="130"/>
        <v>1.1459155902616465</v>
      </c>
      <c r="AB329">
        <f t="shared" si="131"/>
        <v>6.7071225502815253</v>
      </c>
      <c r="AC329">
        <f t="shared" si="132"/>
        <v>6000</v>
      </c>
      <c r="AD329">
        <f t="shared" si="133"/>
        <v>1.1459155902616465</v>
      </c>
      <c r="AE329">
        <f t="shared" si="134"/>
        <v>6.7071225502815253</v>
      </c>
      <c r="AF329">
        <f t="shared" si="135"/>
        <v>6000</v>
      </c>
      <c r="AG329">
        <f t="shared" si="136"/>
        <v>1.1459155902616465</v>
      </c>
      <c r="AH329">
        <f t="shared" si="137"/>
        <v>6.7071225502815253</v>
      </c>
      <c r="AI329" cm="1">
        <f t="array" ref="AI329">_xlfn.LET(
    _xlpm.vals,   _xlfn.HSTACK(S329,V329,Y329,AB329,AE329,AH329),
    _xlpm.ints,   _xlfn.HSTACK(R329,U329,X329,AA329,AD329,AG329),
    _xlpm.slopes, _xlfn.HSTACK(Q329,T329,W329,Z329,AC329,AF329),
    _xlpm.limit,  -0.00001*_xlpm.slopes + 0.1086*_xlpm.slopes + 63.253,
    _xlpm.mask,   (_xlpm.vals&gt;=0) * (_xlpm.ints&lt;=_xlpm.limit),
    _xlpm.validVals, _xlfn._xlws.FILTER(_xlpm.vals, _xlpm.mask),
    _xlpm.minVal, MIN(_xlpm.validVals),
    IFERROR( _xlfn.XMATCH(_xlpm.minVal, _xlpm.vals), "" )
)</f>
        <v>1</v>
      </c>
      <c r="AJ329" cm="1">
        <f t="array" ref="AJ329">_xlfn.LET(
    _xlpm.vals, CHOOSE({1,2,3,4,5,6}, S329, V329, Y329, AB329, AE329, AH329),
    _xlpm.slopes, CHOOSE({1,2,3,4,5,6}, Q329, T329, W329, Z329, AC329, AF329),
    _xlpm.ints, CHOOSE({1,2,3,4,5,6}, R329, U329, X329, AA329, AD329, AG329),
    _xlpm.limit, -0.00001*_xlpm.slopes + 0.1086*_xlpm.slopes + 63.253,
    _xlpm.valid, (_xlpm.vals &gt;= 0) * (_xlpm.ints &lt;= _xlpm.limit),
    _xlpm.target, MIN(_xlfn._xlws.FILTER(_xlpm.vals, _xlpm.valid)),
    IFERROR(
        _xlfn.XLOOKUP(_xlpm.target, _xlpm.vals, _xlpm.vals),
        CHOOSE({1,2,3,4,5,6}, S$1, V$1, Y$1, AB$1, AE$1, AH$1)
    )
)</f>
        <v>0.36198940301670424</v>
      </c>
    </row>
    <row r="330" spans="9:36" x14ac:dyDescent="0.45">
      <c r="I330">
        <v>328</v>
      </c>
      <c r="J330">
        <v>0.4</v>
      </c>
      <c r="K330">
        <f t="shared" si="116"/>
        <v>0.4</v>
      </c>
      <c r="L330">
        <f t="shared" si="115"/>
        <v>1.1111111111111112E-4</v>
      </c>
      <c r="M330">
        <v>0.69</v>
      </c>
      <c r="N330">
        <f t="shared" si="117"/>
        <v>0.69</v>
      </c>
      <c r="O330">
        <f t="shared" si="118"/>
        <v>5.1980731148712982</v>
      </c>
      <c r="P330">
        <f t="shared" si="119"/>
        <v>16.633833967588156</v>
      </c>
      <c r="Q330">
        <f t="shared" si="120"/>
        <v>1000</v>
      </c>
      <c r="R330">
        <f t="shared" si="121"/>
        <v>6.5890146440044672</v>
      </c>
      <c r="S330">
        <f t="shared" si="122"/>
        <v>0.36012205628536287</v>
      </c>
      <c r="T330">
        <f t="shared" si="123"/>
        <v>6000</v>
      </c>
      <c r="U330">
        <f t="shared" si="124"/>
        <v>1.0981691073340778</v>
      </c>
      <c r="V330">
        <f t="shared" si="125"/>
        <v>6.7068187448354131</v>
      </c>
      <c r="W330">
        <f t="shared" si="126"/>
        <v>6000</v>
      </c>
      <c r="X330">
        <f t="shared" si="127"/>
        <v>1.0981691073340778</v>
      </c>
      <c r="Y330">
        <f t="shared" si="128"/>
        <v>6.7068187448354131</v>
      </c>
      <c r="Z330">
        <f t="shared" si="129"/>
        <v>6000</v>
      </c>
      <c r="AA330">
        <f t="shared" si="130"/>
        <v>1.0981691073340778</v>
      </c>
      <c r="AB330">
        <f t="shared" si="131"/>
        <v>6.7068187448354131</v>
      </c>
      <c r="AC330">
        <f t="shared" si="132"/>
        <v>6000</v>
      </c>
      <c r="AD330">
        <f t="shared" si="133"/>
        <v>1.0981691073340778</v>
      </c>
      <c r="AE330">
        <f t="shared" si="134"/>
        <v>6.7068187448354131</v>
      </c>
      <c r="AF330">
        <f t="shared" si="135"/>
        <v>6000</v>
      </c>
      <c r="AG330">
        <f t="shared" si="136"/>
        <v>1.0981691073340778</v>
      </c>
      <c r="AH330">
        <f t="shared" si="137"/>
        <v>6.7068187448354131</v>
      </c>
      <c r="AI330" cm="1">
        <f t="array" ref="AI330">_xlfn.LET(
    _xlpm.vals,   _xlfn.HSTACK(S330,V330,Y330,AB330,AE330,AH330),
    _xlpm.ints,   _xlfn.HSTACK(R330,U330,X330,AA330,AD330,AG330),
    _xlpm.slopes, _xlfn.HSTACK(Q330,T330,W330,Z330,AC330,AF330),
    _xlpm.limit,  -0.00001*_xlpm.slopes + 0.1086*_xlpm.slopes + 63.253,
    _xlpm.mask,   (_xlpm.vals&gt;=0) * (_xlpm.ints&lt;=_xlpm.limit),
    _xlpm.validVals, _xlfn._xlws.FILTER(_xlpm.vals, _xlpm.mask),
    _xlpm.minVal, MIN(_xlpm.validVals),
    IFERROR( _xlfn.XMATCH(_xlpm.minVal, _xlpm.vals), "" )
)</f>
        <v>1</v>
      </c>
      <c r="AJ330" cm="1">
        <f t="array" ref="AJ330">_xlfn.LET(
    _xlpm.vals, CHOOSE({1,2,3,4,5,6}, S330, V330, Y330, AB330, AE330, AH330),
    _xlpm.slopes, CHOOSE({1,2,3,4,5,6}, Q330, T330, W330, Z330, AC330, AF330),
    _xlpm.ints, CHOOSE({1,2,3,4,5,6}, R330, U330, X330, AA330, AD330, AG330),
    _xlpm.limit, -0.00001*_xlpm.slopes + 0.1086*_xlpm.slopes + 63.253,
    _xlpm.valid, (_xlpm.vals &gt;= 0) * (_xlpm.ints &lt;= _xlpm.limit),
    _xlpm.target, MIN(_xlfn._xlws.FILTER(_xlpm.vals, _xlpm.valid)),
    IFERROR(
        _xlfn.XLOOKUP(_xlpm.target, _xlpm.vals, _xlpm.vals),
        CHOOSE({1,2,3,4,5,6}, S$1, V$1, Y$1, AB$1, AE$1, AH$1)
    )
)</f>
        <v>0.36012205628536287</v>
      </c>
    </row>
    <row r="331" spans="9:36" x14ac:dyDescent="0.45">
      <c r="I331">
        <v>329</v>
      </c>
      <c r="J331">
        <v>1.5</v>
      </c>
      <c r="K331">
        <f t="shared" si="116"/>
        <v>1.5</v>
      </c>
      <c r="L331">
        <f t="shared" si="115"/>
        <v>4.1666666666666664E-4</v>
      </c>
      <c r="M331">
        <v>1.51</v>
      </c>
      <c r="N331">
        <f t="shared" si="117"/>
        <v>1.51</v>
      </c>
      <c r="O331">
        <f t="shared" si="118"/>
        <v>19.49277418076737</v>
      </c>
      <c r="P331">
        <f t="shared" si="119"/>
        <v>62.376877378455589</v>
      </c>
      <c r="Q331">
        <f t="shared" si="120"/>
        <v>1000</v>
      </c>
      <c r="R331">
        <f t="shared" si="121"/>
        <v>14.419437844125719</v>
      </c>
      <c r="S331">
        <f t="shared" si="122"/>
        <v>0.41447297730302907</v>
      </c>
      <c r="T331">
        <f t="shared" si="123"/>
        <v>6000</v>
      </c>
      <c r="U331">
        <f t="shared" si="124"/>
        <v>2.4032396406876195</v>
      </c>
      <c r="V331">
        <f t="shared" si="125"/>
        <v>6.7153946703030991</v>
      </c>
      <c r="W331">
        <f t="shared" si="126"/>
        <v>6000</v>
      </c>
      <c r="X331">
        <f t="shared" si="127"/>
        <v>2.4032396406876195</v>
      </c>
      <c r="Y331">
        <f t="shared" si="128"/>
        <v>6.7153946703030991</v>
      </c>
      <c r="Z331">
        <f t="shared" si="129"/>
        <v>6000</v>
      </c>
      <c r="AA331">
        <f t="shared" si="130"/>
        <v>2.4032396406876195</v>
      </c>
      <c r="AB331">
        <f t="shared" si="131"/>
        <v>6.7153946703030991</v>
      </c>
      <c r="AC331">
        <f t="shared" si="132"/>
        <v>6000</v>
      </c>
      <c r="AD331">
        <f t="shared" si="133"/>
        <v>2.4032396406876195</v>
      </c>
      <c r="AE331">
        <f t="shared" si="134"/>
        <v>6.7153946703030991</v>
      </c>
      <c r="AF331">
        <f t="shared" si="135"/>
        <v>6000</v>
      </c>
      <c r="AG331">
        <f t="shared" si="136"/>
        <v>2.4032396406876195</v>
      </c>
      <c r="AH331">
        <f t="shared" si="137"/>
        <v>6.7153946703030991</v>
      </c>
      <c r="AI331" cm="1">
        <f t="array" ref="AI331">_xlfn.LET(
    _xlpm.vals,   _xlfn.HSTACK(S331,V331,Y331,AB331,AE331,AH331),
    _xlpm.ints,   _xlfn.HSTACK(R331,U331,X331,AA331,AD331,AG331),
    _xlpm.slopes, _xlfn.HSTACK(Q331,T331,W331,Z331,AC331,AF331),
    _xlpm.limit,  -0.00001*_xlpm.slopes + 0.1086*_xlpm.slopes + 63.253,
    _xlpm.mask,   (_xlpm.vals&gt;=0) * (_xlpm.ints&lt;=_xlpm.limit),
    _xlpm.validVals, _xlfn._xlws.FILTER(_xlpm.vals, _xlpm.mask),
    _xlpm.minVal, MIN(_xlpm.validVals),
    IFERROR( _xlfn.XMATCH(_xlpm.minVal, _xlpm.vals), "" )
)</f>
        <v>1</v>
      </c>
      <c r="AJ331" cm="1">
        <f t="array" ref="AJ331">_xlfn.LET(
    _xlpm.vals, CHOOSE({1,2,3,4,5,6}, S331, V331, Y331, AB331, AE331, AH331),
    _xlpm.slopes, CHOOSE({1,2,3,4,5,6}, Q331, T331, W331, Z331, AC331, AF331),
    _xlpm.ints, CHOOSE({1,2,3,4,5,6}, R331, U331, X331, AA331, AD331, AG331),
    _xlpm.limit, -0.00001*_xlpm.slopes + 0.1086*_xlpm.slopes + 63.253,
    _xlpm.valid, (_xlpm.vals &gt;= 0) * (_xlpm.ints &lt;= _xlpm.limit),
    _xlpm.target, MIN(_xlfn._xlws.FILTER(_xlpm.vals, _xlpm.valid)),
    IFERROR(
        _xlfn.XLOOKUP(_xlpm.target, _xlpm.vals, _xlpm.vals),
        CHOOSE({1,2,3,4,5,6}, S$1, V$1, Y$1, AB$1, AE$1, AH$1)
    )
)</f>
        <v>0.41447297730302907</v>
      </c>
    </row>
    <row r="332" spans="9:36" x14ac:dyDescent="0.45">
      <c r="I332">
        <v>330</v>
      </c>
      <c r="J332">
        <v>4.8</v>
      </c>
      <c r="K332">
        <f t="shared" si="116"/>
        <v>4.8</v>
      </c>
      <c r="L332">
        <f t="shared" si="115"/>
        <v>1.3333333333333333E-3</v>
      </c>
      <c r="M332">
        <v>6.36</v>
      </c>
      <c r="N332">
        <f t="shared" si="117"/>
        <v>6.36</v>
      </c>
      <c r="O332">
        <f t="shared" si="118"/>
        <v>62.376877378455568</v>
      </c>
      <c r="P332">
        <f t="shared" si="119"/>
        <v>199.60600761105783</v>
      </c>
      <c r="Q332">
        <f t="shared" si="120"/>
        <v>1000</v>
      </c>
      <c r="R332">
        <f t="shared" si="121"/>
        <v>60.733526283867263</v>
      </c>
      <c r="S332">
        <f t="shared" si="122"/>
        <v>0.82948474218017232</v>
      </c>
      <c r="T332">
        <f t="shared" si="123"/>
        <v>6000</v>
      </c>
      <c r="U332">
        <f t="shared" si="124"/>
        <v>10.122254380644543</v>
      </c>
      <c r="V332">
        <f t="shared" si="125"/>
        <v>6.7774434178395024</v>
      </c>
      <c r="W332">
        <f t="shared" si="126"/>
        <v>6000</v>
      </c>
      <c r="X332">
        <f t="shared" si="127"/>
        <v>10.122254380644543</v>
      </c>
      <c r="Y332">
        <f t="shared" si="128"/>
        <v>6.7774434178395024</v>
      </c>
      <c r="Z332">
        <f t="shared" si="129"/>
        <v>6000</v>
      </c>
      <c r="AA332">
        <f t="shared" si="130"/>
        <v>10.122254380644543</v>
      </c>
      <c r="AB332">
        <f t="shared" si="131"/>
        <v>6.7774434178395024</v>
      </c>
      <c r="AC332">
        <f t="shared" si="132"/>
        <v>6000</v>
      </c>
      <c r="AD332">
        <f t="shared" si="133"/>
        <v>10.122254380644543</v>
      </c>
      <c r="AE332">
        <f t="shared" si="134"/>
        <v>6.7774434178395024</v>
      </c>
      <c r="AF332">
        <f t="shared" si="135"/>
        <v>6000</v>
      </c>
      <c r="AG332">
        <f t="shared" si="136"/>
        <v>10.122254380644543</v>
      </c>
      <c r="AH332">
        <f t="shared" si="137"/>
        <v>6.7774434178395024</v>
      </c>
      <c r="AI332" cm="1">
        <f t="array" ref="AI332">_xlfn.LET(
    _xlpm.vals,   _xlfn.HSTACK(S332,V332,Y332,AB332,AE332,AH332),
    _xlpm.ints,   _xlfn.HSTACK(R332,U332,X332,AA332,AD332,AG332),
    _xlpm.slopes, _xlfn.HSTACK(Q332,T332,W332,Z332,AC332,AF332),
    _xlpm.limit,  -0.00001*_xlpm.slopes + 0.1086*_xlpm.slopes + 63.253,
    _xlpm.mask,   (_xlpm.vals&gt;=0) * (_xlpm.ints&lt;=_xlpm.limit),
    _xlpm.validVals, _xlfn._xlws.FILTER(_xlpm.vals, _xlpm.mask),
    _xlpm.minVal, MIN(_xlpm.validVals),
    IFERROR( _xlfn.XMATCH(_xlpm.minVal, _xlpm.vals), "" )
)</f>
        <v>1</v>
      </c>
      <c r="AJ332" cm="1">
        <f t="array" ref="AJ332">_xlfn.LET(
    _xlpm.vals, CHOOSE({1,2,3,4,5,6}, S332, V332, Y332, AB332, AE332, AH332),
    _xlpm.slopes, CHOOSE({1,2,3,4,5,6}, Q332, T332, W332, Z332, AC332, AF332),
    _xlpm.ints, CHOOSE({1,2,3,4,5,6}, R332, U332, X332, AA332, AD332, AG332),
    _xlpm.limit, -0.00001*_xlpm.slopes + 0.1086*_xlpm.slopes + 63.253,
    _xlpm.valid, (_xlpm.vals &gt;= 0) * (_xlpm.ints &lt;= _xlpm.limit),
    _xlpm.target, MIN(_xlfn._xlws.FILTER(_xlpm.vals, _xlpm.valid)),
    IFERROR(
        _xlfn.XLOOKUP(_xlpm.target, _xlpm.vals, _xlpm.vals),
        CHOOSE({1,2,3,4,5,6}, S$1, V$1, Y$1, AB$1, AE$1, AH$1)
    )
)</f>
        <v>0.82948474218017232</v>
      </c>
    </row>
    <row r="333" spans="9:36" x14ac:dyDescent="0.45">
      <c r="I333">
        <v>331</v>
      </c>
      <c r="J333">
        <v>7.9</v>
      </c>
      <c r="K333">
        <f t="shared" si="116"/>
        <v>7.9</v>
      </c>
      <c r="L333">
        <f t="shared" si="115"/>
        <v>2.1944444444444446E-3</v>
      </c>
      <c r="M333">
        <v>11.67</v>
      </c>
      <c r="N333">
        <f t="shared" si="117"/>
        <v>11.67</v>
      </c>
      <c r="O333">
        <f t="shared" si="118"/>
        <v>102.66194401870814</v>
      </c>
      <c r="P333">
        <f t="shared" si="119"/>
        <v>328.51822085986606</v>
      </c>
      <c r="Q333">
        <f t="shared" si="120"/>
        <v>1504.6134515381866</v>
      </c>
      <c r="R333">
        <f t="shared" si="121"/>
        <v>74.06572833641637</v>
      </c>
      <c r="S333">
        <f t="shared" si="122"/>
        <v>1.3360711326794394</v>
      </c>
      <c r="T333">
        <f t="shared" si="123"/>
        <v>6000</v>
      </c>
      <c r="U333">
        <f t="shared" si="124"/>
        <v>18.573381858824188</v>
      </c>
      <c r="V333">
        <f t="shared" si="125"/>
        <v>6.8667650618490859</v>
      </c>
      <c r="W333">
        <f t="shared" si="126"/>
        <v>6000</v>
      </c>
      <c r="X333">
        <f t="shared" si="127"/>
        <v>18.573381858824188</v>
      </c>
      <c r="Y333">
        <f t="shared" si="128"/>
        <v>6.8667650618490859</v>
      </c>
      <c r="Z333">
        <f t="shared" si="129"/>
        <v>6000</v>
      </c>
      <c r="AA333">
        <f t="shared" si="130"/>
        <v>18.573381858824188</v>
      </c>
      <c r="AB333">
        <f t="shared" si="131"/>
        <v>6.8667650618490859</v>
      </c>
      <c r="AC333">
        <f t="shared" si="132"/>
        <v>6000</v>
      </c>
      <c r="AD333">
        <f t="shared" si="133"/>
        <v>18.573381858824188</v>
      </c>
      <c r="AE333">
        <f t="shared" si="134"/>
        <v>6.8667650618490859</v>
      </c>
      <c r="AF333">
        <f t="shared" si="135"/>
        <v>6000</v>
      </c>
      <c r="AG333">
        <f t="shared" si="136"/>
        <v>18.573381858824188</v>
      </c>
      <c r="AH333">
        <f t="shared" si="137"/>
        <v>6.8667650618490859</v>
      </c>
      <c r="AI333" cm="1">
        <f t="array" ref="AI333">_xlfn.LET(
    _xlpm.vals,   _xlfn.HSTACK(S333,V333,Y333,AB333,AE333,AH333),
    _xlpm.ints,   _xlfn.HSTACK(R333,U333,X333,AA333,AD333,AG333),
    _xlpm.slopes, _xlfn.HSTACK(Q333,T333,W333,Z333,AC333,AF333),
    _xlpm.limit,  -0.00001*_xlpm.slopes + 0.1086*_xlpm.slopes + 63.253,
    _xlpm.mask,   (_xlpm.vals&gt;=0) * (_xlpm.ints&lt;=_xlpm.limit),
    _xlpm.validVals, _xlfn._xlws.FILTER(_xlpm.vals, _xlpm.mask),
    _xlpm.minVal, MIN(_xlpm.validVals),
    IFERROR( _xlfn.XMATCH(_xlpm.minVal, _xlpm.vals), "" )
)</f>
        <v>1</v>
      </c>
      <c r="AJ333" cm="1">
        <f t="array" ref="AJ333">_xlfn.LET(
    _xlpm.vals, CHOOSE({1,2,3,4,5,6}, S333, V333, Y333, AB333, AE333, AH333),
    _xlpm.slopes, CHOOSE({1,2,3,4,5,6}, Q333, T333, W333, Z333, AC333, AF333),
    _xlpm.ints, CHOOSE({1,2,3,4,5,6}, R333, U333, X333, AA333, AD333, AG333),
    _xlpm.limit, -0.00001*_xlpm.slopes + 0.1086*_xlpm.slopes + 63.253,
    _xlpm.valid, (_xlpm.vals &gt;= 0) * (_xlpm.ints &lt;= _xlpm.limit),
    _xlpm.target, MIN(_xlfn._xlws.FILTER(_xlpm.vals, _xlpm.valid)),
    IFERROR(
        _xlfn.XLOOKUP(_xlpm.target, _xlpm.vals, _xlpm.vals),
        CHOOSE({1,2,3,4,5,6}, S$1, V$1, Y$1, AB$1, AE$1, AH$1)
    )
)</f>
        <v>1.3360711326794394</v>
      </c>
    </row>
    <row r="334" spans="9:36" x14ac:dyDescent="0.45">
      <c r="I334">
        <v>332</v>
      </c>
      <c r="J334">
        <v>11.5</v>
      </c>
      <c r="K334">
        <f t="shared" si="116"/>
        <v>11.5</v>
      </c>
      <c r="L334">
        <f t="shared" si="115"/>
        <v>3.1944444444444446E-3</v>
      </c>
      <c r="M334">
        <v>24.01</v>
      </c>
      <c r="N334">
        <f t="shared" si="117"/>
        <v>24.01</v>
      </c>
      <c r="O334">
        <f t="shared" si="118"/>
        <v>149.44460205254981</v>
      </c>
      <c r="P334">
        <f t="shared" si="119"/>
        <v>478.22272656815943</v>
      </c>
      <c r="Q334">
        <f t="shared" si="120"/>
        <v>2190.2600876821703</v>
      </c>
      <c r="R334">
        <f t="shared" si="121"/>
        <v>104.68099761650551</v>
      </c>
      <c r="S334">
        <f t="shared" si="122"/>
        <v>2.4130168161322771</v>
      </c>
      <c r="T334">
        <f t="shared" si="123"/>
        <v>1415.539270641752</v>
      </c>
      <c r="U334">
        <f t="shared" si="124"/>
        <v>161.97262469040379</v>
      </c>
      <c r="V334">
        <f t="shared" si="125"/>
        <v>2.2029391663864115</v>
      </c>
      <c r="W334">
        <f t="shared" si="126"/>
        <v>6000</v>
      </c>
      <c r="X334">
        <f t="shared" si="127"/>
        <v>38.213101836364075</v>
      </c>
      <c r="Y334">
        <f t="shared" si="128"/>
        <v>7.1538157161223142</v>
      </c>
      <c r="Z334">
        <f t="shared" si="129"/>
        <v>6000</v>
      </c>
      <c r="AA334">
        <f t="shared" si="130"/>
        <v>38.213101836364075</v>
      </c>
      <c r="AB334">
        <f t="shared" si="131"/>
        <v>7.1538157161223142</v>
      </c>
      <c r="AC334">
        <f t="shared" si="132"/>
        <v>6000</v>
      </c>
      <c r="AD334">
        <f t="shared" si="133"/>
        <v>38.213101836364075</v>
      </c>
      <c r="AE334">
        <f t="shared" si="134"/>
        <v>7.1538157161223142</v>
      </c>
      <c r="AF334">
        <f t="shared" si="135"/>
        <v>6000</v>
      </c>
      <c r="AG334">
        <f t="shared" si="136"/>
        <v>38.213101836364075</v>
      </c>
      <c r="AH334">
        <f t="shared" si="137"/>
        <v>7.1538157161223142</v>
      </c>
      <c r="AI334" cm="1">
        <f t="array" ref="AI334">_xlfn.LET(
    _xlpm.vals,   _xlfn.HSTACK(S334,V334,Y334,AB334,AE334,AH334),
    _xlpm.ints,   _xlfn.HSTACK(R334,U334,X334,AA334,AD334,AG334),
    _xlpm.slopes, _xlfn.HSTACK(Q334,T334,W334,Z334,AC334,AF334),
    _xlpm.limit,  -0.00001*_xlpm.slopes + 0.1086*_xlpm.slopes + 63.253,
    _xlpm.mask,   (_xlpm.vals&gt;=0) * (_xlpm.ints&lt;=_xlpm.limit),
    _xlpm.validVals, _xlfn._xlws.FILTER(_xlpm.vals, _xlpm.mask),
    _xlpm.minVal, MIN(_xlpm.validVals),
    IFERROR( _xlfn.XMATCH(_xlpm.minVal, _xlpm.vals), "" )
)</f>
        <v>2</v>
      </c>
      <c r="AJ334" cm="1">
        <f t="array" ref="AJ334">_xlfn.LET(
    _xlpm.vals, CHOOSE({1,2,3,4,5,6}, S334, V334, Y334, AB334, AE334, AH334),
    _xlpm.slopes, CHOOSE({1,2,3,4,5,6}, Q334, T334, W334, Z334, AC334, AF334),
    _xlpm.ints, CHOOSE({1,2,3,4,5,6}, R334, U334, X334, AA334, AD334, AG334),
    _xlpm.limit, -0.00001*_xlpm.slopes + 0.1086*_xlpm.slopes + 63.253,
    _xlpm.valid, (_xlpm.vals &gt;= 0) * (_xlpm.ints &lt;= _xlpm.limit),
    _xlpm.target, MIN(_xlfn._xlws.FILTER(_xlpm.vals, _xlpm.valid)),
    IFERROR(
        _xlfn.XLOOKUP(_xlpm.target, _xlpm.vals, _xlpm.vals),
        CHOOSE({1,2,3,4,5,6}, S$1, V$1, Y$1, AB$1, AE$1, AH$1)
    )
)</f>
        <v>2.2029391663864115</v>
      </c>
    </row>
    <row r="335" spans="9:36" x14ac:dyDescent="0.45">
      <c r="I335">
        <v>333</v>
      </c>
      <c r="J335">
        <v>15.1</v>
      </c>
      <c r="K335">
        <f t="shared" si="116"/>
        <v>15.1</v>
      </c>
      <c r="L335">
        <f t="shared" si="115"/>
        <v>4.1944444444444442E-3</v>
      </c>
      <c r="M335">
        <v>21.37</v>
      </c>
      <c r="N335">
        <f t="shared" si="117"/>
        <v>21.37</v>
      </c>
      <c r="O335">
        <f t="shared" si="118"/>
        <v>196.22726008639151</v>
      </c>
      <c r="P335">
        <f t="shared" si="119"/>
        <v>627.92723227645286</v>
      </c>
      <c r="Q335">
        <f t="shared" si="120"/>
        <v>2875.9067238261541</v>
      </c>
      <c r="R335">
        <f t="shared" si="121"/>
        <v>70.957957830055122</v>
      </c>
      <c r="S335">
        <f t="shared" si="122"/>
        <v>2.2690474745138154</v>
      </c>
      <c r="T335">
        <f t="shared" si="123"/>
        <v>1858.6646075383005</v>
      </c>
      <c r="U335">
        <f t="shared" si="124"/>
        <v>109.79305637217986</v>
      </c>
      <c r="V335">
        <f t="shared" si="125"/>
        <v>2.1869912472770974</v>
      </c>
      <c r="W335">
        <f t="shared" si="126"/>
        <v>1199.341013648025</v>
      </c>
      <c r="X335">
        <f t="shared" si="127"/>
        <v>170.15049573908504</v>
      </c>
      <c r="Y335">
        <f t="shared" si="128"/>
        <v>1.8506657343038253</v>
      </c>
      <c r="Z335">
        <f t="shared" si="129"/>
        <v>6000</v>
      </c>
      <c r="AA335">
        <f t="shared" si="130"/>
        <v>34.011411338738036</v>
      </c>
      <c r="AB335">
        <f t="shared" si="131"/>
        <v>7.0835992333075257</v>
      </c>
      <c r="AC335">
        <f t="shared" si="132"/>
        <v>6000</v>
      </c>
      <c r="AD335">
        <f t="shared" si="133"/>
        <v>34.011411338738036</v>
      </c>
      <c r="AE335">
        <f t="shared" si="134"/>
        <v>7.0835992333075257</v>
      </c>
      <c r="AF335">
        <f t="shared" si="135"/>
        <v>6000</v>
      </c>
      <c r="AG335">
        <f t="shared" si="136"/>
        <v>34.011411338738036</v>
      </c>
      <c r="AH335">
        <f t="shared" si="137"/>
        <v>7.0835992333075257</v>
      </c>
      <c r="AI335" cm="1">
        <f t="array" ref="AI335">_xlfn.LET(
    _xlpm.vals,   _xlfn.HSTACK(S335,V335,Y335,AB335,AE335,AH335),
    _xlpm.ints,   _xlfn.HSTACK(R335,U335,X335,AA335,AD335,AG335),
    _xlpm.slopes, _xlfn.HSTACK(Q335,T335,W335,Z335,AC335,AF335),
    _xlpm.limit,  -0.00001*_xlpm.slopes + 0.1086*_xlpm.slopes + 63.253,
    _xlpm.mask,   (_xlpm.vals&gt;=0) * (_xlpm.ints&lt;=_xlpm.limit),
    _xlpm.validVals, _xlfn._xlws.FILTER(_xlpm.vals, _xlpm.mask),
    _xlpm.minVal, MIN(_xlpm.validVals),
    IFERROR( _xlfn.XMATCH(_xlpm.minVal, _xlpm.vals), "" )
)</f>
        <v>3</v>
      </c>
      <c r="AJ335" cm="1">
        <f t="array" ref="AJ335">_xlfn.LET(
    _xlpm.vals, CHOOSE({1,2,3,4,5,6}, S335, V335, Y335, AB335, AE335, AH335),
    _xlpm.slopes, CHOOSE({1,2,3,4,5,6}, Q335, T335, W335, Z335, AC335, AF335),
    _xlpm.ints, CHOOSE({1,2,3,4,5,6}, R335, U335, X335, AA335, AD335, AG335),
    _xlpm.limit, -0.00001*_xlpm.slopes + 0.1086*_xlpm.slopes + 63.253,
    _xlpm.valid, (_xlpm.vals &gt;= 0) * (_xlpm.ints &lt;= _xlpm.limit),
    _xlpm.target, MIN(_xlfn._xlws.FILTER(_xlpm.vals, _xlpm.valid)),
    IFERROR(
        _xlfn.XLOOKUP(_xlpm.target, _xlpm.vals, _xlpm.vals),
        CHOOSE({1,2,3,4,5,6}, S$1, V$1, Y$1, AB$1, AE$1, AH$1)
    )
)</f>
        <v>1.8506657343038253</v>
      </c>
    </row>
    <row r="336" spans="9:36" x14ac:dyDescent="0.45">
      <c r="I336">
        <v>334</v>
      </c>
      <c r="J336">
        <v>17.5</v>
      </c>
      <c r="K336">
        <f t="shared" si="116"/>
        <v>17.5</v>
      </c>
      <c r="L336">
        <f t="shared" si="115"/>
        <v>4.8611111111111112E-3</v>
      </c>
      <c r="M336">
        <v>23.65</v>
      </c>
      <c r="N336">
        <f t="shared" si="117"/>
        <v>23.65</v>
      </c>
      <c r="O336">
        <f t="shared" si="118"/>
        <v>227.41569877561929</v>
      </c>
      <c r="P336">
        <f t="shared" si="119"/>
        <v>727.73023608198173</v>
      </c>
      <c r="Q336">
        <f t="shared" si="120"/>
        <v>3333.0044812554765</v>
      </c>
      <c r="R336">
        <f t="shared" si="121"/>
        <v>67.75894407508558</v>
      </c>
      <c r="S336">
        <f t="shared" si="122"/>
        <v>2.6071085972896411</v>
      </c>
      <c r="T336">
        <f t="shared" si="123"/>
        <v>2154.0814988026659</v>
      </c>
      <c r="U336">
        <f t="shared" si="124"/>
        <v>104.84323103509865</v>
      </c>
      <c r="V336">
        <f t="shared" si="125"/>
        <v>2.3823903379740252</v>
      </c>
      <c r="W336">
        <f t="shared" si="126"/>
        <v>1389.964750916585</v>
      </c>
      <c r="X336">
        <f t="shared" si="127"/>
        <v>162.47956223240422</v>
      </c>
      <c r="Y336">
        <f t="shared" si="128"/>
        <v>2.1631804005696136</v>
      </c>
      <c r="Z336">
        <f t="shared" si="129"/>
        <v>1047.9315399580537</v>
      </c>
      <c r="AA336">
        <f t="shared" si="130"/>
        <v>215.51108601659169</v>
      </c>
      <c r="AB336">
        <f t="shared" si="131"/>
        <v>1.2394813563274636</v>
      </c>
      <c r="AC336">
        <f t="shared" si="132"/>
        <v>6000</v>
      </c>
      <c r="AD336">
        <f t="shared" si="133"/>
        <v>37.640144041233249</v>
      </c>
      <c r="AE336">
        <f t="shared" si="134"/>
        <v>7.1439722954245077</v>
      </c>
      <c r="AF336">
        <f t="shared" si="135"/>
        <v>6000</v>
      </c>
      <c r="AG336">
        <f t="shared" si="136"/>
        <v>37.640144041233249</v>
      </c>
      <c r="AH336">
        <f t="shared" si="137"/>
        <v>7.1439722954245077</v>
      </c>
      <c r="AI336" cm="1">
        <f t="array" ref="AI336">_xlfn.LET(
    _xlpm.vals,   _xlfn.HSTACK(S336,V336,Y336,AB336,AE336,AH336),
    _xlpm.ints,   _xlfn.HSTACK(R336,U336,X336,AA336,AD336,AG336),
    _xlpm.slopes, _xlfn.HSTACK(Q336,T336,W336,Z336,AC336,AF336),
    _xlpm.limit,  -0.00001*_xlpm.slopes + 0.1086*_xlpm.slopes + 63.253,
    _xlpm.mask,   (_xlpm.vals&gt;=0) * (_xlpm.ints&lt;=_xlpm.limit),
    _xlpm.validVals, _xlfn._xlws.FILTER(_xlpm.vals, _xlpm.mask),
    _xlpm.minVal, MIN(_xlpm.validVals),
    IFERROR( _xlfn.XMATCH(_xlpm.minVal, _xlpm.vals), "" )
)</f>
        <v>3</v>
      </c>
      <c r="AJ336" cm="1">
        <f t="array" ref="AJ336">_xlfn.LET(
    _xlpm.vals, CHOOSE({1,2,3,4,5,6}, S336, V336, Y336, AB336, AE336, AH336),
    _xlpm.slopes, CHOOSE({1,2,3,4,5,6}, Q336, T336, W336, Z336, AC336, AF336),
    _xlpm.ints, CHOOSE({1,2,3,4,5,6}, R336, U336, X336, AA336, AD336, AG336),
    _xlpm.limit, -0.00001*_xlpm.slopes + 0.1086*_xlpm.slopes + 63.253,
    _xlpm.valid, (_xlpm.vals &gt;= 0) * (_xlpm.ints &lt;= _xlpm.limit),
    _xlpm.target, MIN(_xlfn._xlws.FILTER(_xlpm.vals, _xlpm.valid)),
    IFERROR(
        _xlfn.XLOOKUP(_xlpm.target, _xlpm.vals, _xlpm.vals),
        CHOOSE({1,2,3,4,5,6}, S$1, V$1, Y$1, AB$1, AE$1, AH$1)
    )
)</f>
        <v>2.1631804005696136</v>
      </c>
    </row>
    <row r="337" spans="9:36" x14ac:dyDescent="0.45">
      <c r="I337">
        <v>335</v>
      </c>
      <c r="J337">
        <v>19.5</v>
      </c>
      <c r="K337">
        <f t="shared" si="116"/>
        <v>19.5</v>
      </c>
      <c r="L337">
        <f t="shared" si="115"/>
        <v>5.4166666666666669E-3</v>
      </c>
      <c r="M337">
        <v>18.559999999999999</v>
      </c>
      <c r="N337">
        <f t="shared" si="117"/>
        <v>18.559999999999999</v>
      </c>
      <c r="O337">
        <f t="shared" si="118"/>
        <v>253.40606434997582</v>
      </c>
      <c r="P337">
        <f t="shared" si="119"/>
        <v>810.89940591992263</v>
      </c>
      <c r="Q337">
        <f t="shared" si="120"/>
        <v>3713.9192791132459</v>
      </c>
      <c r="R337">
        <f t="shared" si="121"/>
        <v>47.721808501301666</v>
      </c>
      <c r="S337">
        <f t="shared" si="122"/>
        <v>2.5264108093963915</v>
      </c>
      <c r="T337">
        <f t="shared" si="123"/>
        <v>2400.2622415229707</v>
      </c>
      <c r="U337">
        <f t="shared" si="124"/>
        <v>73.83982531620326</v>
      </c>
      <c r="V337">
        <f t="shared" si="125"/>
        <v>1.9620695449243331</v>
      </c>
      <c r="W337">
        <f t="shared" si="126"/>
        <v>1548.8178653070522</v>
      </c>
      <c r="X337">
        <f t="shared" si="127"/>
        <v>114.43239944291186</v>
      </c>
      <c r="Y337">
        <f t="shared" si="128"/>
        <v>1.9363878606612812</v>
      </c>
      <c r="Z337">
        <f t="shared" si="129"/>
        <v>1167.6951445246884</v>
      </c>
      <c r="AA337">
        <f t="shared" si="130"/>
        <v>151.78186314997339</v>
      </c>
      <c r="AB337">
        <f t="shared" si="131"/>
        <v>1.7560770205205072</v>
      </c>
      <c r="AC337">
        <f t="shared" si="132"/>
        <v>6000</v>
      </c>
      <c r="AD337">
        <f t="shared" si="133"/>
        <v>29.539157437855774</v>
      </c>
      <c r="AE337">
        <f t="shared" si="134"/>
        <v>7.0139791914535401</v>
      </c>
      <c r="AF337">
        <f t="shared" si="135"/>
        <v>6000</v>
      </c>
      <c r="AG337">
        <f t="shared" si="136"/>
        <v>29.539157437855774</v>
      </c>
      <c r="AH337">
        <f t="shared" si="137"/>
        <v>7.0139791914535401</v>
      </c>
      <c r="AI337" cm="1">
        <f t="array" ref="AI337">_xlfn.LET(
    _xlpm.vals,   _xlfn.HSTACK(S337,V337,Y337,AB337,AE337,AH337),
    _xlpm.ints,   _xlfn.HSTACK(R337,U337,X337,AA337,AD337,AG337),
    _xlpm.slopes, _xlfn.HSTACK(Q337,T337,W337,Z337,AC337,AF337),
    _xlpm.limit,  -0.00001*_xlpm.slopes + 0.1086*_xlpm.slopes + 63.253,
    _xlpm.mask,   (_xlpm.vals&gt;=0) * (_xlpm.ints&lt;=_xlpm.limit),
    _xlpm.validVals, _xlfn._xlws.FILTER(_xlpm.vals, _xlpm.mask),
    _xlpm.minVal, MIN(_xlpm.validVals),
    IFERROR( _xlfn.XMATCH(_xlpm.minVal, _xlpm.vals), "" )
)</f>
        <v>4</v>
      </c>
      <c r="AJ337" cm="1">
        <f t="array" ref="AJ337">_xlfn.LET(
    _xlpm.vals, CHOOSE({1,2,3,4,5,6}, S337, V337, Y337, AB337, AE337, AH337),
    _xlpm.slopes, CHOOSE({1,2,3,4,5,6}, Q337, T337, W337, Z337, AC337, AF337),
    _xlpm.ints, CHOOSE({1,2,3,4,5,6}, R337, U337, X337, AA337, AD337, AG337),
    _xlpm.limit, -0.00001*_xlpm.slopes + 0.1086*_xlpm.slopes + 63.253,
    _xlpm.valid, (_xlpm.vals &gt;= 0) * (_xlpm.ints &lt;= _xlpm.limit),
    _xlpm.target, MIN(_xlfn._xlws.FILTER(_xlpm.vals, _xlpm.valid)),
    IFERROR(
        _xlfn.XLOOKUP(_xlpm.target, _xlpm.vals, _xlpm.vals),
        CHOOSE({1,2,3,4,5,6}, S$1, V$1, Y$1, AB$1, AE$1, AH$1)
    )
)</f>
        <v>1.7560770205205072</v>
      </c>
    </row>
    <row r="338" spans="9:36" x14ac:dyDescent="0.45">
      <c r="I338">
        <v>336</v>
      </c>
      <c r="J338">
        <v>21.9</v>
      </c>
      <c r="K338">
        <f t="shared" si="116"/>
        <v>21.9</v>
      </c>
      <c r="L338">
        <f t="shared" si="115"/>
        <v>6.083333333333333E-3</v>
      </c>
      <c r="M338">
        <v>19.93</v>
      </c>
      <c r="N338">
        <f t="shared" si="117"/>
        <v>19.93</v>
      </c>
      <c r="O338">
        <f t="shared" si="118"/>
        <v>284.59450303920352</v>
      </c>
      <c r="P338">
        <f t="shared" si="119"/>
        <v>910.70240972545128</v>
      </c>
      <c r="Q338">
        <f t="shared" si="120"/>
        <v>4171.0170365425665</v>
      </c>
      <c r="R338">
        <f t="shared" si="121"/>
        <v>45.628555165779453</v>
      </c>
      <c r="S338">
        <f t="shared" si="122"/>
        <v>3.0707965481655561</v>
      </c>
      <c r="T338">
        <f t="shared" si="123"/>
        <v>2695.6791327873357</v>
      </c>
      <c r="U338">
        <f t="shared" si="124"/>
        <v>70.600940087591198</v>
      </c>
      <c r="V338">
        <f t="shared" si="125"/>
        <v>2.1155939195218032</v>
      </c>
      <c r="W338">
        <f t="shared" si="126"/>
        <v>1739.4416025756118</v>
      </c>
      <c r="X338">
        <f t="shared" si="127"/>
        <v>109.41297521427745</v>
      </c>
      <c r="Y338">
        <f t="shared" si="128"/>
        <v>2.0628523463874266</v>
      </c>
      <c r="Z338">
        <f t="shared" si="129"/>
        <v>1311.4114700046498</v>
      </c>
      <c r="AA338">
        <f t="shared" si="130"/>
        <v>145.12415462449297</v>
      </c>
      <c r="AB338">
        <f t="shared" si="131"/>
        <v>1.9428554684461929</v>
      </c>
      <c r="AC338">
        <f t="shared" si="132"/>
        <v>6000</v>
      </c>
      <c r="AD338">
        <f t="shared" si="133"/>
        <v>31.719580158214743</v>
      </c>
      <c r="AE338">
        <f t="shared" si="134"/>
        <v>7.0472514830954207</v>
      </c>
      <c r="AF338">
        <f t="shared" si="135"/>
        <v>6000</v>
      </c>
      <c r="AG338">
        <f t="shared" si="136"/>
        <v>31.719580158214743</v>
      </c>
      <c r="AH338">
        <f t="shared" si="137"/>
        <v>7.0472514830954207</v>
      </c>
      <c r="AI338" cm="1">
        <f t="array" ref="AI338">_xlfn.LET(
    _xlpm.vals,   _xlfn.HSTACK(S338,V338,Y338,AB338,AE338,AH338),
    _xlpm.ints,   _xlfn.HSTACK(R338,U338,X338,AA338,AD338,AG338),
    _xlpm.slopes, _xlfn.HSTACK(Q338,T338,W338,Z338,AC338,AF338),
    _xlpm.limit,  -0.00001*_xlpm.slopes + 0.1086*_xlpm.slopes + 63.253,
    _xlpm.mask,   (_xlpm.vals&gt;=0) * (_xlpm.ints&lt;=_xlpm.limit),
    _xlpm.validVals, _xlfn._xlws.FILTER(_xlpm.vals, _xlpm.mask),
    _xlpm.minVal, MIN(_xlpm.validVals),
    IFERROR( _xlfn.XMATCH(_xlpm.minVal, _xlpm.vals), "" )
)</f>
        <v>4</v>
      </c>
      <c r="AJ338" cm="1">
        <f t="array" ref="AJ338">_xlfn.LET(
    _xlpm.vals, CHOOSE({1,2,3,4,5,6}, S338, V338, Y338, AB338, AE338, AH338),
    _xlpm.slopes, CHOOSE({1,2,3,4,5,6}, Q338, T338, W338, Z338, AC338, AF338),
    _xlpm.ints, CHOOSE({1,2,3,4,5,6}, R338, U338, X338, AA338, AD338, AG338),
    _xlpm.limit, -0.00001*_xlpm.slopes + 0.1086*_xlpm.slopes + 63.253,
    _xlpm.valid, (_xlpm.vals &gt;= 0) * (_xlpm.ints &lt;= _xlpm.limit),
    _xlpm.target, MIN(_xlfn._xlws.FILTER(_xlpm.vals, _xlpm.valid)),
    IFERROR(
        _xlfn.XLOOKUP(_xlpm.target, _xlpm.vals, _xlpm.vals),
        CHOOSE({1,2,3,4,5,6}, S$1, V$1, Y$1, AB$1, AE$1, AH$1)
    )
)</f>
        <v>1.9428554684461929</v>
      </c>
    </row>
    <row r="339" spans="9:36" x14ac:dyDescent="0.45">
      <c r="I339">
        <v>337</v>
      </c>
      <c r="J339">
        <v>24</v>
      </c>
      <c r="K339">
        <f t="shared" si="116"/>
        <v>24</v>
      </c>
      <c r="L339">
        <f t="shared" si="115"/>
        <v>6.6666666666666662E-3</v>
      </c>
      <c r="M339">
        <v>20.02</v>
      </c>
      <c r="N339">
        <f t="shared" si="117"/>
        <v>20.02</v>
      </c>
      <c r="O339">
        <f t="shared" si="118"/>
        <v>311.88438689227792</v>
      </c>
      <c r="P339">
        <f t="shared" si="119"/>
        <v>998.03003805528942</v>
      </c>
      <c r="Q339">
        <f t="shared" si="120"/>
        <v>4570.9775742932252</v>
      </c>
      <c r="R339">
        <f t="shared" si="121"/>
        <v>41.824076914563484</v>
      </c>
      <c r="S339">
        <f t="shared" si="122"/>
        <v>3.6302819489393885</v>
      </c>
      <c r="T339">
        <f t="shared" si="123"/>
        <v>2954.1689126436568</v>
      </c>
      <c r="U339">
        <f t="shared" si="124"/>
        <v>64.71428117185836</v>
      </c>
      <c r="V339">
        <f t="shared" si="125"/>
        <v>2.1894940242272591</v>
      </c>
      <c r="W339">
        <f t="shared" si="126"/>
        <v>1906.2373726856026</v>
      </c>
      <c r="X339">
        <f t="shared" si="127"/>
        <v>100.29019490507893</v>
      </c>
      <c r="Y339">
        <f t="shared" si="128"/>
        <v>2.0731801735747766</v>
      </c>
      <c r="Z339">
        <f t="shared" si="129"/>
        <v>1437.1632547996167</v>
      </c>
      <c r="AA339">
        <f t="shared" si="130"/>
        <v>133.02380018659775</v>
      </c>
      <c r="AB339">
        <f t="shared" si="131"/>
        <v>2.0171041772851859</v>
      </c>
      <c r="AC339">
        <f t="shared" si="132"/>
        <v>6000</v>
      </c>
      <c r="AD339">
        <f t="shared" si="133"/>
        <v>31.862819606997448</v>
      </c>
      <c r="AE339">
        <f t="shared" si="134"/>
        <v>7.0494821670496819</v>
      </c>
      <c r="AF339">
        <f t="shared" si="135"/>
        <v>6000</v>
      </c>
      <c r="AG339">
        <f t="shared" si="136"/>
        <v>31.862819606997448</v>
      </c>
      <c r="AH339">
        <f t="shared" si="137"/>
        <v>7.0494821670496819</v>
      </c>
      <c r="AI339" cm="1">
        <f t="array" ref="AI339">_xlfn.LET(
    _xlpm.vals,   _xlfn.HSTACK(S339,V339,Y339,AB339,AE339,AH339),
    _xlpm.ints,   _xlfn.HSTACK(R339,U339,X339,AA339,AD339,AG339),
    _xlpm.slopes, _xlfn.HSTACK(Q339,T339,W339,Z339,AC339,AF339),
    _xlpm.limit,  -0.00001*_xlpm.slopes + 0.1086*_xlpm.slopes + 63.253,
    _xlpm.mask,   (_xlpm.vals&gt;=0) * (_xlpm.ints&lt;=_xlpm.limit),
    _xlpm.validVals, _xlfn._xlws.FILTER(_xlpm.vals, _xlpm.mask),
    _xlpm.minVal, MIN(_xlpm.validVals),
    IFERROR( _xlfn.XMATCH(_xlpm.minVal, _xlpm.vals), "" )
)</f>
        <v>4</v>
      </c>
      <c r="AJ339" cm="1">
        <f t="array" ref="AJ339">_xlfn.LET(
    _xlpm.vals, CHOOSE({1,2,3,4,5,6}, S339, V339, Y339, AB339, AE339, AH339),
    _xlpm.slopes, CHOOSE({1,2,3,4,5,6}, Q339, T339, W339, Z339, AC339, AF339),
    _xlpm.ints, CHOOSE({1,2,3,4,5,6}, R339, U339, X339, AA339, AD339, AG339),
    _xlpm.limit, -0.00001*_xlpm.slopes + 0.1086*_xlpm.slopes + 63.253,
    _xlpm.valid, (_xlpm.vals &gt;= 0) * (_xlpm.ints &lt;= _xlpm.limit),
    _xlpm.target, MIN(_xlfn._xlws.FILTER(_xlpm.vals, _xlpm.valid)),
    IFERROR(
        _xlfn.XLOOKUP(_xlpm.target, _xlpm.vals, _xlpm.vals),
        CHOOSE({1,2,3,4,5,6}, S$1, V$1, Y$1, AB$1, AE$1, AH$1)
    )
)</f>
        <v>2.0171041772851859</v>
      </c>
    </row>
    <row r="340" spans="9:36" x14ac:dyDescent="0.45">
      <c r="I340">
        <v>338</v>
      </c>
      <c r="J340">
        <v>25.6</v>
      </c>
      <c r="K340">
        <f t="shared" si="116"/>
        <v>25.6</v>
      </c>
      <c r="L340">
        <f t="shared" si="115"/>
        <v>7.1111111111111115E-3</v>
      </c>
      <c r="M340">
        <v>16.55</v>
      </c>
      <c r="N340">
        <f t="shared" si="117"/>
        <v>16.55</v>
      </c>
      <c r="O340">
        <f t="shared" si="118"/>
        <v>332.67667935176308</v>
      </c>
      <c r="P340">
        <f t="shared" si="119"/>
        <v>1064.565373925642</v>
      </c>
      <c r="Q340">
        <f t="shared" si="120"/>
        <v>4875.7094125794401</v>
      </c>
      <c r="R340">
        <f t="shared" si="121"/>
        <v>32.413920748128078</v>
      </c>
      <c r="S340">
        <f t="shared" si="122"/>
        <v>4.0181720795465417</v>
      </c>
      <c r="T340">
        <f t="shared" si="123"/>
        <v>3151.1135068199005</v>
      </c>
      <c r="U340">
        <f t="shared" si="124"/>
        <v>50.15397196838736</v>
      </c>
      <c r="V340">
        <f t="shared" si="125"/>
        <v>2.0225271953413104</v>
      </c>
      <c r="W340">
        <f t="shared" si="126"/>
        <v>2033.3198641979761</v>
      </c>
      <c r="X340">
        <f t="shared" si="127"/>
        <v>77.725527238966805</v>
      </c>
      <c r="Y340">
        <f t="shared" si="128"/>
        <v>1.7719014930710124</v>
      </c>
      <c r="Z340">
        <f t="shared" si="129"/>
        <v>1532.9741384529245</v>
      </c>
      <c r="AA340">
        <f t="shared" si="130"/>
        <v>103.09427571279623</v>
      </c>
      <c r="AB340">
        <f t="shared" si="131"/>
        <v>1.7693233901174821</v>
      </c>
      <c r="AC340">
        <f t="shared" si="132"/>
        <v>6000</v>
      </c>
      <c r="AD340">
        <f t="shared" si="133"/>
        <v>26.340143081708678</v>
      </c>
      <c r="AE340">
        <f t="shared" si="134"/>
        <v>6.9675188363362102</v>
      </c>
      <c r="AF340">
        <f t="shared" si="135"/>
        <v>6000</v>
      </c>
      <c r="AG340">
        <f t="shared" si="136"/>
        <v>26.340143081708678</v>
      </c>
      <c r="AH340">
        <f t="shared" si="137"/>
        <v>6.9675188363362102</v>
      </c>
      <c r="AI340" cm="1">
        <f t="array" ref="AI340">_xlfn.LET(
    _xlpm.vals,   _xlfn.HSTACK(S340,V340,Y340,AB340,AE340,AH340),
    _xlpm.ints,   _xlfn.HSTACK(R340,U340,X340,AA340,AD340,AG340),
    _xlpm.slopes, _xlfn.HSTACK(Q340,T340,W340,Z340,AC340,AF340),
    _xlpm.limit,  -0.00001*_xlpm.slopes + 0.1086*_xlpm.slopes + 63.253,
    _xlpm.mask,   (_xlpm.vals&gt;=0) * (_xlpm.ints&lt;=_xlpm.limit),
    _xlpm.validVals, _xlfn._xlws.FILTER(_xlpm.vals, _xlpm.mask),
    _xlpm.minVal, MIN(_xlpm.validVals),
    IFERROR( _xlfn.XMATCH(_xlpm.minVal, _xlpm.vals), "" )
)</f>
        <v>4</v>
      </c>
      <c r="AJ340" cm="1">
        <f t="array" ref="AJ340">_xlfn.LET(
    _xlpm.vals, CHOOSE({1,2,3,4,5,6}, S340, V340, Y340, AB340, AE340, AH340),
    _xlpm.slopes, CHOOSE({1,2,3,4,5,6}, Q340, T340, W340, Z340, AC340, AF340),
    _xlpm.ints, CHOOSE({1,2,3,4,5,6}, R340, U340, X340, AA340, AD340, AG340),
    _xlpm.limit, -0.00001*_xlpm.slopes + 0.1086*_xlpm.slopes + 63.253,
    _xlpm.valid, (_xlpm.vals &gt;= 0) * (_xlpm.ints &lt;= _xlpm.limit),
    _xlpm.target, MIN(_xlfn._xlws.FILTER(_xlpm.vals, _xlpm.valid)),
    IFERROR(
        _xlfn.XLOOKUP(_xlpm.target, _xlpm.vals, _xlpm.vals),
        CHOOSE({1,2,3,4,5,6}, S$1, V$1, Y$1, AB$1, AE$1, AH$1)
    )
)</f>
        <v>1.7693233901174821</v>
      </c>
    </row>
    <row r="341" spans="9:36" x14ac:dyDescent="0.45">
      <c r="I341">
        <v>339</v>
      </c>
      <c r="J341">
        <v>26.4</v>
      </c>
      <c r="K341">
        <f t="shared" si="116"/>
        <v>26.4</v>
      </c>
      <c r="L341">
        <f t="shared" si="115"/>
        <v>7.3333333333333332E-3</v>
      </c>
      <c r="M341">
        <v>14.64</v>
      </c>
      <c r="N341">
        <f t="shared" si="117"/>
        <v>14.64</v>
      </c>
      <c r="O341">
        <f t="shared" si="118"/>
        <v>343.0728255815057</v>
      </c>
      <c r="P341">
        <f t="shared" si="119"/>
        <v>1097.8330418608182</v>
      </c>
      <c r="Q341">
        <f t="shared" si="120"/>
        <v>5028.0753317225472</v>
      </c>
      <c r="R341">
        <f t="shared" si="121"/>
        <v>27.804217874362433</v>
      </c>
      <c r="S341">
        <f t="shared" si="122"/>
        <v>4.2594649881079061</v>
      </c>
      <c r="T341">
        <f t="shared" si="123"/>
        <v>3249.5858039080217</v>
      </c>
      <c r="U341">
        <f t="shared" si="124"/>
        <v>43.021391170466202</v>
      </c>
      <c r="V341">
        <f t="shared" si="125"/>
        <v>1.9501106281596108</v>
      </c>
      <c r="W341">
        <f t="shared" si="126"/>
        <v>2096.8611099541627</v>
      </c>
      <c r="X341">
        <f t="shared" si="127"/>
        <v>66.671894169937147</v>
      </c>
      <c r="Y341">
        <f t="shared" si="128"/>
        <v>1.6102921117453532</v>
      </c>
      <c r="Z341">
        <f t="shared" si="129"/>
        <v>1580.879580279578</v>
      </c>
      <c r="AA341">
        <f t="shared" si="130"/>
        <v>88.432859628180523</v>
      </c>
      <c r="AB341">
        <f t="shared" si="131"/>
        <v>1.6036246301405996</v>
      </c>
      <c r="AC341">
        <f t="shared" si="132"/>
        <v>6000</v>
      </c>
      <c r="AD341">
        <f t="shared" si="133"/>
        <v>23.300283668653478</v>
      </c>
      <c r="AE341">
        <f t="shared" si="134"/>
        <v>6.9260210500941009</v>
      </c>
      <c r="AF341">
        <f t="shared" si="135"/>
        <v>6000</v>
      </c>
      <c r="AG341">
        <f t="shared" si="136"/>
        <v>23.300283668653478</v>
      </c>
      <c r="AH341">
        <f t="shared" si="137"/>
        <v>6.9260210500941009</v>
      </c>
      <c r="AI341" cm="1">
        <f t="array" ref="AI341">_xlfn.LET(
    _xlpm.vals,   _xlfn.HSTACK(S341,V341,Y341,AB341,AE341,AH341),
    _xlpm.ints,   _xlfn.HSTACK(R341,U341,X341,AA341,AD341,AG341),
    _xlpm.slopes, _xlfn.HSTACK(Q341,T341,W341,Z341,AC341,AF341),
    _xlpm.limit,  -0.00001*_xlpm.slopes + 0.1086*_xlpm.slopes + 63.253,
    _xlpm.mask,   (_xlpm.vals&gt;=0) * (_xlpm.ints&lt;=_xlpm.limit),
    _xlpm.validVals, _xlfn._xlws.FILTER(_xlpm.vals, _xlpm.mask),
    _xlpm.minVal, MIN(_xlpm.validVals),
    IFERROR( _xlfn.XMATCH(_xlpm.minVal, _xlpm.vals), "" )
)</f>
        <v>4</v>
      </c>
      <c r="AJ341" cm="1">
        <f t="array" ref="AJ341">_xlfn.LET(
    _xlpm.vals, CHOOSE({1,2,3,4,5,6}, S341, V341, Y341, AB341, AE341, AH341),
    _xlpm.slopes, CHOOSE({1,2,3,4,5,6}, Q341, T341, W341, Z341, AC341, AF341),
    _xlpm.ints, CHOOSE({1,2,3,4,5,6}, R341, U341, X341, AA341, AD341, AG341),
    _xlpm.limit, -0.00001*_xlpm.slopes + 0.1086*_xlpm.slopes + 63.253,
    _xlpm.valid, (_xlpm.vals &gt;= 0) * (_xlpm.ints &lt;= _xlpm.limit),
    _xlpm.target, MIN(_xlfn._xlws.FILTER(_xlpm.vals, _xlpm.valid)),
    IFERROR(
        _xlfn.XLOOKUP(_xlpm.target, _xlpm.vals, _xlpm.vals),
        CHOOSE({1,2,3,4,5,6}, S$1, V$1, Y$1, AB$1, AE$1, AH$1)
    )
)</f>
        <v>1.6036246301405996</v>
      </c>
    </row>
    <row r="342" spans="9:36" x14ac:dyDescent="0.45">
      <c r="I342">
        <v>340</v>
      </c>
      <c r="J342">
        <v>28</v>
      </c>
      <c r="K342">
        <f t="shared" si="116"/>
        <v>28</v>
      </c>
      <c r="L342">
        <f t="shared" si="115"/>
        <v>7.7777777777777776E-3</v>
      </c>
      <c r="M342">
        <v>21.15</v>
      </c>
      <c r="N342">
        <f t="shared" si="117"/>
        <v>21.15</v>
      </c>
      <c r="O342">
        <f t="shared" si="118"/>
        <v>363.86511804099086</v>
      </c>
      <c r="P342">
        <f t="shared" si="119"/>
        <v>1164.3683777311708</v>
      </c>
      <c r="Q342">
        <f t="shared" si="120"/>
        <v>5332.8071700087621</v>
      </c>
      <c r="R342">
        <f t="shared" si="121"/>
        <v>37.872665623363112</v>
      </c>
      <c r="S342">
        <f t="shared" si="122"/>
        <v>5.1857246773810983</v>
      </c>
      <c r="T342">
        <f t="shared" si="123"/>
        <v>3446.5303980842655</v>
      </c>
      <c r="U342">
        <f t="shared" si="124"/>
        <v>58.600273160474011</v>
      </c>
      <c r="V342">
        <f t="shared" si="125"/>
        <v>2.4967845121383045</v>
      </c>
      <c r="W342">
        <f t="shared" si="126"/>
        <v>2223.9436014665362</v>
      </c>
      <c r="X342">
        <f t="shared" si="127"/>
        <v>90.815083013090614</v>
      </c>
      <c r="Y342">
        <f t="shared" si="128"/>
        <v>2.1708907357925442</v>
      </c>
      <c r="Z342">
        <f t="shared" si="129"/>
        <v>1676.6904639328859</v>
      </c>
      <c r="AA342">
        <f t="shared" si="130"/>
        <v>120.45611705208546</v>
      </c>
      <c r="AB342">
        <f t="shared" si="131"/>
        <v>2.1563681328991984</v>
      </c>
      <c r="AC342">
        <f t="shared" si="132"/>
        <v>6000</v>
      </c>
      <c r="AD342">
        <f t="shared" si="133"/>
        <v>33.661270463935864</v>
      </c>
      <c r="AE342">
        <f t="shared" si="134"/>
        <v>7.0779558474301023</v>
      </c>
      <c r="AF342">
        <f t="shared" si="135"/>
        <v>6000</v>
      </c>
      <c r="AG342">
        <f t="shared" si="136"/>
        <v>33.661270463935864</v>
      </c>
      <c r="AH342">
        <f t="shared" si="137"/>
        <v>7.0779558474301023</v>
      </c>
      <c r="AI342" cm="1">
        <f t="array" ref="AI342">_xlfn.LET(
    _xlpm.vals,   _xlfn.HSTACK(S342,V342,Y342,AB342,AE342,AH342),
    _xlpm.ints,   _xlfn.HSTACK(R342,U342,X342,AA342,AD342,AG342),
    _xlpm.slopes, _xlfn.HSTACK(Q342,T342,W342,Z342,AC342,AF342),
    _xlpm.limit,  -0.00001*_xlpm.slopes + 0.1086*_xlpm.slopes + 63.253,
    _xlpm.mask,   (_xlpm.vals&gt;=0) * (_xlpm.ints&lt;=_xlpm.limit),
    _xlpm.validVals, _xlfn._xlws.FILTER(_xlpm.vals, _xlpm.mask),
    _xlpm.minVal, MIN(_xlpm.validVals),
    IFERROR( _xlfn.XMATCH(_xlpm.minVal, _xlpm.vals), "" )
)</f>
        <v>4</v>
      </c>
      <c r="AJ342" cm="1">
        <f t="array" ref="AJ342">_xlfn.LET(
    _xlpm.vals, CHOOSE({1,2,3,4,5,6}, S342, V342, Y342, AB342, AE342, AH342),
    _xlpm.slopes, CHOOSE({1,2,3,4,5,6}, Q342, T342, W342, Z342, AC342, AF342),
    _xlpm.ints, CHOOSE({1,2,3,4,5,6}, R342, U342, X342, AA342, AD342, AG342),
    _xlpm.limit, -0.00001*_xlpm.slopes + 0.1086*_xlpm.slopes + 63.253,
    _xlpm.valid, (_xlpm.vals &gt;= 0) * (_xlpm.ints &lt;= _xlpm.limit),
    _xlpm.target, MIN(_xlfn._xlws.FILTER(_xlpm.vals, _xlpm.valid)),
    IFERROR(
        _xlfn.XLOOKUP(_xlpm.target, _xlpm.vals, _xlpm.vals),
        CHOOSE({1,2,3,4,5,6}, S$1, V$1, Y$1, AB$1, AE$1, AH$1)
    )
)</f>
        <v>2.1563681328991984</v>
      </c>
    </row>
    <row r="343" spans="9:36" x14ac:dyDescent="0.45">
      <c r="I343">
        <v>341</v>
      </c>
      <c r="J343">
        <v>29.8</v>
      </c>
      <c r="K343">
        <f t="shared" si="116"/>
        <v>29.8</v>
      </c>
      <c r="L343">
        <f t="shared" si="115"/>
        <v>8.277777777777778E-3</v>
      </c>
      <c r="M343">
        <v>20.48</v>
      </c>
      <c r="N343">
        <f t="shared" si="117"/>
        <v>20.48</v>
      </c>
      <c r="O343">
        <f t="shared" si="118"/>
        <v>387.25644705791177</v>
      </c>
      <c r="P343">
        <f t="shared" si="119"/>
        <v>1239.2206305853178</v>
      </c>
      <c r="Q343">
        <f t="shared" si="120"/>
        <v>5675.6304880807556</v>
      </c>
      <c r="R343">
        <f t="shared" si="121"/>
        <v>34.457774247642021</v>
      </c>
      <c r="S343">
        <f t="shared" si="122"/>
        <v>6.064609664691389</v>
      </c>
      <c r="T343">
        <f t="shared" si="123"/>
        <v>3668.0930665325409</v>
      </c>
      <c r="U343">
        <f t="shared" si="124"/>
        <v>53.316420964256913</v>
      </c>
      <c r="V343">
        <f t="shared" si="125"/>
        <v>2.6070170373457113</v>
      </c>
      <c r="W343">
        <f t="shared" si="126"/>
        <v>2366.9114044179569</v>
      </c>
      <c r="X343">
        <f t="shared" si="127"/>
        <v>82.626495316335337</v>
      </c>
      <c r="Y343">
        <f t="shared" si="128"/>
        <v>2.1195769647679019</v>
      </c>
      <c r="Z343">
        <f t="shared" si="129"/>
        <v>1784.4777080428576</v>
      </c>
      <c r="AA343">
        <f t="shared" si="130"/>
        <v>109.594865315417</v>
      </c>
      <c r="AB343">
        <f t="shared" si="131"/>
        <v>2.1104276019022246</v>
      </c>
      <c r="AC343">
        <f t="shared" si="132"/>
        <v>6000</v>
      </c>
      <c r="AD343">
        <f t="shared" si="133"/>
        <v>32.594932345220165</v>
      </c>
      <c r="AE343">
        <f t="shared" si="134"/>
        <v>7.0609692357989013</v>
      </c>
      <c r="AF343">
        <f t="shared" si="135"/>
        <v>6000</v>
      </c>
      <c r="AG343">
        <f t="shared" si="136"/>
        <v>32.594932345220165</v>
      </c>
      <c r="AH343">
        <f t="shared" si="137"/>
        <v>7.0609692357989013</v>
      </c>
      <c r="AI343" cm="1">
        <f t="array" ref="AI343">_xlfn.LET(
    _xlpm.vals,   _xlfn.HSTACK(S343,V343,Y343,AB343,AE343,AH343),
    _xlpm.ints,   _xlfn.HSTACK(R343,U343,X343,AA343,AD343,AG343),
    _xlpm.slopes, _xlfn.HSTACK(Q343,T343,W343,Z343,AC343,AF343),
    _xlpm.limit,  -0.00001*_xlpm.slopes + 0.1086*_xlpm.slopes + 63.253,
    _xlpm.mask,   (_xlpm.vals&gt;=0) * (_xlpm.ints&lt;=_xlpm.limit),
    _xlpm.validVals, _xlfn._xlws.FILTER(_xlpm.vals, _xlpm.mask),
    _xlpm.minVal, MIN(_xlpm.validVals),
    IFERROR( _xlfn.XMATCH(_xlpm.minVal, _xlpm.vals), "" )
)</f>
        <v>4</v>
      </c>
      <c r="AJ343" cm="1">
        <f t="array" ref="AJ343">_xlfn.LET(
    _xlpm.vals, CHOOSE({1,2,3,4,5,6}, S343, V343, Y343, AB343, AE343, AH343),
    _xlpm.slopes, CHOOSE({1,2,3,4,5,6}, Q343, T343, W343, Z343, AC343, AF343),
    _xlpm.ints, CHOOSE({1,2,3,4,5,6}, R343, U343, X343, AA343, AD343, AG343),
    _xlpm.limit, -0.00001*_xlpm.slopes + 0.1086*_xlpm.slopes + 63.253,
    _xlpm.valid, (_xlpm.vals &gt;= 0) * (_xlpm.ints &lt;= _xlpm.limit),
    _xlpm.target, MIN(_xlfn._xlws.FILTER(_xlpm.vals, _xlpm.valid)),
    IFERROR(
        _xlfn.XLOOKUP(_xlpm.target, _xlpm.vals, _xlpm.vals),
        CHOOSE({1,2,3,4,5,6}, S$1, V$1, Y$1, AB$1, AE$1, AH$1)
    )
)</f>
        <v>2.1104276019022246</v>
      </c>
    </row>
    <row r="344" spans="9:36" x14ac:dyDescent="0.45">
      <c r="I344">
        <v>342</v>
      </c>
      <c r="J344">
        <v>30.9</v>
      </c>
      <c r="K344">
        <f t="shared" si="116"/>
        <v>30.9</v>
      </c>
      <c r="L344">
        <f t="shared" si="115"/>
        <v>8.5833333333333334E-3</v>
      </c>
      <c r="M344">
        <v>16.45</v>
      </c>
      <c r="N344">
        <f t="shared" si="117"/>
        <v>16.45</v>
      </c>
      <c r="O344">
        <f t="shared" si="118"/>
        <v>401.55114812380776</v>
      </c>
      <c r="P344">
        <f t="shared" si="119"/>
        <v>1284.963673996185</v>
      </c>
      <c r="Q344">
        <f t="shared" si="120"/>
        <v>5885.1336269025269</v>
      </c>
      <c r="R344">
        <f t="shared" si="121"/>
        <v>26.691990155264904</v>
      </c>
      <c r="S344">
        <f t="shared" si="122"/>
        <v>6.5891156762604925</v>
      </c>
      <c r="T344">
        <f t="shared" si="123"/>
        <v>3803.4924750287073</v>
      </c>
      <c r="U344">
        <f t="shared" si="124"/>
        <v>41.300444226727457</v>
      </c>
      <c r="V344">
        <f t="shared" si="125"/>
        <v>2.4839616656831134</v>
      </c>
      <c r="W344">
        <f t="shared" si="126"/>
        <v>2454.2806173327131</v>
      </c>
      <c r="X344">
        <f t="shared" si="127"/>
        <v>64.004876916813245</v>
      </c>
      <c r="Y344">
        <f t="shared" si="128"/>
        <v>1.7965057160937579</v>
      </c>
      <c r="Z344">
        <f t="shared" si="129"/>
        <v>1850.3476905545062</v>
      </c>
      <c r="AA344">
        <f t="shared" si="130"/>
        <v>84.895357577162002</v>
      </c>
      <c r="AB344">
        <f t="shared" si="131"/>
        <v>1.7624670049296578</v>
      </c>
      <c r="AC344">
        <f t="shared" si="132"/>
        <v>6000</v>
      </c>
      <c r="AD344">
        <f t="shared" si="133"/>
        <v>26.180988138616783</v>
      </c>
      <c r="AE344">
        <f t="shared" si="134"/>
        <v>6.9652815524493032</v>
      </c>
      <c r="AF344">
        <f t="shared" si="135"/>
        <v>6000</v>
      </c>
      <c r="AG344">
        <f t="shared" si="136"/>
        <v>26.180988138616783</v>
      </c>
      <c r="AH344">
        <f t="shared" si="137"/>
        <v>6.9652815524493032</v>
      </c>
      <c r="AI344" cm="1">
        <f t="array" ref="AI344">_xlfn.LET(
    _xlpm.vals,   _xlfn.HSTACK(S344,V344,Y344,AB344,AE344,AH344),
    _xlpm.ints,   _xlfn.HSTACK(R344,U344,X344,AA344,AD344,AG344),
    _xlpm.slopes, _xlfn.HSTACK(Q344,T344,W344,Z344,AC344,AF344),
    _xlpm.limit,  -0.00001*_xlpm.slopes + 0.1086*_xlpm.slopes + 63.253,
    _xlpm.mask,   (_xlpm.vals&gt;=0) * (_xlpm.ints&lt;=_xlpm.limit),
    _xlpm.validVals, _xlfn._xlws.FILTER(_xlpm.vals, _xlpm.mask),
    _xlpm.minVal, MIN(_xlpm.validVals),
    IFERROR( _xlfn.XMATCH(_xlpm.minVal, _xlpm.vals), "" )
)</f>
        <v>4</v>
      </c>
      <c r="AJ344" cm="1">
        <f t="array" ref="AJ344">_xlfn.LET(
    _xlpm.vals, CHOOSE({1,2,3,4,5,6}, S344, V344, Y344, AB344, AE344, AH344),
    _xlpm.slopes, CHOOSE({1,2,3,4,5,6}, Q344, T344, W344, Z344, AC344, AF344),
    _xlpm.ints, CHOOSE({1,2,3,4,5,6}, R344, U344, X344, AA344, AD344, AG344),
    _xlpm.limit, -0.00001*_xlpm.slopes + 0.1086*_xlpm.slopes + 63.253,
    _xlpm.valid, (_xlpm.vals &gt;= 0) * (_xlpm.ints &lt;= _xlpm.limit),
    _xlpm.target, MIN(_xlfn._xlws.FILTER(_xlpm.vals, _xlpm.valid)),
    IFERROR(
        _xlfn.XLOOKUP(_xlpm.target, _xlpm.vals, _xlpm.vals),
        CHOOSE({1,2,3,4,5,6}, S$1, V$1, Y$1, AB$1, AE$1, AH$1)
    )
)</f>
        <v>1.7624670049296578</v>
      </c>
    </row>
    <row r="345" spans="9:36" x14ac:dyDescent="0.45">
      <c r="I345">
        <v>343</v>
      </c>
      <c r="J345">
        <v>31.6</v>
      </c>
      <c r="K345">
        <f t="shared" si="116"/>
        <v>31.6</v>
      </c>
      <c r="L345">
        <f t="shared" si="115"/>
        <v>8.7777777777777784E-3</v>
      </c>
      <c r="M345">
        <v>13.16</v>
      </c>
      <c r="N345">
        <f t="shared" si="117"/>
        <v>13.16</v>
      </c>
      <c r="O345">
        <f t="shared" si="118"/>
        <v>410.64777607483256</v>
      </c>
      <c r="P345">
        <f t="shared" si="119"/>
        <v>1314.0728834394642</v>
      </c>
      <c r="Q345">
        <f t="shared" si="120"/>
        <v>6018.4538061527464</v>
      </c>
      <c r="R345">
        <f t="shared" si="121"/>
        <v>20.880569513865456</v>
      </c>
      <c r="S345">
        <f t="shared" si="122"/>
        <v>6.9587075401347684</v>
      </c>
      <c r="T345">
        <f t="shared" si="123"/>
        <v>3889.655734980814</v>
      </c>
      <c r="U345">
        <f t="shared" si="124"/>
        <v>32.308448774832364</v>
      </c>
      <c r="V345">
        <f t="shared" si="125"/>
        <v>2.3933032371344876</v>
      </c>
      <c r="W345">
        <f t="shared" si="126"/>
        <v>2509.8792073693767</v>
      </c>
      <c r="X345">
        <f t="shared" si="127"/>
        <v>50.069637891886806</v>
      </c>
      <c r="Y345">
        <f t="shared" si="128"/>
        <v>1.5498054868517619</v>
      </c>
      <c r="Z345">
        <f t="shared" si="129"/>
        <v>1892.2649521528285</v>
      </c>
      <c r="AA345">
        <f t="shared" si="130"/>
        <v>66.411811370488749</v>
      </c>
      <c r="AB345">
        <f t="shared" si="131"/>
        <v>1.473847719135059</v>
      </c>
      <c r="AC345">
        <f t="shared" si="132"/>
        <v>6000</v>
      </c>
      <c r="AD345">
        <f t="shared" si="133"/>
        <v>20.944790510893426</v>
      </c>
      <c r="AE345">
        <f t="shared" si="134"/>
        <v>6.8956802005199416</v>
      </c>
      <c r="AF345">
        <f t="shared" si="135"/>
        <v>6000</v>
      </c>
      <c r="AG345">
        <f t="shared" si="136"/>
        <v>20.944790510893426</v>
      </c>
      <c r="AH345">
        <f t="shared" si="137"/>
        <v>6.8956802005199416</v>
      </c>
      <c r="AI345" cm="1">
        <f t="array" ref="AI345">_xlfn.LET(
    _xlpm.vals,   _xlfn.HSTACK(S345,V345,Y345,AB345,AE345,AH345),
    _xlpm.ints,   _xlfn.HSTACK(R345,U345,X345,AA345,AD345,AG345),
    _xlpm.slopes, _xlfn.HSTACK(Q345,T345,W345,Z345,AC345,AF345),
    _xlpm.limit,  -0.00001*_xlpm.slopes + 0.1086*_xlpm.slopes + 63.253,
    _xlpm.mask,   (_xlpm.vals&gt;=0) * (_xlpm.ints&lt;=_xlpm.limit),
    _xlpm.validVals, _xlfn._xlws.FILTER(_xlpm.vals, _xlpm.mask),
    _xlpm.minVal, MIN(_xlpm.validVals),
    IFERROR( _xlfn.XMATCH(_xlpm.minVal, _xlpm.vals), "" )
)</f>
        <v>4</v>
      </c>
      <c r="AJ345" cm="1">
        <f t="array" ref="AJ345">_xlfn.LET(
    _xlpm.vals, CHOOSE({1,2,3,4,5,6}, S345, V345, Y345, AB345, AE345, AH345),
    _xlpm.slopes, CHOOSE({1,2,3,4,5,6}, Q345, T345, W345, Z345, AC345, AF345),
    _xlpm.ints, CHOOSE({1,2,3,4,5,6}, R345, U345, X345, AA345, AD345, AG345),
    _xlpm.limit, -0.00001*_xlpm.slopes + 0.1086*_xlpm.slopes + 63.253,
    _xlpm.valid, (_xlpm.vals &gt;= 0) * (_xlpm.ints &lt;= _xlpm.limit),
    _xlpm.target, MIN(_xlfn._xlws.FILTER(_xlpm.vals, _xlpm.valid)),
    IFERROR(
        _xlfn.XLOOKUP(_xlpm.target, _xlpm.vals, _xlpm.vals),
        CHOOSE({1,2,3,4,5,6}, S$1, V$1, Y$1, AB$1, AE$1, AH$1)
    )
)</f>
        <v>1.473847719135059</v>
      </c>
    </row>
    <row r="346" spans="9:36" x14ac:dyDescent="0.45">
      <c r="I346">
        <v>344</v>
      </c>
      <c r="J346">
        <v>32.200000000000003</v>
      </c>
      <c r="K346">
        <f t="shared" si="116"/>
        <v>32.200000000000003</v>
      </c>
      <c r="L346">
        <f t="shared" si="115"/>
        <v>8.9444444444444458E-3</v>
      </c>
      <c r="M346">
        <v>14.9</v>
      </c>
      <c r="N346">
        <f t="shared" si="117"/>
        <v>14.9</v>
      </c>
      <c r="O346">
        <f t="shared" si="118"/>
        <v>418.44488574713949</v>
      </c>
      <c r="P346">
        <f t="shared" si="119"/>
        <v>1339.0236343908464</v>
      </c>
      <c r="Q346">
        <f t="shared" si="120"/>
        <v>6132.7282455100767</v>
      </c>
      <c r="R346">
        <f t="shared" si="121"/>
        <v>23.200851795173623</v>
      </c>
      <c r="S346">
        <f t="shared" si="122"/>
        <v>7.3922909897361242</v>
      </c>
      <c r="T346">
        <f t="shared" si="123"/>
        <v>3963.5099577969054</v>
      </c>
      <c r="U346">
        <f t="shared" si="124"/>
        <v>35.898615277667297</v>
      </c>
      <c r="V346">
        <f t="shared" si="125"/>
        <v>2.5644593354914407</v>
      </c>
      <c r="W346">
        <f t="shared" si="126"/>
        <v>2557.5351416865165</v>
      </c>
      <c r="X346">
        <f t="shared" si="127"/>
        <v>55.633456137117903</v>
      </c>
      <c r="Y346">
        <f t="shared" si="128"/>
        <v>1.6936842304073816</v>
      </c>
      <c r="Z346">
        <f t="shared" si="129"/>
        <v>1928.1940335228187</v>
      </c>
      <c r="AA346">
        <f t="shared" si="130"/>
        <v>73.791598070760557</v>
      </c>
      <c r="AB346">
        <f t="shared" si="131"/>
        <v>1.6264561476107977</v>
      </c>
      <c r="AC346">
        <f t="shared" si="132"/>
        <v>6000</v>
      </c>
      <c r="AD346">
        <f t="shared" si="133"/>
        <v>23.714086520692405</v>
      </c>
      <c r="AE346">
        <f t="shared" si="134"/>
        <v>6.9315158593332686</v>
      </c>
      <c r="AF346">
        <f t="shared" si="135"/>
        <v>6000</v>
      </c>
      <c r="AG346">
        <f t="shared" si="136"/>
        <v>23.714086520692405</v>
      </c>
      <c r="AH346">
        <f t="shared" si="137"/>
        <v>6.9315158593332686</v>
      </c>
      <c r="AI346" cm="1">
        <f t="array" ref="AI346">_xlfn.LET(
    _xlpm.vals,   _xlfn.HSTACK(S346,V346,Y346,AB346,AE346,AH346),
    _xlpm.ints,   _xlfn.HSTACK(R346,U346,X346,AA346,AD346,AG346),
    _xlpm.slopes, _xlfn.HSTACK(Q346,T346,W346,Z346,AC346,AF346),
    _xlpm.limit,  -0.00001*_xlpm.slopes + 0.1086*_xlpm.slopes + 63.253,
    _xlpm.mask,   (_xlpm.vals&gt;=0) * (_xlpm.ints&lt;=_xlpm.limit),
    _xlpm.validVals, _xlfn._xlws.FILTER(_xlpm.vals, _xlpm.mask),
    _xlpm.minVal, MIN(_xlpm.validVals),
    IFERROR( _xlfn.XMATCH(_xlpm.minVal, _xlpm.vals), "" )
)</f>
        <v>4</v>
      </c>
      <c r="AJ346" cm="1">
        <f t="array" ref="AJ346">_xlfn.LET(
    _xlpm.vals, CHOOSE({1,2,3,4,5,6}, S346, V346, Y346, AB346, AE346, AH346),
    _xlpm.slopes, CHOOSE({1,2,3,4,5,6}, Q346, T346, W346, Z346, AC346, AF346),
    _xlpm.ints, CHOOSE({1,2,3,4,5,6}, R346, U346, X346, AA346, AD346, AG346),
    _xlpm.limit, -0.00001*_xlpm.slopes + 0.1086*_xlpm.slopes + 63.253,
    _xlpm.valid, (_xlpm.vals &gt;= 0) * (_xlpm.ints &lt;= _xlpm.limit),
    _xlpm.target, MIN(_xlfn._xlws.FILTER(_xlpm.vals, _xlpm.valid)),
    IFERROR(
        _xlfn.XLOOKUP(_xlpm.target, _xlpm.vals, _xlpm.vals),
        CHOOSE({1,2,3,4,5,6}, S$1, V$1, Y$1, AB$1, AE$1, AH$1)
    )
)</f>
        <v>1.6264561476107977</v>
      </c>
    </row>
    <row r="347" spans="9:36" x14ac:dyDescent="0.45">
      <c r="I347">
        <v>345</v>
      </c>
      <c r="J347">
        <v>32.799999999999997</v>
      </c>
      <c r="K347">
        <f t="shared" si="116"/>
        <v>32.799999999999997</v>
      </c>
      <c r="L347">
        <f t="shared" si="115"/>
        <v>9.1111111111111098E-3</v>
      </c>
      <c r="M347">
        <v>10.81</v>
      </c>
      <c r="N347">
        <f t="shared" si="117"/>
        <v>10.81</v>
      </c>
      <c r="O347">
        <f t="shared" si="118"/>
        <v>426.24199541944643</v>
      </c>
      <c r="P347">
        <f t="shared" si="119"/>
        <v>1363.9743853422287</v>
      </c>
      <c r="Q347">
        <f t="shared" si="120"/>
        <v>6247.0026848674079</v>
      </c>
      <c r="R347">
        <f t="shared" si="121"/>
        <v>16.52438798200938</v>
      </c>
      <c r="S347">
        <f t="shared" si="122"/>
        <v>7.742950112239499</v>
      </c>
      <c r="T347">
        <f t="shared" si="123"/>
        <v>4037.3641806129972</v>
      </c>
      <c r="U347">
        <f t="shared" si="124"/>
        <v>25.568140864055053</v>
      </c>
      <c r="V347">
        <f t="shared" si="125"/>
        <v>2.4483312819009129</v>
      </c>
      <c r="W347">
        <f t="shared" si="126"/>
        <v>2605.1910760036567</v>
      </c>
      <c r="X347">
        <f t="shared" si="127"/>
        <v>39.623925108692653</v>
      </c>
      <c r="Y347">
        <f t="shared" si="128"/>
        <v>1.4038135063502806</v>
      </c>
      <c r="Z347">
        <f t="shared" si="129"/>
        <v>1964.1231148928093</v>
      </c>
      <c r="AA347">
        <f t="shared" si="130"/>
        <v>52.556733998335389</v>
      </c>
      <c r="AB347">
        <f t="shared" si="131"/>
        <v>1.278147033006412</v>
      </c>
      <c r="AC347">
        <f t="shared" si="132"/>
        <v>1009.3410451532493</v>
      </c>
      <c r="AD347">
        <f t="shared" si="133"/>
        <v>102.27256345622021</v>
      </c>
      <c r="AE347">
        <f t="shared" si="134"/>
        <v>1.226550309874989</v>
      </c>
      <c r="AF347">
        <f t="shared" si="135"/>
        <v>6000</v>
      </c>
      <c r="AG347">
        <f t="shared" si="136"/>
        <v>17.204649348233886</v>
      </c>
      <c r="AH347">
        <f t="shared" si="137"/>
        <v>6.8508313752615555</v>
      </c>
      <c r="AI347" cm="1">
        <f t="array" ref="AI347">_xlfn.LET(
    _xlpm.vals,   _xlfn.HSTACK(S347,V347,Y347,AB347,AE347,AH347),
    _xlpm.ints,   _xlfn.HSTACK(R347,U347,X347,AA347,AD347,AG347),
    _xlpm.slopes, _xlfn.HSTACK(Q347,T347,W347,Z347,AC347,AF347),
    _xlpm.limit,  -0.00001*_xlpm.slopes + 0.1086*_xlpm.slopes + 63.253,
    _xlpm.mask,   (_xlpm.vals&gt;=0) * (_xlpm.ints&lt;=_xlpm.limit),
    _xlpm.validVals, _xlfn._xlws.FILTER(_xlpm.vals, _xlpm.mask),
    _xlpm.minVal, MIN(_xlpm.validVals),
    IFERROR( _xlfn.XMATCH(_xlpm.minVal, _xlpm.vals), "" )
)</f>
        <v>5</v>
      </c>
      <c r="AJ347" cm="1">
        <f t="array" ref="AJ347">_xlfn.LET(
    _xlpm.vals, CHOOSE({1,2,3,4,5,6}, S347, V347, Y347, AB347, AE347, AH347),
    _xlpm.slopes, CHOOSE({1,2,3,4,5,6}, Q347, T347, W347, Z347, AC347, AF347),
    _xlpm.ints, CHOOSE({1,2,3,4,5,6}, R347, U347, X347, AA347, AD347, AG347),
    _xlpm.limit, -0.00001*_xlpm.slopes + 0.1086*_xlpm.slopes + 63.253,
    _xlpm.valid, (_xlpm.vals &gt;= 0) * (_xlpm.ints &lt;= _xlpm.limit),
    _xlpm.target, MIN(_xlfn._xlws.FILTER(_xlpm.vals, _xlpm.valid)),
    IFERROR(
        _xlfn.XLOOKUP(_xlpm.target, _xlpm.vals, _xlpm.vals),
        CHOOSE({1,2,3,4,5,6}, S$1, V$1, Y$1, AB$1, AE$1, AH$1)
    )
)</f>
        <v>1.226550309874989</v>
      </c>
    </row>
    <row r="348" spans="9:36" x14ac:dyDescent="0.45">
      <c r="I348">
        <v>346</v>
      </c>
      <c r="J348">
        <v>33.6</v>
      </c>
      <c r="K348">
        <f t="shared" si="116"/>
        <v>33.6</v>
      </c>
      <c r="L348">
        <f t="shared" si="115"/>
        <v>9.3333333333333341E-3</v>
      </c>
      <c r="M348">
        <v>11.46</v>
      </c>
      <c r="N348">
        <f t="shared" si="117"/>
        <v>11.46</v>
      </c>
      <c r="O348">
        <f t="shared" si="118"/>
        <v>436.63814164918909</v>
      </c>
      <c r="P348">
        <f t="shared" si="119"/>
        <v>1397.2420532774051</v>
      </c>
      <c r="Q348">
        <f t="shared" si="120"/>
        <v>6399.3686040105158</v>
      </c>
      <c r="R348">
        <f t="shared" si="121"/>
        <v>17.100896298019748</v>
      </c>
      <c r="S348">
        <f t="shared" si="122"/>
        <v>8.3462244780279384</v>
      </c>
      <c r="T348">
        <f t="shared" si="123"/>
        <v>4135.8364777011193</v>
      </c>
      <c r="U348">
        <f t="shared" si="124"/>
        <v>26.460170623287315</v>
      </c>
      <c r="V348">
        <f t="shared" si="125"/>
        <v>2.6036758879365411</v>
      </c>
      <c r="W348">
        <f t="shared" si="126"/>
        <v>2668.7323217598437</v>
      </c>
      <c r="X348">
        <f t="shared" si="127"/>
        <v>41.006337719858877</v>
      </c>
      <c r="Y348">
        <f t="shared" si="128"/>
        <v>1.4705222880358246</v>
      </c>
      <c r="Z348">
        <f t="shared" si="129"/>
        <v>2012.0285567194633</v>
      </c>
      <c r="AA348">
        <f t="shared" si="130"/>
        <v>54.390350725646151</v>
      </c>
      <c r="AB348">
        <f t="shared" si="131"/>
        <v>1.3365410444881429</v>
      </c>
      <c r="AC348">
        <f t="shared" si="132"/>
        <v>1033.9591194252798</v>
      </c>
      <c r="AD348">
        <f t="shared" si="133"/>
        <v>105.84068249314926</v>
      </c>
      <c r="AE348">
        <f t="shared" si="134"/>
        <v>1.2832552573493472</v>
      </c>
      <c r="AF348">
        <f t="shared" si="135"/>
        <v>6000</v>
      </c>
      <c r="AG348">
        <f t="shared" si="136"/>
        <v>18.239156478331207</v>
      </c>
      <c r="AH348">
        <f t="shared" si="137"/>
        <v>6.8628229195284494</v>
      </c>
      <c r="AI348" cm="1">
        <f t="array" ref="AI348">_xlfn.LET(
    _xlpm.vals,   _xlfn.HSTACK(S348,V348,Y348,AB348,AE348,AH348),
    _xlpm.ints,   _xlfn.HSTACK(R348,U348,X348,AA348,AD348,AG348),
    _xlpm.slopes, _xlfn.HSTACK(Q348,T348,W348,Z348,AC348,AF348),
    _xlpm.limit,  -0.00001*_xlpm.slopes + 0.1086*_xlpm.slopes + 63.253,
    _xlpm.mask,   (_xlpm.vals&gt;=0) * (_xlpm.ints&lt;=_xlpm.limit),
    _xlpm.validVals, _xlfn._xlws.FILTER(_xlpm.vals, _xlpm.mask),
    _xlpm.minVal, MIN(_xlpm.validVals),
    IFERROR( _xlfn.XMATCH(_xlpm.minVal, _xlpm.vals), "" )
)</f>
        <v>5</v>
      </c>
      <c r="AJ348" cm="1">
        <f t="array" ref="AJ348">_xlfn.LET(
    _xlpm.vals, CHOOSE({1,2,3,4,5,6}, S348, V348, Y348, AB348, AE348, AH348),
    _xlpm.slopes, CHOOSE({1,2,3,4,5,6}, Q348, T348, W348, Z348, AC348, AF348),
    _xlpm.ints, CHOOSE({1,2,3,4,5,6}, R348, U348, X348, AA348, AD348, AG348),
    _xlpm.limit, -0.00001*_xlpm.slopes + 0.1086*_xlpm.slopes + 63.253,
    _xlpm.valid, (_xlpm.vals &gt;= 0) * (_xlpm.ints &lt;= _xlpm.limit),
    _xlpm.target, MIN(_xlfn._xlws.FILTER(_xlpm.vals, _xlpm.valid)),
    IFERROR(
        _xlfn.XLOOKUP(_xlpm.target, _xlpm.vals, _xlpm.vals),
        CHOOSE({1,2,3,4,5,6}, S$1, V$1, Y$1, AB$1, AE$1, AH$1)
    )
)</f>
        <v>1.2832552573493472</v>
      </c>
    </row>
    <row r="349" spans="9:36" x14ac:dyDescent="0.45">
      <c r="I349">
        <v>347</v>
      </c>
      <c r="J349">
        <v>34.4</v>
      </c>
      <c r="K349">
        <f t="shared" si="116"/>
        <v>34.4</v>
      </c>
      <c r="L349">
        <f t="shared" si="115"/>
        <v>9.555555555555555E-3</v>
      </c>
      <c r="M349">
        <v>8.94</v>
      </c>
      <c r="N349">
        <f t="shared" si="117"/>
        <v>8.94</v>
      </c>
      <c r="O349">
        <f t="shared" si="118"/>
        <v>447.03428787893165</v>
      </c>
      <c r="P349">
        <f t="shared" si="119"/>
        <v>1430.5097212125813</v>
      </c>
      <c r="Q349">
        <f t="shared" si="120"/>
        <v>6551.7345231536228</v>
      </c>
      <c r="R349">
        <f t="shared" si="121"/>
        <v>13.030245833800997</v>
      </c>
      <c r="S349">
        <f t="shared" si="122"/>
        <v>8.9494283017083109</v>
      </c>
      <c r="T349">
        <f t="shared" si="123"/>
        <v>4234.3087747892405</v>
      </c>
      <c r="U349">
        <f t="shared" si="124"/>
        <v>20.161664161759653</v>
      </c>
      <c r="V349">
        <f t="shared" si="125"/>
        <v>2.6283591127857457</v>
      </c>
      <c r="W349">
        <f t="shared" si="126"/>
        <v>2732.2735675160302</v>
      </c>
      <c r="X349">
        <f t="shared" si="127"/>
        <v>31.245301528172032</v>
      </c>
      <c r="Y349">
        <f t="shared" si="128"/>
        <v>1.3228253664699452</v>
      </c>
      <c r="Z349">
        <f t="shared" si="129"/>
        <v>2059.933998546117</v>
      </c>
      <c r="AA349">
        <f t="shared" si="130"/>
        <v>41.443420776950397</v>
      </c>
      <c r="AB349">
        <f t="shared" si="131"/>
        <v>1.1392300894432794</v>
      </c>
      <c r="AC349">
        <f t="shared" si="132"/>
        <v>1058.5771936973101</v>
      </c>
      <c r="AD349">
        <f t="shared" si="133"/>
        <v>80.646656647038611</v>
      </c>
      <c r="AE349">
        <f t="shared" si="134"/>
        <v>1.0730778996801367</v>
      </c>
      <c r="AF349">
        <f t="shared" si="135"/>
        <v>6000</v>
      </c>
      <c r="AG349">
        <f t="shared" si="136"/>
        <v>14.228451912415444</v>
      </c>
      <c r="AH349">
        <f t="shared" si="137"/>
        <v>6.8181237115869342</v>
      </c>
      <c r="AI349" cm="1">
        <f t="array" ref="AI349">_xlfn.LET(
    _xlpm.vals,   _xlfn.HSTACK(S349,V349,Y349,AB349,AE349,AH349),
    _xlpm.ints,   _xlfn.HSTACK(R349,U349,X349,AA349,AD349,AG349),
    _xlpm.slopes, _xlfn.HSTACK(Q349,T349,W349,Z349,AC349,AF349),
    _xlpm.limit,  -0.00001*_xlpm.slopes + 0.1086*_xlpm.slopes + 63.253,
    _xlpm.mask,   (_xlpm.vals&gt;=0) * (_xlpm.ints&lt;=_xlpm.limit),
    _xlpm.validVals, _xlfn._xlws.FILTER(_xlpm.vals, _xlpm.mask),
    _xlpm.minVal, MIN(_xlpm.validVals),
    IFERROR( _xlfn.XMATCH(_xlpm.minVal, _xlpm.vals), "" )
)</f>
        <v>5</v>
      </c>
      <c r="AJ349" cm="1">
        <f t="array" ref="AJ349">_xlfn.LET(
    _xlpm.vals, CHOOSE({1,2,3,4,5,6}, S349, V349, Y349, AB349, AE349, AH349),
    _xlpm.slopes, CHOOSE({1,2,3,4,5,6}, Q349, T349, W349, Z349, AC349, AF349),
    _xlpm.ints, CHOOSE({1,2,3,4,5,6}, R349, U349, X349, AA349, AD349, AG349),
    _xlpm.limit, -0.00001*_xlpm.slopes + 0.1086*_xlpm.slopes + 63.253,
    _xlpm.valid, (_xlpm.vals &gt;= 0) * (_xlpm.ints &lt;= _xlpm.limit),
    _xlpm.target, MIN(_xlfn._xlws.FILTER(_xlpm.vals, _xlpm.valid)),
    IFERROR(
        _xlfn.XLOOKUP(_xlpm.target, _xlpm.vals, _xlpm.vals),
        CHOOSE({1,2,3,4,5,6}, S$1, V$1, Y$1, AB$1, AE$1, AH$1)
    )
)</f>
        <v>1.0730778996801367</v>
      </c>
    </row>
    <row r="350" spans="9:36" x14ac:dyDescent="0.45">
      <c r="I350">
        <v>348</v>
      </c>
      <c r="J350">
        <v>34.700000000000003</v>
      </c>
      <c r="K350">
        <f t="shared" si="116"/>
        <v>34.700000000000003</v>
      </c>
      <c r="L350">
        <f t="shared" si="115"/>
        <v>9.6388888888888895E-3</v>
      </c>
      <c r="M350">
        <v>5.34</v>
      </c>
      <c r="N350">
        <f t="shared" si="117"/>
        <v>5.34</v>
      </c>
      <c r="O350">
        <f t="shared" si="118"/>
        <v>450.93284271508514</v>
      </c>
      <c r="P350">
        <f t="shared" si="119"/>
        <v>1442.9850966882725</v>
      </c>
      <c r="Q350">
        <f t="shared" si="120"/>
        <v>6608.871742832288</v>
      </c>
      <c r="R350">
        <f t="shared" si="121"/>
        <v>7.7158773465302088</v>
      </c>
      <c r="S350">
        <f t="shared" si="122"/>
        <v>9.1704387456890277</v>
      </c>
      <c r="T350">
        <f t="shared" si="123"/>
        <v>4271.2358861972862</v>
      </c>
      <c r="U350">
        <f t="shared" si="124"/>
        <v>11.938756164563634</v>
      </c>
      <c r="V350">
        <f t="shared" si="125"/>
        <v>2.5412973443670031</v>
      </c>
      <c r="W350">
        <f t="shared" si="126"/>
        <v>2756.1015346746003</v>
      </c>
      <c r="X350">
        <f t="shared" si="127"/>
        <v>18.501946726234742</v>
      </c>
      <c r="Y350">
        <f t="shared" si="128"/>
        <v>1.1100899005395548</v>
      </c>
      <c r="Z350">
        <f t="shared" si="129"/>
        <v>2077.8985392311124</v>
      </c>
      <c r="AA350">
        <f t="shared" si="130"/>
        <v>24.54077656049191</v>
      </c>
      <c r="AB350">
        <f t="shared" si="131"/>
        <v>0.87632743474557595</v>
      </c>
      <c r="AC350">
        <f t="shared" si="132"/>
        <v>1067.8089715493215</v>
      </c>
      <c r="AD350">
        <f t="shared" si="133"/>
        <v>47.755024658254534</v>
      </c>
      <c r="AE350">
        <f t="shared" si="134"/>
        <v>0.74013894276794168</v>
      </c>
      <c r="AF350">
        <f t="shared" si="135"/>
        <v>6000</v>
      </c>
      <c r="AG350">
        <f t="shared" si="136"/>
        <v>8.4988739611072113</v>
      </c>
      <c r="AH350">
        <f t="shared" si="137"/>
        <v>6.7628105810360335</v>
      </c>
      <c r="AI350" cm="1">
        <f t="array" ref="AI350">_xlfn.LET(
    _xlpm.vals,   _xlfn.HSTACK(S350,V350,Y350,AB350,AE350,AH350),
    _xlpm.ints,   _xlfn.HSTACK(R350,U350,X350,AA350,AD350,AG350),
    _xlpm.slopes, _xlfn.HSTACK(Q350,T350,W350,Z350,AC350,AF350),
    _xlpm.limit,  -0.00001*_xlpm.slopes + 0.1086*_xlpm.slopes + 63.253,
    _xlpm.mask,   (_xlpm.vals&gt;=0) * (_xlpm.ints&lt;=_xlpm.limit),
    _xlpm.validVals, _xlfn._xlws.FILTER(_xlpm.vals, _xlpm.mask),
    _xlpm.minVal, MIN(_xlpm.validVals),
    IFERROR( _xlfn.XMATCH(_xlpm.minVal, _xlpm.vals), "" )
)</f>
        <v>5</v>
      </c>
      <c r="AJ350" cm="1">
        <f t="array" ref="AJ350">_xlfn.LET(
    _xlpm.vals, CHOOSE({1,2,3,4,5,6}, S350, V350, Y350, AB350, AE350, AH350),
    _xlpm.slopes, CHOOSE({1,2,3,4,5,6}, Q350, T350, W350, Z350, AC350, AF350),
    _xlpm.ints, CHOOSE({1,2,3,4,5,6}, R350, U350, X350, AA350, AD350, AG350),
    _xlpm.limit, -0.00001*_xlpm.slopes + 0.1086*_xlpm.slopes + 63.253,
    _xlpm.valid, (_xlpm.vals &gt;= 0) * (_xlpm.ints &lt;= _xlpm.limit),
    _xlpm.target, MIN(_xlfn._xlws.FILTER(_xlpm.vals, _xlpm.valid)),
    IFERROR(
        _xlfn.XLOOKUP(_xlpm.target, _xlpm.vals, _xlpm.vals),
        CHOOSE({1,2,3,4,5,6}, S$1, V$1, Y$1, AB$1, AE$1, AH$1)
    )
)</f>
        <v>0.74013894276794168</v>
      </c>
    </row>
    <row r="351" spans="9:36" x14ac:dyDescent="0.45">
      <c r="I351">
        <v>349</v>
      </c>
      <c r="J351">
        <v>34.799999999999997</v>
      </c>
      <c r="K351">
        <f t="shared" si="116"/>
        <v>34.799999999999997</v>
      </c>
      <c r="L351">
        <f t="shared" si="115"/>
        <v>9.6666666666666654E-3</v>
      </c>
      <c r="M351">
        <v>6.15</v>
      </c>
      <c r="N351">
        <f t="shared" si="117"/>
        <v>6.15</v>
      </c>
      <c r="O351">
        <f t="shared" si="118"/>
        <v>452.2323609938029</v>
      </c>
      <c r="P351">
        <f t="shared" si="119"/>
        <v>1447.1435551801694</v>
      </c>
      <c r="Q351">
        <f t="shared" si="120"/>
        <v>6627.9174827251763</v>
      </c>
      <c r="R351">
        <f t="shared" si="121"/>
        <v>8.860727996988027</v>
      </c>
      <c r="S351">
        <f t="shared" si="122"/>
        <v>9.2597015996730239</v>
      </c>
      <c r="T351">
        <f t="shared" si="123"/>
        <v>4283.5449233333011</v>
      </c>
      <c r="U351">
        <f t="shared" si="124"/>
        <v>13.710180481826072</v>
      </c>
      <c r="V351">
        <f t="shared" si="125"/>
        <v>2.590240741050299</v>
      </c>
      <c r="W351">
        <f t="shared" si="126"/>
        <v>2764.0441903941237</v>
      </c>
      <c r="X351">
        <f t="shared" si="127"/>
        <v>21.247190694348255</v>
      </c>
      <c r="Y351">
        <f t="shared" si="128"/>
        <v>1.1618416149565824</v>
      </c>
      <c r="Z351">
        <f t="shared" si="129"/>
        <v>2083.8867194594441</v>
      </c>
      <c r="AA351">
        <f t="shared" si="130"/>
        <v>28.182037657086923</v>
      </c>
      <c r="AB351">
        <f t="shared" si="131"/>
        <v>0.9347882391983342</v>
      </c>
      <c r="AC351">
        <f t="shared" si="132"/>
        <v>1070.8862308333253</v>
      </c>
      <c r="AD351">
        <f t="shared" si="133"/>
        <v>54.840721927304287</v>
      </c>
      <c r="AE351">
        <f t="shared" si="134"/>
        <v>0.81476963902718968</v>
      </c>
      <c r="AF351">
        <f t="shared" si="135"/>
        <v>6000</v>
      </c>
      <c r="AG351">
        <f t="shared" si="136"/>
        <v>9.788029000151564</v>
      </c>
      <c r="AH351">
        <f t="shared" si="137"/>
        <v>6.7743629372208805</v>
      </c>
      <c r="AI351" cm="1">
        <f t="array" ref="AI351">_xlfn.LET(
    _xlpm.vals,   _xlfn.HSTACK(S351,V351,Y351,AB351,AE351,AH351),
    _xlpm.ints,   _xlfn.HSTACK(R351,U351,X351,AA351,AD351,AG351),
    _xlpm.slopes, _xlfn.HSTACK(Q351,T351,W351,Z351,AC351,AF351),
    _xlpm.limit,  -0.00001*_xlpm.slopes + 0.1086*_xlpm.slopes + 63.253,
    _xlpm.mask,   (_xlpm.vals&gt;=0) * (_xlpm.ints&lt;=_xlpm.limit),
    _xlpm.validVals, _xlfn._xlws.FILTER(_xlpm.vals, _xlpm.mask),
    _xlpm.minVal, MIN(_xlpm.validVals),
    IFERROR( _xlfn.XMATCH(_xlpm.minVal, _xlpm.vals), "" )
)</f>
        <v>5</v>
      </c>
      <c r="AJ351" cm="1">
        <f t="array" ref="AJ351">_xlfn.LET(
    _xlpm.vals, CHOOSE({1,2,3,4,5,6}, S351, V351, Y351, AB351, AE351, AH351),
    _xlpm.slopes, CHOOSE({1,2,3,4,5,6}, Q351, T351, W351, Z351, AC351, AF351),
    _xlpm.ints, CHOOSE({1,2,3,4,5,6}, R351, U351, X351, AA351, AD351, AG351),
    _xlpm.limit, -0.00001*_xlpm.slopes + 0.1086*_xlpm.slopes + 63.253,
    _xlpm.valid, (_xlpm.vals &gt;= 0) * (_xlpm.ints &lt;= _xlpm.limit),
    _xlpm.target, MIN(_xlfn._xlws.FILTER(_xlpm.vals, _xlpm.valid)),
    IFERROR(
        _xlfn.XLOOKUP(_xlpm.target, _xlpm.vals, _xlpm.vals),
        CHOOSE({1,2,3,4,5,6}, S$1, V$1, Y$1, AB$1, AE$1, AH$1)
    )
)</f>
        <v>0.81476963902718968</v>
      </c>
    </row>
    <row r="352" spans="9:36" x14ac:dyDescent="0.45">
      <c r="I352">
        <v>350</v>
      </c>
      <c r="J352">
        <v>34.799999999999997</v>
      </c>
      <c r="K352">
        <f t="shared" si="116"/>
        <v>34.799999999999997</v>
      </c>
      <c r="L352">
        <f t="shared" si="115"/>
        <v>9.6666666666666654E-3</v>
      </c>
      <c r="M352">
        <v>0.67</v>
      </c>
      <c r="N352">
        <f t="shared" si="117"/>
        <v>0.67</v>
      </c>
      <c r="O352">
        <f t="shared" si="118"/>
        <v>452.2323609938029</v>
      </c>
      <c r="P352">
        <f t="shared" si="119"/>
        <v>1447.1435551801694</v>
      </c>
      <c r="Q352">
        <f t="shared" si="120"/>
        <v>6627.9174827251763</v>
      </c>
      <c r="R352">
        <f t="shared" si="121"/>
        <v>0.9653150825986957</v>
      </c>
      <c r="S352">
        <f t="shared" si="122"/>
        <v>9.2360797579688434</v>
      </c>
      <c r="T352">
        <f t="shared" si="123"/>
        <v>4283.5449233333011</v>
      </c>
      <c r="U352">
        <f t="shared" si="124"/>
        <v>1.4936294183452794</v>
      </c>
      <c r="V352">
        <f t="shared" si="125"/>
        <v>2.4016414320481267</v>
      </c>
      <c r="W352">
        <f t="shared" si="126"/>
        <v>2764.0441903941237</v>
      </c>
      <c r="X352">
        <f t="shared" si="127"/>
        <v>2.3147345959696475</v>
      </c>
      <c r="Y352">
        <f t="shared" si="128"/>
        <v>0.86424374591330411</v>
      </c>
      <c r="Z352">
        <f t="shared" si="129"/>
        <v>2083.8867194594441</v>
      </c>
      <c r="AA352">
        <f t="shared" si="130"/>
        <v>3.0702382488208517</v>
      </c>
      <c r="AB352">
        <f t="shared" si="131"/>
        <v>0.58535689886470932</v>
      </c>
      <c r="AC352">
        <f t="shared" si="132"/>
        <v>1070.8862308333253</v>
      </c>
      <c r="AD352">
        <f t="shared" si="133"/>
        <v>5.9745176733811176</v>
      </c>
      <c r="AE352">
        <f t="shared" si="134"/>
        <v>0.37156495155745317</v>
      </c>
      <c r="AF352">
        <f t="shared" si="135"/>
        <v>6000</v>
      </c>
      <c r="AG352">
        <f t="shared" si="136"/>
        <v>1.0663381187156988</v>
      </c>
      <c r="AH352">
        <f t="shared" si="137"/>
        <v>6.7066166287927214</v>
      </c>
      <c r="AI352" cm="1">
        <f t="array" ref="AI352">_xlfn.LET(
    _xlpm.vals,   _xlfn.HSTACK(S352,V352,Y352,AB352,AE352,AH352),
    _xlpm.ints,   _xlfn.HSTACK(R352,U352,X352,AA352,AD352,AG352),
    _xlpm.slopes, _xlfn.HSTACK(Q352,T352,W352,Z352,AC352,AF352),
    _xlpm.limit,  -0.00001*_xlpm.slopes + 0.1086*_xlpm.slopes + 63.253,
    _xlpm.mask,   (_xlpm.vals&gt;=0) * (_xlpm.ints&lt;=_xlpm.limit),
    _xlpm.validVals, _xlfn._xlws.FILTER(_xlpm.vals, _xlpm.mask),
    _xlpm.minVal, MIN(_xlpm.validVals),
    IFERROR( _xlfn.XMATCH(_xlpm.minVal, _xlpm.vals), "" )
)</f>
        <v>5</v>
      </c>
      <c r="AJ352" cm="1">
        <f t="array" ref="AJ352">_xlfn.LET(
    _xlpm.vals, CHOOSE({1,2,3,4,5,6}, S352, V352, Y352, AB352, AE352, AH352),
    _xlpm.slopes, CHOOSE({1,2,3,4,5,6}, Q352, T352, W352, Z352, AC352, AF352),
    _xlpm.ints, CHOOSE({1,2,3,4,5,6}, R352, U352, X352, AA352, AD352, AG352),
    _xlpm.limit, -0.00001*_xlpm.slopes + 0.1086*_xlpm.slopes + 63.253,
    _xlpm.valid, (_xlpm.vals &gt;= 0) * (_xlpm.ints &lt;= _xlpm.limit),
    _xlpm.target, MIN(_xlfn._xlws.FILTER(_xlpm.vals, _xlpm.valid)),
    IFERROR(
        _xlfn.XLOOKUP(_xlpm.target, _xlpm.vals, _xlpm.vals),
        CHOOSE({1,2,3,4,5,6}, S$1, V$1, Y$1, AB$1, AE$1, AH$1)
    )
)</f>
        <v>0.37156495155745317</v>
      </c>
    </row>
    <row r="353" spans="9:36" x14ac:dyDescent="0.45">
      <c r="I353">
        <v>351</v>
      </c>
      <c r="J353">
        <v>34.6</v>
      </c>
      <c r="K353">
        <f t="shared" si="116"/>
        <v>34.6</v>
      </c>
      <c r="L353">
        <f t="shared" si="115"/>
        <v>9.6111111111111119E-3</v>
      </c>
      <c r="M353">
        <v>1.51</v>
      </c>
      <c r="N353">
        <f t="shared" si="117"/>
        <v>1.51</v>
      </c>
      <c r="O353">
        <f t="shared" si="118"/>
        <v>449.63332443636733</v>
      </c>
      <c r="P353">
        <f t="shared" si="119"/>
        <v>1438.8266381963756</v>
      </c>
      <c r="Q353">
        <f t="shared" si="120"/>
        <v>6589.8260029394005</v>
      </c>
      <c r="R353">
        <f t="shared" si="121"/>
        <v>2.1881363540849046</v>
      </c>
      <c r="S353">
        <f t="shared" si="122"/>
        <v>9.0681681780983485</v>
      </c>
      <c r="T353">
        <f t="shared" si="123"/>
        <v>4258.9268490612722</v>
      </c>
      <c r="U353">
        <f t="shared" si="124"/>
        <v>3.3856974667935344</v>
      </c>
      <c r="V353">
        <f t="shared" si="125"/>
        <v>2.3895215547902455</v>
      </c>
      <c r="W353">
        <f t="shared" si="126"/>
        <v>2748.1588789550774</v>
      </c>
      <c r="X353">
        <f t="shared" si="127"/>
        <v>5.2469447652925982</v>
      </c>
      <c r="Y353">
        <f t="shared" si="128"/>
        <v>0.89713204312993255</v>
      </c>
      <c r="Z353">
        <f t="shared" si="129"/>
        <v>2071.9103590027808</v>
      </c>
      <c r="AA353">
        <f t="shared" si="130"/>
        <v>6.959489237297821</v>
      </c>
      <c r="AB353">
        <f t="shared" si="131"/>
        <v>0.62939595818306038</v>
      </c>
      <c r="AC353">
        <f t="shared" si="132"/>
        <v>1064.731712265318</v>
      </c>
      <c r="AD353">
        <f t="shared" si="133"/>
        <v>13.542789867174138</v>
      </c>
      <c r="AE353">
        <f t="shared" si="134"/>
        <v>0.42563807845221685</v>
      </c>
      <c r="AF353">
        <f t="shared" si="135"/>
        <v>6000</v>
      </c>
      <c r="AG353">
        <f t="shared" si="136"/>
        <v>2.4032396406876195</v>
      </c>
      <c r="AH353">
        <f t="shared" si="137"/>
        <v>6.7153946703030991</v>
      </c>
      <c r="AI353" cm="1">
        <f t="array" ref="AI353">_xlfn.LET(
    _xlpm.vals,   _xlfn.HSTACK(S353,V353,Y353,AB353,AE353,AH353),
    _xlpm.ints,   _xlfn.HSTACK(R353,U353,X353,AA353,AD353,AG353),
    _xlpm.slopes, _xlfn.HSTACK(Q353,T353,W353,Z353,AC353,AF353),
    _xlpm.limit,  -0.00001*_xlpm.slopes + 0.1086*_xlpm.slopes + 63.253,
    _xlpm.mask,   (_xlpm.vals&gt;=0) * (_xlpm.ints&lt;=_xlpm.limit),
    _xlpm.validVals, _xlfn._xlws.FILTER(_xlpm.vals, _xlpm.mask),
    _xlpm.minVal, MIN(_xlpm.validVals),
    IFERROR( _xlfn.XMATCH(_xlpm.minVal, _xlpm.vals), "" )
)</f>
        <v>5</v>
      </c>
      <c r="AJ353" cm="1">
        <f t="array" ref="AJ353">_xlfn.LET(
    _xlpm.vals, CHOOSE({1,2,3,4,5,6}, S353, V353, Y353, AB353, AE353, AH353),
    _xlpm.slopes, CHOOSE({1,2,3,4,5,6}, Q353, T353, W353, Z353, AC353, AF353),
    _xlpm.ints, CHOOSE({1,2,3,4,5,6}, R353, U353, X353, AA353, AD353, AG353),
    _xlpm.limit, -0.00001*_xlpm.slopes + 0.1086*_xlpm.slopes + 63.253,
    _xlpm.valid, (_xlpm.vals &gt;= 0) * (_xlpm.ints &lt;= _xlpm.limit),
    _xlpm.target, MIN(_xlfn._xlws.FILTER(_xlpm.vals, _xlpm.valid)),
    IFERROR(
        _xlfn.XLOOKUP(_xlpm.target, _xlpm.vals, _xlpm.vals),
        CHOOSE({1,2,3,4,5,6}, S$1, V$1, Y$1, AB$1, AE$1, AH$1)
    )
)</f>
        <v>0.42563807845221685</v>
      </c>
    </row>
    <row r="354" spans="9:36" x14ac:dyDescent="0.45">
      <c r="I354">
        <v>352</v>
      </c>
      <c r="J354">
        <v>34.700000000000003</v>
      </c>
      <c r="K354">
        <f t="shared" si="116"/>
        <v>34.700000000000003</v>
      </c>
      <c r="L354">
        <f t="shared" si="115"/>
        <v>9.6388888888888895E-3</v>
      </c>
      <c r="M354">
        <v>4.3099999999999996</v>
      </c>
      <c r="N354">
        <f t="shared" si="117"/>
        <v>4.3099999999999996</v>
      </c>
      <c r="O354">
        <f t="shared" si="118"/>
        <v>450.93284271508514</v>
      </c>
      <c r="P354">
        <f t="shared" si="119"/>
        <v>1442.9850966882725</v>
      </c>
      <c r="Q354">
        <f t="shared" si="120"/>
        <v>6608.871742832288</v>
      </c>
      <c r="R354">
        <f t="shared" si="121"/>
        <v>6.2276088695777529</v>
      </c>
      <c r="S354">
        <f t="shared" si="122"/>
        <v>9.1646837033092563</v>
      </c>
      <c r="T354">
        <f t="shared" si="123"/>
        <v>4271.2358861972862</v>
      </c>
      <c r="U354">
        <f t="shared" si="124"/>
        <v>9.635962372522334</v>
      </c>
      <c r="V354">
        <f t="shared" si="125"/>
        <v>2.5038701870420459</v>
      </c>
      <c r="W354">
        <f t="shared" si="126"/>
        <v>2756.1015346746003</v>
      </c>
      <c r="X354">
        <f t="shared" si="127"/>
        <v>14.933219174170736</v>
      </c>
      <c r="Y354">
        <f t="shared" si="128"/>
        <v>1.0509085957377573</v>
      </c>
      <c r="Z354">
        <f t="shared" si="129"/>
        <v>2077.8985392311124</v>
      </c>
      <c r="AA354">
        <f t="shared" si="130"/>
        <v>19.807255987962574</v>
      </c>
      <c r="AB354">
        <f t="shared" si="131"/>
        <v>0.80612855902792546</v>
      </c>
      <c r="AC354">
        <f t="shared" si="132"/>
        <v>1067.8089715493215</v>
      </c>
      <c r="AD354">
        <f t="shared" si="133"/>
        <v>38.543849490089336</v>
      </c>
      <c r="AE354">
        <f t="shared" si="134"/>
        <v>0.64822859260817633</v>
      </c>
      <c r="AF354">
        <f t="shared" si="135"/>
        <v>6000</v>
      </c>
      <c r="AG354">
        <f t="shared" si="136"/>
        <v>6.8595780472606895</v>
      </c>
      <c r="AH354">
        <f t="shared" si="137"/>
        <v>6.7488818216351447</v>
      </c>
      <c r="AI354" cm="1">
        <f t="array" ref="AI354">_xlfn.LET(
    _xlpm.vals,   _xlfn.HSTACK(S354,V354,Y354,AB354,AE354,AH354),
    _xlpm.ints,   _xlfn.HSTACK(R354,U354,X354,AA354,AD354,AG354),
    _xlpm.slopes, _xlfn.HSTACK(Q354,T354,W354,Z354,AC354,AF354),
    _xlpm.limit,  -0.00001*_xlpm.slopes + 0.1086*_xlpm.slopes + 63.253,
    _xlpm.mask,   (_xlpm.vals&gt;=0) * (_xlpm.ints&lt;=_xlpm.limit),
    _xlpm.validVals, _xlfn._xlws.FILTER(_xlpm.vals, _xlpm.mask),
    _xlpm.minVal, MIN(_xlpm.validVals),
    IFERROR( _xlfn.XMATCH(_xlpm.minVal, _xlpm.vals), "" )
)</f>
        <v>5</v>
      </c>
      <c r="AJ354" cm="1">
        <f t="array" ref="AJ354">_xlfn.LET(
    _xlpm.vals, CHOOSE({1,2,3,4,5,6}, S354, V354, Y354, AB354, AE354, AH354),
    _xlpm.slopes, CHOOSE({1,2,3,4,5,6}, Q354, T354, W354, Z354, AC354, AF354),
    _xlpm.ints, CHOOSE({1,2,3,4,5,6}, R354, U354, X354, AA354, AD354, AG354),
    _xlpm.limit, -0.00001*_xlpm.slopes + 0.1086*_xlpm.slopes + 63.253,
    _xlpm.valid, (_xlpm.vals &gt;= 0) * (_xlpm.ints &lt;= _xlpm.limit),
    _xlpm.target, MIN(_xlfn._xlws.FILTER(_xlpm.vals, _xlpm.valid)),
    IFERROR(
        _xlfn.XLOOKUP(_xlpm.target, _xlpm.vals, _xlpm.vals),
        CHOOSE({1,2,3,4,5,6}, S$1, V$1, Y$1, AB$1, AE$1, AH$1)
    )
)</f>
        <v>0.64822859260817633</v>
      </c>
    </row>
    <row r="355" spans="9:36" x14ac:dyDescent="0.45">
      <c r="I355">
        <v>353</v>
      </c>
      <c r="J355">
        <v>35.4</v>
      </c>
      <c r="K355">
        <f t="shared" si="116"/>
        <v>35.4</v>
      </c>
      <c r="L355">
        <f t="shared" si="115"/>
        <v>9.8333333333333328E-3</v>
      </c>
      <c r="M355">
        <v>15.46</v>
      </c>
      <c r="N355">
        <f t="shared" si="117"/>
        <v>15.46</v>
      </c>
      <c r="O355">
        <f t="shared" si="118"/>
        <v>460.02947066610983</v>
      </c>
      <c r="P355">
        <f t="shared" si="119"/>
        <v>1472.0943061315515</v>
      </c>
      <c r="Q355">
        <f t="shared" si="120"/>
        <v>6742.1919220825066</v>
      </c>
      <c r="R355">
        <f t="shared" si="121"/>
        <v>21.896755078790751</v>
      </c>
      <c r="S355">
        <f t="shared" si="122"/>
        <v>9.8508886907363173</v>
      </c>
      <c r="T355">
        <f t="shared" si="123"/>
        <v>4357.3991461493924</v>
      </c>
      <c r="U355">
        <f t="shared" si="124"/>
        <v>33.880789952993801</v>
      </c>
      <c r="V355">
        <f t="shared" si="125"/>
        <v>3.0937439506642872</v>
      </c>
      <c r="W355">
        <f t="shared" si="126"/>
        <v>2811.7001247112635</v>
      </c>
      <c r="X355">
        <f t="shared" si="127"/>
        <v>52.506355110398779</v>
      </c>
      <c r="Y355">
        <f t="shared" si="128"/>
        <v>1.8055900222779715</v>
      </c>
      <c r="Z355">
        <f t="shared" si="129"/>
        <v>2119.815800829434</v>
      </c>
      <c r="AA355">
        <f t="shared" si="130"/>
        <v>69.643846014487266</v>
      </c>
      <c r="AB355">
        <f t="shared" si="131"/>
        <v>1.6812738679636927</v>
      </c>
      <c r="AC355">
        <f t="shared" si="132"/>
        <v>1089.3497865373481</v>
      </c>
      <c r="AD355">
        <f t="shared" si="133"/>
        <v>135.52315981197521</v>
      </c>
      <c r="AE355">
        <f t="shared" si="134"/>
        <v>1.5615837915861834</v>
      </c>
      <c r="AF355">
        <f t="shared" si="135"/>
        <v>1001.0241281694551</v>
      </c>
      <c r="AG355">
        <f t="shared" si="136"/>
        <v>147.48108567773772</v>
      </c>
      <c r="AH355">
        <f t="shared" si="137"/>
        <v>1.4734814541713952</v>
      </c>
      <c r="AI355" cm="1">
        <f t="array" ref="AI355">_xlfn.LET(
    _xlpm.vals,   _xlfn.HSTACK(S355,V355,Y355,AB355,AE355,AH355),
    _xlpm.ints,   _xlfn.HSTACK(R355,U355,X355,AA355,AD355,AG355),
    _xlpm.slopes, _xlfn.HSTACK(Q355,T355,W355,Z355,AC355,AF355),
    _xlpm.limit,  -0.00001*_xlpm.slopes + 0.1086*_xlpm.slopes + 63.253,
    _xlpm.mask,   (_xlpm.vals&gt;=0) * (_xlpm.ints&lt;=_xlpm.limit),
    _xlpm.validVals, _xlfn._xlws.FILTER(_xlpm.vals, _xlpm.mask),
    _xlpm.minVal, MIN(_xlpm.validVals),
    IFERROR( _xlfn.XMATCH(_xlpm.minVal, _xlpm.vals), "" )
)</f>
        <v>6</v>
      </c>
      <c r="AJ355" cm="1">
        <f t="array" ref="AJ355">_xlfn.LET(
    _xlpm.vals, CHOOSE({1,2,3,4,5,6}, S355, V355, Y355, AB355, AE355, AH355),
    _xlpm.slopes, CHOOSE({1,2,3,4,5,6}, Q355, T355, W355, Z355, AC355, AF355),
    _xlpm.ints, CHOOSE({1,2,3,4,5,6}, R355, U355, X355, AA355, AD355, AG355),
    _xlpm.limit, -0.00001*_xlpm.slopes + 0.1086*_xlpm.slopes + 63.253,
    _xlpm.valid, (_xlpm.vals &gt;= 0) * (_xlpm.ints &lt;= _xlpm.limit),
    _xlpm.target, MIN(_xlfn._xlws.FILTER(_xlpm.vals, _xlpm.valid)),
    IFERROR(
        _xlfn.XLOOKUP(_xlpm.target, _xlpm.vals, _xlpm.vals),
        CHOOSE({1,2,3,4,5,6}, S$1, V$1, Y$1, AB$1, AE$1, AH$1)
    )
)</f>
        <v>1.4734814541713952</v>
      </c>
    </row>
    <row r="356" spans="9:36" x14ac:dyDescent="0.45">
      <c r="I356">
        <v>354</v>
      </c>
      <c r="J356">
        <v>35.799999999999997</v>
      </c>
      <c r="K356">
        <f t="shared" si="116"/>
        <v>35.799999999999997</v>
      </c>
      <c r="L356">
        <f t="shared" si="115"/>
        <v>9.9444444444444433E-3</v>
      </c>
      <c r="M356">
        <v>11.56</v>
      </c>
      <c r="N356">
        <f t="shared" si="117"/>
        <v>11.56</v>
      </c>
      <c r="O356">
        <f t="shared" si="118"/>
        <v>465.22754378098114</v>
      </c>
      <c r="P356">
        <f t="shared" si="119"/>
        <v>1488.7281400991396</v>
      </c>
      <c r="Q356">
        <f t="shared" si="120"/>
        <v>6818.3748816540592</v>
      </c>
      <c r="R356">
        <f t="shared" si="121"/>
        <v>16.19005561362729</v>
      </c>
      <c r="S356">
        <f t="shared" si="122"/>
        <v>10.163972448994246</v>
      </c>
      <c r="T356">
        <f t="shared" si="123"/>
        <v>4406.635294693453</v>
      </c>
      <c r="U356">
        <f t="shared" si="124"/>
        <v>25.050829294058442</v>
      </c>
      <c r="V356">
        <f t="shared" si="125"/>
        <v>2.9951617131360817</v>
      </c>
      <c r="W356">
        <f t="shared" si="126"/>
        <v>2843.4707475893565</v>
      </c>
      <c r="X356">
        <f t="shared" si="127"/>
        <v>38.822227597074857</v>
      </c>
      <c r="Y356">
        <f t="shared" si="128"/>
        <v>1.5431995624084958</v>
      </c>
      <c r="Z356">
        <f t="shared" si="129"/>
        <v>2143.7685217427611</v>
      </c>
      <c r="AA356">
        <f t="shared" si="130"/>
        <v>51.493371326675678</v>
      </c>
      <c r="AB356">
        <f t="shared" si="131"/>
        <v>1.3592813857681429</v>
      </c>
      <c r="AC356">
        <f t="shared" si="132"/>
        <v>1101.6588236733633</v>
      </c>
      <c r="AD356">
        <f t="shared" si="133"/>
        <v>100.20331717623377</v>
      </c>
      <c r="AE356">
        <f t="shared" si="134"/>
        <v>1.3059324528744494</v>
      </c>
      <c r="AF356">
        <f t="shared" si="135"/>
        <v>1012.335135267415</v>
      </c>
      <c r="AG356">
        <f t="shared" si="136"/>
        <v>109.04478633884261</v>
      </c>
      <c r="AH356">
        <f t="shared" si="137"/>
        <v>1.2843544324166227</v>
      </c>
      <c r="AI356" cm="1">
        <f t="array" ref="AI356">_xlfn.LET(
    _xlpm.vals,   _xlfn.HSTACK(S356,V356,Y356,AB356,AE356,AH356),
    _xlpm.ints,   _xlfn.HSTACK(R356,U356,X356,AA356,AD356,AG356),
    _xlpm.slopes, _xlfn.HSTACK(Q356,T356,W356,Z356,AC356,AF356),
    _xlpm.limit,  -0.00001*_xlpm.slopes + 0.1086*_xlpm.slopes + 63.253,
    _xlpm.mask,   (_xlpm.vals&gt;=0) * (_xlpm.ints&lt;=_xlpm.limit),
    _xlpm.validVals, _xlfn._xlws.FILTER(_xlpm.vals, _xlpm.mask),
    _xlpm.minVal, MIN(_xlpm.validVals),
    IFERROR( _xlfn.XMATCH(_xlpm.minVal, _xlpm.vals), "" )
)</f>
        <v>6</v>
      </c>
      <c r="AJ356" cm="1">
        <f t="array" ref="AJ356">_xlfn.LET(
    _xlpm.vals, CHOOSE({1,2,3,4,5,6}, S356, V356, Y356, AB356, AE356, AH356),
    _xlpm.slopes, CHOOSE({1,2,3,4,5,6}, Q356, T356, W356, Z356, AC356, AF356),
    _xlpm.ints, CHOOSE({1,2,3,4,5,6}, R356, U356, X356, AA356, AD356, AG356),
    _xlpm.limit, -0.00001*_xlpm.slopes + 0.1086*_xlpm.slopes + 63.253,
    _xlpm.valid, (_xlpm.vals &gt;= 0) * (_xlpm.ints &lt;= _xlpm.limit),
    _xlpm.target, MIN(_xlfn._xlws.FILTER(_xlpm.vals, _xlpm.valid)),
    IFERROR(
        _xlfn.XLOOKUP(_xlpm.target, _xlpm.vals, _xlpm.vals),
        CHOOSE({1,2,3,4,5,6}, S$1, V$1, Y$1, AB$1, AE$1, AH$1)
    )
)</f>
        <v>1.2843544324166227</v>
      </c>
    </row>
    <row r="357" spans="9:36" x14ac:dyDescent="0.45">
      <c r="I357">
        <v>355</v>
      </c>
      <c r="J357">
        <v>35.799999999999997</v>
      </c>
      <c r="K357">
        <f t="shared" si="116"/>
        <v>35.799999999999997</v>
      </c>
      <c r="L357">
        <f t="shared" si="115"/>
        <v>9.9444444444444433E-3</v>
      </c>
      <c r="M357">
        <v>5.93</v>
      </c>
      <c r="N357">
        <f t="shared" si="117"/>
        <v>5.93</v>
      </c>
      <c r="O357">
        <f t="shared" si="118"/>
        <v>465.22754378098114</v>
      </c>
      <c r="P357">
        <f t="shared" si="119"/>
        <v>1488.7281400991396</v>
      </c>
      <c r="Q357">
        <f t="shared" si="120"/>
        <v>6818.3748816540592</v>
      </c>
      <c r="R357">
        <f t="shared" si="121"/>
        <v>8.3051063831150369</v>
      </c>
      <c r="S357">
        <f t="shared" si="122"/>
        <v>10.132827160836271</v>
      </c>
      <c r="T357">
        <f t="shared" si="123"/>
        <v>4406.635294693453</v>
      </c>
      <c r="U357">
        <f t="shared" si="124"/>
        <v>12.850468660360429</v>
      </c>
      <c r="V357">
        <f t="shared" si="125"/>
        <v>2.7761505513488469</v>
      </c>
      <c r="W357">
        <f t="shared" si="126"/>
        <v>2843.4707475893565</v>
      </c>
      <c r="X357">
        <f t="shared" si="127"/>
        <v>19.914862426527154</v>
      </c>
      <c r="Y357">
        <f t="shared" si="128"/>
        <v>1.188006704725326</v>
      </c>
      <c r="Z357">
        <f t="shared" si="129"/>
        <v>2143.7685217427611</v>
      </c>
      <c r="AA357">
        <f t="shared" si="130"/>
        <v>26.414852246296434</v>
      </c>
      <c r="AB357">
        <f t="shared" si="131"/>
        <v>0.9328507148467583</v>
      </c>
      <c r="AC357">
        <f t="shared" si="132"/>
        <v>1101.6588236733633</v>
      </c>
      <c r="AD357">
        <f t="shared" si="133"/>
        <v>51.401874641441715</v>
      </c>
      <c r="AE357">
        <f t="shared" si="134"/>
        <v>0.7966436843158774</v>
      </c>
      <c r="AF357">
        <f t="shared" si="135"/>
        <v>1012.335135267415</v>
      </c>
      <c r="AG357">
        <f t="shared" si="136"/>
        <v>55.937334168627743</v>
      </c>
      <c r="AH357">
        <f t="shared" si="137"/>
        <v>0.7901631015631243</v>
      </c>
      <c r="AI357" cm="1">
        <f t="array" ref="AI357">_xlfn.LET(
    _xlpm.vals,   _xlfn.HSTACK(S357,V357,Y357,AB357,AE357,AH357),
    _xlpm.ints,   _xlfn.HSTACK(R357,U357,X357,AA357,AD357,AG357),
    _xlpm.slopes, _xlfn.HSTACK(Q357,T357,W357,Z357,AC357,AF357),
    _xlpm.limit,  -0.00001*_xlpm.slopes + 0.1086*_xlpm.slopes + 63.253,
    _xlpm.mask,   (_xlpm.vals&gt;=0) * (_xlpm.ints&lt;=_xlpm.limit),
    _xlpm.validVals, _xlfn._xlws.FILTER(_xlpm.vals, _xlpm.mask),
    _xlpm.minVal, MIN(_xlpm.validVals),
    IFERROR( _xlfn.XMATCH(_xlpm.minVal, _xlpm.vals), "" )
)</f>
        <v>6</v>
      </c>
      <c r="AJ357" cm="1">
        <f t="array" ref="AJ357">_xlfn.LET(
    _xlpm.vals, CHOOSE({1,2,3,4,5,6}, S357, V357, Y357, AB357, AE357, AH357),
    _xlpm.slopes, CHOOSE({1,2,3,4,5,6}, Q357, T357, W357, Z357, AC357, AF357),
    _xlpm.ints, CHOOSE({1,2,3,4,5,6}, R357, U357, X357, AA357, AD357, AG357),
    _xlpm.limit, -0.00001*_xlpm.slopes + 0.1086*_xlpm.slopes + 63.253,
    _xlpm.valid, (_xlpm.vals &gt;= 0) * (_xlpm.ints &lt;= _xlpm.limit),
    _xlpm.target, MIN(_xlfn._xlws.FILTER(_xlpm.vals, _xlpm.valid)),
    IFERROR(
        _xlfn.XLOOKUP(_xlpm.target, _xlpm.vals, _xlpm.vals),
        CHOOSE({1,2,3,4,5,6}, S$1, V$1, Y$1, AB$1, AE$1, AH$1)
    )
)</f>
        <v>0.7901631015631243</v>
      </c>
    </row>
    <row r="358" spans="9:36" x14ac:dyDescent="0.45">
      <c r="I358">
        <v>356</v>
      </c>
      <c r="J358">
        <v>36.1</v>
      </c>
      <c r="K358">
        <f t="shared" si="116"/>
        <v>36.1</v>
      </c>
      <c r="L358">
        <f t="shared" si="115"/>
        <v>1.0027777777777778E-2</v>
      </c>
      <c r="M358">
        <v>9.5500000000000007</v>
      </c>
      <c r="N358">
        <f t="shared" si="117"/>
        <v>9.5500000000000007</v>
      </c>
      <c r="O358">
        <f t="shared" si="118"/>
        <v>469.12609861713469</v>
      </c>
      <c r="P358">
        <f t="shared" si="119"/>
        <v>1501.203515574831</v>
      </c>
      <c r="Q358">
        <f t="shared" si="120"/>
        <v>6875.5121013327262</v>
      </c>
      <c r="R358">
        <f t="shared" si="121"/>
        <v>13.263853084336647</v>
      </c>
      <c r="S358">
        <f t="shared" si="122"/>
        <v>10.421502133347531</v>
      </c>
      <c r="T358">
        <f t="shared" si="123"/>
        <v>4443.5624061014996</v>
      </c>
      <c r="U358">
        <f t="shared" si="124"/>
        <v>20.523124029142519</v>
      </c>
      <c r="V358">
        <f t="shared" si="125"/>
        <v>2.9721723895203431</v>
      </c>
      <c r="W358">
        <f t="shared" si="126"/>
        <v>2867.2987147479271</v>
      </c>
      <c r="X358">
        <f t="shared" si="127"/>
        <v>31.805469699613536</v>
      </c>
      <c r="Y358">
        <f t="shared" si="128"/>
        <v>1.4214805832602295</v>
      </c>
      <c r="Z358">
        <f t="shared" si="129"/>
        <v>2161.7330624277565</v>
      </c>
      <c r="AA358">
        <f t="shared" si="130"/>
        <v>42.186421615459622</v>
      </c>
      <c r="AB358">
        <f t="shared" si="131"/>
        <v>1.2033250170032526</v>
      </c>
      <c r="AC358">
        <f t="shared" si="132"/>
        <v>1110.8906015253749</v>
      </c>
      <c r="AD358">
        <f t="shared" si="133"/>
        <v>82.092496116570075</v>
      </c>
      <c r="AE358">
        <f t="shared" si="134"/>
        <v>1.1322485967802154</v>
      </c>
      <c r="AF358">
        <f t="shared" si="135"/>
        <v>1020.8183905908852</v>
      </c>
      <c r="AG358">
        <f t="shared" si="136"/>
        <v>89.335951656267412</v>
      </c>
      <c r="AH358">
        <f t="shared" si="137"/>
        <v>1.1237516400649512</v>
      </c>
      <c r="AI358" cm="1">
        <f t="array" ref="AI358">_xlfn.LET(
    _xlpm.vals,   _xlfn.HSTACK(S358,V358,Y358,AB358,AE358,AH358),
    _xlpm.ints,   _xlfn.HSTACK(R358,U358,X358,AA358,AD358,AG358),
    _xlpm.slopes, _xlfn.HSTACK(Q358,T358,W358,Z358,AC358,AF358),
    _xlpm.limit,  -0.00001*_xlpm.slopes + 0.1086*_xlpm.slopes + 63.253,
    _xlpm.mask,   (_xlpm.vals&gt;=0) * (_xlpm.ints&lt;=_xlpm.limit),
    _xlpm.validVals, _xlfn._xlws.FILTER(_xlpm.vals, _xlpm.mask),
    _xlpm.minVal, MIN(_xlpm.validVals),
    IFERROR( _xlfn.XMATCH(_xlpm.minVal, _xlpm.vals), "" )
)</f>
        <v>6</v>
      </c>
      <c r="AJ358" cm="1">
        <f t="array" ref="AJ358">_xlfn.LET(
    _xlpm.vals, CHOOSE({1,2,3,4,5,6}, S358, V358, Y358, AB358, AE358, AH358),
    _xlpm.slopes, CHOOSE({1,2,3,4,5,6}, Q358, T358, W358, Z358, AC358, AF358),
    _xlpm.ints, CHOOSE({1,2,3,4,5,6}, R358, U358, X358, AA358, AD358, AG358),
    _xlpm.limit, -0.00001*_xlpm.slopes + 0.1086*_xlpm.slopes + 63.253,
    _xlpm.valid, (_xlpm.vals &gt;= 0) * (_xlpm.ints &lt;= _xlpm.limit),
    _xlpm.target, MIN(_xlfn._xlws.FILTER(_xlpm.vals, _xlpm.valid)),
    IFERROR(
        _xlfn.XLOOKUP(_xlpm.target, _xlpm.vals, _xlpm.vals),
        CHOOSE({1,2,3,4,5,6}, S$1, V$1, Y$1, AB$1, AE$1, AH$1)
    )
)</f>
        <v>1.1237516400649512</v>
      </c>
    </row>
    <row r="359" spans="9:36" x14ac:dyDescent="0.45">
      <c r="I359">
        <v>357</v>
      </c>
      <c r="J359">
        <v>36.1</v>
      </c>
      <c r="K359">
        <f t="shared" si="116"/>
        <v>36.1</v>
      </c>
      <c r="L359">
        <f t="shared" si="115"/>
        <v>1.0027777777777778E-2</v>
      </c>
      <c r="M359">
        <v>4.1399999999999997</v>
      </c>
      <c r="N359">
        <f t="shared" si="117"/>
        <v>4.1399999999999997</v>
      </c>
      <c r="O359">
        <f t="shared" si="118"/>
        <v>469.12609861713469</v>
      </c>
      <c r="P359">
        <f t="shared" si="119"/>
        <v>1501.203515574831</v>
      </c>
      <c r="Q359">
        <f t="shared" si="120"/>
        <v>6875.5121013327262</v>
      </c>
      <c r="R359">
        <f t="shared" si="121"/>
        <v>5.7499844784454162</v>
      </c>
      <c r="S359">
        <f t="shared" si="122"/>
        <v>10.402618113256809</v>
      </c>
      <c r="T359">
        <f t="shared" si="123"/>
        <v>4443.5624061014996</v>
      </c>
      <c r="U359">
        <f t="shared" si="124"/>
        <v>8.8969354430000021</v>
      </c>
      <c r="V359">
        <f t="shared" si="125"/>
        <v>2.77581974819083</v>
      </c>
      <c r="W359">
        <f t="shared" si="126"/>
        <v>2867.2987147479271</v>
      </c>
      <c r="X359">
        <f t="shared" si="127"/>
        <v>13.78792089595812</v>
      </c>
      <c r="Y359">
        <f t="shared" si="128"/>
        <v>1.0997726823534764</v>
      </c>
      <c r="Z359">
        <f t="shared" si="129"/>
        <v>2161.7330624277565</v>
      </c>
      <c r="AA359">
        <f t="shared" si="130"/>
        <v>18.288145077277782</v>
      </c>
      <c r="AB359">
        <f t="shared" si="131"/>
        <v>0.81675628742471185</v>
      </c>
      <c r="AC359">
        <f t="shared" si="132"/>
        <v>1110.8906015253749</v>
      </c>
      <c r="AD359">
        <f t="shared" si="133"/>
        <v>35.587741772000008</v>
      </c>
      <c r="AE359">
        <f t="shared" si="134"/>
        <v>0.63836167790035292</v>
      </c>
      <c r="AF359">
        <f t="shared" si="135"/>
        <v>1020.8183905908852</v>
      </c>
      <c r="AG359">
        <f t="shared" si="136"/>
        <v>38.727836634235302</v>
      </c>
      <c r="AH359">
        <f t="shared" si="137"/>
        <v>0.62812157946546143</v>
      </c>
      <c r="AI359" cm="1">
        <f t="array" ref="AI359">_xlfn.LET(
    _xlpm.vals,   _xlfn.HSTACK(S359,V359,Y359,AB359,AE359,AH359),
    _xlpm.ints,   _xlfn.HSTACK(R359,U359,X359,AA359,AD359,AG359),
    _xlpm.slopes, _xlfn.HSTACK(Q359,T359,W359,Z359,AC359,AF359),
    _xlpm.limit,  -0.00001*_xlpm.slopes + 0.1086*_xlpm.slopes + 63.253,
    _xlpm.mask,   (_xlpm.vals&gt;=0) * (_xlpm.ints&lt;=_xlpm.limit),
    _xlpm.validVals, _xlfn._xlws.FILTER(_xlpm.vals, _xlpm.mask),
    _xlpm.minVal, MIN(_xlpm.validVals),
    IFERROR( _xlfn.XMATCH(_xlpm.minVal, _xlpm.vals), "" )
)</f>
        <v>6</v>
      </c>
      <c r="AJ359" cm="1">
        <f t="array" ref="AJ359">_xlfn.LET(
    _xlpm.vals, CHOOSE({1,2,3,4,5,6}, S359, V359, Y359, AB359, AE359, AH359),
    _xlpm.slopes, CHOOSE({1,2,3,4,5,6}, Q359, T359, W359, Z359, AC359, AF359),
    _xlpm.ints, CHOOSE({1,2,3,4,5,6}, R359, U359, X359, AA359, AD359, AG359),
    _xlpm.limit, -0.00001*_xlpm.slopes + 0.1086*_xlpm.slopes + 63.253,
    _xlpm.valid, (_xlpm.vals &gt;= 0) * (_xlpm.ints &lt;= _xlpm.limit),
    _xlpm.target, MIN(_xlfn._xlws.FILTER(_xlpm.vals, _xlpm.valid)),
    IFERROR(
        _xlfn.XLOOKUP(_xlpm.target, _xlpm.vals, _xlpm.vals),
        CHOOSE({1,2,3,4,5,6}, S$1, V$1, Y$1, AB$1, AE$1, AH$1)
    )
)</f>
        <v>0.62812157946546143</v>
      </c>
    </row>
    <row r="360" spans="9:36" x14ac:dyDescent="0.45">
      <c r="I360">
        <v>358</v>
      </c>
      <c r="J360">
        <v>35.9</v>
      </c>
      <c r="K360">
        <f t="shared" si="116"/>
        <v>35.9</v>
      </c>
      <c r="L360">
        <f t="shared" si="115"/>
        <v>9.9722222222222226E-3</v>
      </c>
      <c r="M360">
        <v>4.83</v>
      </c>
      <c r="N360">
        <f t="shared" si="117"/>
        <v>4.83</v>
      </c>
      <c r="O360">
        <f t="shared" si="118"/>
        <v>466.52706205969901</v>
      </c>
      <c r="P360">
        <f t="shared" si="119"/>
        <v>1492.886598591037</v>
      </c>
      <c r="Q360">
        <f t="shared" si="120"/>
        <v>6837.4206215469494</v>
      </c>
      <c r="R360">
        <f t="shared" si="121"/>
        <v>6.7456874545179044</v>
      </c>
      <c r="S360">
        <f t="shared" si="122"/>
        <v>10.220213243581915</v>
      </c>
      <c r="T360">
        <f t="shared" si="123"/>
        <v>4418.9443318294698</v>
      </c>
      <c r="U360">
        <f t="shared" si="124"/>
        <v>10.437583966787839</v>
      </c>
      <c r="V360">
        <f t="shared" si="125"/>
        <v>2.7578442689395244</v>
      </c>
      <c r="W360">
        <f t="shared" si="126"/>
        <v>2851.4134033088803</v>
      </c>
      <c r="X360">
        <f t="shared" si="127"/>
        <v>16.175522796697386</v>
      </c>
      <c r="Y360">
        <f t="shared" si="128"/>
        <v>1.1292783914996511</v>
      </c>
      <c r="Z360">
        <f t="shared" si="129"/>
        <v>2149.7567019710932</v>
      </c>
      <c r="AA360">
        <f t="shared" si="130"/>
        <v>21.455033709508335</v>
      </c>
      <c r="AB360">
        <f t="shared" si="131"/>
        <v>0.85906891716678468</v>
      </c>
      <c r="AC360">
        <f t="shared" si="132"/>
        <v>1104.7360829573674</v>
      </c>
      <c r="AD360">
        <f t="shared" si="133"/>
        <v>41.750335867151357</v>
      </c>
      <c r="AE360">
        <f t="shared" si="134"/>
        <v>0.69772029458717033</v>
      </c>
      <c r="AF360">
        <f t="shared" si="135"/>
        <v>1015.1628870419053</v>
      </c>
      <c r="AG360">
        <f t="shared" si="136"/>
        <v>45.434189031899997</v>
      </c>
      <c r="AH360">
        <f t="shared" si="137"/>
        <v>0.68910963933458669</v>
      </c>
      <c r="AI360" cm="1">
        <f t="array" ref="AI360">_xlfn.LET(
    _xlpm.vals,   _xlfn.HSTACK(S360,V360,Y360,AB360,AE360,AH360),
    _xlpm.ints,   _xlfn.HSTACK(R360,U360,X360,AA360,AD360,AG360),
    _xlpm.slopes, _xlfn.HSTACK(Q360,T360,W360,Z360,AC360,AF360),
    _xlpm.limit,  -0.00001*_xlpm.slopes + 0.1086*_xlpm.slopes + 63.253,
    _xlpm.mask,   (_xlpm.vals&gt;=0) * (_xlpm.ints&lt;=_xlpm.limit),
    _xlpm.validVals, _xlfn._xlws.FILTER(_xlpm.vals, _xlpm.mask),
    _xlpm.minVal, MIN(_xlpm.validVals),
    IFERROR( _xlfn.XMATCH(_xlpm.minVal, _xlpm.vals), "" )
)</f>
        <v>6</v>
      </c>
      <c r="AJ360" cm="1">
        <f t="array" ref="AJ360">_xlfn.LET(
    _xlpm.vals, CHOOSE({1,2,3,4,5,6}, S360, V360, Y360, AB360, AE360, AH360),
    _xlpm.slopes, CHOOSE({1,2,3,4,5,6}, Q360, T360, W360, Z360, AC360, AF360),
    _xlpm.ints, CHOOSE({1,2,3,4,5,6}, R360, U360, X360, AA360, AD360, AG360),
    _xlpm.limit, -0.00001*_xlpm.slopes + 0.1086*_xlpm.slopes + 63.253,
    _xlpm.valid, (_xlpm.vals &gt;= 0) * (_xlpm.ints &lt;= _xlpm.limit),
    _xlpm.target, MIN(_xlfn._xlws.FILTER(_xlpm.vals, _xlpm.valid)),
    IFERROR(
        _xlfn.XLOOKUP(_xlpm.target, _xlpm.vals, _xlpm.vals),
        CHOOSE({1,2,3,4,5,6}, S$1, V$1, Y$1, AB$1, AE$1, AH$1)
    )
)</f>
        <v>0.68910963933458669</v>
      </c>
    </row>
    <row r="361" spans="9:36" x14ac:dyDescent="0.45">
      <c r="I361">
        <v>359</v>
      </c>
      <c r="J361">
        <v>35.9</v>
      </c>
      <c r="K361">
        <f t="shared" si="116"/>
        <v>35.9</v>
      </c>
      <c r="L361">
        <f t="shared" si="115"/>
        <v>9.9722222222222226E-3</v>
      </c>
      <c r="M361">
        <v>7.7</v>
      </c>
      <c r="N361">
        <f t="shared" si="117"/>
        <v>7.7</v>
      </c>
      <c r="O361">
        <f t="shared" si="118"/>
        <v>466.52706205969901</v>
      </c>
      <c r="P361">
        <f t="shared" si="119"/>
        <v>1492.886598591037</v>
      </c>
      <c r="Q361">
        <f t="shared" si="120"/>
        <v>6837.4206215469494</v>
      </c>
      <c r="R361">
        <f t="shared" si="121"/>
        <v>10.753994492709703</v>
      </c>
      <c r="S361">
        <f t="shared" si="122"/>
        <v>10.230556462473494</v>
      </c>
      <c r="T361">
        <f t="shared" si="123"/>
        <v>4418.9443318294698</v>
      </c>
      <c r="U361">
        <f t="shared" si="124"/>
        <v>16.639626613719741</v>
      </c>
      <c r="V361">
        <f t="shared" si="125"/>
        <v>2.8611747512776784</v>
      </c>
      <c r="W361">
        <f t="shared" si="126"/>
        <v>2851.4134033088803</v>
      </c>
      <c r="X361">
        <f t="shared" si="127"/>
        <v>25.787065328068294</v>
      </c>
      <c r="Y361">
        <f t="shared" si="128"/>
        <v>1.297864149927386</v>
      </c>
      <c r="Z361">
        <f t="shared" si="129"/>
        <v>2149.7567019710932</v>
      </c>
      <c r="AA361">
        <f t="shared" si="130"/>
        <v>34.203676928201695</v>
      </c>
      <c r="AB361">
        <f t="shared" si="131"/>
        <v>1.0613768522800195</v>
      </c>
      <c r="AC361">
        <f t="shared" si="132"/>
        <v>1104.7360829573674</v>
      </c>
      <c r="AD361">
        <f t="shared" si="133"/>
        <v>66.558506454878966</v>
      </c>
      <c r="AE361">
        <f t="shared" si="134"/>
        <v>0.96108987051052464</v>
      </c>
      <c r="AF361">
        <f t="shared" si="135"/>
        <v>1015.1628870419053</v>
      </c>
      <c r="AG361">
        <f t="shared" si="136"/>
        <v>72.431315847956512</v>
      </c>
      <c r="AH361">
        <f t="shared" si="137"/>
        <v>0.95585468315598021</v>
      </c>
      <c r="AI361" cm="1">
        <f t="array" ref="AI361">_xlfn.LET(
    _xlpm.vals,   _xlfn.HSTACK(S361,V361,Y361,AB361,AE361,AH361),
    _xlpm.ints,   _xlfn.HSTACK(R361,U361,X361,AA361,AD361,AG361),
    _xlpm.slopes, _xlfn.HSTACK(Q361,T361,W361,Z361,AC361,AF361),
    _xlpm.limit,  -0.00001*_xlpm.slopes + 0.1086*_xlpm.slopes + 63.253,
    _xlpm.mask,   (_xlpm.vals&gt;=0) * (_xlpm.ints&lt;=_xlpm.limit),
    _xlpm.validVals, _xlfn._xlws.FILTER(_xlpm.vals, _xlpm.mask),
    _xlpm.minVal, MIN(_xlpm.validVals),
    IFERROR( _xlfn.XMATCH(_xlpm.minVal, _xlpm.vals), "" )
)</f>
        <v>6</v>
      </c>
      <c r="AJ361" cm="1">
        <f t="array" ref="AJ361">_xlfn.LET(
    _xlpm.vals, CHOOSE({1,2,3,4,5,6}, S361, V361, Y361, AB361, AE361, AH361),
    _xlpm.slopes, CHOOSE({1,2,3,4,5,6}, Q361, T361, W361, Z361, AC361, AF361),
    _xlpm.ints, CHOOSE({1,2,3,4,5,6}, R361, U361, X361, AA361, AD361, AG361),
    _xlpm.limit, -0.00001*_xlpm.slopes + 0.1086*_xlpm.slopes + 63.253,
    _xlpm.valid, (_xlpm.vals &gt;= 0) * (_xlpm.ints &lt;= _xlpm.limit),
    _xlpm.target, MIN(_xlfn._xlws.FILTER(_xlpm.vals, _xlpm.valid)),
    IFERROR(
        _xlfn.XLOOKUP(_xlpm.target, _xlpm.vals, _xlpm.vals),
        CHOOSE({1,2,3,4,5,6}, S$1, V$1, Y$1, AB$1, AE$1, AH$1)
    )
)</f>
        <v>0.95585468315598021</v>
      </c>
    </row>
    <row r="362" spans="9:36" x14ac:dyDescent="0.45">
      <c r="I362">
        <v>360</v>
      </c>
      <c r="J362">
        <v>36</v>
      </c>
      <c r="K362">
        <f t="shared" si="116"/>
        <v>36</v>
      </c>
      <c r="L362">
        <f t="shared" si="115"/>
        <v>0.01</v>
      </c>
      <c r="M362">
        <v>7.1</v>
      </c>
      <c r="N362">
        <f t="shared" si="117"/>
        <v>7.1</v>
      </c>
      <c r="O362">
        <f t="shared" si="118"/>
        <v>467.82658033841687</v>
      </c>
      <c r="P362">
        <f t="shared" si="119"/>
        <v>1497.0450570829341</v>
      </c>
      <c r="Q362">
        <f t="shared" si="120"/>
        <v>6856.4663614398387</v>
      </c>
      <c r="R362">
        <f t="shared" si="121"/>
        <v>9.888476393386636</v>
      </c>
      <c r="S362">
        <f t="shared" si="122"/>
        <v>10.318916296934301</v>
      </c>
      <c r="T362">
        <f t="shared" si="123"/>
        <v>4431.2533689654847</v>
      </c>
      <c r="U362">
        <f t="shared" si="124"/>
        <v>15.300412797875271</v>
      </c>
      <c r="V362">
        <f t="shared" si="125"/>
        <v>2.8589446473364553</v>
      </c>
      <c r="W362">
        <f t="shared" si="126"/>
        <v>2859.3560590284042</v>
      </c>
      <c r="X362">
        <f t="shared" si="127"/>
        <v>23.711634493042304</v>
      </c>
      <c r="Y362">
        <f t="shared" si="128"/>
        <v>1.2653734004200261</v>
      </c>
      <c r="Z362">
        <f t="shared" si="129"/>
        <v>2155.7448821994249</v>
      </c>
      <c r="AA362">
        <f t="shared" si="130"/>
        <v>31.450848528965839</v>
      </c>
      <c r="AB362">
        <f t="shared" si="131"/>
        <v>1.0188156005480775</v>
      </c>
      <c r="AC362">
        <f t="shared" si="132"/>
        <v>1107.8133422413712</v>
      </c>
      <c r="AD362">
        <f t="shared" si="133"/>
        <v>61.201651191501085</v>
      </c>
      <c r="AE362">
        <f t="shared" si="134"/>
        <v>0.90529447900459648</v>
      </c>
      <c r="AF362">
        <f t="shared" si="135"/>
        <v>1017.9906388163953</v>
      </c>
      <c r="AG362">
        <f t="shared" si="136"/>
        <v>66.601796884868818</v>
      </c>
      <c r="AH362">
        <f t="shared" si="137"/>
        <v>0.9000546600450775</v>
      </c>
      <c r="AI362" cm="1">
        <f t="array" ref="AI362">_xlfn.LET(
    _xlpm.vals,   _xlfn.HSTACK(S362,V362,Y362,AB362,AE362,AH362),
    _xlpm.ints,   _xlfn.HSTACK(R362,U362,X362,AA362,AD362,AG362),
    _xlpm.slopes, _xlfn.HSTACK(Q362,T362,W362,Z362,AC362,AF362),
    _xlpm.limit,  -0.00001*_xlpm.slopes + 0.1086*_xlpm.slopes + 63.253,
    _xlpm.mask,   (_xlpm.vals&gt;=0) * (_xlpm.ints&lt;=_xlpm.limit),
    _xlpm.validVals, _xlfn._xlws.FILTER(_xlpm.vals, _xlpm.mask),
    _xlpm.minVal, MIN(_xlpm.validVals),
    IFERROR( _xlfn.XMATCH(_xlpm.minVal, _xlpm.vals), "" )
)</f>
        <v>6</v>
      </c>
      <c r="AJ362" cm="1">
        <f t="array" ref="AJ362">_xlfn.LET(
    _xlpm.vals, CHOOSE({1,2,3,4,5,6}, S362, V362, Y362, AB362, AE362, AH362),
    _xlpm.slopes, CHOOSE({1,2,3,4,5,6}, Q362, T362, W362, Z362, AC362, AF362),
    _xlpm.ints, CHOOSE({1,2,3,4,5,6}, R362, U362, X362, AA362, AD362, AG362),
    _xlpm.limit, -0.00001*_xlpm.slopes + 0.1086*_xlpm.slopes + 63.253,
    _xlpm.valid, (_xlpm.vals &gt;= 0) * (_xlpm.ints &lt;= _xlpm.limit),
    _xlpm.target, MIN(_xlfn._xlws.FILTER(_xlpm.vals, _xlpm.valid)),
    IFERROR(
        _xlfn.XLOOKUP(_xlpm.target, _xlpm.vals, _xlpm.vals),
        CHOOSE({1,2,3,4,5,6}, S$1, V$1, Y$1, AB$1, AE$1, AH$1)
    )
)</f>
        <v>0.9000546600450775</v>
      </c>
    </row>
    <row r="363" spans="9:36" x14ac:dyDescent="0.45">
      <c r="I363">
        <v>361</v>
      </c>
      <c r="J363">
        <v>36.299999999999997</v>
      </c>
      <c r="K363">
        <f t="shared" si="116"/>
        <v>36.299999999999997</v>
      </c>
      <c r="L363">
        <f t="shared" si="115"/>
        <v>1.0083333333333333E-2</v>
      </c>
      <c r="M363">
        <v>8.8699999999999992</v>
      </c>
      <c r="N363">
        <f t="shared" si="117"/>
        <v>8.8699999999999992</v>
      </c>
      <c r="O363">
        <f t="shared" si="118"/>
        <v>471.72513517457031</v>
      </c>
      <c r="P363">
        <f t="shared" si="119"/>
        <v>1509.5204325586251</v>
      </c>
      <c r="Q363">
        <f t="shared" si="120"/>
        <v>6913.6035811185029</v>
      </c>
      <c r="R363">
        <f t="shared" si="121"/>
        <v>12.251535645583447</v>
      </c>
      <c r="S363">
        <f t="shared" si="122"/>
        <v>10.602119888469993</v>
      </c>
      <c r="T363">
        <f t="shared" si="123"/>
        <v>4468.1804803735304</v>
      </c>
      <c r="U363">
        <f t="shared" si="124"/>
        <v>18.956767992152763</v>
      </c>
      <c r="V363">
        <f t="shared" si="125"/>
        <v>2.98610399740932</v>
      </c>
      <c r="W363">
        <f t="shared" si="126"/>
        <v>2883.1840261869738</v>
      </c>
      <c r="X363">
        <f t="shared" si="127"/>
        <v>29.378027883126798</v>
      </c>
      <c r="Y363">
        <f t="shared" si="128"/>
        <v>1.3859351745679382</v>
      </c>
      <c r="Z363">
        <f t="shared" si="129"/>
        <v>2173.7094228844198</v>
      </c>
      <c r="AA363">
        <f t="shared" si="130"/>
        <v>38.966689761647352</v>
      </c>
      <c r="AB363">
        <f t="shared" si="131"/>
        <v>1.1535767468345588</v>
      </c>
      <c r="AC363">
        <f t="shared" si="132"/>
        <v>1117.0451200933826</v>
      </c>
      <c r="AD363">
        <f t="shared" si="133"/>
        <v>75.827071968611051</v>
      </c>
      <c r="AE363">
        <f t="shared" si="134"/>
        <v>1.0703687613652006</v>
      </c>
      <c r="AF363">
        <f t="shared" si="135"/>
        <v>1026.473894139865</v>
      </c>
      <c r="AG363">
        <f t="shared" si="136"/>
        <v>82.51769596584144</v>
      </c>
      <c r="AH363">
        <f t="shared" si="137"/>
        <v>1.0640257438620944</v>
      </c>
      <c r="AI363" cm="1">
        <f t="array" ref="AI363">_xlfn.LET(
    _xlpm.vals,   _xlfn.HSTACK(S363,V363,Y363,AB363,AE363,AH363),
    _xlpm.ints,   _xlfn.HSTACK(R363,U363,X363,AA363,AD363,AG363),
    _xlpm.slopes, _xlfn.HSTACK(Q363,T363,W363,Z363,AC363,AF363),
    _xlpm.limit,  -0.00001*_xlpm.slopes + 0.1086*_xlpm.slopes + 63.253,
    _xlpm.mask,   (_xlpm.vals&gt;=0) * (_xlpm.ints&lt;=_xlpm.limit),
    _xlpm.validVals, _xlfn._xlws.FILTER(_xlpm.vals, _xlpm.mask),
    _xlpm.minVal, MIN(_xlpm.validVals),
    IFERROR( _xlfn.XMATCH(_xlpm.minVal, _xlpm.vals), "" )
)</f>
        <v>6</v>
      </c>
      <c r="AJ363" cm="1">
        <f t="array" ref="AJ363">_xlfn.LET(
    _xlpm.vals, CHOOSE({1,2,3,4,5,6}, S363, V363, Y363, AB363, AE363, AH363),
    _xlpm.slopes, CHOOSE({1,2,3,4,5,6}, Q363, T363, W363, Z363, AC363, AF363),
    _xlpm.ints, CHOOSE({1,2,3,4,5,6}, R363, U363, X363, AA363, AD363, AG363),
    _xlpm.limit, -0.00001*_xlpm.slopes + 0.1086*_xlpm.slopes + 63.253,
    _xlpm.valid, (_xlpm.vals &gt;= 0) * (_xlpm.ints &lt;= _xlpm.limit),
    _xlpm.target, MIN(_xlfn._xlws.FILTER(_xlpm.vals, _xlpm.valid)),
    IFERROR(
        _xlfn.XLOOKUP(_xlpm.target, _xlpm.vals, _xlpm.vals),
        CHOOSE({1,2,3,4,5,6}, S$1, V$1, Y$1, AB$1, AE$1, AH$1)
    )
)</f>
        <v>1.0640257438620944</v>
      </c>
    </row>
    <row r="364" spans="9:36" x14ac:dyDescent="0.45">
      <c r="I364">
        <v>362</v>
      </c>
      <c r="J364">
        <v>36.4</v>
      </c>
      <c r="K364">
        <f t="shared" si="116"/>
        <v>36.4</v>
      </c>
      <c r="L364">
        <f t="shared" si="115"/>
        <v>1.0111111111111111E-2</v>
      </c>
      <c r="M364">
        <v>5.22</v>
      </c>
      <c r="N364">
        <f t="shared" si="117"/>
        <v>5.22</v>
      </c>
      <c r="O364">
        <f t="shared" si="118"/>
        <v>473.02465345328812</v>
      </c>
      <c r="P364">
        <f t="shared" si="119"/>
        <v>1513.678891050522</v>
      </c>
      <c r="Q364">
        <f t="shared" si="120"/>
        <v>6932.6493210113913</v>
      </c>
      <c r="R364">
        <f t="shared" si="121"/>
        <v>7.1902278433880866</v>
      </c>
      <c r="S364">
        <f t="shared" si="122"/>
        <v>10.684576585991797</v>
      </c>
      <c r="T364">
        <f t="shared" si="123"/>
        <v>4480.4895175095453</v>
      </c>
      <c r="U364">
        <f t="shared" si="124"/>
        <v>11.125420109026162</v>
      </c>
      <c r="V364">
        <f t="shared" si="125"/>
        <v>2.875060960569193</v>
      </c>
      <c r="W364">
        <f t="shared" si="126"/>
        <v>2891.1266819064967</v>
      </c>
      <c r="X364">
        <f t="shared" si="127"/>
        <v>17.241488755349444</v>
      </c>
      <c r="Y364">
        <f t="shared" si="128"/>
        <v>1.1726854760781209</v>
      </c>
      <c r="Z364">
        <f t="shared" si="129"/>
        <v>2179.6976031127515</v>
      </c>
      <c r="AA364">
        <f t="shared" si="130"/>
        <v>22.868919112998224</v>
      </c>
      <c r="AB364">
        <f t="shared" si="131"/>
        <v>0.89307026365677467</v>
      </c>
      <c r="AC364">
        <f t="shared" si="132"/>
        <v>1120.1223793773863</v>
      </c>
      <c r="AD364">
        <f t="shared" si="133"/>
        <v>44.50168043610465</v>
      </c>
      <c r="AE364">
        <f t="shared" si="134"/>
        <v>0.73380662657504803</v>
      </c>
      <c r="AF364">
        <f t="shared" si="135"/>
        <v>1029.301645914355</v>
      </c>
      <c r="AG364">
        <f t="shared" si="136"/>
        <v>48.428299298113878</v>
      </c>
      <c r="AH364">
        <f t="shared" si="137"/>
        <v>0.72590565886926073</v>
      </c>
      <c r="AI364" cm="1">
        <f t="array" ref="AI364">_xlfn.LET(
    _xlpm.vals,   _xlfn.HSTACK(S364,V364,Y364,AB364,AE364,AH364),
    _xlpm.ints,   _xlfn.HSTACK(R364,U364,X364,AA364,AD364,AG364),
    _xlpm.slopes, _xlfn.HSTACK(Q364,T364,W364,Z364,AC364,AF364),
    _xlpm.limit,  -0.00001*_xlpm.slopes + 0.1086*_xlpm.slopes + 63.253,
    _xlpm.mask,   (_xlpm.vals&gt;=0) * (_xlpm.ints&lt;=_xlpm.limit),
    _xlpm.validVals, _xlfn._xlws.FILTER(_xlpm.vals, _xlpm.mask),
    _xlpm.minVal, MIN(_xlpm.validVals),
    IFERROR( _xlfn.XMATCH(_xlpm.minVal, _xlpm.vals), "" )
)</f>
        <v>6</v>
      </c>
      <c r="AJ364" cm="1">
        <f t="array" ref="AJ364">_xlfn.LET(
    _xlpm.vals, CHOOSE({1,2,3,4,5,6}, S364, V364, Y364, AB364, AE364, AH364),
    _xlpm.slopes, CHOOSE({1,2,3,4,5,6}, Q364, T364, W364, Z364, AC364, AF364),
    _xlpm.ints, CHOOSE({1,2,3,4,5,6}, R364, U364, X364, AA364, AD364, AG364),
    _xlpm.limit, -0.00001*_xlpm.slopes + 0.1086*_xlpm.slopes + 63.253,
    _xlpm.valid, (_xlpm.vals &gt;= 0) * (_xlpm.ints &lt;= _xlpm.limit),
    _xlpm.target, MIN(_xlfn._xlws.FILTER(_xlpm.vals, _xlpm.valid)),
    IFERROR(
        _xlfn.XLOOKUP(_xlpm.target, _xlpm.vals, _xlpm.vals),
        CHOOSE({1,2,3,4,5,6}, S$1, V$1, Y$1, AB$1, AE$1, AH$1)
    )
)</f>
        <v>0.72590565886926073</v>
      </c>
    </row>
    <row r="365" spans="9:36" x14ac:dyDescent="0.45">
      <c r="I365">
        <v>363</v>
      </c>
      <c r="J365">
        <v>36.299999999999997</v>
      </c>
      <c r="K365">
        <f t="shared" si="116"/>
        <v>36.299999999999997</v>
      </c>
      <c r="L365">
        <f t="shared" si="115"/>
        <v>1.0083333333333333E-2</v>
      </c>
      <c r="M365">
        <v>5.84</v>
      </c>
      <c r="N365">
        <f t="shared" si="117"/>
        <v>5.84</v>
      </c>
      <c r="O365">
        <f t="shared" si="118"/>
        <v>471.72513517457031</v>
      </c>
      <c r="P365">
        <f t="shared" si="119"/>
        <v>1509.5204325586251</v>
      </c>
      <c r="Q365">
        <f t="shared" si="120"/>
        <v>6913.6035811185029</v>
      </c>
      <c r="R365">
        <f t="shared" si="121"/>
        <v>8.0664000191891017</v>
      </c>
      <c r="S365">
        <f t="shared" si="122"/>
        <v>10.592019841798054</v>
      </c>
      <c r="T365">
        <f t="shared" si="123"/>
        <v>4468.1804803735304</v>
      </c>
      <c r="U365">
        <f t="shared" si="124"/>
        <v>12.481118948610161</v>
      </c>
      <c r="V365">
        <f t="shared" si="125"/>
        <v>2.8754197754518351</v>
      </c>
      <c r="W365">
        <f t="shared" si="126"/>
        <v>2883.1840261869738</v>
      </c>
      <c r="X365">
        <f t="shared" si="127"/>
        <v>19.342467061720463</v>
      </c>
      <c r="Y365">
        <f t="shared" si="128"/>
        <v>1.2036340754594272</v>
      </c>
      <c r="Z365">
        <f t="shared" si="129"/>
        <v>2173.7094228844198</v>
      </c>
      <c r="AA365">
        <f t="shared" si="130"/>
        <v>25.655633394365339</v>
      </c>
      <c r="AB365">
        <f t="shared" si="131"/>
        <v>0.93388271495447961</v>
      </c>
      <c r="AC365">
        <f t="shared" si="132"/>
        <v>1117.0451200933826</v>
      </c>
      <c r="AD365">
        <f t="shared" si="133"/>
        <v>49.924475794440646</v>
      </c>
      <c r="AE365">
        <f t="shared" si="134"/>
        <v>0.7895363567099225</v>
      </c>
      <c r="AF365">
        <f t="shared" si="135"/>
        <v>1026.473894139865</v>
      </c>
      <c r="AG365">
        <f t="shared" si="136"/>
        <v>54.329576599832471</v>
      </c>
      <c r="AH365">
        <f t="shared" si="137"/>
        <v>0.78284480020744507</v>
      </c>
      <c r="AI365" cm="1">
        <f t="array" ref="AI365">_xlfn.LET(
    _xlpm.vals,   _xlfn.HSTACK(S365,V365,Y365,AB365,AE365,AH365),
    _xlpm.ints,   _xlfn.HSTACK(R365,U365,X365,AA365,AD365,AG365),
    _xlpm.slopes, _xlfn.HSTACK(Q365,T365,W365,Z365,AC365,AF365),
    _xlpm.limit,  -0.00001*_xlpm.slopes + 0.1086*_xlpm.slopes + 63.253,
    _xlpm.mask,   (_xlpm.vals&gt;=0) * (_xlpm.ints&lt;=_xlpm.limit),
    _xlpm.validVals, _xlfn._xlws.FILTER(_xlpm.vals, _xlpm.mask),
    _xlpm.minVal, MIN(_xlpm.validVals),
    IFERROR( _xlfn.XMATCH(_xlpm.minVal, _xlpm.vals), "" )
)</f>
        <v>6</v>
      </c>
      <c r="AJ365" cm="1">
        <f t="array" ref="AJ365">_xlfn.LET(
    _xlpm.vals, CHOOSE({1,2,3,4,5,6}, S365, V365, Y365, AB365, AE365, AH365),
    _xlpm.slopes, CHOOSE({1,2,3,4,5,6}, Q365, T365, W365, Z365, AC365, AF365),
    _xlpm.ints, CHOOSE({1,2,3,4,5,6}, R365, U365, X365, AA365, AD365, AG365),
    _xlpm.limit, -0.00001*_xlpm.slopes + 0.1086*_xlpm.slopes + 63.253,
    _xlpm.valid, (_xlpm.vals &gt;= 0) * (_xlpm.ints &lt;= _xlpm.limit),
    _xlpm.target, MIN(_xlfn._xlws.FILTER(_xlpm.vals, _xlpm.valid)),
    IFERROR(
        _xlfn.XLOOKUP(_xlpm.target, _xlpm.vals, _xlpm.vals),
        CHOOSE({1,2,3,4,5,6}, S$1, V$1, Y$1, AB$1, AE$1, AH$1)
    )
)</f>
        <v>0.78284480020744507</v>
      </c>
    </row>
    <row r="366" spans="9:36" x14ac:dyDescent="0.45">
      <c r="I366">
        <v>364</v>
      </c>
      <c r="J366">
        <v>36</v>
      </c>
      <c r="K366">
        <f t="shared" si="116"/>
        <v>36</v>
      </c>
      <c r="L366">
        <f t="shared" si="115"/>
        <v>0.01</v>
      </c>
      <c r="M366">
        <v>0.28999999999999998</v>
      </c>
      <c r="N366">
        <f t="shared" si="117"/>
        <v>0.28999999999999998</v>
      </c>
      <c r="O366">
        <f t="shared" si="118"/>
        <v>467.82658033841687</v>
      </c>
      <c r="P366">
        <f t="shared" si="119"/>
        <v>1497.0450570829341</v>
      </c>
      <c r="Q366">
        <f t="shared" si="120"/>
        <v>6856.4663614398387</v>
      </c>
      <c r="R366">
        <f t="shared" si="121"/>
        <v>0.40389551465945417</v>
      </c>
      <c r="S366">
        <f t="shared" si="122"/>
        <v>10.308193154887093</v>
      </c>
      <c r="T366">
        <f t="shared" si="123"/>
        <v>4431.2533689654847</v>
      </c>
      <c r="U366">
        <f t="shared" si="124"/>
        <v>0.6249464382230745</v>
      </c>
      <c r="V366">
        <f t="shared" si="125"/>
        <v>2.6353394689966141</v>
      </c>
      <c r="W366">
        <f t="shared" si="126"/>
        <v>2859.3560590284042</v>
      </c>
      <c r="X366">
        <f t="shared" si="127"/>
        <v>0.96850338070172792</v>
      </c>
      <c r="Y366">
        <f t="shared" si="128"/>
        <v>0.90067439431233409</v>
      </c>
      <c r="Z366">
        <f t="shared" si="129"/>
        <v>2155.7448821994249</v>
      </c>
      <c r="AA366">
        <f t="shared" si="130"/>
        <v>1.2846121230140977</v>
      </c>
      <c r="AB366">
        <f t="shared" si="131"/>
        <v>0.58694519834395364</v>
      </c>
      <c r="AC366">
        <f t="shared" si="132"/>
        <v>1107.8133422413712</v>
      </c>
      <c r="AD366">
        <f t="shared" si="133"/>
        <v>2.499785752892298</v>
      </c>
      <c r="AE366">
        <f t="shared" si="134"/>
        <v>0.35534515893757967</v>
      </c>
      <c r="AF366">
        <f t="shared" si="135"/>
        <v>1017.9906388163953</v>
      </c>
      <c r="AG366">
        <f t="shared" si="136"/>
        <v>2.7203550840298529</v>
      </c>
      <c r="AH366">
        <f t="shared" si="137"/>
        <v>0.33939928983301831</v>
      </c>
      <c r="AI366" cm="1">
        <f t="array" ref="AI366">_xlfn.LET(
    _xlpm.vals,   _xlfn.HSTACK(S366,V366,Y366,AB366,AE366,AH366),
    _xlpm.ints,   _xlfn.HSTACK(R366,U366,X366,AA366,AD366,AG366),
    _xlpm.slopes, _xlfn.HSTACK(Q366,T366,W366,Z366,AC366,AF366),
    _xlpm.limit,  -0.00001*_xlpm.slopes + 0.1086*_xlpm.slopes + 63.253,
    _xlpm.mask,   (_xlpm.vals&gt;=0) * (_xlpm.ints&lt;=_xlpm.limit),
    _xlpm.validVals, _xlfn._xlws.FILTER(_xlpm.vals, _xlpm.mask),
    _xlpm.minVal, MIN(_xlpm.validVals),
    IFERROR( _xlfn.XMATCH(_xlpm.minVal, _xlpm.vals), "" )
)</f>
        <v>6</v>
      </c>
      <c r="AJ366" cm="1">
        <f t="array" ref="AJ366">_xlfn.LET(
    _xlpm.vals, CHOOSE({1,2,3,4,5,6}, S366, V366, Y366, AB366, AE366, AH366),
    _xlpm.slopes, CHOOSE({1,2,3,4,5,6}, Q366, T366, W366, Z366, AC366, AF366),
    _xlpm.ints, CHOOSE({1,2,3,4,5,6}, R366, U366, X366, AA366, AD366, AG366),
    _xlpm.limit, -0.00001*_xlpm.slopes + 0.1086*_xlpm.slopes + 63.253,
    _xlpm.valid, (_xlpm.vals &gt;= 0) * (_xlpm.ints &lt;= _xlpm.limit),
    _xlpm.target, MIN(_xlfn._xlws.FILTER(_xlpm.vals, _xlpm.valid)),
    IFERROR(
        _xlfn.XLOOKUP(_xlpm.target, _xlpm.vals, _xlpm.vals),
        CHOOSE({1,2,3,4,5,6}, S$1, V$1, Y$1, AB$1, AE$1, AH$1)
    )
)</f>
        <v>0.33939928983301831</v>
      </c>
    </row>
    <row r="367" spans="9:36" x14ac:dyDescent="0.45">
      <c r="I367">
        <v>365</v>
      </c>
      <c r="J367">
        <v>25.8</v>
      </c>
      <c r="K367">
        <f t="shared" si="116"/>
        <v>25.8</v>
      </c>
      <c r="L367">
        <f t="shared" si="115"/>
        <v>7.1666666666666667E-3</v>
      </c>
      <c r="M367">
        <v>-0.51</v>
      </c>
      <c r="N367">
        <f t="shared" si="117"/>
        <v>0</v>
      </c>
      <c r="O367">
        <f t="shared" si="118"/>
        <v>335.27571590919877</v>
      </c>
      <c r="P367">
        <f t="shared" si="119"/>
        <v>1072.8822909094361</v>
      </c>
      <c r="Q367">
        <f t="shared" si="120"/>
        <v>4913.8008923652169</v>
      </c>
      <c r="R367">
        <f t="shared" si="121"/>
        <v>0</v>
      </c>
      <c r="S367">
        <f t="shared" si="122"/>
        <v>3.5794900144567636</v>
      </c>
      <c r="T367">
        <f t="shared" si="123"/>
        <v>3175.7315810919308</v>
      </c>
      <c r="U367">
        <f t="shared" si="124"/>
        <v>0</v>
      </c>
      <c r="V367">
        <f t="shared" si="125"/>
        <v>1.103083724472762</v>
      </c>
      <c r="W367">
        <f t="shared" si="126"/>
        <v>2049.2051756370229</v>
      </c>
      <c r="X367">
        <f t="shared" si="127"/>
        <v>0</v>
      </c>
      <c r="Y367">
        <f t="shared" si="128"/>
        <v>0.53897756733345525</v>
      </c>
      <c r="Z367">
        <f t="shared" si="129"/>
        <v>1544.9504989095878</v>
      </c>
      <c r="AA367">
        <f t="shared" si="130"/>
        <v>0</v>
      </c>
      <c r="AB367">
        <f t="shared" si="131"/>
        <v>0.41839820802931155</v>
      </c>
      <c r="AC367">
        <f t="shared" si="132"/>
        <v>6000</v>
      </c>
      <c r="AD367">
        <f t="shared" si="133"/>
        <v>0</v>
      </c>
      <c r="AE367">
        <f t="shared" si="134"/>
        <v>6.7000407999999982</v>
      </c>
      <c r="AF367">
        <f t="shared" si="135"/>
        <v>6000</v>
      </c>
      <c r="AG367">
        <f t="shared" si="136"/>
        <v>0</v>
      </c>
      <c r="AH367">
        <f t="shared" si="137"/>
        <v>6.7000407999999982</v>
      </c>
      <c r="AI367" cm="1">
        <f t="array" ref="AI367">_xlfn.LET(
    _xlpm.vals,   _xlfn.HSTACK(S367,V367,Y367,AB367,AE367,AH367),
    _xlpm.ints,   _xlfn.HSTACK(R367,U367,X367,AA367,AD367,AG367),
    _xlpm.slopes, _xlfn.HSTACK(Q367,T367,W367,Z367,AC367,AF367),
    _xlpm.limit,  -0.00001*_xlpm.slopes + 0.1086*_xlpm.slopes + 63.253,
    _xlpm.mask,   (_xlpm.vals&gt;=0) * (_xlpm.ints&lt;=_xlpm.limit),
    _xlpm.validVals, _xlfn._xlws.FILTER(_xlpm.vals, _xlpm.mask),
    _xlpm.minVal, MIN(_xlpm.validVals),
    IFERROR( _xlfn.XMATCH(_xlpm.minVal, _xlpm.vals), "" )
)</f>
        <v>4</v>
      </c>
      <c r="AJ367" cm="1">
        <f t="array" ref="AJ367">_xlfn.LET(
    _xlpm.vals, CHOOSE({1,2,3,4,5,6}, S367, V367, Y367, AB367, AE367, AH367),
    _xlpm.slopes, CHOOSE({1,2,3,4,5,6}, Q367, T367, W367, Z367, AC367, AF367),
    _xlpm.ints, CHOOSE({1,2,3,4,5,6}, R367, U367, X367, AA367, AD367, AG367),
    _xlpm.limit, -0.00001*_xlpm.slopes + 0.1086*_xlpm.slopes + 63.253,
    _xlpm.valid, (_xlpm.vals &gt;= 0) * (_xlpm.ints &lt;= _xlpm.limit),
    _xlpm.target, MIN(_xlfn._xlws.FILTER(_xlpm.vals, _xlpm.valid)),
    IFERROR(
        _xlfn.XLOOKUP(_xlpm.target, _xlpm.vals, _xlpm.vals),
        CHOOSE({1,2,3,4,5,6}, S$1, V$1, Y$1, AB$1, AE$1, AH$1)
    )
)</f>
        <v>0.41839820802931155</v>
      </c>
    </row>
    <row r="368" spans="9:36" x14ac:dyDescent="0.45">
      <c r="I368">
        <v>366</v>
      </c>
      <c r="J368">
        <v>22.2</v>
      </c>
      <c r="K368">
        <f t="shared" si="116"/>
        <v>22.2</v>
      </c>
      <c r="L368">
        <f t="shared" si="115"/>
        <v>6.1666666666666667E-3</v>
      </c>
      <c r="M368">
        <v>-1.02</v>
      </c>
      <c r="N368">
        <f t="shared" si="117"/>
        <v>0</v>
      </c>
      <c r="O368">
        <f t="shared" si="118"/>
        <v>288.49305787535701</v>
      </c>
      <c r="P368">
        <f t="shared" si="119"/>
        <v>923.17778520114246</v>
      </c>
      <c r="Q368">
        <f t="shared" si="120"/>
        <v>4228.1542562212326</v>
      </c>
      <c r="R368">
        <f t="shared" si="121"/>
        <v>0</v>
      </c>
      <c r="S368">
        <f t="shared" si="122"/>
        <v>2.2941317877052283</v>
      </c>
      <c r="T368">
        <f t="shared" si="123"/>
        <v>2732.6062441953818</v>
      </c>
      <c r="U368">
        <f t="shared" si="124"/>
        <v>0</v>
      </c>
      <c r="V368">
        <f t="shared" si="125"/>
        <v>0.8152953202878328</v>
      </c>
      <c r="W368">
        <f t="shared" si="126"/>
        <v>1763.2695697341819</v>
      </c>
      <c r="X368">
        <f t="shared" si="127"/>
        <v>0</v>
      </c>
      <c r="Y368">
        <f t="shared" si="128"/>
        <v>0.46483265464436208</v>
      </c>
      <c r="Z368">
        <f t="shared" si="129"/>
        <v>1329.376010689645</v>
      </c>
      <c r="AA368">
        <f t="shared" si="130"/>
        <v>0</v>
      </c>
      <c r="AB368">
        <f t="shared" si="131"/>
        <v>0.37795371023234203</v>
      </c>
      <c r="AC368">
        <f t="shared" si="132"/>
        <v>6000</v>
      </c>
      <c r="AD368">
        <f t="shared" si="133"/>
        <v>0</v>
      </c>
      <c r="AE368">
        <f t="shared" si="134"/>
        <v>6.7000407999999982</v>
      </c>
      <c r="AF368">
        <f t="shared" si="135"/>
        <v>6000</v>
      </c>
      <c r="AG368">
        <f t="shared" si="136"/>
        <v>0</v>
      </c>
      <c r="AH368">
        <f t="shared" si="137"/>
        <v>6.7000407999999982</v>
      </c>
      <c r="AI368" cm="1">
        <f t="array" ref="AI368">_xlfn.LET(
    _xlpm.vals,   _xlfn.HSTACK(S368,V368,Y368,AB368,AE368,AH368),
    _xlpm.ints,   _xlfn.HSTACK(R368,U368,X368,AA368,AD368,AG368),
    _xlpm.slopes, _xlfn.HSTACK(Q368,T368,W368,Z368,AC368,AF368),
    _xlpm.limit,  -0.00001*_xlpm.slopes + 0.1086*_xlpm.slopes + 63.253,
    _xlpm.mask,   (_xlpm.vals&gt;=0) * (_xlpm.ints&lt;=_xlpm.limit),
    _xlpm.validVals, _xlfn._xlws.FILTER(_xlpm.vals, _xlpm.mask),
    _xlpm.minVal, MIN(_xlpm.validVals),
    IFERROR( _xlfn.XMATCH(_xlpm.minVal, _xlpm.vals), "" )
)</f>
        <v>4</v>
      </c>
      <c r="AJ368" cm="1">
        <f t="array" ref="AJ368">_xlfn.LET(
    _xlpm.vals, CHOOSE({1,2,3,4,5,6}, S368, V368, Y368, AB368, AE368, AH368),
    _xlpm.slopes, CHOOSE({1,2,3,4,5,6}, Q368, T368, W368, Z368, AC368, AF368),
    _xlpm.ints, CHOOSE({1,2,3,4,5,6}, R368, U368, X368, AA368, AD368, AG368),
    _xlpm.limit, -0.00001*_xlpm.slopes + 0.1086*_xlpm.slopes + 63.253,
    _xlpm.valid, (_xlpm.vals &gt;= 0) * (_xlpm.ints &lt;= _xlpm.limit),
    _xlpm.target, MIN(_xlfn._xlws.FILTER(_xlpm.vals, _xlpm.valid)),
    IFERROR(
        _xlfn.XLOOKUP(_xlpm.target, _xlpm.vals, _xlpm.vals),
        CHOOSE({1,2,3,4,5,6}, S$1, V$1, Y$1, AB$1, AE$1, AH$1)
    )
)</f>
        <v>0.37795371023234203</v>
      </c>
    </row>
    <row r="369" spans="9:36" x14ac:dyDescent="0.45">
      <c r="I369">
        <v>367</v>
      </c>
      <c r="J369">
        <v>19.600000000000001</v>
      </c>
      <c r="K369">
        <f t="shared" si="116"/>
        <v>19.600000000000001</v>
      </c>
      <c r="L369">
        <f t="shared" si="115"/>
        <v>5.4444444444444445E-3</v>
      </c>
      <c r="M369">
        <v>-1.24</v>
      </c>
      <c r="N369">
        <f t="shared" si="117"/>
        <v>0</v>
      </c>
      <c r="O369">
        <f t="shared" si="118"/>
        <v>254.70558262869358</v>
      </c>
      <c r="P369">
        <f t="shared" si="119"/>
        <v>815.05786441181954</v>
      </c>
      <c r="Q369">
        <f t="shared" si="120"/>
        <v>3732.9650190061334</v>
      </c>
      <c r="R369">
        <f t="shared" si="121"/>
        <v>0</v>
      </c>
      <c r="S369">
        <f t="shared" si="122"/>
        <v>1.631449059611183</v>
      </c>
      <c r="T369">
        <f t="shared" si="123"/>
        <v>2412.5712786589856</v>
      </c>
      <c r="U369">
        <f t="shared" si="124"/>
        <v>0</v>
      </c>
      <c r="V369">
        <f t="shared" si="125"/>
        <v>0.6648641738423825</v>
      </c>
      <c r="W369">
        <f t="shared" si="126"/>
        <v>1556.7605210265754</v>
      </c>
      <c r="X369">
        <f t="shared" si="127"/>
        <v>0</v>
      </c>
      <c r="Y369">
        <f t="shared" si="128"/>
        <v>0.4207424365658502</v>
      </c>
      <c r="Z369">
        <f t="shared" si="129"/>
        <v>1173.6833247530201</v>
      </c>
      <c r="AA369">
        <f t="shared" si="130"/>
        <v>0</v>
      </c>
      <c r="AB369">
        <f t="shared" si="131"/>
        <v>0.35044437656989769</v>
      </c>
      <c r="AC369">
        <f t="shared" si="132"/>
        <v>6000</v>
      </c>
      <c r="AD369">
        <f t="shared" si="133"/>
        <v>0</v>
      </c>
      <c r="AE369">
        <f t="shared" si="134"/>
        <v>6.7000407999999982</v>
      </c>
      <c r="AF369">
        <f t="shared" si="135"/>
        <v>6000</v>
      </c>
      <c r="AG369">
        <f t="shared" si="136"/>
        <v>0</v>
      </c>
      <c r="AH369">
        <f t="shared" si="137"/>
        <v>6.7000407999999982</v>
      </c>
      <c r="AI369" cm="1">
        <f t="array" ref="AI369">_xlfn.LET(
    _xlpm.vals,   _xlfn.HSTACK(S369,V369,Y369,AB369,AE369,AH369),
    _xlpm.ints,   _xlfn.HSTACK(R369,U369,X369,AA369,AD369,AG369),
    _xlpm.slopes, _xlfn.HSTACK(Q369,T369,W369,Z369,AC369,AF369),
    _xlpm.limit,  -0.00001*_xlpm.slopes + 0.1086*_xlpm.slopes + 63.253,
    _xlpm.mask,   (_xlpm.vals&gt;=0) * (_xlpm.ints&lt;=_xlpm.limit),
    _xlpm.validVals, _xlfn._xlws.FILTER(_xlpm.vals, _xlpm.mask),
    _xlpm.minVal, MIN(_xlpm.validVals),
    IFERROR( _xlfn.XMATCH(_xlpm.minVal, _xlpm.vals), "" )
)</f>
        <v>4</v>
      </c>
      <c r="AJ369" cm="1">
        <f t="array" ref="AJ369">_xlfn.LET(
    _xlpm.vals, CHOOSE({1,2,3,4,5,6}, S369, V369, Y369, AB369, AE369, AH369),
    _xlpm.slopes, CHOOSE({1,2,3,4,5,6}, Q369, T369, W369, Z369, AC369, AF369),
    _xlpm.ints, CHOOSE({1,2,3,4,5,6}, R369, U369, X369, AA369, AD369, AG369),
    _xlpm.limit, -0.00001*_xlpm.slopes + 0.1086*_xlpm.slopes + 63.253,
    _xlpm.valid, (_xlpm.vals &gt;= 0) * (_xlpm.ints &lt;= _xlpm.limit),
    _xlpm.target, MIN(_xlfn._xlws.FILTER(_xlpm.vals, _xlpm.valid)),
    IFERROR(
        _xlfn.XLOOKUP(_xlpm.target, _xlpm.vals, _xlpm.vals),
        CHOOSE({1,2,3,4,5,6}, S$1, V$1, Y$1, AB$1, AE$1, AH$1)
    )
)</f>
        <v>0.35044437656989769</v>
      </c>
    </row>
    <row r="370" spans="9:36" x14ac:dyDescent="0.45">
      <c r="I370">
        <v>368</v>
      </c>
      <c r="J370">
        <v>17.100000000000001</v>
      </c>
      <c r="K370">
        <f t="shared" si="116"/>
        <v>17.100000000000001</v>
      </c>
      <c r="L370">
        <f t="shared" si="115"/>
        <v>4.7500000000000007E-3</v>
      </c>
      <c r="M370">
        <v>-0.56000000000000005</v>
      </c>
      <c r="N370">
        <f t="shared" si="117"/>
        <v>0</v>
      </c>
      <c r="O370">
        <f t="shared" si="118"/>
        <v>222.21762566074801</v>
      </c>
      <c r="P370">
        <f t="shared" si="119"/>
        <v>711.09640211439364</v>
      </c>
      <c r="Q370">
        <f t="shared" si="120"/>
        <v>3256.821521683923</v>
      </c>
      <c r="R370">
        <f t="shared" si="121"/>
        <v>0</v>
      </c>
      <c r="S370">
        <f t="shared" si="122"/>
        <v>1.1674680720335564</v>
      </c>
      <c r="T370">
        <f t="shared" si="123"/>
        <v>2104.8453502586053</v>
      </c>
      <c r="U370">
        <f t="shared" si="124"/>
        <v>0</v>
      </c>
      <c r="V370">
        <f t="shared" si="125"/>
        <v>0.55567452600739609</v>
      </c>
      <c r="W370">
        <f t="shared" si="126"/>
        <v>1358.1941280384917</v>
      </c>
      <c r="X370">
        <f t="shared" si="127"/>
        <v>0</v>
      </c>
      <c r="Y370">
        <f t="shared" si="128"/>
        <v>0.38315421932669591</v>
      </c>
      <c r="Z370">
        <f t="shared" si="129"/>
        <v>1023.9788190447268</v>
      </c>
      <c r="AA370">
        <f t="shared" si="130"/>
        <v>0</v>
      </c>
      <c r="AB370">
        <f t="shared" si="131"/>
        <v>0.32419173077305274</v>
      </c>
      <c r="AC370">
        <f t="shared" si="132"/>
        <v>6000</v>
      </c>
      <c r="AD370">
        <f t="shared" si="133"/>
        <v>0</v>
      </c>
      <c r="AE370">
        <f t="shared" si="134"/>
        <v>6.7000407999999982</v>
      </c>
      <c r="AF370">
        <f t="shared" si="135"/>
        <v>6000</v>
      </c>
      <c r="AG370">
        <f t="shared" si="136"/>
        <v>0</v>
      </c>
      <c r="AH370">
        <f t="shared" si="137"/>
        <v>6.7000407999999982</v>
      </c>
      <c r="AI370" cm="1">
        <f t="array" ref="AI370">_xlfn.LET(
    _xlpm.vals,   _xlfn.HSTACK(S370,V370,Y370,AB370,AE370,AH370),
    _xlpm.ints,   _xlfn.HSTACK(R370,U370,X370,AA370,AD370,AG370),
    _xlpm.slopes, _xlfn.HSTACK(Q370,T370,W370,Z370,AC370,AF370),
    _xlpm.limit,  -0.00001*_xlpm.slopes + 0.1086*_xlpm.slopes + 63.253,
    _xlpm.mask,   (_xlpm.vals&gt;=0) * (_xlpm.ints&lt;=_xlpm.limit),
    _xlpm.validVals, _xlfn._xlws.FILTER(_xlpm.vals, _xlpm.mask),
    _xlpm.minVal, MIN(_xlpm.validVals),
    IFERROR( _xlfn.XMATCH(_xlpm.minVal, _xlpm.vals), "" )
)</f>
        <v>4</v>
      </c>
      <c r="AJ370" cm="1">
        <f t="array" ref="AJ370">_xlfn.LET(
    _xlpm.vals, CHOOSE({1,2,3,4,5,6}, S370, V370, Y370, AB370, AE370, AH370),
    _xlpm.slopes, CHOOSE({1,2,3,4,5,6}, Q370, T370, W370, Z370, AC370, AF370),
    _xlpm.ints, CHOOSE({1,2,3,4,5,6}, R370, U370, X370, AA370, AD370, AG370),
    _xlpm.limit, -0.00001*_xlpm.slopes + 0.1086*_xlpm.slopes + 63.253,
    _xlpm.valid, (_xlpm.vals &gt;= 0) * (_xlpm.ints &lt;= _xlpm.limit),
    _xlpm.target, MIN(_xlfn._xlws.FILTER(_xlpm.vals, _xlpm.valid)),
    IFERROR(
        _xlfn.XLOOKUP(_xlpm.target, _xlpm.vals, _xlpm.vals),
        CHOOSE({1,2,3,4,5,6}, S$1, V$1, Y$1, AB$1, AE$1, AH$1)
    )
)</f>
        <v>0.32419173077305274</v>
      </c>
    </row>
    <row r="371" spans="9:36" x14ac:dyDescent="0.45">
      <c r="I371">
        <v>369</v>
      </c>
      <c r="J371">
        <v>13.9</v>
      </c>
      <c r="K371">
        <f t="shared" si="116"/>
        <v>13.9</v>
      </c>
      <c r="L371">
        <f t="shared" si="115"/>
        <v>3.8611111111111112E-3</v>
      </c>
      <c r="M371">
        <v>-0.69</v>
      </c>
      <c r="N371">
        <f t="shared" si="117"/>
        <v>0</v>
      </c>
      <c r="O371">
        <f t="shared" si="118"/>
        <v>180.63304074177762</v>
      </c>
      <c r="P371">
        <f t="shared" si="119"/>
        <v>578.02573037368836</v>
      </c>
      <c r="Q371">
        <f t="shared" si="120"/>
        <v>2647.3578451114927</v>
      </c>
      <c r="R371">
        <f t="shared" si="121"/>
        <v>0</v>
      </c>
      <c r="S371">
        <f t="shared" si="122"/>
        <v>0.77102845633233252</v>
      </c>
      <c r="T371">
        <f t="shared" si="123"/>
        <v>1710.9561619061176</v>
      </c>
      <c r="U371">
        <f t="shared" si="124"/>
        <v>0</v>
      </c>
      <c r="V371">
        <f t="shared" si="125"/>
        <v>0.45304464419003243</v>
      </c>
      <c r="W371">
        <f t="shared" si="126"/>
        <v>1104.0291450137447</v>
      </c>
      <c r="X371">
        <f t="shared" si="127"/>
        <v>0</v>
      </c>
      <c r="Y371">
        <f t="shared" si="128"/>
        <v>0.33826585606068105</v>
      </c>
      <c r="Z371">
        <f t="shared" si="129"/>
        <v>6000</v>
      </c>
      <c r="AA371">
        <f t="shared" si="130"/>
        <v>0</v>
      </c>
      <c r="AB371">
        <f t="shared" si="131"/>
        <v>6.7000407999999982</v>
      </c>
      <c r="AC371">
        <f t="shared" si="132"/>
        <v>6000</v>
      </c>
      <c r="AD371">
        <f t="shared" si="133"/>
        <v>0</v>
      </c>
      <c r="AE371">
        <f t="shared" si="134"/>
        <v>6.7000407999999982</v>
      </c>
      <c r="AF371">
        <f t="shared" si="135"/>
        <v>6000</v>
      </c>
      <c r="AG371">
        <f t="shared" si="136"/>
        <v>0</v>
      </c>
      <c r="AH371">
        <f t="shared" si="137"/>
        <v>6.7000407999999982</v>
      </c>
      <c r="AI371" cm="1">
        <f t="array" ref="AI371">_xlfn.LET(
    _xlpm.vals,   _xlfn.HSTACK(S371,V371,Y371,AB371,AE371,AH371),
    _xlpm.ints,   _xlfn.HSTACK(R371,U371,X371,AA371,AD371,AG371),
    _xlpm.slopes, _xlfn.HSTACK(Q371,T371,W371,Z371,AC371,AF371),
    _xlpm.limit,  -0.00001*_xlpm.slopes + 0.1086*_xlpm.slopes + 63.253,
    _xlpm.mask,   (_xlpm.vals&gt;=0) * (_xlpm.ints&lt;=_xlpm.limit),
    _xlpm.validVals, _xlfn._xlws.FILTER(_xlpm.vals, _xlpm.mask),
    _xlpm.minVal, MIN(_xlpm.validVals),
    IFERROR( _xlfn.XMATCH(_xlpm.minVal, _xlpm.vals), "" )
)</f>
        <v>3</v>
      </c>
      <c r="AJ371" cm="1">
        <f t="array" ref="AJ371">_xlfn.LET(
    _xlpm.vals, CHOOSE({1,2,3,4,5,6}, S371, V371, Y371, AB371, AE371, AH371),
    _xlpm.slopes, CHOOSE({1,2,3,4,5,6}, Q371, T371, W371, Z371, AC371, AF371),
    _xlpm.ints, CHOOSE({1,2,3,4,5,6}, R371, U371, X371, AA371, AD371, AG371),
    _xlpm.limit, -0.00001*_xlpm.slopes + 0.1086*_xlpm.slopes + 63.253,
    _xlpm.valid, (_xlpm.vals &gt;= 0) * (_xlpm.ints &lt;= _xlpm.limit),
    _xlpm.target, MIN(_xlfn._xlws.FILTER(_xlpm.vals, _xlpm.valid)),
    IFERROR(
        _xlfn.XLOOKUP(_xlpm.target, _xlpm.vals, _xlpm.vals),
        CHOOSE({1,2,3,4,5,6}, S$1, V$1, Y$1, AB$1, AE$1, AH$1)
    )
)</f>
        <v>0.33826585606068105</v>
      </c>
    </row>
    <row r="372" spans="9:36" x14ac:dyDescent="0.45">
      <c r="I372">
        <v>370</v>
      </c>
      <c r="J372">
        <v>11.3</v>
      </c>
      <c r="K372">
        <f t="shared" si="116"/>
        <v>11.3</v>
      </c>
      <c r="L372">
        <f t="shared" si="115"/>
        <v>3.138888888888889E-3</v>
      </c>
      <c r="M372">
        <v>-0.75</v>
      </c>
      <c r="N372">
        <f t="shared" si="117"/>
        <v>0</v>
      </c>
      <c r="O372">
        <f t="shared" si="118"/>
        <v>146.84556549511419</v>
      </c>
      <c r="P372">
        <f t="shared" si="119"/>
        <v>469.90580958436544</v>
      </c>
      <c r="Q372">
        <f t="shared" si="120"/>
        <v>2152.168607896394</v>
      </c>
      <c r="R372">
        <f t="shared" si="121"/>
        <v>0</v>
      </c>
      <c r="S372">
        <f t="shared" si="122"/>
        <v>0.57054863434314695</v>
      </c>
      <c r="T372">
        <f t="shared" si="123"/>
        <v>1390.9211963697217</v>
      </c>
      <c r="U372">
        <f t="shared" si="124"/>
        <v>0</v>
      </c>
      <c r="V372">
        <f t="shared" si="125"/>
        <v>0.38912234923590255</v>
      </c>
      <c r="W372">
        <f t="shared" si="126"/>
        <v>6000</v>
      </c>
      <c r="X372">
        <f t="shared" si="127"/>
        <v>0</v>
      </c>
      <c r="Y372">
        <f t="shared" si="128"/>
        <v>6.7000407999999982</v>
      </c>
      <c r="Z372">
        <f t="shared" si="129"/>
        <v>6000</v>
      </c>
      <c r="AA372">
        <f t="shared" si="130"/>
        <v>0</v>
      </c>
      <c r="AB372">
        <f t="shared" si="131"/>
        <v>6.7000407999999982</v>
      </c>
      <c r="AC372">
        <f t="shared" si="132"/>
        <v>6000</v>
      </c>
      <c r="AD372">
        <f t="shared" si="133"/>
        <v>0</v>
      </c>
      <c r="AE372">
        <f t="shared" si="134"/>
        <v>6.7000407999999982</v>
      </c>
      <c r="AF372">
        <f t="shared" si="135"/>
        <v>6000</v>
      </c>
      <c r="AG372">
        <f t="shared" si="136"/>
        <v>0</v>
      </c>
      <c r="AH372">
        <f t="shared" si="137"/>
        <v>6.7000407999999982</v>
      </c>
      <c r="AI372" cm="1">
        <f t="array" ref="AI372">_xlfn.LET(
    _xlpm.vals,   _xlfn.HSTACK(S372,V372,Y372,AB372,AE372,AH372),
    _xlpm.ints,   _xlfn.HSTACK(R372,U372,X372,AA372,AD372,AG372),
    _xlpm.slopes, _xlfn.HSTACK(Q372,T372,W372,Z372,AC372,AF372),
    _xlpm.limit,  -0.00001*_xlpm.slopes + 0.1086*_xlpm.slopes + 63.253,
    _xlpm.mask,   (_xlpm.vals&gt;=0) * (_xlpm.ints&lt;=_xlpm.limit),
    _xlpm.validVals, _xlfn._xlws.FILTER(_xlpm.vals, _xlpm.mask),
    _xlpm.minVal, MIN(_xlpm.validVals),
    IFERROR( _xlfn.XMATCH(_xlpm.minVal, _xlpm.vals), "" )
)</f>
        <v>2</v>
      </c>
      <c r="AJ372" cm="1">
        <f t="array" ref="AJ372">_xlfn.LET(
    _xlpm.vals, CHOOSE({1,2,3,4,5,6}, S372, V372, Y372, AB372, AE372, AH372),
    _xlpm.slopes, CHOOSE({1,2,3,4,5,6}, Q372, T372, W372, Z372, AC372, AF372),
    _xlpm.ints, CHOOSE({1,2,3,4,5,6}, R372, U372, X372, AA372, AD372, AG372),
    _xlpm.limit, -0.00001*_xlpm.slopes + 0.1086*_xlpm.slopes + 63.253,
    _xlpm.valid, (_xlpm.vals &gt;= 0) * (_xlpm.ints &lt;= _xlpm.limit),
    _xlpm.target, MIN(_xlfn._xlws.FILTER(_xlpm.vals, _xlpm.valid)),
    IFERROR(
        _xlfn.XLOOKUP(_xlpm.target, _xlpm.vals, _xlpm.vals),
        CHOOSE({1,2,3,4,5,6}, S$1, V$1, Y$1, AB$1, AE$1, AH$1)
    )
)</f>
        <v>0.38912234923590255</v>
      </c>
    </row>
    <row r="373" spans="9:36" x14ac:dyDescent="0.45">
      <c r="I373">
        <v>371</v>
      </c>
      <c r="J373">
        <v>8.1</v>
      </c>
      <c r="K373">
        <f t="shared" si="116"/>
        <v>8.1</v>
      </c>
      <c r="L373">
        <f t="shared" si="115"/>
        <v>2.2499999999999998E-3</v>
      </c>
      <c r="M373">
        <v>0.09</v>
      </c>
      <c r="N373">
        <f t="shared" si="117"/>
        <v>0.09</v>
      </c>
      <c r="O373">
        <f t="shared" si="118"/>
        <v>105.26098057614378</v>
      </c>
      <c r="P373">
        <f t="shared" si="119"/>
        <v>336.83513784366011</v>
      </c>
      <c r="Q373">
        <f t="shared" si="120"/>
        <v>1542.7049313239634</v>
      </c>
      <c r="R373">
        <f t="shared" si="121"/>
        <v>0.55709726159924733</v>
      </c>
      <c r="S373">
        <f t="shared" si="122"/>
        <v>0.4229820146525653</v>
      </c>
      <c r="T373">
        <f t="shared" si="123"/>
        <v>6000</v>
      </c>
      <c r="U373">
        <f t="shared" si="124"/>
        <v>0.14323944878270581</v>
      </c>
      <c r="V373">
        <f t="shared" si="125"/>
        <v>6.7009020515822382</v>
      </c>
      <c r="W373">
        <f t="shared" si="126"/>
        <v>6000</v>
      </c>
      <c r="X373">
        <f t="shared" si="127"/>
        <v>0.14323944878270581</v>
      </c>
      <c r="Y373">
        <f t="shared" si="128"/>
        <v>6.7009020515822382</v>
      </c>
      <c r="Z373">
        <f t="shared" si="129"/>
        <v>6000</v>
      </c>
      <c r="AA373">
        <f t="shared" si="130"/>
        <v>0.14323944878270581</v>
      </c>
      <c r="AB373">
        <f t="shared" si="131"/>
        <v>6.7009020515822382</v>
      </c>
      <c r="AC373">
        <f t="shared" si="132"/>
        <v>6000</v>
      </c>
      <c r="AD373">
        <f t="shared" si="133"/>
        <v>0.14323944878270581</v>
      </c>
      <c r="AE373">
        <f t="shared" si="134"/>
        <v>6.7009020515822382</v>
      </c>
      <c r="AF373">
        <f t="shared" si="135"/>
        <v>6000</v>
      </c>
      <c r="AG373">
        <f t="shared" si="136"/>
        <v>0.14323944878270581</v>
      </c>
      <c r="AH373">
        <f t="shared" si="137"/>
        <v>6.7009020515822382</v>
      </c>
      <c r="AI373" cm="1">
        <f t="array" ref="AI373">_xlfn.LET(
    _xlpm.vals,   _xlfn.HSTACK(S373,V373,Y373,AB373,AE373,AH373),
    _xlpm.ints,   _xlfn.HSTACK(R373,U373,X373,AA373,AD373,AG373),
    _xlpm.slopes, _xlfn.HSTACK(Q373,T373,W373,Z373,AC373,AF373),
    _xlpm.limit,  -0.00001*_xlpm.slopes + 0.1086*_xlpm.slopes + 63.253,
    _xlpm.mask,   (_xlpm.vals&gt;=0) * (_xlpm.ints&lt;=_xlpm.limit),
    _xlpm.validVals, _xlfn._xlws.FILTER(_xlpm.vals, _xlpm.mask),
    _xlpm.minVal, MIN(_xlpm.validVals),
    IFERROR( _xlfn.XMATCH(_xlpm.minVal, _xlpm.vals), "" )
)</f>
        <v>1</v>
      </c>
      <c r="AJ373" cm="1">
        <f t="array" ref="AJ373">_xlfn.LET(
    _xlpm.vals, CHOOSE({1,2,3,4,5,6}, S373, V373, Y373, AB373, AE373, AH373),
    _xlpm.slopes, CHOOSE({1,2,3,4,5,6}, Q373, T373, W373, Z373, AC373, AF373),
    _xlpm.ints, CHOOSE({1,2,3,4,5,6}, R373, U373, X373, AA373, AD373, AG373),
    _xlpm.limit, -0.00001*_xlpm.slopes + 0.1086*_xlpm.slopes + 63.253,
    _xlpm.valid, (_xlpm.vals &gt;= 0) * (_xlpm.ints &lt;= _xlpm.limit),
    _xlpm.target, MIN(_xlfn._xlws.FILTER(_xlpm.vals, _xlpm.valid)),
    IFERROR(
        _xlfn.XLOOKUP(_xlpm.target, _xlpm.vals, _xlpm.vals),
        CHOOSE({1,2,3,4,5,6}, S$1, V$1, Y$1, AB$1, AE$1, AH$1)
    )
)</f>
        <v>0.4229820146525653</v>
      </c>
    </row>
    <row r="374" spans="9:36" x14ac:dyDescent="0.45">
      <c r="I374">
        <v>372</v>
      </c>
      <c r="J374">
        <v>4.5999999999999996</v>
      </c>
      <c r="K374">
        <f t="shared" si="116"/>
        <v>4.5999999999999996</v>
      </c>
      <c r="L374">
        <f t="shared" si="115"/>
        <v>1.2777777777777776E-3</v>
      </c>
      <c r="M374">
        <v>0.46</v>
      </c>
      <c r="N374">
        <f t="shared" si="117"/>
        <v>0.46</v>
      </c>
      <c r="O374">
        <f t="shared" si="118"/>
        <v>59.777840821019929</v>
      </c>
      <c r="P374">
        <f t="shared" si="119"/>
        <v>191.28909062726379</v>
      </c>
      <c r="Q374">
        <f t="shared" si="120"/>
        <v>1000</v>
      </c>
      <c r="R374">
        <f t="shared" si="121"/>
        <v>4.3926764293363121</v>
      </c>
      <c r="S374">
        <f t="shared" si="122"/>
        <v>0.34613031128109145</v>
      </c>
      <c r="T374">
        <f t="shared" si="123"/>
        <v>6000</v>
      </c>
      <c r="U374">
        <f t="shared" si="124"/>
        <v>0.73211273822271861</v>
      </c>
      <c r="V374">
        <f t="shared" si="125"/>
        <v>6.704514758454228</v>
      </c>
      <c r="W374">
        <f t="shared" si="126"/>
        <v>6000</v>
      </c>
      <c r="X374">
        <f t="shared" si="127"/>
        <v>0.73211273822271861</v>
      </c>
      <c r="Y374">
        <f t="shared" si="128"/>
        <v>6.704514758454228</v>
      </c>
      <c r="Z374">
        <f t="shared" si="129"/>
        <v>6000</v>
      </c>
      <c r="AA374">
        <f t="shared" si="130"/>
        <v>0.73211273822271861</v>
      </c>
      <c r="AB374">
        <f t="shared" si="131"/>
        <v>6.704514758454228</v>
      </c>
      <c r="AC374">
        <f t="shared" si="132"/>
        <v>6000</v>
      </c>
      <c r="AD374">
        <f t="shared" si="133"/>
        <v>0.73211273822271861</v>
      </c>
      <c r="AE374">
        <f t="shared" si="134"/>
        <v>6.704514758454228</v>
      </c>
      <c r="AF374">
        <f t="shared" si="135"/>
        <v>6000</v>
      </c>
      <c r="AG374">
        <f t="shared" si="136"/>
        <v>0.73211273822271861</v>
      </c>
      <c r="AH374">
        <f t="shared" si="137"/>
        <v>6.704514758454228</v>
      </c>
      <c r="AI374" cm="1">
        <f t="array" ref="AI374">_xlfn.LET(
    _xlpm.vals,   _xlfn.HSTACK(S374,V374,Y374,AB374,AE374,AH374),
    _xlpm.ints,   _xlfn.HSTACK(R374,U374,X374,AA374,AD374,AG374),
    _xlpm.slopes, _xlfn.HSTACK(Q374,T374,W374,Z374,AC374,AF374),
    _xlpm.limit,  -0.00001*_xlpm.slopes + 0.1086*_xlpm.slopes + 63.253,
    _xlpm.mask,   (_xlpm.vals&gt;=0) * (_xlpm.ints&lt;=_xlpm.limit),
    _xlpm.validVals, _xlfn._xlws.FILTER(_xlpm.vals, _xlpm.mask),
    _xlpm.minVal, MIN(_xlpm.validVals),
    IFERROR( _xlfn.XMATCH(_xlpm.minVal, _xlpm.vals), "" )
)</f>
        <v>1</v>
      </c>
      <c r="AJ374" cm="1">
        <f t="array" ref="AJ374">_xlfn.LET(
    _xlpm.vals, CHOOSE({1,2,3,4,5,6}, S374, V374, Y374, AB374, AE374, AH374),
    _xlpm.slopes, CHOOSE({1,2,3,4,5,6}, Q374, T374, W374, Z374, AC374, AF374),
    _xlpm.ints, CHOOSE({1,2,3,4,5,6}, R374, U374, X374, AA374, AD374, AG374),
    _xlpm.limit, -0.00001*_xlpm.slopes + 0.1086*_xlpm.slopes + 63.253,
    _xlpm.valid, (_xlpm.vals &gt;= 0) * (_xlpm.ints &lt;= _xlpm.limit),
    _xlpm.target, MIN(_xlfn._xlws.FILTER(_xlpm.vals, _xlpm.valid)),
    IFERROR(
        _xlfn.XLOOKUP(_xlpm.target, _xlpm.vals, _xlpm.vals),
        CHOOSE({1,2,3,4,5,6}, S$1, V$1, Y$1, AB$1, AE$1, AH$1)
    )
)</f>
        <v>0.34613031128109145</v>
      </c>
    </row>
    <row r="375" spans="9:36" x14ac:dyDescent="0.45">
      <c r="I375">
        <v>373</v>
      </c>
      <c r="J375">
        <v>1.8</v>
      </c>
      <c r="K375">
        <f t="shared" si="116"/>
        <v>1.8</v>
      </c>
      <c r="L375">
        <f t="shared" si="115"/>
        <v>5.0000000000000001E-4</v>
      </c>
      <c r="M375">
        <v>1.1100000000000001</v>
      </c>
      <c r="N375">
        <f t="shared" si="117"/>
        <v>1.1100000000000001</v>
      </c>
      <c r="O375">
        <f t="shared" si="118"/>
        <v>23.391329016920842</v>
      </c>
      <c r="P375">
        <f t="shared" si="119"/>
        <v>74.852252854146698</v>
      </c>
      <c r="Q375">
        <f t="shared" si="120"/>
        <v>1000</v>
      </c>
      <c r="R375">
        <f t="shared" si="121"/>
        <v>10.599719209920231</v>
      </c>
      <c r="S375">
        <f t="shared" si="122"/>
        <v>0.38712173352138263</v>
      </c>
      <c r="T375">
        <f t="shared" si="123"/>
        <v>6000</v>
      </c>
      <c r="U375">
        <f t="shared" si="124"/>
        <v>1.7666198683200383</v>
      </c>
      <c r="V375">
        <f t="shared" si="125"/>
        <v>6.7111408669545369</v>
      </c>
      <c r="W375">
        <f t="shared" si="126"/>
        <v>6000</v>
      </c>
      <c r="X375">
        <f t="shared" si="127"/>
        <v>1.7666198683200383</v>
      </c>
      <c r="Y375">
        <f t="shared" si="128"/>
        <v>6.7111408669545369</v>
      </c>
      <c r="Z375">
        <f t="shared" si="129"/>
        <v>6000</v>
      </c>
      <c r="AA375">
        <f t="shared" si="130"/>
        <v>1.7666198683200383</v>
      </c>
      <c r="AB375">
        <f t="shared" si="131"/>
        <v>6.7111408669545369</v>
      </c>
      <c r="AC375">
        <f t="shared" si="132"/>
        <v>6000</v>
      </c>
      <c r="AD375">
        <f t="shared" si="133"/>
        <v>1.7666198683200383</v>
      </c>
      <c r="AE375">
        <f t="shared" si="134"/>
        <v>6.7111408669545369</v>
      </c>
      <c r="AF375">
        <f t="shared" si="135"/>
        <v>6000</v>
      </c>
      <c r="AG375">
        <f t="shared" si="136"/>
        <v>1.7666198683200383</v>
      </c>
      <c r="AH375">
        <f t="shared" si="137"/>
        <v>6.7111408669545369</v>
      </c>
      <c r="AI375" cm="1">
        <f t="array" ref="AI375">_xlfn.LET(
    _xlpm.vals,   _xlfn.HSTACK(S375,V375,Y375,AB375,AE375,AH375),
    _xlpm.ints,   _xlfn.HSTACK(R375,U375,X375,AA375,AD375,AG375),
    _xlpm.slopes, _xlfn.HSTACK(Q375,T375,W375,Z375,AC375,AF375),
    _xlpm.limit,  -0.00001*_xlpm.slopes + 0.1086*_xlpm.slopes + 63.253,
    _xlpm.mask,   (_xlpm.vals&gt;=0) * (_xlpm.ints&lt;=_xlpm.limit),
    _xlpm.validVals, _xlfn._xlws.FILTER(_xlpm.vals, _xlpm.mask),
    _xlpm.minVal, MIN(_xlpm.validVals),
    IFERROR( _xlfn.XMATCH(_xlpm.minVal, _xlpm.vals), "" )
)</f>
        <v>1</v>
      </c>
      <c r="AJ375" cm="1">
        <f t="array" ref="AJ375">_xlfn.LET(
    _xlpm.vals, CHOOSE({1,2,3,4,5,6}, S375, V375, Y375, AB375, AE375, AH375),
    _xlpm.slopes, CHOOSE({1,2,3,4,5,6}, Q375, T375, W375, Z375, AC375, AF375),
    _xlpm.ints, CHOOSE({1,2,3,4,5,6}, R375, U375, X375, AA375, AD375, AG375),
    _xlpm.limit, -0.00001*_xlpm.slopes + 0.1086*_xlpm.slopes + 63.253,
    _xlpm.valid, (_xlpm.vals &gt;= 0) * (_xlpm.ints &lt;= _xlpm.limit),
    _xlpm.target, MIN(_xlfn._xlws.FILTER(_xlpm.vals, _xlpm.valid)),
    IFERROR(
        _xlfn.XLOOKUP(_xlpm.target, _xlpm.vals, _xlpm.vals),
        CHOOSE({1,2,3,4,5,6}, S$1, V$1, Y$1, AB$1, AE$1, AH$1)
    )
)</f>
        <v>0.38712173352138263</v>
      </c>
    </row>
    <row r="376" spans="9:36" x14ac:dyDescent="0.45">
      <c r="I376">
        <v>374</v>
      </c>
      <c r="J376">
        <v>-0.1</v>
      </c>
      <c r="K376">
        <f t="shared" si="116"/>
        <v>0</v>
      </c>
      <c r="L376">
        <f t="shared" si="115"/>
        <v>0</v>
      </c>
      <c r="M376">
        <v>0.56999999999999995</v>
      </c>
      <c r="N376">
        <f t="shared" si="117"/>
        <v>0.56999999999999995</v>
      </c>
      <c r="O376">
        <f t="shared" si="118"/>
        <v>0</v>
      </c>
      <c r="P376">
        <f t="shared" si="119"/>
        <v>0</v>
      </c>
      <c r="Q376">
        <f t="shared" si="120"/>
        <v>1000</v>
      </c>
      <c r="R376">
        <f t="shared" si="121"/>
        <v>5.443099053742821</v>
      </c>
      <c r="S376">
        <f t="shared" si="122"/>
        <v>0.35274976937547881</v>
      </c>
      <c r="T376">
        <f t="shared" si="123"/>
        <v>6000</v>
      </c>
      <c r="U376">
        <f t="shared" si="124"/>
        <v>0.90718317562380346</v>
      </c>
      <c r="V376">
        <f t="shared" si="125"/>
        <v>6.7056111021595477</v>
      </c>
      <c r="W376">
        <f t="shared" si="126"/>
        <v>6000</v>
      </c>
      <c r="X376">
        <f t="shared" si="127"/>
        <v>0.90718317562380346</v>
      </c>
      <c r="Y376">
        <f t="shared" si="128"/>
        <v>6.7056111021595477</v>
      </c>
      <c r="Z376">
        <f t="shared" si="129"/>
        <v>6000</v>
      </c>
      <c r="AA376">
        <f t="shared" si="130"/>
        <v>0.90718317562380346</v>
      </c>
      <c r="AB376">
        <f t="shared" si="131"/>
        <v>6.7056111021595477</v>
      </c>
      <c r="AC376">
        <f t="shared" si="132"/>
        <v>6000</v>
      </c>
      <c r="AD376">
        <f t="shared" si="133"/>
        <v>0.90718317562380346</v>
      </c>
      <c r="AE376">
        <f t="shared" si="134"/>
        <v>6.7056111021595477</v>
      </c>
      <c r="AF376">
        <f t="shared" si="135"/>
        <v>6000</v>
      </c>
      <c r="AG376">
        <f t="shared" si="136"/>
        <v>0.90718317562380346</v>
      </c>
      <c r="AH376">
        <f t="shared" si="137"/>
        <v>6.7056111021595477</v>
      </c>
      <c r="AI376" cm="1">
        <f t="array" ref="AI376">_xlfn.LET(
    _xlpm.vals,   _xlfn.HSTACK(S376,V376,Y376,AB376,AE376,AH376),
    _xlpm.ints,   _xlfn.HSTACK(R376,U376,X376,AA376,AD376,AG376),
    _xlpm.slopes, _xlfn.HSTACK(Q376,T376,W376,Z376,AC376,AF376),
    _xlpm.limit,  -0.00001*_xlpm.slopes + 0.1086*_xlpm.slopes + 63.253,
    _xlpm.mask,   (_xlpm.vals&gt;=0) * (_xlpm.ints&lt;=_xlpm.limit),
    _xlpm.validVals, _xlfn._xlws.FILTER(_xlpm.vals, _xlpm.mask),
    _xlpm.minVal, MIN(_xlpm.validVals),
    IFERROR( _xlfn.XMATCH(_xlpm.minVal, _xlpm.vals), "" )
)</f>
        <v>1</v>
      </c>
      <c r="AJ376" cm="1">
        <f t="array" ref="AJ376">_xlfn.LET(
    _xlpm.vals, CHOOSE({1,2,3,4,5,6}, S376, V376, Y376, AB376, AE376, AH376),
    _xlpm.slopes, CHOOSE({1,2,3,4,5,6}, Q376, T376, W376, Z376, AC376, AF376),
    _xlpm.ints, CHOOSE({1,2,3,4,5,6}, R376, U376, X376, AA376, AD376, AG376),
    _xlpm.limit, -0.00001*_xlpm.slopes + 0.1086*_xlpm.slopes + 63.253,
    _xlpm.valid, (_xlpm.vals &gt;= 0) * (_xlpm.ints &lt;= _xlpm.limit),
    _xlpm.target, MIN(_xlfn._xlws.FILTER(_xlpm.vals, _xlpm.valid)),
    IFERROR(
        _xlfn.XLOOKUP(_xlpm.target, _xlpm.vals, _xlpm.vals),
        CHOOSE({1,2,3,4,5,6}, S$1, V$1, Y$1, AB$1, AE$1, AH$1)
    )
)</f>
        <v>0.35274976937547881</v>
      </c>
    </row>
    <row r="377" spans="9:36" x14ac:dyDescent="0.45">
      <c r="I377">
        <v>375</v>
      </c>
      <c r="J377">
        <v>0</v>
      </c>
      <c r="K377">
        <f t="shared" si="116"/>
        <v>0</v>
      </c>
      <c r="L377">
        <f t="shared" si="115"/>
        <v>0</v>
      </c>
      <c r="M377">
        <v>0.8</v>
      </c>
      <c r="N377">
        <f t="shared" si="117"/>
        <v>0.8</v>
      </c>
      <c r="O377">
        <f t="shared" si="118"/>
        <v>0</v>
      </c>
      <c r="P377">
        <f t="shared" si="119"/>
        <v>0</v>
      </c>
      <c r="Q377">
        <f t="shared" si="120"/>
        <v>1000</v>
      </c>
      <c r="R377">
        <f t="shared" si="121"/>
        <v>7.639437268410977</v>
      </c>
      <c r="S377">
        <f t="shared" si="122"/>
        <v>0.3670158524630216</v>
      </c>
      <c r="T377">
        <f t="shared" si="123"/>
        <v>6000</v>
      </c>
      <c r="U377">
        <f t="shared" si="124"/>
        <v>1.2732395447351628</v>
      </c>
      <c r="V377">
        <f t="shared" si="125"/>
        <v>6.7079364006420406</v>
      </c>
      <c r="W377">
        <f t="shared" si="126"/>
        <v>6000</v>
      </c>
      <c r="X377">
        <f t="shared" si="127"/>
        <v>1.2732395447351628</v>
      </c>
      <c r="Y377">
        <f t="shared" si="128"/>
        <v>6.7079364006420406</v>
      </c>
      <c r="Z377">
        <f t="shared" si="129"/>
        <v>6000</v>
      </c>
      <c r="AA377">
        <f t="shared" si="130"/>
        <v>1.2732395447351628</v>
      </c>
      <c r="AB377">
        <f t="shared" si="131"/>
        <v>6.7079364006420406</v>
      </c>
      <c r="AC377">
        <f t="shared" si="132"/>
        <v>6000</v>
      </c>
      <c r="AD377">
        <f t="shared" si="133"/>
        <v>1.2732395447351628</v>
      </c>
      <c r="AE377">
        <f t="shared" si="134"/>
        <v>6.7079364006420406</v>
      </c>
      <c r="AF377">
        <f t="shared" si="135"/>
        <v>6000</v>
      </c>
      <c r="AG377">
        <f t="shared" si="136"/>
        <v>1.2732395447351628</v>
      </c>
      <c r="AH377">
        <f t="shared" si="137"/>
        <v>6.7079364006420406</v>
      </c>
      <c r="AI377" cm="1">
        <f t="array" ref="AI377">_xlfn.LET(
    _xlpm.vals,   _xlfn.HSTACK(S377,V377,Y377,AB377,AE377,AH377),
    _xlpm.ints,   _xlfn.HSTACK(R377,U377,X377,AA377,AD377,AG377),
    _xlpm.slopes, _xlfn.HSTACK(Q377,T377,W377,Z377,AC377,AF377),
    _xlpm.limit,  -0.00001*_xlpm.slopes + 0.1086*_xlpm.slopes + 63.253,
    _xlpm.mask,   (_xlpm.vals&gt;=0) * (_xlpm.ints&lt;=_xlpm.limit),
    _xlpm.validVals, _xlfn._xlws.FILTER(_xlpm.vals, _xlpm.mask),
    _xlpm.minVal, MIN(_xlpm.validVals),
    IFERROR( _xlfn.XMATCH(_xlpm.minVal, _xlpm.vals), "" )
)</f>
        <v>1</v>
      </c>
      <c r="AJ377" cm="1">
        <f t="array" ref="AJ377">_xlfn.LET(
    _xlpm.vals, CHOOSE({1,2,3,4,5,6}, S377, V377, Y377, AB377, AE377, AH377),
    _xlpm.slopes, CHOOSE({1,2,3,4,5,6}, Q377, T377, W377, Z377, AC377, AF377),
    _xlpm.ints, CHOOSE({1,2,3,4,5,6}, R377, U377, X377, AA377, AD377, AG377),
    _xlpm.limit, -0.00001*_xlpm.slopes + 0.1086*_xlpm.slopes + 63.253,
    _xlpm.valid, (_xlpm.vals &gt;= 0) * (_xlpm.ints &lt;= _xlpm.limit),
    _xlpm.target, MIN(_xlfn._xlws.FILTER(_xlpm.vals, _xlpm.valid)),
    IFERROR(
        _xlfn.XLOOKUP(_xlpm.target, _xlpm.vals, _xlpm.vals),
        CHOOSE({1,2,3,4,5,6}, S$1, V$1, Y$1, AB$1, AE$1, AH$1)
    )
)</f>
        <v>0.3670158524630216</v>
      </c>
    </row>
    <row r="378" spans="9:36" x14ac:dyDescent="0.45">
      <c r="I378">
        <v>376</v>
      </c>
      <c r="J378">
        <v>0</v>
      </c>
      <c r="K378">
        <f t="shared" si="116"/>
        <v>0</v>
      </c>
      <c r="L378">
        <f t="shared" si="115"/>
        <v>0</v>
      </c>
      <c r="M378">
        <v>0.91</v>
      </c>
      <c r="N378">
        <f t="shared" si="117"/>
        <v>0.91</v>
      </c>
      <c r="O378">
        <f t="shared" si="118"/>
        <v>0</v>
      </c>
      <c r="P378">
        <f t="shared" si="119"/>
        <v>0</v>
      </c>
      <c r="Q378">
        <f t="shared" si="120"/>
        <v>1000</v>
      </c>
      <c r="R378">
        <f t="shared" si="121"/>
        <v>8.6898598928174859</v>
      </c>
      <c r="S378">
        <f t="shared" si="122"/>
        <v>0.37403711611222523</v>
      </c>
      <c r="T378">
        <f t="shared" si="123"/>
        <v>6000</v>
      </c>
      <c r="U378">
        <f t="shared" si="124"/>
        <v>1.4483099821362477</v>
      </c>
      <c r="V378">
        <f t="shared" si="125"/>
        <v>6.7090642318886093</v>
      </c>
      <c r="W378">
        <f t="shared" si="126"/>
        <v>6000</v>
      </c>
      <c r="X378">
        <f t="shared" si="127"/>
        <v>1.4483099821362477</v>
      </c>
      <c r="Y378">
        <f t="shared" si="128"/>
        <v>6.7090642318886093</v>
      </c>
      <c r="Z378">
        <f t="shared" si="129"/>
        <v>6000</v>
      </c>
      <c r="AA378">
        <f t="shared" si="130"/>
        <v>1.4483099821362477</v>
      </c>
      <c r="AB378">
        <f t="shared" si="131"/>
        <v>6.7090642318886093</v>
      </c>
      <c r="AC378">
        <f t="shared" si="132"/>
        <v>6000</v>
      </c>
      <c r="AD378">
        <f t="shared" si="133"/>
        <v>1.4483099821362477</v>
      </c>
      <c r="AE378">
        <f t="shared" si="134"/>
        <v>6.7090642318886093</v>
      </c>
      <c r="AF378">
        <f t="shared" si="135"/>
        <v>6000</v>
      </c>
      <c r="AG378">
        <f t="shared" si="136"/>
        <v>1.4483099821362477</v>
      </c>
      <c r="AH378">
        <f t="shared" si="137"/>
        <v>6.7090642318886093</v>
      </c>
      <c r="AI378" cm="1">
        <f t="array" ref="AI378">_xlfn.LET(
    _xlpm.vals,   _xlfn.HSTACK(S378,V378,Y378,AB378,AE378,AH378),
    _xlpm.ints,   _xlfn.HSTACK(R378,U378,X378,AA378,AD378,AG378),
    _xlpm.slopes, _xlfn.HSTACK(Q378,T378,W378,Z378,AC378,AF378),
    _xlpm.limit,  -0.00001*_xlpm.slopes + 0.1086*_xlpm.slopes + 63.253,
    _xlpm.mask,   (_xlpm.vals&gt;=0) * (_xlpm.ints&lt;=_xlpm.limit),
    _xlpm.validVals, _xlfn._xlws.FILTER(_xlpm.vals, _xlpm.mask),
    _xlpm.minVal, MIN(_xlpm.validVals),
    IFERROR( _xlfn.XMATCH(_xlpm.minVal, _xlpm.vals), "" )
)</f>
        <v>1</v>
      </c>
      <c r="AJ378" cm="1">
        <f t="array" ref="AJ378">_xlfn.LET(
    _xlpm.vals, CHOOSE({1,2,3,4,5,6}, S378, V378, Y378, AB378, AE378, AH378),
    _xlpm.slopes, CHOOSE({1,2,3,4,5,6}, Q378, T378, W378, Z378, AC378, AF378),
    _xlpm.ints, CHOOSE({1,2,3,4,5,6}, R378, U378, X378, AA378, AD378, AG378),
    _xlpm.limit, -0.00001*_xlpm.slopes + 0.1086*_xlpm.slopes + 63.253,
    _xlpm.valid, (_xlpm.vals &gt;= 0) * (_xlpm.ints &lt;= _xlpm.limit),
    _xlpm.target, MIN(_xlfn._xlws.FILTER(_xlpm.vals, _xlpm.valid)),
    IFERROR(
        _xlfn.XLOOKUP(_xlpm.target, _xlpm.vals, _xlpm.vals),
        CHOOSE({1,2,3,4,5,6}, S$1, V$1, Y$1, AB$1, AE$1, AH$1)
    )
)</f>
        <v>0.37403711611222523</v>
      </c>
    </row>
    <row r="379" spans="9:36" x14ac:dyDescent="0.45">
      <c r="I379">
        <v>377</v>
      </c>
      <c r="J379">
        <v>0</v>
      </c>
      <c r="K379">
        <f t="shared" si="116"/>
        <v>0</v>
      </c>
      <c r="L379">
        <f t="shared" si="115"/>
        <v>0</v>
      </c>
      <c r="M379">
        <v>0.93</v>
      </c>
      <c r="N379">
        <f t="shared" si="117"/>
        <v>0.93</v>
      </c>
      <c r="O379">
        <f t="shared" si="118"/>
        <v>0</v>
      </c>
      <c r="P379">
        <f t="shared" si="119"/>
        <v>0</v>
      </c>
      <c r="Q379">
        <f t="shared" si="120"/>
        <v>1000</v>
      </c>
      <c r="R379">
        <f t="shared" si="121"/>
        <v>8.8808458245277606</v>
      </c>
      <c r="S379">
        <f t="shared" si="122"/>
        <v>0.37532721538074593</v>
      </c>
      <c r="T379">
        <f t="shared" si="123"/>
        <v>6000</v>
      </c>
      <c r="U379">
        <f t="shared" si="124"/>
        <v>1.4801409707546267</v>
      </c>
      <c r="V379">
        <f t="shared" si="125"/>
        <v>6.7092703844694617</v>
      </c>
      <c r="W379">
        <f t="shared" si="126"/>
        <v>6000</v>
      </c>
      <c r="X379">
        <f t="shared" si="127"/>
        <v>1.4801409707546267</v>
      </c>
      <c r="Y379">
        <f t="shared" si="128"/>
        <v>6.7092703844694617</v>
      </c>
      <c r="Z379">
        <f t="shared" si="129"/>
        <v>6000</v>
      </c>
      <c r="AA379">
        <f t="shared" si="130"/>
        <v>1.4801409707546267</v>
      </c>
      <c r="AB379">
        <f t="shared" si="131"/>
        <v>6.7092703844694617</v>
      </c>
      <c r="AC379">
        <f t="shared" si="132"/>
        <v>6000</v>
      </c>
      <c r="AD379">
        <f t="shared" si="133"/>
        <v>1.4801409707546267</v>
      </c>
      <c r="AE379">
        <f t="shared" si="134"/>
        <v>6.7092703844694617</v>
      </c>
      <c r="AF379">
        <f t="shared" si="135"/>
        <v>6000</v>
      </c>
      <c r="AG379">
        <f t="shared" si="136"/>
        <v>1.4801409707546267</v>
      </c>
      <c r="AH379">
        <f t="shared" si="137"/>
        <v>6.7092703844694617</v>
      </c>
      <c r="AI379" cm="1">
        <f t="array" ref="AI379">_xlfn.LET(
    _xlpm.vals,   _xlfn.HSTACK(S379,V379,Y379,AB379,AE379,AH379),
    _xlpm.ints,   _xlfn.HSTACK(R379,U379,X379,AA379,AD379,AG379),
    _xlpm.slopes, _xlfn.HSTACK(Q379,T379,W379,Z379,AC379,AF379),
    _xlpm.limit,  -0.00001*_xlpm.slopes + 0.1086*_xlpm.slopes + 63.253,
    _xlpm.mask,   (_xlpm.vals&gt;=0) * (_xlpm.ints&lt;=_xlpm.limit),
    _xlpm.validVals, _xlfn._xlws.FILTER(_xlpm.vals, _xlpm.mask),
    _xlpm.minVal, MIN(_xlpm.validVals),
    IFERROR( _xlfn.XMATCH(_xlpm.minVal, _xlpm.vals), "" )
)</f>
        <v>1</v>
      </c>
      <c r="AJ379" cm="1">
        <f t="array" ref="AJ379">_xlfn.LET(
    _xlpm.vals, CHOOSE({1,2,3,4,5,6}, S379, V379, Y379, AB379, AE379, AH379),
    _xlpm.slopes, CHOOSE({1,2,3,4,5,6}, Q379, T379, W379, Z379, AC379, AF379),
    _xlpm.ints, CHOOSE({1,2,3,4,5,6}, R379, U379, X379, AA379, AD379, AG379),
    _xlpm.limit, -0.00001*_xlpm.slopes + 0.1086*_xlpm.slopes + 63.253,
    _xlpm.valid, (_xlpm.vals &gt;= 0) * (_xlpm.ints &lt;= _xlpm.limit),
    _xlpm.target, MIN(_xlfn._xlws.FILTER(_xlpm.vals, _xlpm.valid)),
    IFERROR(
        _xlfn.XLOOKUP(_xlpm.target, _xlpm.vals, _xlpm.vals),
        CHOOSE({1,2,3,4,5,6}, S$1, V$1, Y$1, AB$1, AE$1, AH$1)
    )
)</f>
        <v>0.37532721538074593</v>
      </c>
    </row>
    <row r="380" spans="9:36" x14ac:dyDescent="0.45">
      <c r="I380">
        <v>378</v>
      </c>
      <c r="J380">
        <v>0</v>
      </c>
      <c r="K380">
        <f t="shared" si="116"/>
        <v>0</v>
      </c>
      <c r="L380">
        <f t="shared" si="115"/>
        <v>0</v>
      </c>
      <c r="M380">
        <v>0.46</v>
      </c>
      <c r="N380">
        <f t="shared" si="117"/>
        <v>0.46</v>
      </c>
      <c r="O380">
        <f t="shared" si="118"/>
        <v>0</v>
      </c>
      <c r="P380">
        <f t="shared" si="119"/>
        <v>0</v>
      </c>
      <c r="Q380">
        <f t="shared" si="120"/>
        <v>1000</v>
      </c>
      <c r="R380">
        <f t="shared" si="121"/>
        <v>4.3926764293363121</v>
      </c>
      <c r="S380">
        <f t="shared" si="122"/>
        <v>0.34613031128109145</v>
      </c>
      <c r="T380">
        <f t="shared" si="123"/>
        <v>6000</v>
      </c>
      <c r="U380">
        <f t="shared" si="124"/>
        <v>0.73211273822271861</v>
      </c>
      <c r="V380">
        <f t="shared" si="125"/>
        <v>6.704514758454228</v>
      </c>
      <c r="W380">
        <f t="shared" si="126"/>
        <v>6000</v>
      </c>
      <c r="X380">
        <f t="shared" si="127"/>
        <v>0.73211273822271861</v>
      </c>
      <c r="Y380">
        <f t="shared" si="128"/>
        <v>6.704514758454228</v>
      </c>
      <c r="Z380">
        <f t="shared" si="129"/>
        <v>6000</v>
      </c>
      <c r="AA380">
        <f t="shared" si="130"/>
        <v>0.73211273822271861</v>
      </c>
      <c r="AB380">
        <f t="shared" si="131"/>
        <v>6.704514758454228</v>
      </c>
      <c r="AC380">
        <f t="shared" si="132"/>
        <v>6000</v>
      </c>
      <c r="AD380">
        <f t="shared" si="133"/>
        <v>0.73211273822271861</v>
      </c>
      <c r="AE380">
        <f t="shared" si="134"/>
        <v>6.704514758454228</v>
      </c>
      <c r="AF380">
        <f t="shared" si="135"/>
        <v>6000</v>
      </c>
      <c r="AG380">
        <f t="shared" si="136"/>
        <v>0.73211273822271861</v>
      </c>
      <c r="AH380">
        <f t="shared" si="137"/>
        <v>6.704514758454228</v>
      </c>
      <c r="AI380" cm="1">
        <f t="array" ref="AI380">_xlfn.LET(
    _xlpm.vals,   _xlfn.HSTACK(S380,V380,Y380,AB380,AE380,AH380),
    _xlpm.ints,   _xlfn.HSTACK(R380,U380,X380,AA380,AD380,AG380),
    _xlpm.slopes, _xlfn.HSTACK(Q380,T380,W380,Z380,AC380,AF380),
    _xlpm.limit,  -0.00001*_xlpm.slopes + 0.1086*_xlpm.slopes + 63.253,
    _xlpm.mask,   (_xlpm.vals&gt;=0) * (_xlpm.ints&lt;=_xlpm.limit),
    _xlpm.validVals, _xlfn._xlws.FILTER(_xlpm.vals, _xlpm.mask),
    _xlpm.minVal, MIN(_xlpm.validVals),
    IFERROR( _xlfn.XMATCH(_xlpm.minVal, _xlpm.vals), "" )
)</f>
        <v>1</v>
      </c>
      <c r="AJ380" cm="1">
        <f t="array" ref="AJ380">_xlfn.LET(
    _xlpm.vals, CHOOSE({1,2,3,4,5,6}, S380, V380, Y380, AB380, AE380, AH380),
    _xlpm.slopes, CHOOSE({1,2,3,4,5,6}, Q380, T380, W380, Z380, AC380, AF380),
    _xlpm.ints, CHOOSE({1,2,3,4,5,6}, R380, U380, X380, AA380, AD380, AG380),
    _xlpm.limit, -0.00001*_xlpm.slopes + 0.1086*_xlpm.slopes + 63.253,
    _xlpm.valid, (_xlpm.vals &gt;= 0) * (_xlpm.ints &lt;= _xlpm.limit),
    _xlpm.target, MIN(_xlfn._xlws.FILTER(_xlpm.vals, _xlpm.valid)),
    IFERROR(
        _xlfn.XLOOKUP(_xlpm.target, _xlpm.vals, _xlpm.vals),
        CHOOSE({1,2,3,4,5,6}, S$1, V$1, Y$1, AB$1, AE$1, AH$1)
    )
)</f>
        <v>0.34613031128109145</v>
      </c>
    </row>
    <row r="381" spans="9:36" x14ac:dyDescent="0.45">
      <c r="I381">
        <v>379</v>
      </c>
      <c r="J381">
        <v>0.7</v>
      </c>
      <c r="K381">
        <f t="shared" si="116"/>
        <v>0.7</v>
      </c>
      <c r="L381">
        <f t="shared" si="115"/>
        <v>1.9444444444444443E-4</v>
      </c>
      <c r="M381">
        <v>0.84</v>
      </c>
      <c r="N381">
        <f t="shared" si="117"/>
        <v>0.84</v>
      </c>
      <c r="O381">
        <f t="shared" si="118"/>
        <v>9.0966279510247716</v>
      </c>
      <c r="P381">
        <f t="shared" si="119"/>
        <v>29.109209443279269</v>
      </c>
      <c r="Q381">
        <f t="shared" si="120"/>
        <v>1000</v>
      </c>
      <c r="R381">
        <f t="shared" si="121"/>
        <v>8.0214091318315255</v>
      </c>
      <c r="S381">
        <f t="shared" si="122"/>
        <v>0.36955441813647172</v>
      </c>
      <c r="T381">
        <f t="shared" si="123"/>
        <v>6000</v>
      </c>
      <c r="U381">
        <f t="shared" si="124"/>
        <v>1.3369015219719209</v>
      </c>
      <c r="V381">
        <f t="shared" si="125"/>
        <v>6.7083453443605716</v>
      </c>
      <c r="W381">
        <f t="shared" si="126"/>
        <v>6000</v>
      </c>
      <c r="X381">
        <f t="shared" si="127"/>
        <v>1.3369015219719209</v>
      </c>
      <c r="Y381">
        <f t="shared" si="128"/>
        <v>6.7083453443605716</v>
      </c>
      <c r="Z381">
        <f t="shared" si="129"/>
        <v>6000</v>
      </c>
      <c r="AA381">
        <f t="shared" si="130"/>
        <v>1.3369015219719209</v>
      </c>
      <c r="AB381">
        <f t="shared" si="131"/>
        <v>6.7083453443605716</v>
      </c>
      <c r="AC381">
        <f t="shared" si="132"/>
        <v>6000</v>
      </c>
      <c r="AD381">
        <f t="shared" si="133"/>
        <v>1.3369015219719209</v>
      </c>
      <c r="AE381">
        <f t="shared" si="134"/>
        <v>6.7083453443605716</v>
      </c>
      <c r="AF381">
        <f t="shared" si="135"/>
        <v>6000</v>
      </c>
      <c r="AG381">
        <f t="shared" si="136"/>
        <v>1.3369015219719209</v>
      </c>
      <c r="AH381">
        <f t="shared" si="137"/>
        <v>6.7083453443605716</v>
      </c>
      <c r="AI381" cm="1">
        <f t="array" ref="AI381">_xlfn.LET(
    _xlpm.vals,   _xlfn.HSTACK(S381,V381,Y381,AB381,AE381,AH381),
    _xlpm.ints,   _xlfn.HSTACK(R381,U381,X381,AA381,AD381,AG381),
    _xlpm.slopes, _xlfn.HSTACK(Q381,T381,W381,Z381,AC381,AF381),
    _xlpm.limit,  -0.00001*_xlpm.slopes + 0.1086*_xlpm.slopes + 63.253,
    _xlpm.mask,   (_xlpm.vals&gt;=0) * (_xlpm.ints&lt;=_xlpm.limit),
    _xlpm.validVals, _xlfn._xlws.FILTER(_xlpm.vals, _xlpm.mask),
    _xlpm.minVal, MIN(_xlpm.validVals),
    IFERROR( _xlfn.XMATCH(_xlpm.minVal, _xlpm.vals), "" )
)</f>
        <v>1</v>
      </c>
      <c r="AJ381" cm="1">
        <f t="array" ref="AJ381">_xlfn.LET(
    _xlpm.vals, CHOOSE({1,2,3,4,5,6}, S381, V381, Y381, AB381, AE381, AH381),
    _xlpm.slopes, CHOOSE({1,2,3,4,5,6}, Q381, T381, W381, Z381, AC381, AF381),
    _xlpm.ints, CHOOSE({1,2,3,4,5,6}, R381, U381, X381, AA381, AD381, AG381),
    _xlpm.limit, -0.00001*_xlpm.slopes + 0.1086*_xlpm.slopes + 63.253,
    _xlpm.valid, (_xlpm.vals &gt;= 0) * (_xlpm.ints &lt;= _xlpm.limit),
    _xlpm.target, MIN(_xlfn._xlws.FILTER(_xlpm.vals, _xlpm.valid)),
    IFERROR(
        _xlfn.XLOOKUP(_xlpm.target, _xlpm.vals, _xlpm.vals),
        CHOOSE({1,2,3,4,5,6}, S$1, V$1, Y$1, AB$1, AE$1, AH$1)
    )
)</f>
        <v>0.36955441813647172</v>
      </c>
    </row>
    <row r="382" spans="9:36" x14ac:dyDescent="0.45">
      <c r="I382">
        <v>380</v>
      </c>
      <c r="J382">
        <v>2.8</v>
      </c>
      <c r="K382">
        <f t="shared" si="116"/>
        <v>2.8</v>
      </c>
      <c r="L382">
        <f t="shared" si="115"/>
        <v>7.7777777777777773E-4</v>
      </c>
      <c r="M382">
        <v>4.8899999999999997</v>
      </c>
      <c r="N382">
        <f t="shared" si="117"/>
        <v>4.8899999999999997</v>
      </c>
      <c r="O382">
        <f t="shared" si="118"/>
        <v>36.386511804099086</v>
      </c>
      <c r="P382">
        <f t="shared" si="119"/>
        <v>116.43683777311708</v>
      </c>
      <c r="Q382">
        <f t="shared" si="120"/>
        <v>1000</v>
      </c>
      <c r="R382">
        <f t="shared" si="121"/>
        <v>46.696060303162099</v>
      </c>
      <c r="S382">
        <f t="shared" si="122"/>
        <v>0.69311560317823895</v>
      </c>
      <c r="T382">
        <f t="shared" si="123"/>
        <v>6000</v>
      </c>
      <c r="U382">
        <f t="shared" si="124"/>
        <v>7.7826767171936826</v>
      </c>
      <c r="V382">
        <f t="shared" si="125"/>
        <v>6.7566198998008682</v>
      </c>
      <c r="W382">
        <f t="shared" si="126"/>
        <v>6000</v>
      </c>
      <c r="X382">
        <f t="shared" si="127"/>
        <v>7.7826767171936826</v>
      </c>
      <c r="Y382">
        <f t="shared" si="128"/>
        <v>6.7566198998008682</v>
      </c>
      <c r="Z382">
        <f t="shared" si="129"/>
        <v>6000</v>
      </c>
      <c r="AA382">
        <f t="shared" si="130"/>
        <v>7.7826767171936826</v>
      </c>
      <c r="AB382">
        <f t="shared" si="131"/>
        <v>6.7566198998008682</v>
      </c>
      <c r="AC382">
        <f t="shared" si="132"/>
        <v>6000</v>
      </c>
      <c r="AD382">
        <f t="shared" si="133"/>
        <v>7.7826767171936826</v>
      </c>
      <c r="AE382">
        <f t="shared" si="134"/>
        <v>6.7566198998008682</v>
      </c>
      <c r="AF382">
        <f t="shared" si="135"/>
        <v>6000</v>
      </c>
      <c r="AG382">
        <f t="shared" si="136"/>
        <v>7.7826767171936826</v>
      </c>
      <c r="AH382">
        <f t="shared" si="137"/>
        <v>6.7566198998008682</v>
      </c>
      <c r="AI382" cm="1">
        <f t="array" ref="AI382">_xlfn.LET(
    _xlpm.vals,   _xlfn.HSTACK(S382,V382,Y382,AB382,AE382,AH382),
    _xlpm.ints,   _xlfn.HSTACK(R382,U382,X382,AA382,AD382,AG382),
    _xlpm.slopes, _xlfn.HSTACK(Q382,T382,W382,Z382,AC382,AF382),
    _xlpm.limit,  -0.00001*_xlpm.slopes + 0.1086*_xlpm.slopes + 63.253,
    _xlpm.mask,   (_xlpm.vals&gt;=0) * (_xlpm.ints&lt;=_xlpm.limit),
    _xlpm.validVals, _xlfn._xlws.FILTER(_xlpm.vals, _xlpm.mask),
    _xlpm.minVal, MIN(_xlpm.validVals),
    IFERROR( _xlfn.XMATCH(_xlpm.minVal, _xlpm.vals), "" )
)</f>
        <v>1</v>
      </c>
      <c r="AJ382" cm="1">
        <f t="array" ref="AJ382">_xlfn.LET(
    _xlpm.vals, CHOOSE({1,2,3,4,5,6}, S382, V382, Y382, AB382, AE382, AH382),
    _xlpm.slopes, CHOOSE({1,2,3,4,5,6}, Q382, T382, W382, Z382, AC382, AF382),
    _xlpm.ints, CHOOSE({1,2,3,4,5,6}, R382, U382, X382, AA382, AD382, AG382),
    _xlpm.limit, -0.00001*_xlpm.slopes + 0.1086*_xlpm.slopes + 63.253,
    _xlpm.valid, (_xlpm.vals &gt;= 0) * (_xlpm.ints &lt;= _xlpm.limit),
    _xlpm.target, MIN(_xlfn._xlws.FILTER(_xlpm.vals, _xlpm.valid)),
    IFERROR(
        _xlfn.XLOOKUP(_xlpm.target, _xlpm.vals, _xlpm.vals),
        CHOOSE({1,2,3,4,5,6}, S$1, V$1, Y$1, AB$1, AE$1, AH$1)
    )
)</f>
        <v>0.69311560317823895</v>
      </c>
    </row>
    <row r="383" spans="9:36" x14ac:dyDescent="0.45">
      <c r="I383">
        <v>381</v>
      </c>
      <c r="J383">
        <v>5.8</v>
      </c>
      <c r="K383">
        <f t="shared" si="116"/>
        <v>5.8</v>
      </c>
      <c r="L383">
        <f t="shared" si="115"/>
        <v>1.6111111111111111E-3</v>
      </c>
      <c r="M383">
        <v>7.55</v>
      </c>
      <c r="N383">
        <f t="shared" si="117"/>
        <v>7.55</v>
      </c>
      <c r="O383">
        <f t="shared" si="118"/>
        <v>75.372060165633826</v>
      </c>
      <c r="P383">
        <f t="shared" si="119"/>
        <v>241.19059253002825</v>
      </c>
      <c r="Q383">
        <f t="shared" si="120"/>
        <v>1104.6529137875293</v>
      </c>
      <c r="R383">
        <f t="shared" si="121"/>
        <v>65.266825733911816</v>
      </c>
      <c r="S383">
        <f t="shared" si="122"/>
        <v>0.94709220496841762</v>
      </c>
      <c r="T383">
        <f t="shared" si="123"/>
        <v>6000</v>
      </c>
      <c r="U383">
        <f t="shared" si="124"/>
        <v>12.016198203438098</v>
      </c>
      <c r="V383">
        <f t="shared" si="125"/>
        <v>6.7955587315977457</v>
      </c>
      <c r="W383">
        <f t="shared" si="126"/>
        <v>6000</v>
      </c>
      <c r="X383">
        <f t="shared" si="127"/>
        <v>12.016198203438098</v>
      </c>
      <c r="Y383">
        <f t="shared" si="128"/>
        <v>6.7955587315977457</v>
      </c>
      <c r="Z383">
        <f t="shared" si="129"/>
        <v>6000</v>
      </c>
      <c r="AA383">
        <f t="shared" si="130"/>
        <v>12.016198203438098</v>
      </c>
      <c r="AB383">
        <f t="shared" si="131"/>
        <v>6.7955587315977457</v>
      </c>
      <c r="AC383">
        <f t="shared" si="132"/>
        <v>6000</v>
      </c>
      <c r="AD383">
        <f t="shared" si="133"/>
        <v>12.016198203438098</v>
      </c>
      <c r="AE383">
        <f t="shared" si="134"/>
        <v>6.7955587315977457</v>
      </c>
      <c r="AF383">
        <f t="shared" si="135"/>
        <v>6000</v>
      </c>
      <c r="AG383">
        <f t="shared" si="136"/>
        <v>12.016198203438098</v>
      </c>
      <c r="AH383">
        <f t="shared" si="137"/>
        <v>6.7955587315977457</v>
      </c>
      <c r="AI383" cm="1">
        <f t="array" ref="AI383">_xlfn.LET(
    _xlpm.vals,   _xlfn.HSTACK(S383,V383,Y383,AB383,AE383,AH383),
    _xlpm.ints,   _xlfn.HSTACK(R383,U383,X383,AA383,AD383,AG383),
    _xlpm.slopes, _xlfn.HSTACK(Q383,T383,W383,Z383,AC383,AF383),
    _xlpm.limit,  -0.00001*_xlpm.slopes + 0.1086*_xlpm.slopes + 63.253,
    _xlpm.mask,   (_xlpm.vals&gt;=0) * (_xlpm.ints&lt;=_xlpm.limit),
    _xlpm.validVals, _xlfn._xlws.FILTER(_xlpm.vals, _xlpm.mask),
    _xlpm.minVal, MIN(_xlpm.validVals),
    IFERROR( _xlfn.XMATCH(_xlpm.minVal, _xlpm.vals), "" )
)</f>
        <v>1</v>
      </c>
      <c r="AJ383" cm="1">
        <f t="array" ref="AJ383">_xlfn.LET(
    _xlpm.vals, CHOOSE({1,2,3,4,5,6}, S383, V383, Y383, AB383, AE383, AH383),
    _xlpm.slopes, CHOOSE({1,2,3,4,5,6}, Q383, T383, W383, Z383, AC383, AF383),
    _xlpm.ints, CHOOSE({1,2,3,4,5,6}, R383, U383, X383, AA383, AD383, AG383),
    _xlpm.limit, -0.00001*_xlpm.slopes + 0.1086*_xlpm.slopes + 63.253,
    _xlpm.valid, (_xlpm.vals &gt;= 0) * (_xlpm.ints &lt;= _xlpm.limit),
    _xlpm.target, MIN(_xlfn._xlws.FILTER(_xlpm.vals, _xlpm.valid)),
    IFERROR(
        _xlfn.XLOOKUP(_xlpm.target, _xlpm.vals, _xlpm.vals),
        CHOOSE({1,2,3,4,5,6}, S$1, V$1, Y$1, AB$1, AE$1, AH$1)
    )
)</f>
        <v>0.94709220496841762</v>
      </c>
    </row>
    <row r="384" spans="9:36" x14ac:dyDescent="0.45">
      <c r="I384">
        <v>382</v>
      </c>
      <c r="J384">
        <v>9.5</v>
      </c>
      <c r="K384">
        <f t="shared" si="116"/>
        <v>9.5</v>
      </c>
      <c r="L384">
        <f t="shared" si="115"/>
        <v>2.638888888888889E-3</v>
      </c>
      <c r="M384">
        <v>14.58</v>
      </c>
      <c r="N384">
        <f t="shared" si="117"/>
        <v>14.58</v>
      </c>
      <c r="O384">
        <f t="shared" si="118"/>
        <v>123.45423647819334</v>
      </c>
      <c r="P384">
        <f t="shared" si="119"/>
        <v>395.0535567302187</v>
      </c>
      <c r="Q384">
        <f t="shared" si="120"/>
        <v>1809.3452898244018</v>
      </c>
      <c r="R384">
        <f t="shared" si="121"/>
        <v>76.949792281108643</v>
      </c>
      <c r="S384">
        <f t="shared" si="122"/>
        <v>1.597313183789574</v>
      </c>
      <c r="T384">
        <f t="shared" si="123"/>
        <v>1169.3585279214474</v>
      </c>
      <c r="U384">
        <f t="shared" si="124"/>
        <v>119.06420562414785</v>
      </c>
      <c r="V384">
        <f t="shared" si="125"/>
        <v>1.5524894625729246</v>
      </c>
      <c r="W384">
        <f t="shared" si="126"/>
        <v>6000</v>
      </c>
      <c r="X384">
        <f t="shared" si="127"/>
        <v>23.204790702798341</v>
      </c>
      <c r="Y384">
        <f t="shared" si="128"/>
        <v>6.9247599671895035</v>
      </c>
      <c r="Z384">
        <f t="shared" si="129"/>
        <v>6000</v>
      </c>
      <c r="AA384">
        <f t="shared" si="130"/>
        <v>23.204790702798341</v>
      </c>
      <c r="AB384">
        <f t="shared" si="131"/>
        <v>6.9247599671895035</v>
      </c>
      <c r="AC384">
        <f t="shared" si="132"/>
        <v>6000</v>
      </c>
      <c r="AD384">
        <f t="shared" si="133"/>
        <v>23.204790702798341</v>
      </c>
      <c r="AE384">
        <f t="shared" si="134"/>
        <v>6.9247599671895035</v>
      </c>
      <c r="AF384">
        <f t="shared" si="135"/>
        <v>6000</v>
      </c>
      <c r="AG384">
        <f t="shared" si="136"/>
        <v>23.204790702798341</v>
      </c>
      <c r="AH384">
        <f t="shared" si="137"/>
        <v>6.9247599671895035</v>
      </c>
      <c r="AI384" cm="1">
        <f t="array" ref="AI384">_xlfn.LET(
    _xlpm.vals,   _xlfn.HSTACK(S384,V384,Y384,AB384,AE384,AH384),
    _xlpm.ints,   _xlfn.HSTACK(R384,U384,X384,AA384,AD384,AG384),
    _xlpm.slopes, _xlfn.HSTACK(Q384,T384,W384,Z384,AC384,AF384),
    _xlpm.limit,  -0.00001*_xlpm.slopes + 0.1086*_xlpm.slopes + 63.253,
    _xlpm.mask,   (_xlpm.vals&gt;=0) * (_xlpm.ints&lt;=_xlpm.limit),
    _xlpm.validVals, _xlfn._xlws.FILTER(_xlpm.vals, _xlpm.mask),
    _xlpm.minVal, MIN(_xlpm.validVals),
    IFERROR( _xlfn.XMATCH(_xlpm.minVal, _xlpm.vals), "" )
)</f>
        <v>2</v>
      </c>
      <c r="AJ384" cm="1">
        <f t="array" ref="AJ384">_xlfn.LET(
    _xlpm.vals, CHOOSE({1,2,3,4,5,6}, S384, V384, Y384, AB384, AE384, AH384),
    _xlpm.slopes, CHOOSE({1,2,3,4,5,6}, Q384, T384, W384, Z384, AC384, AF384),
    _xlpm.ints, CHOOSE({1,2,3,4,5,6}, R384, U384, X384, AA384, AD384, AG384),
    _xlpm.limit, -0.00001*_xlpm.slopes + 0.1086*_xlpm.slopes + 63.253,
    _xlpm.valid, (_xlpm.vals &gt;= 0) * (_xlpm.ints &lt;= _xlpm.limit),
    _xlpm.target, MIN(_xlfn._xlws.FILTER(_xlpm.vals, _xlpm.valid)),
    IFERROR(
        _xlfn.XLOOKUP(_xlpm.target, _xlpm.vals, _xlpm.vals),
        CHOOSE({1,2,3,4,5,6}, S$1, V$1, Y$1, AB$1, AE$1, AH$1)
    )
)</f>
        <v>1.5524894625729246</v>
      </c>
    </row>
    <row r="385" spans="9:36" x14ac:dyDescent="0.45">
      <c r="I385">
        <v>383</v>
      </c>
      <c r="J385">
        <v>13.4</v>
      </c>
      <c r="K385">
        <f t="shared" si="116"/>
        <v>13.4</v>
      </c>
      <c r="L385">
        <f t="shared" si="115"/>
        <v>3.7222222222222223E-3</v>
      </c>
      <c r="M385">
        <v>22.3</v>
      </c>
      <c r="N385">
        <f t="shared" si="117"/>
        <v>22.3</v>
      </c>
      <c r="O385">
        <f t="shared" si="118"/>
        <v>174.1354493481885</v>
      </c>
      <c r="P385">
        <f t="shared" si="119"/>
        <v>557.23343791420325</v>
      </c>
      <c r="Q385">
        <f t="shared" si="120"/>
        <v>2552.1291456470508</v>
      </c>
      <c r="R385">
        <f t="shared" si="121"/>
        <v>83.439865972364871</v>
      </c>
      <c r="S385">
        <f t="shared" si="122"/>
        <v>2.2857271856230694</v>
      </c>
      <c r="T385">
        <f t="shared" si="123"/>
        <v>1649.4109762260416</v>
      </c>
      <c r="U385">
        <f t="shared" si="124"/>
        <v>129.10627910588889</v>
      </c>
      <c r="V385">
        <f t="shared" si="125"/>
        <v>2.2382980320248418</v>
      </c>
      <c r="W385">
        <f t="shared" si="126"/>
        <v>1064.3158664161281</v>
      </c>
      <c r="X385">
        <f t="shared" si="127"/>
        <v>200.08093515886446</v>
      </c>
      <c r="Y385">
        <f t="shared" si="128"/>
        <v>1.4525885089773856</v>
      </c>
      <c r="Z385">
        <f t="shared" si="129"/>
        <v>6000</v>
      </c>
      <c r="AA385">
        <f t="shared" si="130"/>
        <v>35.491552309492661</v>
      </c>
      <c r="AB385">
        <f t="shared" si="131"/>
        <v>7.1078114614531618</v>
      </c>
      <c r="AC385">
        <f t="shared" si="132"/>
        <v>6000</v>
      </c>
      <c r="AD385">
        <f t="shared" si="133"/>
        <v>35.491552309492661</v>
      </c>
      <c r="AE385">
        <f t="shared" si="134"/>
        <v>7.1078114614531618</v>
      </c>
      <c r="AF385">
        <f t="shared" si="135"/>
        <v>6000</v>
      </c>
      <c r="AG385">
        <f t="shared" si="136"/>
        <v>35.491552309492661</v>
      </c>
      <c r="AH385">
        <f t="shared" si="137"/>
        <v>7.1078114614531618</v>
      </c>
      <c r="AI385" cm="1">
        <f t="array" ref="AI385">_xlfn.LET(
    _xlpm.vals,   _xlfn.HSTACK(S385,V385,Y385,AB385,AE385,AH385),
    _xlpm.ints,   _xlfn.HSTACK(R385,U385,X385,AA385,AD385,AG385),
    _xlpm.slopes, _xlfn.HSTACK(Q385,T385,W385,Z385,AC385,AF385),
    _xlpm.limit,  -0.00001*_xlpm.slopes + 0.1086*_xlpm.slopes + 63.253,
    _xlpm.mask,   (_xlpm.vals&gt;=0) * (_xlpm.ints&lt;=_xlpm.limit),
    _xlpm.validVals, _xlfn._xlws.FILTER(_xlpm.vals, _xlpm.mask),
    _xlpm.minVal, MIN(_xlpm.validVals),
    IFERROR( _xlfn.XMATCH(_xlpm.minVal, _xlpm.vals), "" )
)</f>
        <v>2</v>
      </c>
      <c r="AJ385" cm="1">
        <f t="array" ref="AJ385">_xlfn.LET(
    _xlpm.vals, CHOOSE({1,2,3,4,5,6}, S385, V385, Y385, AB385, AE385, AH385),
    _xlpm.slopes, CHOOSE({1,2,3,4,5,6}, Q385, T385, W385, Z385, AC385, AF385),
    _xlpm.ints, CHOOSE({1,2,3,4,5,6}, R385, U385, X385, AA385, AD385, AG385),
    _xlpm.limit, -0.00001*_xlpm.slopes + 0.1086*_xlpm.slopes + 63.253,
    _xlpm.valid, (_xlpm.vals &gt;= 0) * (_xlpm.ints &lt;= _xlpm.limit),
    _xlpm.target, MIN(_xlfn._xlws.FILTER(_xlpm.vals, _xlpm.valid)),
    IFERROR(
        _xlfn.XLOOKUP(_xlpm.target, _xlpm.vals, _xlpm.vals),
        CHOOSE({1,2,3,4,5,6}, S$1, V$1, Y$1, AB$1, AE$1, AH$1)
    )
)</f>
        <v>2.2382980320248418</v>
      </c>
    </row>
    <row r="386" spans="9:36" x14ac:dyDescent="0.45">
      <c r="I386">
        <v>384</v>
      </c>
      <c r="J386">
        <v>16.7</v>
      </c>
      <c r="K386">
        <f t="shared" si="116"/>
        <v>16.7</v>
      </c>
      <c r="L386">
        <f t="shared" ref="L386:L449" si="138">K386*(1/3600)</f>
        <v>4.6388888888888886E-3</v>
      </c>
      <c r="M386">
        <v>23.57</v>
      </c>
      <c r="N386">
        <f t="shared" si="117"/>
        <v>23.57</v>
      </c>
      <c r="O386">
        <f t="shared" si="118"/>
        <v>217.01955254587668</v>
      </c>
      <c r="P386">
        <f t="shared" si="119"/>
        <v>694.46256814680544</v>
      </c>
      <c r="Q386">
        <f t="shared" si="120"/>
        <v>3180.6385621123691</v>
      </c>
      <c r="R386">
        <f t="shared" si="121"/>
        <v>70.764695870088815</v>
      </c>
      <c r="S386">
        <f t="shared" si="122"/>
        <v>2.5339523837951936</v>
      </c>
      <c r="T386">
        <f t="shared" si="123"/>
        <v>2055.6092017145443</v>
      </c>
      <c r="U386">
        <f t="shared" si="124"/>
        <v>109.49402266385363</v>
      </c>
      <c r="V386">
        <f t="shared" si="125"/>
        <v>2.3745847957091009</v>
      </c>
      <c r="W386">
        <f t="shared" si="126"/>
        <v>1326.4235051603982</v>
      </c>
      <c r="X386">
        <f t="shared" si="127"/>
        <v>169.68707177225491</v>
      </c>
      <c r="Y386">
        <f t="shared" si="128"/>
        <v>2.078919670789602</v>
      </c>
      <c r="Z386">
        <f t="shared" si="129"/>
        <v>1000.0260981313997</v>
      </c>
      <c r="AA386">
        <f t="shared" si="130"/>
        <v>225.07104658681027</v>
      </c>
      <c r="AB386">
        <f t="shared" si="131"/>
        <v>0.96314792266356575</v>
      </c>
      <c r="AC386">
        <f t="shared" si="132"/>
        <v>6000</v>
      </c>
      <c r="AD386">
        <f t="shared" si="133"/>
        <v>37.512820086759731</v>
      </c>
      <c r="AE386">
        <f t="shared" si="134"/>
        <v>7.1417962723218134</v>
      </c>
      <c r="AF386">
        <f t="shared" si="135"/>
        <v>6000</v>
      </c>
      <c r="AG386">
        <f t="shared" si="136"/>
        <v>37.512820086759731</v>
      </c>
      <c r="AH386">
        <f t="shared" si="137"/>
        <v>7.1417962723218134</v>
      </c>
      <c r="AI386" cm="1">
        <f t="array" ref="AI386">_xlfn.LET(
    _xlpm.vals,   _xlfn.HSTACK(S386,V386,Y386,AB386,AE386,AH386),
    _xlpm.ints,   _xlfn.HSTACK(R386,U386,X386,AA386,AD386,AG386),
    _xlpm.slopes, _xlfn.HSTACK(Q386,T386,W386,Z386,AC386,AF386),
    _xlpm.limit,  -0.00001*_xlpm.slopes + 0.1086*_xlpm.slopes + 63.253,
    _xlpm.mask,   (_xlpm.vals&gt;=0) * (_xlpm.ints&lt;=_xlpm.limit),
    _xlpm.validVals, _xlfn._xlws.FILTER(_xlpm.vals, _xlpm.mask),
    _xlpm.minVal, MIN(_xlpm.validVals),
    IFERROR( _xlfn.XMATCH(_xlpm.minVal, _xlpm.vals), "" )
)</f>
        <v>3</v>
      </c>
      <c r="AJ386" cm="1">
        <f t="array" ref="AJ386">_xlfn.LET(
    _xlpm.vals, CHOOSE({1,2,3,4,5,6}, S386, V386, Y386, AB386, AE386, AH386),
    _xlpm.slopes, CHOOSE({1,2,3,4,5,6}, Q386, T386, W386, Z386, AC386, AF386),
    _xlpm.ints, CHOOSE({1,2,3,4,5,6}, R386, U386, X386, AA386, AD386, AG386),
    _xlpm.limit, -0.00001*_xlpm.slopes + 0.1086*_xlpm.slopes + 63.253,
    _xlpm.valid, (_xlpm.vals &gt;= 0) * (_xlpm.ints &lt;= _xlpm.limit),
    _xlpm.target, MIN(_xlfn._xlws.FILTER(_xlpm.vals, _xlpm.valid)),
    IFERROR(
        _xlfn.XLOOKUP(_xlpm.target, _xlpm.vals, _xlpm.vals),
        CHOOSE({1,2,3,4,5,6}, S$1, V$1, Y$1, AB$1, AE$1, AH$1)
    )
)</f>
        <v>2.078919670789602</v>
      </c>
    </row>
    <row r="387" spans="9:36" x14ac:dyDescent="0.45">
      <c r="I387">
        <v>385</v>
      </c>
      <c r="J387">
        <v>18.7</v>
      </c>
      <c r="K387">
        <f t="shared" ref="K387:K450" si="139">IF(J387&lt;0,0,J387)</f>
        <v>18.7</v>
      </c>
      <c r="L387">
        <f t="shared" si="138"/>
        <v>5.1944444444444442E-3</v>
      </c>
      <c r="M387">
        <v>18.45</v>
      </c>
      <c r="N387">
        <f t="shared" ref="N387:N450" si="140">IF(M387&lt;0,0,M387)</f>
        <v>18.45</v>
      </c>
      <c r="O387">
        <f t="shared" ref="O387:O450" si="141">(K387*0.44704*60)/(PI()*$B$2)</f>
        <v>243.00991812023321</v>
      </c>
      <c r="P387">
        <f t="shared" ref="P387:P450" si="142">O387*3.2</f>
        <v>777.63173798474634</v>
      </c>
      <c r="Q387">
        <f t="shared" ref="Q387:Q450" si="143">IF(4.58*P387&lt;1000,1000,4.58*P387)</f>
        <v>3561.5533599701384</v>
      </c>
      <c r="R387">
        <f t="shared" ref="R387:R450" si="144">(1000*N387*60)/(Q387*2*PI())</f>
        <v>49.468449352168449</v>
      </c>
      <c r="S387">
        <f t="shared" ref="S387:S450" si="145">(0.072946 + (0.000364279 * Q387) + (-0.00248749 * R387) + (0.00000951906 * Q387 * R387) + (-0.000000165418 * Q387^2) + (0.000045414 * R387^2) + (-0.00000000135106 * Q387^2 * R387) + (0.0000000203184 * Q387 * R387^2) + (0.0000000000481318 * Q387^3) + (-0.00000034778 * R387^3))</f>
        <v>2.3989298650498085</v>
      </c>
      <c r="T387">
        <f t="shared" ref="T387:T450" si="146">IF(2.96*P387&lt;1000,6000,2.96*P387)</f>
        <v>2301.7899444348491</v>
      </c>
      <c r="U387">
        <f t="shared" ref="U387:U450" si="147">(1000*N387*60)/(T387*2*PI())</f>
        <v>76.542397984098486</v>
      </c>
      <c r="V387">
        <f t="shared" ref="V387:V450" si="148">(0.072946 + (0.000364279 * T387) + (-0.00248749 * U387) + (0.00000951906 * T387 * U387) + (-0.000000165418 * T387^2) + (0.000045414 * U387^2) + (-0.00000000135106 * T387^2 * U387) + (0.0000000203184 * T387 * U387^2) + (0.0000000000481318 * T387^3) + (-0.00000034778 * U387^3))</f>
        <v>1.94492310189248</v>
      </c>
      <c r="W387">
        <f t="shared" ref="W387:W450" si="149">IF(1.91*P387&lt;1000,6000,1.91*P387)</f>
        <v>1485.2766195508655</v>
      </c>
      <c r="X387">
        <f t="shared" ref="X387:X450" si="150">(1000*N387*60)/(W387*2*PI())</f>
        <v>118.62067959839347</v>
      </c>
      <c r="Y387">
        <f t="shared" ref="Y387:Y450" si="151">(0.072946 + (0.000364279 * W387) + (-0.00248749 * X387) + (0.00000951906 * W387 * X387) + (-0.000000165418 * W387^2) + (0.000045414 * X387^2) + (-0.00000000135106 * W387^2 * X387) + (0.0000000203184 * W387 * X387^2) + (0.0000000000481318 * W387^3) + (-0.00000034778 * X387^3))</f>
        <v>1.9184566387892665</v>
      </c>
      <c r="Z387">
        <f t="shared" ref="Z387:Z450" si="152">IF(1.44*P387&lt;1000,6000,1.44*P387)</f>
        <v>1119.7897026980347</v>
      </c>
      <c r="AA387">
        <f t="shared" ref="AA387:AA450" si="153">(1000*N387*60)/(Z387*2*PI())</f>
        <v>157.33715141175799</v>
      </c>
      <c r="AB387">
        <f t="shared" ref="AB387:AB450" si="154">(0.072946 + (0.000364279 * Z387) + (-0.00248749 * AA387) + (0.00000951906 * Z387 * AA387) + (-0.000000165418 * Z387^2) + (0.000045414 * AA387^2) + (-0.00000000135106 * Z387^2 * AA387) + (0.0000000203184 * Z387 * AA387^2) + (0.0000000000481318 * Z387^3) + (-0.00000034778 * AA387^3))</f>
        <v>1.6931049868708234</v>
      </c>
      <c r="AC387">
        <f t="shared" ref="AC387:AC450" si="155">IF(0.74*P387&lt;1000,6000,0.74*P387)</f>
        <v>6000</v>
      </c>
      <c r="AD387">
        <f t="shared" ref="AD387:AD450" si="156">(1000*N387*60)/(AC387*2*PI())</f>
        <v>29.364087000454692</v>
      </c>
      <c r="AE387">
        <f t="shared" ref="AE387:AE450" si="157">(0.072946 + (0.000364279 * AC387) + (-0.00248749 * AD387) + (0.00000951906 * AC387 * AD387) + (-0.000000165418 * AC387^2) + (0.000045414 * AD387^2) + (-0.00000000135106 * AC387^2 * AD387) + (0.0000000203184 * AC387 * AD387^2) + (0.0000000000481318 * AC387^3) + (-0.00000034778 * AD387^3))</f>
        <v>7.0113636975422295</v>
      </c>
      <c r="AF387">
        <f t="shared" ref="AF387:AF450" si="158">IF(0.68*P387&lt;1000,6000,0.68*P387)</f>
        <v>6000</v>
      </c>
      <c r="AG387">
        <f t="shared" ref="AG387:AG450" si="159">(1000*N387*60)/(AF387*2*PI())</f>
        <v>29.364087000454692</v>
      </c>
      <c r="AH387">
        <f t="shared" ref="AH387:AH450" si="160">(0.072946 + (0.000364279 * AF387) + (-0.00248749 * AG387) + (0.00000951906 * AF387 * AG387) + (-0.000000165418 * AF387^2) + (0.000045414 * AG387^2) + (-0.00000000135106 * AF387^2 * AG387) + (0.0000000203184 * AF387 * AG387^2) + (0.0000000000481318 * AF387^3) + (-0.00000034778 * AG387^3))</f>
        <v>7.0113636975422295</v>
      </c>
      <c r="AI387" cm="1">
        <f t="array" ref="AI387">_xlfn.LET(
    _xlpm.vals,   _xlfn.HSTACK(S387,V387,Y387,AB387,AE387,AH387),
    _xlpm.ints,   _xlfn.HSTACK(R387,U387,X387,AA387,AD387,AG387),
    _xlpm.slopes, _xlfn.HSTACK(Q387,T387,W387,Z387,AC387,AF387),
    _xlpm.limit,  -0.00001*_xlpm.slopes + 0.1086*_xlpm.slopes + 63.253,
    _xlpm.mask,   (_xlpm.vals&gt;=0) * (_xlpm.ints&lt;=_xlpm.limit),
    _xlpm.validVals, _xlfn._xlws.FILTER(_xlpm.vals, _xlpm.mask),
    _xlpm.minVal, MIN(_xlpm.validVals),
    IFERROR( _xlfn.XMATCH(_xlpm.minVal, _xlpm.vals), "" )
)</f>
        <v>4</v>
      </c>
      <c r="AJ387" cm="1">
        <f t="array" ref="AJ387">_xlfn.LET(
    _xlpm.vals, CHOOSE({1,2,3,4,5,6}, S387, V387, Y387, AB387, AE387, AH387),
    _xlpm.slopes, CHOOSE({1,2,3,4,5,6}, Q387, T387, W387, Z387, AC387, AF387),
    _xlpm.ints, CHOOSE({1,2,3,4,5,6}, R387, U387, X387, AA387, AD387, AG387),
    _xlpm.limit, -0.00001*_xlpm.slopes + 0.1086*_xlpm.slopes + 63.253,
    _xlpm.valid, (_xlpm.vals &gt;= 0) * (_xlpm.ints &lt;= _xlpm.limit),
    _xlpm.target, MIN(_xlfn._xlws.FILTER(_xlpm.vals, _xlpm.valid)),
    IFERROR(
        _xlfn.XLOOKUP(_xlpm.target, _xlpm.vals, _xlpm.vals),
        CHOOSE({1,2,3,4,5,6}, S$1, V$1, Y$1, AB$1, AE$1, AH$1)
    )
)</f>
        <v>1.6931049868708234</v>
      </c>
    </row>
    <row r="388" spans="9:36" x14ac:dyDescent="0.45">
      <c r="I388">
        <v>386</v>
      </c>
      <c r="J388">
        <v>21.1</v>
      </c>
      <c r="K388">
        <f t="shared" si="139"/>
        <v>21.1</v>
      </c>
      <c r="L388">
        <f t="shared" si="138"/>
        <v>5.8611111111111112E-3</v>
      </c>
      <c r="M388">
        <v>28.1</v>
      </c>
      <c r="N388">
        <f t="shared" si="140"/>
        <v>28.1</v>
      </c>
      <c r="O388">
        <f t="shared" si="141"/>
        <v>274.19835680946096</v>
      </c>
      <c r="P388">
        <f t="shared" si="142"/>
        <v>877.4347417902751</v>
      </c>
      <c r="Q388">
        <f t="shared" si="143"/>
        <v>4018.65111739946</v>
      </c>
      <c r="R388">
        <f t="shared" si="144"/>
        <v>66.772463250450073</v>
      </c>
      <c r="S388">
        <f t="shared" si="145"/>
        <v>3.3834458870520265</v>
      </c>
      <c r="T388">
        <f t="shared" si="146"/>
        <v>2597.2068356992145</v>
      </c>
      <c r="U388">
        <f t="shared" si="147"/>
        <v>103.31685192130449</v>
      </c>
      <c r="V388">
        <f t="shared" si="148"/>
        <v>2.7667040967172798</v>
      </c>
      <c r="W388">
        <f t="shared" si="149"/>
        <v>1675.9003568194253</v>
      </c>
      <c r="X388">
        <f t="shared" si="150"/>
        <v>160.11407418170751</v>
      </c>
      <c r="Y388">
        <f t="shared" si="151"/>
        <v>2.6035047113486893</v>
      </c>
      <c r="Z388">
        <f t="shared" si="152"/>
        <v>1263.5060281779961</v>
      </c>
      <c r="AA388">
        <f t="shared" si="153"/>
        <v>212.37352894934816</v>
      </c>
      <c r="AB388">
        <f t="shared" si="154"/>
        <v>1.8091134189398494</v>
      </c>
      <c r="AC388">
        <f t="shared" si="155"/>
        <v>6000</v>
      </c>
      <c r="AD388">
        <f t="shared" si="156"/>
        <v>44.722539008822594</v>
      </c>
      <c r="AE388">
        <f t="shared" si="157"/>
        <v>7.271428718474656</v>
      </c>
      <c r="AF388">
        <f t="shared" si="158"/>
        <v>6000</v>
      </c>
      <c r="AG388">
        <f t="shared" si="159"/>
        <v>44.722539008822594</v>
      </c>
      <c r="AH388">
        <f t="shared" si="160"/>
        <v>7.271428718474656</v>
      </c>
      <c r="AI388" cm="1">
        <f t="array" ref="AI388">_xlfn.LET(
    _xlpm.vals,   _xlfn.HSTACK(S388,V388,Y388,AB388,AE388,AH388),
    _xlpm.ints,   _xlfn.HSTACK(R388,U388,X388,AA388,AD388,AG388),
    _xlpm.slopes, _xlfn.HSTACK(Q388,T388,W388,Z388,AC388,AF388),
    _xlpm.limit,  -0.00001*_xlpm.slopes + 0.1086*_xlpm.slopes + 63.253,
    _xlpm.mask,   (_xlpm.vals&gt;=0) * (_xlpm.ints&lt;=_xlpm.limit),
    _xlpm.validVals, _xlfn._xlws.FILTER(_xlpm.vals, _xlpm.mask),
    _xlpm.minVal, MIN(_xlpm.validVals),
    IFERROR( _xlfn.XMATCH(_xlpm.minVal, _xlpm.vals), "" )
)</f>
        <v>3</v>
      </c>
      <c r="AJ388" cm="1">
        <f t="array" ref="AJ388">_xlfn.LET(
    _xlpm.vals, CHOOSE({1,2,3,4,5,6}, S388, V388, Y388, AB388, AE388, AH388),
    _xlpm.slopes, CHOOSE({1,2,3,4,5,6}, Q388, T388, W388, Z388, AC388, AF388),
    _xlpm.ints, CHOOSE({1,2,3,4,5,6}, R388, U388, X388, AA388, AD388, AG388),
    _xlpm.limit, -0.00001*_xlpm.slopes + 0.1086*_xlpm.slopes + 63.253,
    _xlpm.valid, (_xlpm.vals &gt;= 0) * (_xlpm.ints &lt;= _xlpm.limit),
    _xlpm.target, MIN(_xlfn._xlws.FILTER(_xlpm.vals, _xlpm.valid)),
    IFERROR(
        _xlfn.XLOOKUP(_xlpm.target, _xlpm.vals, _xlpm.vals),
        CHOOSE({1,2,3,4,5,6}, S$1, V$1, Y$1, AB$1, AE$1, AH$1)
    )
)</f>
        <v>2.6035047113486893</v>
      </c>
    </row>
    <row r="389" spans="9:36" x14ac:dyDescent="0.45">
      <c r="I389">
        <v>387</v>
      </c>
      <c r="J389">
        <v>23.7</v>
      </c>
      <c r="K389">
        <f t="shared" si="139"/>
        <v>23.7</v>
      </c>
      <c r="L389">
        <f t="shared" si="138"/>
        <v>6.5833333333333334E-3</v>
      </c>
      <c r="M389">
        <v>25.5</v>
      </c>
      <c r="N389">
        <f t="shared" si="140"/>
        <v>25.5</v>
      </c>
      <c r="O389">
        <f t="shared" si="141"/>
        <v>307.98583205612437</v>
      </c>
      <c r="P389">
        <f t="shared" si="142"/>
        <v>985.55466257959802</v>
      </c>
      <c r="Q389">
        <f t="shared" si="143"/>
        <v>4513.8403546145591</v>
      </c>
      <c r="R389">
        <f t="shared" si="144"/>
        <v>53.946760142205598</v>
      </c>
      <c r="S389">
        <f t="shared" si="145"/>
        <v>3.8167184283516886</v>
      </c>
      <c r="T389">
        <f t="shared" si="146"/>
        <v>2917.2418012356102</v>
      </c>
      <c r="U389">
        <f t="shared" si="147"/>
        <v>83.471676165980284</v>
      </c>
      <c r="V389">
        <f t="shared" si="148"/>
        <v>2.6005485075294383</v>
      </c>
      <c r="W389">
        <f t="shared" si="149"/>
        <v>1882.409405527032</v>
      </c>
      <c r="X389">
        <f t="shared" si="150"/>
        <v>129.35924683314224</v>
      </c>
      <c r="Y389">
        <f t="shared" si="151"/>
        <v>2.517592807108938</v>
      </c>
      <c r="Z389">
        <f t="shared" si="152"/>
        <v>1419.198714114621</v>
      </c>
      <c r="AA389">
        <f t="shared" si="153"/>
        <v>171.58066767451504</v>
      </c>
      <c r="AB389">
        <f t="shared" si="154"/>
        <v>2.2477481724672002</v>
      </c>
      <c r="AC389">
        <f t="shared" si="155"/>
        <v>6000</v>
      </c>
      <c r="AD389">
        <f t="shared" si="156"/>
        <v>40.58451048843331</v>
      </c>
      <c r="AE389">
        <f t="shared" si="157"/>
        <v>7.1954421030327511</v>
      </c>
      <c r="AF389">
        <f t="shared" si="158"/>
        <v>6000</v>
      </c>
      <c r="AG389">
        <f t="shared" si="159"/>
        <v>40.58451048843331</v>
      </c>
      <c r="AH389">
        <f t="shared" si="160"/>
        <v>7.1954421030327511</v>
      </c>
      <c r="AI389" cm="1">
        <f t="array" ref="AI389">_xlfn.LET(
    _xlpm.vals,   _xlfn.HSTACK(S389,V389,Y389,AB389,AE389,AH389),
    _xlpm.ints,   _xlfn.HSTACK(R389,U389,X389,AA389,AD389,AG389),
    _xlpm.slopes, _xlfn.HSTACK(Q389,T389,W389,Z389,AC389,AF389),
    _xlpm.limit,  -0.00001*_xlpm.slopes + 0.1086*_xlpm.slopes + 63.253,
    _xlpm.mask,   (_xlpm.vals&gt;=0) * (_xlpm.ints&lt;=_xlpm.limit),
    _xlpm.validVals, _xlfn._xlws.FILTER(_xlpm.vals, _xlpm.mask),
    _xlpm.minVal, MIN(_xlpm.validVals),
    IFERROR( _xlfn.XMATCH(_xlpm.minVal, _xlpm.vals), "" )
)</f>
        <v>4</v>
      </c>
      <c r="AJ389" cm="1">
        <f t="array" ref="AJ389">_xlfn.LET(
    _xlpm.vals, CHOOSE({1,2,3,4,5,6}, S389, V389, Y389, AB389, AE389, AH389),
    _xlpm.slopes, CHOOSE({1,2,3,4,5,6}, Q389, T389, W389, Z389, AC389, AF389),
    _xlpm.ints, CHOOSE({1,2,3,4,5,6}, R389, U389, X389, AA389, AD389, AG389),
    _xlpm.limit, -0.00001*_xlpm.slopes + 0.1086*_xlpm.slopes + 63.253,
    _xlpm.valid, (_xlpm.vals &gt;= 0) * (_xlpm.ints &lt;= _xlpm.limit),
    _xlpm.target, MIN(_xlfn._xlws.FILTER(_xlpm.vals, _xlpm.valid)),
    IFERROR(
        _xlfn.XLOOKUP(_xlpm.target, _xlpm.vals, _xlpm.vals),
        CHOOSE({1,2,3,4,5,6}, S$1, V$1, Y$1, AB$1, AE$1, AH$1)
    )
)</f>
        <v>2.2477481724672002</v>
      </c>
    </row>
    <row r="390" spans="9:36" x14ac:dyDescent="0.45">
      <c r="I390">
        <v>388</v>
      </c>
      <c r="J390">
        <v>25.8</v>
      </c>
      <c r="K390">
        <f t="shared" si="139"/>
        <v>25.8</v>
      </c>
      <c r="L390">
        <f t="shared" si="138"/>
        <v>7.1666666666666667E-3</v>
      </c>
      <c r="M390">
        <v>25.41</v>
      </c>
      <c r="N390">
        <f t="shared" si="140"/>
        <v>25.41</v>
      </c>
      <c r="O390">
        <f t="shared" si="141"/>
        <v>335.27571590919877</v>
      </c>
      <c r="P390">
        <f t="shared" si="142"/>
        <v>1072.8822909094361</v>
      </c>
      <c r="Q390">
        <f t="shared" si="143"/>
        <v>4913.8008923652169</v>
      </c>
      <c r="R390">
        <f t="shared" si="144"/>
        <v>49.380842153151882</v>
      </c>
      <c r="S390">
        <f t="shared" si="145"/>
        <v>4.4678553777786405</v>
      </c>
      <c r="T390">
        <f t="shared" si="146"/>
        <v>3175.7315810919308</v>
      </c>
      <c r="U390">
        <f t="shared" si="147"/>
        <v>76.406843601836343</v>
      </c>
      <c r="V390">
        <f t="shared" si="148"/>
        <v>2.6683920224277946</v>
      </c>
      <c r="W390">
        <f t="shared" si="149"/>
        <v>2049.2051756370229</v>
      </c>
      <c r="X390">
        <f t="shared" si="150"/>
        <v>118.41060579132754</v>
      </c>
      <c r="Y390">
        <f t="shared" si="151"/>
        <v>2.5255584384734759</v>
      </c>
      <c r="Z390">
        <f t="shared" si="152"/>
        <v>1544.9504989095878</v>
      </c>
      <c r="AA390">
        <f t="shared" si="153"/>
        <v>157.05851184821918</v>
      </c>
      <c r="AB390">
        <f t="shared" si="154"/>
        <v>2.3782097925700585</v>
      </c>
      <c r="AC390">
        <f t="shared" si="155"/>
        <v>6000</v>
      </c>
      <c r="AD390">
        <f t="shared" si="156"/>
        <v>40.441271039650609</v>
      </c>
      <c r="AE390">
        <f t="shared" si="157"/>
        <v>7.1928875892553883</v>
      </c>
      <c r="AF390">
        <f t="shared" si="158"/>
        <v>6000</v>
      </c>
      <c r="AG390">
        <f t="shared" si="159"/>
        <v>40.441271039650609</v>
      </c>
      <c r="AH390">
        <f t="shared" si="160"/>
        <v>7.1928875892553883</v>
      </c>
      <c r="AI390" cm="1">
        <f t="array" ref="AI390">_xlfn.LET(
    _xlpm.vals,   _xlfn.HSTACK(S390,V390,Y390,AB390,AE390,AH390),
    _xlpm.ints,   _xlfn.HSTACK(R390,U390,X390,AA390,AD390,AG390),
    _xlpm.slopes, _xlfn.HSTACK(Q390,T390,W390,Z390,AC390,AF390),
    _xlpm.limit,  -0.00001*_xlpm.slopes + 0.1086*_xlpm.slopes + 63.253,
    _xlpm.mask,   (_xlpm.vals&gt;=0) * (_xlpm.ints&lt;=_xlpm.limit),
    _xlpm.validVals, _xlfn._xlws.FILTER(_xlpm.vals, _xlpm.mask),
    _xlpm.minVal, MIN(_xlpm.validVals),
    IFERROR( _xlfn.XMATCH(_xlpm.minVal, _xlpm.vals), "" )
)</f>
        <v>4</v>
      </c>
      <c r="AJ390" cm="1">
        <f t="array" ref="AJ390">_xlfn.LET(
    _xlpm.vals, CHOOSE({1,2,3,4,5,6}, S390, V390, Y390, AB390, AE390, AH390),
    _xlpm.slopes, CHOOSE({1,2,3,4,5,6}, Q390, T390, W390, Z390, AC390, AF390),
    _xlpm.ints, CHOOSE({1,2,3,4,5,6}, R390, U390, X390, AA390, AD390, AG390),
    _xlpm.limit, -0.00001*_xlpm.slopes + 0.1086*_xlpm.slopes + 63.253,
    _xlpm.valid, (_xlpm.vals &gt;= 0) * (_xlpm.ints &lt;= _xlpm.limit),
    _xlpm.target, MIN(_xlfn._xlws.FILTER(_xlpm.vals, _xlpm.valid)),
    IFERROR(
        _xlfn.XLOOKUP(_xlpm.target, _xlpm.vals, _xlpm.vals),
        CHOOSE({1,2,3,4,5,6}, S$1, V$1, Y$1, AB$1, AE$1, AH$1)
    )
)</f>
        <v>2.3782097925700585</v>
      </c>
    </row>
    <row r="391" spans="9:36" x14ac:dyDescent="0.45">
      <c r="I391">
        <v>389</v>
      </c>
      <c r="J391">
        <v>28</v>
      </c>
      <c r="K391">
        <f t="shared" si="139"/>
        <v>28</v>
      </c>
      <c r="L391">
        <f t="shared" si="138"/>
        <v>7.7777777777777776E-3</v>
      </c>
      <c r="M391">
        <v>23.96</v>
      </c>
      <c r="N391">
        <f t="shared" si="140"/>
        <v>23.96</v>
      </c>
      <c r="O391">
        <f t="shared" si="141"/>
        <v>363.86511804099086</v>
      </c>
      <c r="P391">
        <f t="shared" si="142"/>
        <v>1164.3683777311708</v>
      </c>
      <c r="Q391">
        <f t="shared" si="143"/>
        <v>5332.8071700087621</v>
      </c>
      <c r="R391">
        <f t="shared" si="144"/>
        <v>42.904447675450598</v>
      </c>
      <c r="S391">
        <f t="shared" si="145"/>
        <v>5.289228746231398</v>
      </c>
      <c r="T391">
        <f t="shared" si="146"/>
        <v>3446.5303980842655</v>
      </c>
      <c r="U391">
        <f t="shared" si="147"/>
        <v>66.385935930258029</v>
      </c>
      <c r="V391">
        <f t="shared" si="148"/>
        <v>2.6884699770971663</v>
      </c>
      <c r="W391">
        <f t="shared" si="149"/>
        <v>2223.9436014665362</v>
      </c>
      <c r="X391">
        <f t="shared" si="150"/>
        <v>102.88082217464071</v>
      </c>
      <c r="Y391">
        <f t="shared" si="151"/>
        <v>2.4091947158231188</v>
      </c>
      <c r="Z391">
        <f t="shared" si="152"/>
        <v>1676.6904639328859</v>
      </c>
      <c r="AA391">
        <f t="shared" si="153"/>
        <v>136.45997941219704</v>
      </c>
      <c r="AB391">
        <f t="shared" si="154"/>
        <v>2.3621139738314638</v>
      </c>
      <c r="AC391">
        <f t="shared" si="155"/>
        <v>6000</v>
      </c>
      <c r="AD391">
        <f t="shared" si="156"/>
        <v>38.133524364818122</v>
      </c>
      <c r="AE391">
        <f t="shared" si="157"/>
        <v>7.1524435613101423</v>
      </c>
      <c r="AF391">
        <f t="shared" si="158"/>
        <v>6000</v>
      </c>
      <c r="AG391">
        <f t="shared" si="159"/>
        <v>38.133524364818122</v>
      </c>
      <c r="AH391">
        <f t="shared" si="160"/>
        <v>7.1524435613101423</v>
      </c>
      <c r="AI391" cm="1">
        <f t="array" ref="AI391">_xlfn.LET(
    _xlpm.vals,   _xlfn.HSTACK(S391,V391,Y391,AB391,AE391,AH391),
    _xlpm.ints,   _xlfn.HSTACK(R391,U391,X391,AA391,AD391,AG391),
    _xlpm.slopes, _xlfn.HSTACK(Q391,T391,W391,Z391,AC391,AF391),
    _xlpm.limit,  -0.00001*_xlpm.slopes + 0.1086*_xlpm.slopes + 63.253,
    _xlpm.mask,   (_xlpm.vals&gt;=0) * (_xlpm.ints&lt;=_xlpm.limit),
    _xlpm.validVals, _xlfn._xlws.FILTER(_xlpm.vals, _xlpm.mask),
    _xlpm.minVal, MIN(_xlpm.validVals),
    IFERROR( _xlfn.XMATCH(_xlpm.minVal, _xlpm.vals), "" )
)</f>
        <v>4</v>
      </c>
      <c r="AJ391" cm="1">
        <f t="array" ref="AJ391">_xlfn.LET(
    _xlpm.vals, CHOOSE({1,2,3,4,5,6}, S391, V391, Y391, AB391, AE391, AH391),
    _xlpm.slopes, CHOOSE({1,2,3,4,5,6}, Q391, T391, W391, Z391, AC391, AF391),
    _xlpm.ints, CHOOSE({1,2,3,4,5,6}, R391, U391, X391, AA391, AD391, AG391),
    _xlpm.limit, -0.00001*_xlpm.slopes + 0.1086*_xlpm.slopes + 63.253,
    _xlpm.valid, (_xlpm.vals &gt;= 0) * (_xlpm.ints &lt;= _xlpm.limit),
    _xlpm.target, MIN(_xlfn._xlws.FILTER(_xlpm.vals, _xlpm.valid)),
    IFERROR(
        _xlfn.XLOOKUP(_xlpm.target, _xlpm.vals, _xlpm.vals),
        CHOOSE({1,2,3,4,5,6}, S$1, V$1, Y$1, AB$1, AE$1, AH$1)
    )
)</f>
        <v>2.3621139738314638</v>
      </c>
    </row>
    <row r="392" spans="9:36" x14ac:dyDescent="0.45">
      <c r="I392">
        <v>390</v>
      </c>
      <c r="J392">
        <v>29.2</v>
      </c>
      <c r="K392">
        <f t="shared" si="139"/>
        <v>29.2</v>
      </c>
      <c r="L392">
        <f t="shared" si="138"/>
        <v>8.1111111111111106E-3</v>
      </c>
      <c r="M392">
        <v>13.13</v>
      </c>
      <c r="N392">
        <f t="shared" si="140"/>
        <v>13.13</v>
      </c>
      <c r="O392">
        <f t="shared" si="141"/>
        <v>379.45933738560478</v>
      </c>
      <c r="P392">
        <f t="shared" si="142"/>
        <v>1214.2698796339353</v>
      </c>
      <c r="Q392">
        <f t="shared" si="143"/>
        <v>5561.3560487234236</v>
      </c>
      <c r="R392">
        <f t="shared" si="144"/>
        <v>22.545268288761317</v>
      </c>
      <c r="S392">
        <f t="shared" si="145"/>
        <v>5.5334863917208139</v>
      </c>
      <c r="T392">
        <f t="shared" si="146"/>
        <v>3594.2388437164482</v>
      </c>
      <c r="U392">
        <f t="shared" si="147"/>
        <v>34.884232690042857</v>
      </c>
      <c r="V392">
        <f t="shared" si="148"/>
        <v>2.1074216844658085</v>
      </c>
      <c r="W392">
        <f t="shared" si="149"/>
        <v>2319.2554701008162</v>
      </c>
      <c r="X392">
        <f t="shared" si="150"/>
        <v>54.06142867148003</v>
      </c>
      <c r="Y392">
        <f t="shared" si="151"/>
        <v>1.5101474273525313</v>
      </c>
      <c r="Z392">
        <f t="shared" si="152"/>
        <v>1748.5486266728667</v>
      </c>
      <c r="AA392">
        <f t="shared" si="153"/>
        <v>71.70647830731032</v>
      </c>
      <c r="AB392">
        <f t="shared" si="154"/>
        <v>1.4683783112918034</v>
      </c>
      <c r="AC392">
        <f t="shared" si="155"/>
        <v>6000</v>
      </c>
      <c r="AD392">
        <f t="shared" si="156"/>
        <v>20.897044027965858</v>
      </c>
      <c r="AE392">
        <f t="shared" si="157"/>
        <v>6.8950817835541613</v>
      </c>
      <c r="AF392">
        <f t="shared" si="158"/>
        <v>6000</v>
      </c>
      <c r="AG392">
        <f t="shared" si="159"/>
        <v>20.897044027965858</v>
      </c>
      <c r="AH392">
        <f t="shared" si="160"/>
        <v>6.8950817835541613</v>
      </c>
      <c r="AI392" cm="1">
        <f t="array" ref="AI392">_xlfn.LET(
    _xlpm.vals,   _xlfn.HSTACK(S392,V392,Y392,AB392,AE392,AH392),
    _xlpm.ints,   _xlfn.HSTACK(R392,U392,X392,AA392,AD392,AG392),
    _xlpm.slopes, _xlfn.HSTACK(Q392,T392,W392,Z392,AC392,AF392),
    _xlpm.limit,  -0.00001*_xlpm.slopes + 0.1086*_xlpm.slopes + 63.253,
    _xlpm.mask,   (_xlpm.vals&gt;=0) * (_xlpm.ints&lt;=_xlpm.limit),
    _xlpm.validVals, _xlfn._xlws.FILTER(_xlpm.vals, _xlpm.mask),
    _xlpm.minVal, MIN(_xlpm.validVals),
    IFERROR( _xlfn.XMATCH(_xlpm.minVal, _xlpm.vals), "" )
)</f>
        <v>4</v>
      </c>
      <c r="AJ392" cm="1">
        <f t="array" ref="AJ392">_xlfn.LET(
    _xlpm.vals, CHOOSE({1,2,3,4,5,6}, S392, V392, Y392, AB392, AE392, AH392),
    _xlpm.slopes, CHOOSE({1,2,3,4,5,6}, Q392, T392, W392, Z392, AC392, AF392),
    _xlpm.ints, CHOOSE({1,2,3,4,5,6}, R392, U392, X392, AA392, AD392, AG392),
    _xlpm.limit, -0.00001*_xlpm.slopes + 0.1086*_xlpm.slopes + 63.253,
    _xlpm.valid, (_xlpm.vals &gt;= 0) * (_xlpm.ints &lt;= _xlpm.limit),
    _xlpm.target, MIN(_xlfn._xlws.FILTER(_xlpm.vals, _xlpm.valid)),
    IFERROR(
        _xlfn.XLOOKUP(_xlpm.target, _xlpm.vals, _xlpm.vals),
        CHOOSE({1,2,3,4,5,6}, S$1, V$1, Y$1, AB$1, AE$1, AH$1)
    )
)</f>
        <v>1.4683783112918034</v>
      </c>
    </row>
    <row r="393" spans="9:36" x14ac:dyDescent="0.45">
      <c r="I393">
        <v>391</v>
      </c>
      <c r="J393">
        <v>29.9</v>
      </c>
      <c r="K393">
        <f t="shared" si="139"/>
        <v>29.9</v>
      </c>
      <c r="L393">
        <f t="shared" si="138"/>
        <v>8.3055555555555556E-3</v>
      </c>
      <c r="M393">
        <v>10.210000000000001</v>
      </c>
      <c r="N393">
        <f t="shared" si="140"/>
        <v>10.210000000000001</v>
      </c>
      <c r="O393">
        <f t="shared" si="141"/>
        <v>388.55596533662953</v>
      </c>
      <c r="P393">
        <f t="shared" si="142"/>
        <v>1243.3790890772145</v>
      </c>
      <c r="Q393">
        <f t="shared" si="143"/>
        <v>5694.6762279736422</v>
      </c>
      <c r="R393">
        <f t="shared" si="144"/>
        <v>17.120958986071852</v>
      </c>
      <c r="S393">
        <f t="shared" si="145"/>
        <v>5.8525708715049563</v>
      </c>
      <c r="T393">
        <f t="shared" si="146"/>
        <v>3680.4021036685549</v>
      </c>
      <c r="U393">
        <f t="shared" si="147"/>
        <v>26.491213566286849</v>
      </c>
      <c r="V393">
        <f t="shared" si="148"/>
        <v>2.0277525539903927</v>
      </c>
      <c r="W393">
        <f t="shared" si="149"/>
        <v>2374.8540601374798</v>
      </c>
      <c r="X393">
        <f t="shared" si="150"/>
        <v>41.054446155083284</v>
      </c>
      <c r="Y393">
        <f t="shared" si="151"/>
        <v>1.296734998541395</v>
      </c>
      <c r="Z393">
        <f t="shared" si="152"/>
        <v>1790.4658882711888</v>
      </c>
      <c r="AA393">
        <f t="shared" si="153"/>
        <v>54.454161219589643</v>
      </c>
      <c r="AB393">
        <f t="shared" si="154"/>
        <v>1.2143204142107458</v>
      </c>
      <c r="AC393">
        <f t="shared" si="155"/>
        <v>6000</v>
      </c>
      <c r="AD393">
        <f t="shared" si="156"/>
        <v>16.249719689682514</v>
      </c>
      <c r="AE393">
        <f t="shared" si="157"/>
        <v>6.8400459816634358</v>
      </c>
      <c r="AF393">
        <f t="shared" si="158"/>
        <v>6000</v>
      </c>
      <c r="AG393">
        <f t="shared" si="159"/>
        <v>16.249719689682514</v>
      </c>
      <c r="AH393">
        <f t="shared" si="160"/>
        <v>6.8400459816634358</v>
      </c>
      <c r="AI393" cm="1">
        <f t="array" ref="AI393">_xlfn.LET(
    _xlpm.vals,   _xlfn.HSTACK(S393,V393,Y393,AB393,AE393,AH393),
    _xlpm.ints,   _xlfn.HSTACK(R393,U393,X393,AA393,AD393,AG393),
    _xlpm.slopes, _xlfn.HSTACK(Q393,T393,W393,Z393,AC393,AF393),
    _xlpm.limit,  -0.00001*_xlpm.slopes + 0.1086*_xlpm.slopes + 63.253,
    _xlpm.mask,   (_xlpm.vals&gt;=0) * (_xlpm.ints&lt;=_xlpm.limit),
    _xlpm.validVals, _xlfn._xlws.FILTER(_xlpm.vals, _xlpm.mask),
    _xlpm.minVal, MIN(_xlpm.validVals),
    IFERROR( _xlfn.XMATCH(_xlpm.minVal, _xlpm.vals), "" )
)</f>
        <v>4</v>
      </c>
      <c r="AJ393" cm="1">
        <f t="array" ref="AJ393">_xlfn.LET(
    _xlpm.vals, CHOOSE({1,2,3,4,5,6}, S393, V393, Y393, AB393, AE393, AH393),
    _xlpm.slopes, CHOOSE({1,2,3,4,5,6}, Q393, T393, W393, Z393, AC393, AF393),
    _xlpm.ints, CHOOSE({1,2,3,4,5,6}, R393, U393, X393, AA393, AD393, AG393),
    _xlpm.limit, -0.00001*_xlpm.slopes + 0.1086*_xlpm.slopes + 63.253,
    _xlpm.valid, (_xlpm.vals &gt;= 0) * (_xlpm.ints &lt;= _xlpm.limit),
    _xlpm.target, MIN(_xlfn._xlws.FILTER(_xlpm.vals, _xlpm.valid)),
    IFERROR(
        _xlfn.XLOOKUP(_xlpm.target, _xlpm.vals, _xlpm.vals),
        CHOOSE({1,2,3,4,5,6}, S$1, V$1, Y$1, AB$1, AE$1, AH$1)
    )
)</f>
        <v>1.2143204142107458</v>
      </c>
    </row>
    <row r="394" spans="9:36" x14ac:dyDescent="0.45">
      <c r="I394">
        <v>392</v>
      </c>
      <c r="J394">
        <v>30</v>
      </c>
      <c r="K394">
        <f t="shared" si="139"/>
        <v>30</v>
      </c>
      <c r="L394">
        <f t="shared" si="138"/>
        <v>8.3333333333333332E-3</v>
      </c>
      <c r="M394">
        <v>4.55</v>
      </c>
      <c r="N394">
        <f t="shared" si="140"/>
        <v>4.55</v>
      </c>
      <c r="O394">
        <f t="shared" si="141"/>
        <v>389.85548361534734</v>
      </c>
      <c r="P394">
        <f t="shared" si="142"/>
        <v>1247.5375475691117</v>
      </c>
      <c r="Q394">
        <f t="shared" si="143"/>
        <v>5713.7219678665315</v>
      </c>
      <c r="R394">
        <f t="shared" si="144"/>
        <v>7.604377620829724</v>
      </c>
      <c r="S394">
        <f t="shared" si="145"/>
        <v>5.8006561974366875</v>
      </c>
      <c r="T394">
        <f t="shared" si="146"/>
        <v>3692.7111408045703</v>
      </c>
      <c r="U394">
        <f t="shared" si="147"/>
        <v>11.766232940337884</v>
      </c>
      <c r="V394">
        <f t="shared" si="148"/>
        <v>1.7697687378917377</v>
      </c>
      <c r="W394">
        <f t="shared" si="149"/>
        <v>2382.7967158570032</v>
      </c>
      <c r="X394">
        <f t="shared" si="150"/>
        <v>18.234580891832536</v>
      </c>
      <c r="Y394">
        <f t="shared" si="151"/>
        <v>0.91037091811639781</v>
      </c>
      <c r="Z394">
        <f t="shared" si="152"/>
        <v>1796.4540684995206</v>
      </c>
      <c r="AA394">
        <f t="shared" si="153"/>
        <v>24.186145488472324</v>
      </c>
      <c r="AB394">
        <f t="shared" si="154"/>
        <v>0.7635352344812899</v>
      </c>
      <c r="AC394">
        <f t="shared" si="155"/>
        <v>6000</v>
      </c>
      <c r="AD394">
        <f t="shared" si="156"/>
        <v>7.241549910681238</v>
      </c>
      <c r="AE394">
        <f t="shared" si="157"/>
        <v>6.7520507729668138</v>
      </c>
      <c r="AF394">
        <f t="shared" si="158"/>
        <v>6000</v>
      </c>
      <c r="AG394">
        <f t="shared" si="159"/>
        <v>7.241549910681238</v>
      </c>
      <c r="AH394">
        <f t="shared" si="160"/>
        <v>6.7520507729668138</v>
      </c>
      <c r="AI394" cm="1">
        <f t="array" ref="AI394">_xlfn.LET(
    _xlpm.vals,   _xlfn.HSTACK(S394,V394,Y394,AB394,AE394,AH394),
    _xlpm.ints,   _xlfn.HSTACK(R394,U394,X394,AA394,AD394,AG394),
    _xlpm.slopes, _xlfn.HSTACK(Q394,T394,W394,Z394,AC394,AF394),
    _xlpm.limit,  -0.00001*_xlpm.slopes + 0.1086*_xlpm.slopes + 63.253,
    _xlpm.mask,   (_xlpm.vals&gt;=0) * (_xlpm.ints&lt;=_xlpm.limit),
    _xlpm.validVals, _xlfn._xlws.FILTER(_xlpm.vals, _xlpm.mask),
    _xlpm.minVal, MIN(_xlpm.validVals),
    IFERROR( _xlfn.XMATCH(_xlpm.minVal, _xlpm.vals), "" )
)</f>
        <v>4</v>
      </c>
      <c r="AJ394" cm="1">
        <f t="array" ref="AJ394">_xlfn.LET(
    _xlpm.vals, CHOOSE({1,2,3,4,5,6}, S394, V394, Y394, AB394, AE394, AH394),
    _xlpm.slopes, CHOOSE({1,2,3,4,5,6}, Q394, T394, W394, Z394, AC394, AF394),
    _xlpm.ints, CHOOSE({1,2,3,4,5,6}, R394, U394, X394, AA394, AD394, AG394),
    _xlpm.limit, -0.00001*_xlpm.slopes + 0.1086*_xlpm.slopes + 63.253,
    _xlpm.valid, (_xlpm.vals &gt;= 0) * (_xlpm.ints &lt;= _xlpm.limit),
    _xlpm.target, MIN(_xlfn._xlws.FILTER(_xlpm.vals, _xlpm.valid)),
    IFERROR(
        _xlfn.XLOOKUP(_xlpm.target, _xlpm.vals, _xlpm.vals),
        CHOOSE({1,2,3,4,5,6}, S$1, V$1, Y$1, AB$1, AE$1, AH$1)
    )
)</f>
        <v>0.7635352344812899</v>
      </c>
    </row>
    <row r="395" spans="9:36" x14ac:dyDescent="0.45">
      <c r="I395">
        <v>393</v>
      </c>
      <c r="J395">
        <v>30</v>
      </c>
      <c r="K395">
        <f t="shared" si="139"/>
        <v>30</v>
      </c>
      <c r="L395">
        <f t="shared" si="138"/>
        <v>8.3333333333333332E-3</v>
      </c>
      <c r="M395">
        <v>3.15</v>
      </c>
      <c r="N395">
        <f t="shared" si="140"/>
        <v>3.15</v>
      </c>
      <c r="O395">
        <f t="shared" si="141"/>
        <v>389.85548361534734</v>
      </c>
      <c r="P395">
        <f t="shared" si="142"/>
        <v>1247.5375475691117</v>
      </c>
      <c r="Q395">
        <f t="shared" si="143"/>
        <v>5713.7219678665315</v>
      </c>
      <c r="R395">
        <f t="shared" si="144"/>
        <v>5.2645691221128859</v>
      </c>
      <c r="S395">
        <f t="shared" si="145"/>
        <v>5.7776582371282466</v>
      </c>
      <c r="T395">
        <f t="shared" si="146"/>
        <v>3692.7111408045703</v>
      </c>
      <c r="U395">
        <f t="shared" si="147"/>
        <v>8.1458535740800748</v>
      </c>
      <c r="V395">
        <f t="shared" si="148"/>
        <v>1.7099087655646914</v>
      </c>
      <c r="W395">
        <f t="shared" si="149"/>
        <v>2382.7967158570032</v>
      </c>
      <c r="X395">
        <f t="shared" si="150"/>
        <v>12.623940617422525</v>
      </c>
      <c r="Y395">
        <f t="shared" si="151"/>
        <v>0.82526956807435048</v>
      </c>
      <c r="Z395">
        <f t="shared" si="152"/>
        <v>1796.4540684995206</v>
      </c>
      <c r="AA395">
        <f t="shared" si="153"/>
        <v>16.744254568942377</v>
      </c>
      <c r="AB395">
        <f t="shared" si="154"/>
        <v>0.66557104054034055</v>
      </c>
      <c r="AC395">
        <f t="shared" si="155"/>
        <v>6000</v>
      </c>
      <c r="AD395">
        <f t="shared" si="156"/>
        <v>5.0133807073947034</v>
      </c>
      <c r="AE395">
        <f t="shared" si="157"/>
        <v>6.7342261898723317</v>
      </c>
      <c r="AF395">
        <f t="shared" si="158"/>
        <v>6000</v>
      </c>
      <c r="AG395">
        <f t="shared" si="159"/>
        <v>5.0133807073947034</v>
      </c>
      <c r="AH395">
        <f t="shared" si="160"/>
        <v>6.7342261898723317</v>
      </c>
      <c r="AI395" cm="1">
        <f t="array" ref="AI395">_xlfn.LET(
    _xlpm.vals,   _xlfn.HSTACK(S395,V395,Y395,AB395,AE395,AH395),
    _xlpm.ints,   _xlfn.HSTACK(R395,U395,X395,AA395,AD395,AG395),
    _xlpm.slopes, _xlfn.HSTACK(Q395,T395,W395,Z395,AC395,AF395),
    _xlpm.limit,  -0.00001*_xlpm.slopes + 0.1086*_xlpm.slopes + 63.253,
    _xlpm.mask,   (_xlpm.vals&gt;=0) * (_xlpm.ints&lt;=_xlpm.limit),
    _xlpm.validVals, _xlfn._xlws.FILTER(_xlpm.vals, _xlpm.mask),
    _xlpm.minVal, MIN(_xlpm.validVals),
    IFERROR( _xlfn.XMATCH(_xlpm.minVal, _xlpm.vals), "" )
)</f>
        <v>4</v>
      </c>
      <c r="AJ395" cm="1">
        <f t="array" ref="AJ395">_xlfn.LET(
    _xlpm.vals, CHOOSE({1,2,3,4,5,6}, S395, V395, Y395, AB395, AE395, AH395),
    _xlpm.slopes, CHOOSE({1,2,3,4,5,6}, Q395, T395, W395, Z395, AC395, AF395),
    _xlpm.ints, CHOOSE({1,2,3,4,5,6}, R395, U395, X395, AA395, AD395, AG395),
    _xlpm.limit, -0.00001*_xlpm.slopes + 0.1086*_xlpm.slopes + 63.253,
    _xlpm.valid, (_xlpm.vals &gt;= 0) * (_xlpm.ints &lt;= _xlpm.limit),
    _xlpm.target, MIN(_xlfn._xlws.FILTER(_xlpm.vals, _xlpm.valid)),
    IFERROR(
        _xlfn.XLOOKUP(_xlpm.target, _xlpm.vals, _xlpm.vals),
        CHOOSE({1,2,3,4,5,6}, S$1, V$1, Y$1, AB$1, AE$1, AH$1)
    )
)</f>
        <v>0.66557104054034055</v>
      </c>
    </row>
    <row r="396" spans="9:36" x14ac:dyDescent="0.45">
      <c r="I396">
        <v>394</v>
      </c>
      <c r="J396">
        <v>29.8</v>
      </c>
      <c r="K396">
        <f t="shared" si="139"/>
        <v>29.8</v>
      </c>
      <c r="L396">
        <f t="shared" si="138"/>
        <v>8.277777777777778E-3</v>
      </c>
      <c r="M396">
        <v>2.41</v>
      </c>
      <c r="N396">
        <f t="shared" si="140"/>
        <v>2.41</v>
      </c>
      <c r="O396">
        <f t="shared" si="141"/>
        <v>387.25644705791177</v>
      </c>
      <c r="P396">
        <f t="shared" si="142"/>
        <v>1239.2206305853178</v>
      </c>
      <c r="Q396">
        <f t="shared" si="143"/>
        <v>5675.6304880807556</v>
      </c>
      <c r="R396">
        <f t="shared" si="144"/>
        <v>4.0548455047274059</v>
      </c>
      <c r="S396">
        <f t="shared" si="145"/>
        <v>5.6468487683077999</v>
      </c>
      <c r="T396">
        <f t="shared" si="146"/>
        <v>3668.0930665325409</v>
      </c>
      <c r="U396">
        <f t="shared" si="147"/>
        <v>6.2740514904228109</v>
      </c>
      <c r="V396">
        <f t="shared" si="148"/>
        <v>1.6530077133875005</v>
      </c>
      <c r="W396">
        <f t="shared" si="149"/>
        <v>2366.9114044179569</v>
      </c>
      <c r="X396">
        <f t="shared" si="150"/>
        <v>9.7231373882992251</v>
      </c>
      <c r="Y396">
        <f t="shared" si="151"/>
        <v>0.77648663636607407</v>
      </c>
      <c r="Z396">
        <f t="shared" si="152"/>
        <v>1784.4777080428576</v>
      </c>
      <c r="AA396">
        <f t="shared" si="153"/>
        <v>12.896661396980223</v>
      </c>
      <c r="AB396">
        <f t="shared" si="154"/>
        <v>0.61409092764668571</v>
      </c>
      <c r="AC396">
        <f t="shared" si="155"/>
        <v>6000</v>
      </c>
      <c r="AD396">
        <f t="shared" si="156"/>
        <v>3.8356341285146778</v>
      </c>
      <c r="AE396">
        <f t="shared" si="157"/>
        <v>6.7254533666625935</v>
      </c>
      <c r="AF396">
        <f t="shared" si="158"/>
        <v>6000</v>
      </c>
      <c r="AG396">
        <f t="shared" si="159"/>
        <v>3.8356341285146778</v>
      </c>
      <c r="AH396">
        <f t="shared" si="160"/>
        <v>6.7254533666625935</v>
      </c>
      <c r="AI396" cm="1">
        <f t="array" ref="AI396">_xlfn.LET(
    _xlpm.vals,   _xlfn.HSTACK(S396,V396,Y396,AB396,AE396,AH396),
    _xlpm.ints,   _xlfn.HSTACK(R396,U396,X396,AA396,AD396,AG396),
    _xlpm.slopes, _xlfn.HSTACK(Q396,T396,W396,Z396,AC396,AF396),
    _xlpm.limit,  -0.00001*_xlpm.slopes + 0.1086*_xlpm.slopes + 63.253,
    _xlpm.mask,   (_xlpm.vals&gt;=0) * (_xlpm.ints&lt;=_xlpm.limit),
    _xlpm.validVals, _xlfn._xlws.FILTER(_xlpm.vals, _xlpm.mask),
    _xlpm.minVal, MIN(_xlpm.validVals),
    IFERROR( _xlfn.XMATCH(_xlpm.minVal, _xlpm.vals), "" )
)</f>
        <v>4</v>
      </c>
      <c r="AJ396" cm="1">
        <f t="array" ref="AJ396">_xlfn.LET(
    _xlpm.vals, CHOOSE({1,2,3,4,5,6}, S396, V396, Y396, AB396, AE396, AH396),
    _xlpm.slopes, CHOOSE({1,2,3,4,5,6}, Q396, T396, W396, Z396, AC396, AF396),
    _xlpm.ints, CHOOSE({1,2,3,4,5,6}, R396, U396, X396, AA396, AD396, AG396),
    _xlpm.limit, -0.00001*_xlpm.slopes + 0.1086*_xlpm.slopes + 63.253,
    _xlpm.valid, (_xlpm.vals &gt;= 0) * (_xlpm.ints &lt;= _xlpm.limit),
    _xlpm.target, MIN(_xlfn._xlws.FILTER(_xlpm.vals, _xlpm.valid)),
    IFERROR(
        _xlfn.XLOOKUP(_xlpm.target, _xlpm.vals, _xlpm.vals),
        CHOOSE({1,2,3,4,5,6}, S$1, V$1, Y$1, AB$1, AE$1, AH$1)
    )
)</f>
        <v>0.61409092764668571</v>
      </c>
    </row>
    <row r="397" spans="9:36" x14ac:dyDescent="0.45">
      <c r="I397">
        <v>395</v>
      </c>
      <c r="J397">
        <v>29.6</v>
      </c>
      <c r="K397">
        <f t="shared" si="139"/>
        <v>29.6</v>
      </c>
      <c r="L397">
        <f t="shared" si="138"/>
        <v>8.2222222222222228E-3</v>
      </c>
      <c r="M397">
        <v>1.84</v>
      </c>
      <c r="N397">
        <f t="shared" si="140"/>
        <v>1.84</v>
      </c>
      <c r="O397">
        <f t="shared" si="141"/>
        <v>384.65741050047609</v>
      </c>
      <c r="P397">
        <f t="shared" si="142"/>
        <v>1230.9037136015236</v>
      </c>
      <c r="Q397">
        <f t="shared" si="143"/>
        <v>5637.539008294978</v>
      </c>
      <c r="R397">
        <f t="shared" si="144"/>
        <v>3.1167333284065992</v>
      </c>
      <c r="S397">
        <f t="shared" si="145"/>
        <v>5.5203526108412131</v>
      </c>
      <c r="T397">
        <f t="shared" si="146"/>
        <v>3643.4749922605097</v>
      </c>
      <c r="U397">
        <f t="shared" si="147"/>
        <v>4.8225130554399414</v>
      </c>
      <c r="V397">
        <f t="shared" si="148"/>
        <v>1.6037663975545919</v>
      </c>
      <c r="W397">
        <f t="shared" si="149"/>
        <v>2351.0260929789101</v>
      </c>
      <c r="X397">
        <f t="shared" si="150"/>
        <v>7.4736327979592794</v>
      </c>
      <c r="Y397">
        <f t="shared" si="151"/>
        <v>0.73843808126220067</v>
      </c>
      <c r="Z397">
        <f t="shared" si="152"/>
        <v>1772.5013475861938</v>
      </c>
      <c r="AA397">
        <f t="shared" si="153"/>
        <v>9.9129435028487674</v>
      </c>
      <c r="AB397">
        <f t="shared" si="154"/>
        <v>0.57514599879440331</v>
      </c>
      <c r="AC397">
        <f t="shared" si="155"/>
        <v>6000</v>
      </c>
      <c r="AD397">
        <f t="shared" si="156"/>
        <v>2.9284509528908744</v>
      </c>
      <c r="AE397">
        <f t="shared" si="157"/>
        <v>6.7190046541697761</v>
      </c>
      <c r="AF397">
        <f t="shared" si="158"/>
        <v>6000</v>
      </c>
      <c r="AG397">
        <f t="shared" si="159"/>
        <v>2.9284509528908744</v>
      </c>
      <c r="AH397">
        <f t="shared" si="160"/>
        <v>6.7190046541697761</v>
      </c>
      <c r="AI397" cm="1">
        <f t="array" ref="AI397">_xlfn.LET(
    _xlpm.vals,   _xlfn.HSTACK(S397,V397,Y397,AB397,AE397,AH397),
    _xlpm.ints,   _xlfn.HSTACK(R397,U397,X397,AA397,AD397,AG397),
    _xlpm.slopes, _xlfn.HSTACK(Q397,T397,W397,Z397,AC397,AF397),
    _xlpm.limit,  -0.00001*_xlpm.slopes + 0.1086*_xlpm.slopes + 63.253,
    _xlpm.mask,   (_xlpm.vals&gt;=0) * (_xlpm.ints&lt;=_xlpm.limit),
    _xlpm.validVals, _xlfn._xlws.FILTER(_xlpm.vals, _xlpm.mask),
    _xlpm.minVal, MIN(_xlpm.validVals),
    IFERROR( _xlfn.XMATCH(_xlpm.minVal, _xlpm.vals), "" )
)</f>
        <v>4</v>
      </c>
      <c r="AJ397" cm="1">
        <f t="array" ref="AJ397">_xlfn.LET(
    _xlpm.vals, CHOOSE({1,2,3,4,5,6}, S397, V397, Y397, AB397, AE397, AH397),
    _xlpm.slopes, CHOOSE({1,2,3,4,5,6}, Q397, T397, W397, Z397, AC397, AF397),
    _xlpm.ints, CHOOSE({1,2,3,4,5,6}, R397, U397, X397, AA397, AD397, AG397),
    _xlpm.limit, -0.00001*_xlpm.slopes + 0.1086*_xlpm.slopes + 63.253,
    _xlpm.valid, (_xlpm.vals &gt;= 0) * (_xlpm.ints &lt;= _xlpm.limit),
    _xlpm.target, MIN(_xlfn._xlws.FILTER(_xlpm.vals, _xlpm.valid)),
    IFERROR(
        _xlfn.XLOOKUP(_xlpm.target, _xlpm.vals, _xlpm.vals),
        CHOOSE({1,2,3,4,5,6}, S$1, V$1, Y$1, AB$1, AE$1, AH$1)
    )
)</f>
        <v>0.57514599879440331</v>
      </c>
    </row>
    <row r="398" spans="9:36" x14ac:dyDescent="0.45">
      <c r="I398">
        <v>396</v>
      </c>
      <c r="J398">
        <v>29.2</v>
      </c>
      <c r="K398">
        <f t="shared" si="139"/>
        <v>29.2</v>
      </c>
      <c r="L398">
        <f t="shared" si="138"/>
        <v>8.1111111111111106E-3</v>
      </c>
      <c r="M398">
        <v>-0.52</v>
      </c>
      <c r="N398">
        <f t="shared" si="140"/>
        <v>0</v>
      </c>
      <c r="O398">
        <f t="shared" si="141"/>
        <v>379.45933738560478</v>
      </c>
      <c r="P398">
        <f t="shared" si="142"/>
        <v>1214.2698796339353</v>
      </c>
      <c r="Q398">
        <f t="shared" si="143"/>
        <v>5561.3560487234236</v>
      </c>
      <c r="R398">
        <f t="shared" si="144"/>
        <v>0</v>
      </c>
      <c r="S398">
        <f t="shared" si="145"/>
        <v>5.2616005329757698</v>
      </c>
      <c r="T398">
        <f t="shared" si="146"/>
        <v>3594.2388437164482</v>
      </c>
      <c r="U398">
        <f t="shared" si="147"/>
        <v>0</v>
      </c>
      <c r="V398">
        <f t="shared" si="148"/>
        <v>1.4801638361508442</v>
      </c>
      <c r="W398">
        <f t="shared" si="149"/>
        <v>2319.2554701008162</v>
      </c>
      <c r="X398">
        <f t="shared" si="150"/>
        <v>0</v>
      </c>
      <c r="Y398">
        <f t="shared" si="151"/>
        <v>0.62847899901658288</v>
      </c>
      <c r="Z398">
        <f t="shared" si="152"/>
        <v>1748.5486266728667</v>
      </c>
      <c r="AA398">
        <f t="shared" si="153"/>
        <v>0</v>
      </c>
      <c r="AB398">
        <f t="shared" si="154"/>
        <v>0.46146794782706524</v>
      </c>
      <c r="AC398">
        <f t="shared" si="155"/>
        <v>6000</v>
      </c>
      <c r="AD398">
        <f t="shared" si="156"/>
        <v>0</v>
      </c>
      <c r="AE398">
        <f t="shared" si="157"/>
        <v>6.7000407999999982</v>
      </c>
      <c r="AF398">
        <f t="shared" si="158"/>
        <v>6000</v>
      </c>
      <c r="AG398">
        <f t="shared" si="159"/>
        <v>0</v>
      </c>
      <c r="AH398">
        <f t="shared" si="160"/>
        <v>6.7000407999999982</v>
      </c>
      <c r="AI398" cm="1">
        <f t="array" ref="AI398">_xlfn.LET(
    _xlpm.vals,   _xlfn.HSTACK(S398,V398,Y398,AB398,AE398,AH398),
    _xlpm.ints,   _xlfn.HSTACK(R398,U398,X398,AA398,AD398,AG398),
    _xlpm.slopes, _xlfn.HSTACK(Q398,T398,W398,Z398,AC398,AF398),
    _xlpm.limit,  -0.00001*_xlpm.slopes + 0.1086*_xlpm.slopes + 63.253,
    _xlpm.mask,   (_xlpm.vals&gt;=0) * (_xlpm.ints&lt;=_xlpm.limit),
    _xlpm.validVals, _xlfn._xlws.FILTER(_xlpm.vals, _xlpm.mask),
    _xlpm.minVal, MIN(_xlpm.validVals),
    IFERROR( _xlfn.XMATCH(_xlpm.minVal, _xlpm.vals), "" )
)</f>
        <v>4</v>
      </c>
      <c r="AJ398" cm="1">
        <f t="array" ref="AJ398">_xlfn.LET(
    _xlpm.vals, CHOOSE({1,2,3,4,5,6}, S398, V398, Y398, AB398, AE398, AH398),
    _xlpm.slopes, CHOOSE({1,2,3,4,5,6}, Q398, T398, W398, Z398, AC398, AF398),
    _xlpm.ints, CHOOSE({1,2,3,4,5,6}, R398, U398, X398, AA398, AD398, AG398),
    _xlpm.limit, -0.00001*_xlpm.slopes + 0.1086*_xlpm.slopes + 63.253,
    _xlpm.valid, (_xlpm.vals &gt;= 0) * (_xlpm.ints &lt;= _xlpm.limit),
    _xlpm.target, MIN(_xlfn._xlws.FILTER(_xlpm.vals, _xlpm.valid)),
    IFERROR(
        _xlfn.XLOOKUP(_xlpm.target, _xlpm.vals, _xlpm.vals),
        CHOOSE({1,2,3,4,5,6}, S$1, V$1, Y$1, AB$1, AE$1, AH$1)
    )
)</f>
        <v>0.46146794782706524</v>
      </c>
    </row>
    <row r="399" spans="9:36" x14ac:dyDescent="0.45">
      <c r="I399">
        <v>397</v>
      </c>
      <c r="J399">
        <v>27.3</v>
      </c>
      <c r="K399">
        <f t="shared" si="139"/>
        <v>27.3</v>
      </c>
      <c r="L399">
        <f t="shared" si="138"/>
        <v>7.5833333333333334E-3</v>
      </c>
      <c r="M399">
        <v>-0.6</v>
      </c>
      <c r="N399">
        <f t="shared" si="140"/>
        <v>0</v>
      </c>
      <c r="O399">
        <f t="shared" si="141"/>
        <v>354.76849008996612</v>
      </c>
      <c r="P399">
        <f t="shared" si="142"/>
        <v>1135.2591682878917</v>
      </c>
      <c r="Q399">
        <f t="shared" si="143"/>
        <v>5199.4869907585444</v>
      </c>
      <c r="R399">
        <f t="shared" si="144"/>
        <v>0</v>
      </c>
      <c r="S399">
        <f t="shared" si="145"/>
        <v>4.260703024225025</v>
      </c>
      <c r="T399">
        <f t="shared" si="146"/>
        <v>3360.3671381321597</v>
      </c>
      <c r="U399">
        <f t="shared" si="147"/>
        <v>0</v>
      </c>
      <c r="V399">
        <f t="shared" si="148"/>
        <v>1.2555308179702367</v>
      </c>
      <c r="W399">
        <f t="shared" si="149"/>
        <v>2168.345011429873</v>
      </c>
      <c r="X399">
        <f t="shared" si="150"/>
        <v>0</v>
      </c>
      <c r="Y399">
        <f t="shared" si="151"/>
        <v>0.5757807757485689</v>
      </c>
      <c r="Z399">
        <f t="shared" si="152"/>
        <v>1634.7732023345641</v>
      </c>
      <c r="AA399">
        <f t="shared" si="153"/>
        <v>0</v>
      </c>
      <c r="AB399">
        <f t="shared" si="154"/>
        <v>0.43666591169880165</v>
      </c>
      <c r="AC399">
        <f t="shared" si="155"/>
        <v>6000</v>
      </c>
      <c r="AD399">
        <f t="shared" si="156"/>
        <v>0</v>
      </c>
      <c r="AE399">
        <f t="shared" si="157"/>
        <v>6.7000407999999982</v>
      </c>
      <c r="AF399">
        <f t="shared" si="158"/>
        <v>6000</v>
      </c>
      <c r="AG399">
        <f t="shared" si="159"/>
        <v>0</v>
      </c>
      <c r="AH399">
        <f t="shared" si="160"/>
        <v>6.7000407999999982</v>
      </c>
      <c r="AI399" cm="1">
        <f t="array" ref="AI399">_xlfn.LET(
    _xlpm.vals,   _xlfn.HSTACK(S399,V399,Y399,AB399,AE399,AH399),
    _xlpm.ints,   _xlfn.HSTACK(R399,U399,X399,AA399,AD399,AG399),
    _xlpm.slopes, _xlfn.HSTACK(Q399,T399,W399,Z399,AC399,AF399),
    _xlpm.limit,  -0.00001*_xlpm.slopes + 0.1086*_xlpm.slopes + 63.253,
    _xlpm.mask,   (_xlpm.vals&gt;=0) * (_xlpm.ints&lt;=_xlpm.limit),
    _xlpm.validVals, _xlfn._xlws.FILTER(_xlpm.vals, _xlpm.mask),
    _xlpm.minVal, MIN(_xlpm.validVals),
    IFERROR( _xlfn.XMATCH(_xlpm.minVal, _xlpm.vals), "" )
)</f>
        <v>4</v>
      </c>
      <c r="AJ399" cm="1">
        <f t="array" ref="AJ399">_xlfn.LET(
    _xlpm.vals, CHOOSE({1,2,3,4,5,6}, S399, V399, Y399, AB399, AE399, AH399),
    _xlpm.slopes, CHOOSE({1,2,3,4,5,6}, Q399, T399, W399, Z399, AC399, AF399),
    _xlpm.ints, CHOOSE({1,2,3,4,5,6}, R399, U399, X399, AA399, AD399, AG399),
    _xlpm.limit, -0.00001*_xlpm.slopes + 0.1086*_xlpm.slopes + 63.253,
    _xlpm.valid, (_xlpm.vals &gt;= 0) * (_xlpm.ints &lt;= _xlpm.limit),
    _xlpm.target, MIN(_xlfn._xlws.FILTER(_xlpm.vals, _xlpm.valid)),
    IFERROR(
        _xlfn.XLOOKUP(_xlpm.target, _xlpm.vals, _xlpm.vals),
        CHOOSE({1,2,3,4,5,6}, S$1, V$1, Y$1, AB$1, AE$1, AH$1)
    )
)</f>
        <v>0.43666591169880165</v>
      </c>
    </row>
    <row r="400" spans="9:36" x14ac:dyDescent="0.45">
      <c r="I400">
        <v>398</v>
      </c>
      <c r="J400">
        <v>24.4</v>
      </c>
      <c r="K400">
        <f t="shared" si="139"/>
        <v>24.4</v>
      </c>
      <c r="L400">
        <f t="shared" si="138"/>
        <v>6.7777777777777775E-3</v>
      </c>
      <c r="M400">
        <v>-0.87</v>
      </c>
      <c r="N400">
        <f t="shared" si="140"/>
        <v>0</v>
      </c>
      <c r="O400">
        <f t="shared" si="141"/>
        <v>317.08246000714911</v>
      </c>
      <c r="P400">
        <f t="shared" si="142"/>
        <v>1014.6638720228772</v>
      </c>
      <c r="Q400">
        <f t="shared" si="143"/>
        <v>4647.1605338647778</v>
      </c>
      <c r="R400">
        <f t="shared" si="144"/>
        <v>0</v>
      </c>
      <c r="S400">
        <f t="shared" si="145"/>
        <v>3.0239589948828867</v>
      </c>
      <c r="T400">
        <f t="shared" si="146"/>
        <v>3003.4050611877165</v>
      </c>
      <c r="U400">
        <f t="shared" si="147"/>
        <v>0</v>
      </c>
      <c r="V400">
        <f t="shared" si="148"/>
        <v>0.97886862488814019</v>
      </c>
      <c r="W400">
        <f t="shared" si="149"/>
        <v>1938.0079955636952</v>
      </c>
      <c r="X400">
        <f t="shared" si="150"/>
        <v>0</v>
      </c>
      <c r="Y400">
        <f t="shared" si="151"/>
        <v>0.50797960308071732</v>
      </c>
      <c r="Z400">
        <f t="shared" si="152"/>
        <v>1461.1159757129431</v>
      </c>
      <c r="AA400">
        <f t="shared" si="153"/>
        <v>0</v>
      </c>
      <c r="AB400">
        <f t="shared" si="154"/>
        <v>0.40219207240943455</v>
      </c>
      <c r="AC400">
        <f t="shared" si="155"/>
        <v>6000</v>
      </c>
      <c r="AD400">
        <f t="shared" si="156"/>
        <v>0</v>
      </c>
      <c r="AE400">
        <f t="shared" si="157"/>
        <v>6.7000407999999982</v>
      </c>
      <c r="AF400">
        <f t="shared" si="158"/>
        <v>6000</v>
      </c>
      <c r="AG400">
        <f t="shared" si="159"/>
        <v>0</v>
      </c>
      <c r="AH400">
        <f t="shared" si="160"/>
        <v>6.7000407999999982</v>
      </c>
      <c r="AI400" cm="1">
        <f t="array" ref="AI400">_xlfn.LET(
    _xlpm.vals,   _xlfn.HSTACK(S400,V400,Y400,AB400,AE400,AH400),
    _xlpm.ints,   _xlfn.HSTACK(R400,U400,X400,AA400,AD400,AG400),
    _xlpm.slopes, _xlfn.HSTACK(Q400,T400,W400,Z400,AC400,AF400),
    _xlpm.limit,  -0.00001*_xlpm.slopes + 0.1086*_xlpm.slopes + 63.253,
    _xlpm.mask,   (_xlpm.vals&gt;=0) * (_xlpm.ints&lt;=_xlpm.limit),
    _xlpm.validVals, _xlfn._xlws.FILTER(_xlpm.vals, _xlpm.mask),
    _xlpm.minVal, MIN(_xlpm.validVals),
    IFERROR( _xlfn.XMATCH(_xlpm.minVal, _xlpm.vals), "" )
)</f>
        <v>4</v>
      </c>
      <c r="AJ400" cm="1">
        <f t="array" ref="AJ400">_xlfn.LET(
    _xlpm.vals, CHOOSE({1,2,3,4,5,6}, S400, V400, Y400, AB400, AE400, AH400),
    _xlpm.slopes, CHOOSE({1,2,3,4,5,6}, Q400, T400, W400, Z400, AC400, AF400),
    _xlpm.ints, CHOOSE({1,2,3,4,5,6}, R400, U400, X400, AA400, AD400, AG400),
    _xlpm.limit, -0.00001*_xlpm.slopes + 0.1086*_xlpm.slopes + 63.253,
    _xlpm.valid, (_xlpm.vals &gt;= 0) * (_xlpm.ints &lt;= _xlpm.limit),
    _xlpm.target, MIN(_xlfn._xlws.FILTER(_xlpm.vals, _xlpm.valid)),
    IFERROR(
        _xlfn.XLOOKUP(_xlpm.target, _xlpm.vals, _xlpm.vals),
        CHOOSE({1,2,3,4,5,6}, S$1, V$1, Y$1, AB$1, AE$1, AH$1)
    )
)</f>
        <v>0.40219207240943455</v>
      </c>
    </row>
    <row r="401" spans="9:36" x14ac:dyDescent="0.45">
      <c r="I401">
        <v>399</v>
      </c>
      <c r="J401">
        <v>21</v>
      </c>
      <c r="K401">
        <f t="shared" si="139"/>
        <v>21</v>
      </c>
      <c r="L401">
        <f t="shared" si="138"/>
        <v>5.8333333333333336E-3</v>
      </c>
      <c r="M401">
        <v>-1.33</v>
      </c>
      <c r="N401">
        <f t="shared" si="140"/>
        <v>0</v>
      </c>
      <c r="O401">
        <f t="shared" si="141"/>
        <v>272.89883853074315</v>
      </c>
      <c r="P401">
        <f t="shared" si="142"/>
        <v>873.27628329837808</v>
      </c>
      <c r="Q401">
        <f t="shared" si="143"/>
        <v>3999.6053775065716</v>
      </c>
      <c r="R401">
        <f t="shared" si="144"/>
        <v>0</v>
      </c>
      <c r="S401">
        <f t="shared" si="145"/>
        <v>1.9632760260390651</v>
      </c>
      <c r="T401">
        <f t="shared" si="146"/>
        <v>2584.8977985631991</v>
      </c>
      <c r="U401">
        <f t="shared" si="147"/>
        <v>0</v>
      </c>
      <c r="V401">
        <f t="shared" si="148"/>
        <v>0.74060561580385209</v>
      </c>
      <c r="W401">
        <f t="shared" si="149"/>
        <v>1667.9577010999021</v>
      </c>
      <c r="X401">
        <f t="shared" si="150"/>
        <v>0</v>
      </c>
      <c r="Y401">
        <f t="shared" si="151"/>
        <v>0.44369201585479845</v>
      </c>
      <c r="Z401">
        <f t="shared" si="152"/>
        <v>1257.5178479496644</v>
      </c>
      <c r="AA401">
        <f t="shared" si="153"/>
        <v>0</v>
      </c>
      <c r="AB401">
        <f t="shared" si="154"/>
        <v>0.36516320551800369</v>
      </c>
      <c r="AC401">
        <f t="shared" si="155"/>
        <v>6000</v>
      </c>
      <c r="AD401">
        <f t="shared" si="156"/>
        <v>0</v>
      </c>
      <c r="AE401">
        <f t="shared" si="157"/>
        <v>6.7000407999999982</v>
      </c>
      <c r="AF401">
        <f t="shared" si="158"/>
        <v>6000</v>
      </c>
      <c r="AG401">
        <f t="shared" si="159"/>
        <v>0</v>
      </c>
      <c r="AH401">
        <f t="shared" si="160"/>
        <v>6.7000407999999982</v>
      </c>
      <c r="AI401" cm="1">
        <f t="array" ref="AI401">_xlfn.LET(
    _xlpm.vals,   _xlfn.HSTACK(S401,V401,Y401,AB401,AE401,AH401),
    _xlpm.ints,   _xlfn.HSTACK(R401,U401,X401,AA401,AD401,AG401),
    _xlpm.slopes, _xlfn.HSTACK(Q401,T401,W401,Z401,AC401,AF401),
    _xlpm.limit,  -0.00001*_xlpm.slopes + 0.1086*_xlpm.slopes + 63.253,
    _xlpm.mask,   (_xlpm.vals&gt;=0) * (_xlpm.ints&lt;=_xlpm.limit),
    _xlpm.validVals, _xlfn._xlws.FILTER(_xlpm.vals, _xlpm.mask),
    _xlpm.minVal, MIN(_xlpm.validVals),
    IFERROR( _xlfn.XMATCH(_xlpm.minVal, _xlpm.vals), "" )
)</f>
        <v>4</v>
      </c>
      <c r="AJ401" cm="1">
        <f t="array" ref="AJ401">_xlfn.LET(
    _xlpm.vals, CHOOSE({1,2,3,4,5,6}, S401, V401, Y401, AB401, AE401, AH401),
    _xlpm.slopes, CHOOSE({1,2,3,4,5,6}, Q401, T401, W401, Z401, AC401, AF401),
    _xlpm.ints, CHOOSE({1,2,3,4,5,6}, R401, U401, X401, AA401, AD401, AG401),
    _xlpm.limit, -0.00001*_xlpm.slopes + 0.1086*_xlpm.slopes + 63.253,
    _xlpm.valid, (_xlpm.vals &gt;= 0) * (_xlpm.ints &lt;= _xlpm.limit),
    _xlpm.target, MIN(_xlfn._xlws.FILTER(_xlpm.vals, _xlpm.valid)),
    IFERROR(
        _xlfn.XLOOKUP(_xlpm.target, _xlpm.vals, _xlpm.vals),
        CHOOSE({1,2,3,4,5,6}, S$1, V$1, Y$1, AB$1, AE$1, AH$1)
    )
)</f>
        <v>0.36516320551800369</v>
      </c>
    </row>
    <row r="402" spans="9:36" x14ac:dyDescent="0.45">
      <c r="I402">
        <v>400</v>
      </c>
      <c r="J402">
        <v>17.7</v>
      </c>
      <c r="K402">
        <f t="shared" si="139"/>
        <v>17.7</v>
      </c>
      <c r="L402">
        <f t="shared" si="138"/>
        <v>4.9166666666666664E-3</v>
      </c>
      <c r="M402">
        <v>-1.03</v>
      </c>
      <c r="N402">
        <f t="shared" si="140"/>
        <v>0</v>
      </c>
      <c r="O402">
        <f t="shared" si="141"/>
        <v>230.01473533305492</v>
      </c>
      <c r="P402">
        <f t="shared" si="142"/>
        <v>736.04715306577577</v>
      </c>
      <c r="Q402">
        <f t="shared" si="143"/>
        <v>3371.0959610412533</v>
      </c>
      <c r="R402">
        <f t="shared" si="144"/>
        <v>0</v>
      </c>
      <c r="S402">
        <f t="shared" si="145"/>
        <v>1.2650420032562928</v>
      </c>
      <c r="T402">
        <f t="shared" si="146"/>
        <v>2178.6995730746962</v>
      </c>
      <c r="U402">
        <f t="shared" si="147"/>
        <v>0</v>
      </c>
      <c r="V402">
        <f t="shared" si="148"/>
        <v>0.57917037769955249</v>
      </c>
      <c r="W402">
        <f t="shared" si="149"/>
        <v>1405.8500623556317</v>
      </c>
      <c r="X402">
        <f t="shared" si="150"/>
        <v>0</v>
      </c>
      <c r="Y402">
        <f t="shared" si="151"/>
        <v>0.39186938049341813</v>
      </c>
      <c r="Z402">
        <f t="shared" si="152"/>
        <v>1059.907900414717</v>
      </c>
      <c r="AA402">
        <f t="shared" si="153"/>
        <v>0</v>
      </c>
      <c r="AB402">
        <f t="shared" si="154"/>
        <v>0.33052762462624863</v>
      </c>
      <c r="AC402">
        <f t="shared" si="155"/>
        <v>6000</v>
      </c>
      <c r="AD402">
        <f t="shared" si="156"/>
        <v>0</v>
      </c>
      <c r="AE402">
        <f t="shared" si="157"/>
        <v>6.7000407999999982</v>
      </c>
      <c r="AF402">
        <f t="shared" si="158"/>
        <v>6000</v>
      </c>
      <c r="AG402">
        <f t="shared" si="159"/>
        <v>0</v>
      </c>
      <c r="AH402">
        <f t="shared" si="160"/>
        <v>6.7000407999999982</v>
      </c>
      <c r="AI402" cm="1">
        <f t="array" ref="AI402">_xlfn.LET(
    _xlpm.vals,   _xlfn.HSTACK(S402,V402,Y402,AB402,AE402,AH402),
    _xlpm.ints,   _xlfn.HSTACK(R402,U402,X402,AA402,AD402,AG402),
    _xlpm.slopes, _xlfn.HSTACK(Q402,T402,W402,Z402,AC402,AF402),
    _xlpm.limit,  -0.00001*_xlpm.slopes + 0.1086*_xlpm.slopes + 63.253,
    _xlpm.mask,   (_xlpm.vals&gt;=0) * (_xlpm.ints&lt;=_xlpm.limit),
    _xlpm.validVals, _xlfn._xlws.FILTER(_xlpm.vals, _xlpm.mask),
    _xlpm.minVal, MIN(_xlpm.validVals),
    IFERROR( _xlfn.XMATCH(_xlpm.minVal, _xlpm.vals), "" )
)</f>
        <v>4</v>
      </c>
      <c r="AJ402" cm="1">
        <f t="array" ref="AJ402">_xlfn.LET(
    _xlpm.vals, CHOOSE({1,2,3,4,5,6}, S402, V402, Y402, AB402, AE402, AH402),
    _xlpm.slopes, CHOOSE({1,2,3,4,5,6}, Q402, T402, W402, Z402, AC402, AF402),
    _xlpm.ints, CHOOSE({1,2,3,4,5,6}, R402, U402, X402, AA402, AD402, AG402),
    _xlpm.limit, -0.00001*_xlpm.slopes + 0.1086*_xlpm.slopes + 63.253,
    _xlpm.valid, (_xlpm.vals &gt;= 0) * (_xlpm.ints &lt;= _xlpm.limit),
    _xlpm.target, MIN(_xlfn._xlws.FILTER(_xlpm.vals, _xlpm.valid)),
    IFERROR(
        _xlfn.XLOOKUP(_xlpm.target, _xlpm.vals, _xlpm.vals),
        CHOOSE({1,2,3,4,5,6}, S$1, V$1, Y$1, AB$1, AE$1, AH$1)
    )
)</f>
        <v>0.33052762462624863</v>
      </c>
    </row>
    <row r="403" spans="9:36" x14ac:dyDescent="0.45">
      <c r="I403">
        <v>401</v>
      </c>
      <c r="J403">
        <v>14.4</v>
      </c>
      <c r="K403">
        <f t="shared" si="139"/>
        <v>14.4</v>
      </c>
      <c r="L403">
        <f t="shared" si="138"/>
        <v>4.0000000000000001E-3</v>
      </c>
      <c r="M403">
        <v>-0.44</v>
      </c>
      <c r="N403">
        <f t="shared" si="140"/>
        <v>0</v>
      </c>
      <c r="O403">
        <f t="shared" si="141"/>
        <v>187.13063213536674</v>
      </c>
      <c r="P403">
        <f t="shared" si="142"/>
        <v>598.81802283317359</v>
      </c>
      <c r="Q403">
        <f t="shared" si="143"/>
        <v>2742.586544575935</v>
      </c>
      <c r="R403">
        <f t="shared" si="144"/>
        <v>0</v>
      </c>
      <c r="S403">
        <f t="shared" si="145"/>
        <v>0.82069213334355218</v>
      </c>
      <c r="T403">
        <f t="shared" si="146"/>
        <v>1772.5013475861938</v>
      </c>
      <c r="U403">
        <f t="shared" si="147"/>
        <v>0</v>
      </c>
      <c r="V403">
        <f t="shared" si="148"/>
        <v>0.46696238884793367</v>
      </c>
      <c r="W403">
        <f t="shared" si="149"/>
        <v>1143.7424236113616</v>
      </c>
      <c r="X403">
        <f t="shared" si="150"/>
        <v>0</v>
      </c>
      <c r="Y403">
        <f t="shared" si="151"/>
        <v>0.34521030702986227</v>
      </c>
      <c r="Z403">
        <f t="shared" si="152"/>
        <v>6000</v>
      </c>
      <c r="AA403">
        <f t="shared" si="153"/>
        <v>0</v>
      </c>
      <c r="AB403">
        <f t="shared" si="154"/>
        <v>6.7000407999999982</v>
      </c>
      <c r="AC403">
        <f t="shared" si="155"/>
        <v>6000</v>
      </c>
      <c r="AD403">
        <f t="shared" si="156"/>
        <v>0</v>
      </c>
      <c r="AE403">
        <f t="shared" si="157"/>
        <v>6.7000407999999982</v>
      </c>
      <c r="AF403">
        <f t="shared" si="158"/>
        <v>6000</v>
      </c>
      <c r="AG403">
        <f t="shared" si="159"/>
        <v>0</v>
      </c>
      <c r="AH403">
        <f t="shared" si="160"/>
        <v>6.7000407999999982</v>
      </c>
      <c r="AI403" cm="1">
        <f t="array" ref="AI403">_xlfn.LET(
    _xlpm.vals,   _xlfn.HSTACK(S403,V403,Y403,AB403,AE403,AH403),
    _xlpm.ints,   _xlfn.HSTACK(R403,U403,X403,AA403,AD403,AG403),
    _xlpm.slopes, _xlfn.HSTACK(Q403,T403,W403,Z403,AC403,AF403),
    _xlpm.limit,  -0.00001*_xlpm.slopes + 0.1086*_xlpm.slopes + 63.253,
    _xlpm.mask,   (_xlpm.vals&gt;=0) * (_xlpm.ints&lt;=_xlpm.limit),
    _xlpm.validVals, _xlfn._xlws.FILTER(_xlpm.vals, _xlpm.mask),
    _xlpm.minVal, MIN(_xlpm.validVals),
    IFERROR( _xlfn.XMATCH(_xlpm.minVal, _xlpm.vals), "" )
)</f>
        <v>3</v>
      </c>
      <c r="AJ403" cm="1">
        <f t="array" ref="AJ403">_xlfn.LET(
    _xlpm.vals, CHOOSE({1,2,3,4,5,6}, S403, V403, Y403, AB403, AE403, AH403),
    _xlpm.slopes, CHOOSE({1,2,3,4,5,6}, Q403, T403, W403, Z403, AC403, AF403),
    _xlpm.ints, CHOOSE({1,2,3,4,5,6}, R403, U403, X403, AA403, AD403, AG403),
    _xlpm.limit, -0.00001*_xlpm.slopes + 0.1086*_xlpm.slopes + 63.253,
    _xlpm.valid, (_xlpm.vals &gt;= 0) * (_xlpm.ints &lt;= _xlpm.limit),
    _xlpm.target, MIN(_xlfn._xlws.FILTER(_xlpm.vals, _xlpm.valid)),
    IFERROR(
        _xlfn.XLOOKUP(_xlpm.target, _xlpm.vals, _xlpm.vals),
        CHOOSE({1,2,3,4,5,6}, S$1, V$1, Y$1, AB$1, AE$1, AH$1)
    )
)</f>
        <v>0.34521030702986227</v>
      </c>
    </row>
    <row r="404" spans="9:36" x14ac:dyDescent="0.45">
      <c r="I404">
        <v>402</v>
      </c>
      <c r="J404">
        <v>10.9</v>
      </c>
      <c r="K404">
        <f t="shared" si="139"/>
        <v>10.9</v>
      </c>
      <c r="L404">
        <f t="shared" si="138"/>
        <v>3.0277777777777777E-3</v>
      </c>
      <c r="M404">
        <v>-0.42</v>
      </c>
      <c r="N404">
        <f t="shared" si="140"/>
        <v>0</v>
      </c>
      <c r="O404">
        <f t="shared" si="141"/>
        <v>141.64749238024285</v>
      </c>
      <c r="P404">
        <f t="shared" si="142"/>
        <v>453.27197561677713</v>
      </c>
      <c r="Q404">
        <f t="shared" si="143"/>
        <v>2075.9856483248391</v>
      </c>
      <c r="R404">
        <f t="shared" si="144"/>
        <v>0</v>
      </c>
      <c r="S404">
        <f t="shared" si="145"/>
        <v>0.5469101613478754</v>
      </c>
      <c r="T404">
        <f t="shared" si="146"/>
        <v>1341.6850478256604</v>
      </c>
      <c r="U404">
        <f t="shared" si="147"/>
        <v>0</v>
      </c>
      <c r="V404">
        <f t="shared" si="148"/>
        <v>0.38016920047543873</v>
      </c>
      <c r="W404">
        <f t="shared" si="149"/>
        <v>6000</v>
      </c>
      <c r="X404">
        <f t="shared" si="150"/>
        <v>0</v>
      </c>
      <c r="Y404">
        <f t="shared" si="151"/>
        <v>6.7000407999999982</v>
      </c>
      <c r="Z404">
        <f t="shared" si="152"/>
        <v>6000</v>
      </c>
      <c r="AA404">
        <f t="shared" si="153"/>
        <v>0</v>
      </c>
      <c r="AB404">
        <f t="shared" si="154"/>
        <v>6.7000407999999982</v>
      </c>
      <c r="AC404">
        <f t="shared" si="155"/>
        <v>6000</v>
      </c>
      <c r="AD404">
        <f t="shared" si="156"/>
        <v>0</v>
      </c>
      <c r="AE404">
        <f t="shared" si="157"/>
        <v>6.7000407999999982</v>
      </c>
      <c r="AF404">
        <f t="shared" si="158"/>
        <v>6000</v>
      </c>
      <c r="AG404">
        <f t="shared" si="159"/>
        <v>0</v>
      </c>
      <c r="AH404">
        <f t="shared" si="160"/>
        <v>6.7000407999999982</v>
      </c>
      <c r="AI404" cm="1">
        <f t="array" ref="AI404">_xlfn.LET(
    _xlpm.vals,   _xlfn.HSTACK(S404,V404,Y404,AB404,AE404,AH404),
    _xlpm.ints,   _xlfn.HSTACK(R404,U404,X404,AA404,AD404,AG404),
    _xlpm.slopes, _xlfn.HSTACK(Q404,T404,W404,Z404,AC404,AF404),
    _xlpm.limit,  -0.00001*_xlpm.slopes + 0.1086*_xlpm.slopes + 63.253,
    _xlpm.mask,   (_xlpm.vals&gt;=0) * (_xlpm.ints&lt;=_xlpm.limit),
    _xlpm.validVals, _xlfn._xlws.FILTER(_xlpm.vals, _xlpm.mask),
    _xlpm.minVal, MIN(_xlpm.validVals),
    IFERROR( _xlfn.XMATCH(_xlpm.minVal, _xlpm.vals), "" )
)</f>
        <v>2</v>
      </c>
      <c r="AJ404" cm="1">
        <f t="array" ref="AJ404">_xlfn.LET(
    _xlpm.vals, CHOOSE({1,2,3,4,5,6}, S404, V404, Y404, AB404, AE404, AH404),
    _xlpm.slopes, CHOOSE({1,2,3,4,5,6}, Q404, T404, W404, Z404, AC404, AF404),
    _xlpm.ints, CHOOSE({1,2,3,4,5,6}, R404, U404, X404, AA404, AD404, AG404),
    _xlpm.limit, -0.00001*_xlpm.slopes + 0.1086*_xlpm.slopes + 63.253,
    _xlpm.valid, (_xlpm.vals &gt;= 0) * (_xlpm.ints &lt;= _xlpm.limit),
    _xlpm.target, MIN(_xlfn._xlws.FILTER(_xlpm.vals, _xlpm.valid)),
    IFERROR(
        _xlfn.XLOOKUP(_xlpm.target, _xlpm.vals, _xlpm.vals),
        CHOOSE({1,2,3,4,5,6}, S$1, V$1, Y$1, AB$1, AE$1, AH$1)
    )
)</f>
        <v>0.38016920047543873</v>
      </c>
    </row>
    <row r="405" spans="9:36" x14ac:dyDescent="0.45">
      <c r="I405">
        <v>403</v>
      </c>
      <c r="J405">
        <v>7.5</v>
      </c>
      <c r="K405">
        <f t="shared" si="139"/>
        <v>7.5</v>
      </c>
      <c r="L405">
        <f t="shared" si="138"/>
        <v>2.0833333333333333E-3</v>
      </c>
      <c r="M405">
        <v>-0.02</v>
      </c>
      <c r="N405">
        <f t="shared" si="140"/>
        <v>0</v>
      </c>
      <c r="O405">
        <f t="shared" si="141"/>
        <v>97.463870903836835</v>
      </c>
      <c r="P405">
        <f t="shared" si="142"/>
        <v>311.88438689227792</v>
      </c>
      <c r="Q405">
        <f t="shared" si="143"/>
        <v>1428.4304919666329</v>
      </c>
      <c r="R405">
        <f t="shared" si="144"/>
        <v>0</v>
      </c>
      <c r="S405">
        <f t="shared" si="145"/>
        <v>0.3960565024437902</v>
      </c>
      <c r="T405">
        <f t="shared" si="146"/>
        <v>6000</v>
      </c>
      <c r="U405">
        <f t="shared" si="147"/>
        <v>0</v>
      </c>
      <c r="V405">
        <f t="shared" si="148"/>
        <v>6.7000407999999982</v>
      </c>
      <c r="W405">
        <f t="shared" si="149"/>
        <v>6000</v>
      </c>
      <c r="X405">
        <f t="shared" si="150"/>
        <v>0</v>
      </c>
      <c r="Y405">
        <f t="shared" si="151"/>
        <v>6.7000407999999982</v>
      </c>
      <c r="Z405">
        <f t="shared" si="152"/>
        <v>6000</v>
      </c>
      <c r="AA405">
        <f t="shared" si="153"/>
        <v>0</v>
      </c>
      <c r="AB405">
        <f t="shared" si="154"/>
        <v>6.7000407999999982</v>
      </c>
      <c r="AC405">
        <f t="shared" si="155"/>
        <v>6000</v>
      </c>
      <c r="AD405">
        <f t="shared" si="156"/>
        <v>0</v>
      </c>
      <c r="AE405">
        <f t="shared" si="157"/>
        <v>6.7000407999999982</v>
      </c>
      <c r="AF405">
        <f t="shared" si="158"/>
        <v>6000</v>
      </c>
      <c r="AG405">
        <f t="shared" si="159"/>
        <v>0</v>
      </c>
      <c r="AH405">
        <f t="shared" si="160"/>
        <v>6.7000407999999982</v>
      </c>
      <c r="AI405" cm="1">
        <f t="array" ref="AI405">_xlfn.LET(
    _xlpm.vals,   _xlfn.HSTACK(S405,V405,Y405,AB405,AE405,AH405),
    _xlpm.ints,   _xlfn.HSTACK(R405,U405,X405,AA405,AD405,AG405),
    _xlpm.slopes, _xlfn.HSTACK(Q405,T405,W405,Z405,AC405,AF405),
    _xlpm.limit,  -0.00001*_xlpm.slopes + 0.1086*_xlpm.slopes + 63.253,
    _xlpm.mask,   (_xlpm.vals&gt;=0) * (_xlpm.ints&lt;=_xlpm.limit),
    _xlpm.validVals, _xlfn._xlws.FILTER(_xlpm.vals, _xlpm.mask),
    _xlpm.minVal, MIN(_xlpm.validVals),
    IFERROR( _xlfn.XMATCH(_xlpm.minVal, _xlpm.vals), "" )
)</f>
        <v>1</v>
      </c>
      <c r="AJ405" cm="1">
        <f t="array" ref="AJ405">_xlfn.LET(
    _xlpm.vals, CHOOSE({1,2,3,4,5,6}, S405, V405, Y405, AB405, AE405, AH405),
    _xlpm.slopes, CHOOSE({1,2,3,4,5,6}, Q405, T405, W405, Z405, AC405, AF405),
    _xlpm.ints, CHOOSE({1,2,3,4,5,6}, R405, U405, X405, AA405, AD405, AG405),
    _xlpm.limit, -0.00001*_xlpm.slopes + 0.1086*_xlpm.slopes + 63.253,
    _xlpm.valid, (_xlpm.vals &gt;= 0) * (_xlpm.ints &lt;= _xlpm.limit),
    _xlpm.target, MIN(_xlfn._xlws.FILTER(_xlpm.vals, _xlpm.valid)),
    IFERROR(
        _xlfn.XLOOKUP(_xlpm.target, _xlpm.vals, _xlpm.vals),
        CHOOSE({1,2,3,4,5,6}, S$1, V$1, Y$1, AB$1, AE$1, AH$1)
    )
)</f>
        <v>0.3960565024437902</v>
      </c>
    </row>
    <row r="406" spans="9:36" x14ac:dyDescent="0.45">
      <c r="I406">
        <v>404</v>
      </c>
      <c r="J406">
        <v>4.0999999999999996</v>
      </c>
      <c r="K406">
        <f t="shared" si="139"/>
        <v>4.0999999999999996</v>
      </c>
      <c r="L406">
        <f t="shared" si="138"/>
        <v>1.1388888888888887E-3</v>
      </c>
      <c r="M406">
        <v>0.85</v>
      </c>
      <c r="N406">
        <f t="shared" si="140"/>
        <v>0.85</v>
      </c>
      <c r="O406">
        <f t="shared" si="141"/>
        <v>53.280249427430803</v>
      </c>
      <c r="P406">
        <f t="shared" si="142"/>
        <v>170.49679816777859</v>
      </c>
      <c r="Q406">
        <f t="shared" si="143"/>
        <v>1000</v>
      </c>
      <c r="R406">
        <f t="shared" si="144"/>
        <v>8.1169020976866637</v>
      </c>
      <c r="S406">
        <f t="shared" si="145"/>
        <v>0.37019167955230636</v>
      </c>
      <c r="T406">
        <f t="shared" si="146"/>
        <v>6000</v>
      </c>
      <c r="U406">
        <f t="shared" si="147"/>
        <v>1.3528170162811104</v>
      </c>
      <c r="V406">
        <f t="shared" si="148"/>
        <v>6.7084477904634747</v>
      </c>
      <c r="W406">
        <f t="shared" si="149"/>
        <v>6000</v>
      </c>
      <c r="X406">
        <f t="shared" si="150"/>
        <v>1.3528170162811104</v>
      </c>
      <c r="Y406">
        <f t="shared" si="151"/>
        <v>6.7084477904634747</v>
      </c>
      <c r="Z406">
        <f t="shared" si="152"/>
        <v>6000</v>
      </c>
      <c r="AA406">
        <f t="shared" si="153"/>
        <v>1.3528170162811104</v>
      </c>
      <c r="AB406">
        <f t="shared" si="154"/>
        <v>6.7084477904634747</v>
      </c>
      <c r="AC406">
        <f t="shared" si="155"/>
        <v>6000</v>
      </c>
      <c r="AD406">
        <f t="shared" si="156"/>
        <v>1.3528170162811104</v>
      </c>
      <c r="AE406">
        <f t="shared" si="157"/>
        <v>6.7084477904634747</v>
      </c>
      <c r="AF406">
        <f t="shared" si="158"/>
        <v>6000</v>
      </c>
      <c r="AG406">
        <f t="shared" si="159"/>
        <v>1.3528170162811104</v>
      </c>
      <c r="AH406">
        <f t="shared" si="160"/>
        <v>6.7084477904634747</v>
      </c>
      <c r="AI406" cm="1">
        <f t="array" ref="AI406">_xlfn.LET(
    _xlpm.vals,   _xlfn.HSTACK(S406,V406,Y406,AB406,AE406,AH406),
    _xlpm.ints,   _xlfn.HSTACK(R406,U406,X406,AA406,AD406,AG406),
    _xlpm.slopes, _xlfn.HSTACK(Q406,T406,W406,Z406,AC406,AF406),
    _xlpm.limit,  -0.00001*_xlpm.slopes + 0.1086*_xlpm.slopes + 63.253,
    _xlpm.mask,   (_xlpm.vals&gt;=0) * (_xlpm.ints&lt;=_xlpm.limit),
    _xlpm.validVals, _xlfn._xlws.FILTER(_xlpm.vals, _xlpm.mask),
    _xlpm.minVal, MIN(_xlpm.validVals),
    IFERROR( _xlfn.XMATCH(_xlpm.minVal, _xlpm.vals), "" )
)</f>
        <v>1</v>
      </c>
      <c r="AJ406" cm="1">
        <f t="array" ref="AJ406">_xlfn.LET(
    _xlpm.vals, CHOOSE({1,2,3,4,5,6}, S406, V406, Y406, AB406, AE406, AH406),
    _xlpm.slopes, CHOOSE({1,2,3,4,5,6}, Q406, T406, W406, Z406, AC406, AF406),
    _xlpm.ints, CHOOSE({1,2,3,4,5,6}, R406, U406, X406, AA406, AD406, AG406),
    _xlpm.limit, -0.00001*_xlpm.slopes + 0.1086*_xlpm.slopes + 63.253,
    _xlpm.valid, (_xlpm.vals &gt;= 0) * (_xlpm.ints &lt;= _xlpm.limit),
    _xlpm.target, MIN(_xlfn._xlws.FILTER(_xlpm.vals, _xlpm.valid)),
    IFERROR(
        _xlfn.XLOOKUP(_xlpm.target, _xlpm.vals, _xlpm.vals),
        CHOOSE({1,2,3,4,5,6}, S$1, V$1, Y$1, AB$1, AE$1, AH$1)
    )
)</f>
        <v>0.37019167955230636</v>
      </c>
    </row>
    <row r="407" spans="9:36" x14ac:dyDescent="0.45">
      <c r="I407">
        <v>405</v>
      </c>
      <c r="J407">
        <v>1.8</v>
      </c>
      <c r="K407">
        <f t="shared" si="139"/>
        <v>1.8</v>
      </c>
      <c r="L407">
        <f t="shared" si="138"/>
        <v>5.0000000000000001E-4</v>
      </c>
      <c r="M407">
        <v>1.03</v>
      </c>
      <c r="N407">
        <f t="shared" si="140"/>
        <v>1.03</v>
      </c>
      <c r="O407">
        <f t="shared" si="141"/>
        <v>23.391329016920842</v>
      </c>
      <c r="P407">
        <f t="shared" si="142"/>
        <v>74.852252854146698</v>
      </c>
      <c r="Q407">
        <f t="shared" si="143"/>
        <v>1000</v>
      </c>
      <c r="R407">
        <f t="shared" si="144"/>
        <v>9.8357754830791322</v>
      </c>
      <c r="S407">
        <f t="shared" si="145"/>
        <v>0.3818392106947559</v>
      </c>
      <c r="T407">
        <f t="shared" si="146"/>
        <v>6000</v>
      </c>
      <c r="U407">
        <f t="shared" si="147"/>
        <v>1.639295913846522</v>
      </c>
      <c r="V407">
        <f t="shared" si="148"/>
        <v>6.7103061851388288</v>
      </c>
      <c r="W407">
        <f t="shared" si="149"/>
        <v>6000</v>
      </c>
      <c r="X407">
        <f t="shared" si="150"/>
        <v>1.639295913846522</v>
      </c>
      <c r="Y407">
        <f t="shared" si="151"/>
        <v>6.7103061851388288</v>
      </c>
      <c r="Z407">
        <f t="shared" si="152"/>
        <v>6000</v>
      </c>
      <c r="AA407">
        <f t="shared" si="153"/>
        <v>1.639295913846522</v>
      </c>
      <c r="AB407">
        <f t="shared" si="154"/>
        <v>6.7103061851388288</v>
      </c>
      <c r="AC407">
        <f t="shared" si="155"/>
        <v>6000</v>
      </c>
      <c r="AD407">
        <f t="shared" si="156"/>
        <v>1.639295913846522</v>
      </c>
      <c r="AE407">
        <f t="shared" si="157"/>
        <v>6.7103061851388288</v>
      </c>
      <c r="AF407">
        <f t="shared" si="158"/>
        <v>6000</v>
      </c>
      <c r="AG407">
        <f t="shared" si="159"/>
        <v>1.639295913846522</v>
      </c>
      <c r="AH407">
        <f t="shared" si="160"/>
        <v>6.7103061851388288</v>
      </c>
      <c r="AI407" cm="1">
        <f t="array" ref="AI407">_xlfn.LET(
    _xlpm.vals,   _xlfn.HSTACK(S407,V407,Y407,AB407,AE407,AH407),
    _xlpm.ints,   _xlfn.HSTACK(R407,U407,X407,AA407,AD407,AG407),
    _xlpm.slopes, _xlfn.HSTACK(Q407,T407,W407,Z407,AC407,AF407),
    _xlpm.limit,  -0.00001*_xlpm.slopes + 0.1086*_xlpm.slopes + 63.253,
    _xlpm.mask,   (_xlpm.vals&gt;=0) * (_xlpm.ints&lt;=_xlpm.limit),
    _xlpm.validVals, _xlfn._xlws.FILTER(_xlpm.vals, _xlpm.mask),
    _xlpm.minVal, MIN(_xlpm.validVals),
    IFERROR( _xlfn.XMATCH(_xlpm.minVal, _xlpm.vals), "" )
)</f>
        <v>1</v>
      </c>
      <c r="AJ407" cm="1">
        <f t="array" ref="AJ407">_xlfn.LET(
    _xlpm.vals, CHOOSE({1,2,3,4,5,6}, S407, V407, Y407, AB407, AE407, AH407),
    _xlpm.slopes, CHOOSE({1,2,3,4,5,6}, Q407, T407, W407, Z407, AC407, AF407),
    _xlpm.ints, CHOOSE({1,2,3,4,5,6}, R407, U407, X407, AA407, AD407, AG407),
    _xlpm.limit, -0.00001*_xlpm.slopes + 0.1086*_xlpm.slopes + 63.253,
    _xlpm.valid, (_xlpm.vals &gt;= 0) * (_xlpm.ints &lt;= _xlpm.limit),
    _xlpm.target, MIN(_xlfn._xlws.FILTER(_xlpm.vals, _xlpm.valid)),
    IFERROR(
        _xlfn.XLOOKUP(_xlpm.target, _xlpm.vals, _xlpm.vals),
        CHOOSE({1,2,3,4,5,6}, S$1, V$1, Y$1, AB$1, AE$1, AH$1)
    )
)</f>
        <v>0.3818392106947559</v>
      </c>
    </row>
    <row r="408" spans="9:36" x14ac:dyDescent="0.45">
      <c r="I408">
        <v>406</v>
      </c>
      <c r="J408">
        <v>0.2</v>
      </c>
      <c r="K408">
        <f t="shared" si="139"/>
        <v>0.2</v>
      </c>
      <c r="L408">
        <f t="shared" si="138"/>
        <v>5.5555555555555558E-5</v>
      </c>
      <c r="M408">
        <v>0.94</v>
      </c>
      <c r="N408">
        <f t="shared" si="140"/>
        <v>0.94</v>
      </c>
      <c r="O408">
        <f t="shared" si="141"/>
        <v>2.5990365574356491</v>
      </c>
      <c r="P408">
        <f t="shared" si="142"/>
        <v>8.3169169837940782</v>
      </c>
      <c r="Q408">
        <f t="shared" si="143"/>
        <v>1000</v>
      </c>
      <c r="R408">
        <f t="shared" si="144"/>
        <v>8.9763387903828971</v>
      </c>
      <c r="S408">
        <f t="shared" si="145"/>
        <v>0.37597381066607521</v>
      </c>
      <c r="T408">
        <f t="shared" si="146"/>
        <v>6000</v>
      </c>
      <c r="U408">
        <f t="shared" si="147"/>
        <v>1.4960564650638162</v>
      </c>
      <c r="V408">
        <f t="shared" si="148"/>
        <v>6.7093735867418705</v>
      </c>
      <c r="W408">
        <f t="shared" si="149"/>
        <v>6000</v>
      </c>
      <c r="X408">
        <f t="shared" si="150"/>
        <v>1.4960564650638162</v>
      </c>
      <c r="Y408">
        <f t="shared" si="151"/>
        <v>6.7093735867418705</v>
      </c>
      <c r="Z408">
        <f t="shared" si="152"/>
        <v>6000</v>
      </c>
      <c r="AA408">
        <f t="shared" si="153"/>
        <v>1.4960564650638162</v>
      </c>
      <c r="AB408">
        <f t="shared" si="154"/>
        <v>6.7093735867418705</v>
      </c>
      <c r="AC408">
        <f t="shared" si="155"/>
        <v>6000</v>
      </c>
      <c r="AD408">
        <f t="shared" si="156"/>
        <v>1.4960564650638162</v>
      </c>
      <c r="AE408">
        <f t="shared" si="157"/>
        <v>6.7093735867418705</v>
      </c>
      <c r="AF408">
        <f t="shared" si="158"/>
        <v>6000</v>
      </c>
      <c r="AG408">
        <f t="shared" si="159"/>
        <v>1.4960564650638162</v>
      </c>
      <c r="AH408">
        <f t="shared" si="160"/>
        <v>6.7093735867418705</v>
      </c>
      <c r="AI408" cm="1">
        <f t="array" ref="AI408">_xlfn.LET(
    _xlpm.vals,   _xlfn.HSTACK(S408,V408,Y408,AB408,AE408,AH408),
    _xlpm.ints,   _xlfn.HSTACK(R408,U408,X408,AA408,AD408,AG408),
    _xlpm.slopes, _xlfn.HSTACK(Q408,T408,W408,Z408,AC408,AF408),
    _xlpm.limit,  -0.00001*_xlpm.slopes + 0.1086*_xlpm.slopes + 63.253,
    _xlpm.mask,   (_xlpm.vals&gt;=0) * (_xlpm.ints&lt;=_xlpm.limit),
    _xlpm.validVals, _xlfn._xlws.FILTER(_xlpm.vals, _xlpm.mask),
    _xlpm.minVal, MIN(_xlpm.validVals),
    IFERROR( _xlfn.XMATCH(_xlpm.minVal, _xlpm.vals), "" )
)</f>
        <v>1</v>
      </c>
      <c r="AJ408" cm="1">
        <f t="array" ref="AJ408">_xlfn.LET(
    _xlpm.vals, CHOOSE({1,2,3,4,5,6}, S408, V408, Y408, AB408, AE408, AH408),
    _xlpm.slopes, CHOOSE({1,2,3,4,5,6}, Q408, T408, W408, Z408, AC408, AF408),
    _xlpm.ints, CHOOSE({1,2,3,4,5,6}, R408, U408, X408, AA408, AD408, AG408),
    _xlpm.limit, -0.00001*_xlpm.slopes + 0.1086*_xlpm.slopes + 63.253,
    _xlpm.valid, (_xlpm.vals &gt;= 0) * (_xlpm.ints &lt;= _xlpm.limit),
    _xlpm.target, MIN(_xlfn._xlws.FILTER(_xlpm.vals, _xlpm.valid)),
    IFERROR(
        _xlfn.XLOOKUP(_xlpm.target, _xlpm.vals, _xlpm.vals),
        CHOOSE({1,2,3,4,5,6}, S$1, V$1, Y$1, AB$1, AE$1, AH$1)
    )
)</f>
        <v>0.37597381066607521</v>
      </c>
    </row>
    <row r="409" spans="9:36" x14ac:dyDescent="0.45">
      <c r="I409">
        <v>407</v>
      </c>
      <c r="J409">
        <v>0</v>
      </c>
      <c r="K409">
        <f t="shared" si="139"/>
        <v>0</v>
      </c>
      <c r="L409">
        <f t="shared" si="138"/>
        <v>0</v>
      </c>
      <c r="M409">
        <v>0.84</v>
      </c>
      <c r="N409">
        <f t="shared" si="140"/>
        <v>0.84</v>
      </c>
      <c r="O409">
        <f t="shared" si="141"/>
        <v>0</v>
      </c>
      <c r="P409">
        <f t="shared" si="142"/>
        <v>0</v>
      </c>
      <c r="Q409">
        <f t="shared" si="143"/>
        <v>1000</v>
      </c>
      <c r="R409">
        <f t="shared" si="144"/>
        <v>8.0214091318315255</v>
      </c>
      <c r="S409">
        <f t="shared" si="145"/>
        <v>0.36955441813647172</v>
      </c>
      <c r="T409">
        <f t="shared" si="146"/>
        <v>6000</v>
      </c>
      <c r="U409">
        <f t="shared" si="147"/>
        <v>1.3369015219719209</v>
      </c>
      <c r="V409">
        <f t="shared" si="148"/>
        <v>6.7083453443605716</v>
      </c>
      <c r="W409">
        <f t="shared" si="149"/>
        <v>6000</v>
      </c>
      <c r="X409">
        <f t="shared" si="150"/>
        <v>1.3369015219719209</v>
      </c>
      <c r="Y409">
        <f t="shared" si="151"/>
        <v>6.7083453443605716</v>
      </c>
      <c r="Z409">
        <f t="shared" si="152"/>
        <v>6000</v>
      </c>
      <c r="AA409">
        <f t="shared" si="153"/>
        <v>1.3369015219719209</v>
      </c>
      <c r="AB409">
        <f t="shared" si="154"/>
        <v>6.7083453443605716</v>
      </c>
      <c r="AC409">
        <f t="shared" si="155"/>
        <v>6000</v>
      </c>
      <c r="AD409">
        <f t="shared" si="156"/>
        <v>1.3369015219719209</v>
      </c>
      <c r="AE409">
        <f t="shared" si="157"/>
        <v>6.7083453443605716</v>
      </c>
      <c r="AF409">
        <f t="shared" si="158"/>
        <v>6000</v>
      </c>
      <c r="AG409">
        <f t="shared" si="159"/>
        <v>1.3369015219719209</v>
      </c>
      <c r="AH409">
        <f t="shared" si="160"/>
        <v>6.7083453443605716</v>
      </c>
      <c r="AI409" cm="1">
        <f t="array" ref="AI409">_xlfn.LET(
    _xlpm.vals,   _xlfn.HSTACK(S409,V409,Y409,AB409,AE409,AH409),
    _xlpm.ints,   _xlfn.HSTACK(R409,U409,X409,AA409,AD409,AG409),
    _xlpm.slopes, _xlfn.HSTACK(Q409,T409,W409,Z409,AC409,AF409),
    _xlpm.limit,  -0.00001*_xlpm.slopes + 0.1086*_xlpm.slopes + 63.253,
    _xlpm.mask,   (_xlpm.vals&gt;=0) * (_xlpm.ints&lt;=_xlpm.limit),
    _xlpm.validVals, _xlfn._xlws.FILTER(_xlpm.vals, _xlpm.mask),
    _xlpm.minVal, MIN(_xlpm.validVals),
    IFERROR( _xlfn.XMATCH(_xlpm.minVal, _xlpm.vals), "" )
)</f>
        <v>1</v>
      </c>
      <c r="AJ409" cm="1">
        <f t="array" ref="AJ409">_xlfn.LET(
    _xlpm.vals, CHOOSE({1,2,3,4,5,6}, S409, V409, Y409, AB409, AE409, AH409),
    _xlpm.slopes, CHOOSE({1,2,3,4,5,6}, Q409, T409, W409, Z409, AC409, AF409),
    _xlpm.ints, CHOOSE({1,2,3,4,5,6}, R409, U409, X409, AA409, AD409, AG409),
    _xlpm.limit, -0.00001*_xlpm.slopes + 0.1086*_xlpm.slopes + 63.253,
    _xlpm.valid, (_xlpm.vals &gt;= 0) * (_xlpm.ints &lt;= _xlpm.limit),
    _xlpm.target, MIN(_xlfn._xlws.FILTER(_xlpm.vals, _xlpm.valid)),
    IFERROR(
        _xlfn.XLOOKUP(_xlpm.target, _xlpm.vals, _xlpm.vals),
        CHOOSE({1,2,3,4,5,6}, S$1, V$1, Y$1, AB$1, AE$1, AH$1)
    )
)</f>
        <v>0.36955441813647172</v>
      </c>
    </row>
    <row r="410" spans="9:36" x14ac:dyDescent="0.45">
      <c r="I410">
        <v>408</v>
      </c>
      <c r="J410">
        <v>0</v>
      </c>
      <c r="K410">
        <f t="shared" si="139"/>
        <v>0</v>
      </c>
      <c r="L410">
        <f t="shared" si="138"/>
        <v>0</v>
      </c>
      <c r="M410">
        <v>0.44</v>
      </c>
      <c r="N410">
        <f t="shared" si="140"/>
        <v>0.44</v>
      </c>
      <c r="O410">
        <f t="shared" si="141"/>
        <v>0</v>
      </c>
      <c r="P410">
        <f t="shared" si="142"/>
        <v>0</v>
      </c>
      <c r="Q410">
        <f t="shared" si="143"/>
        <v>1000</v>
      </c>
      <c r="R410">
        <f t="shared" si="144"/>
        <v>4.2016904976260374</v>
      </c>
      <c r="S410">
        <f t="shared" si="145"/>
        <v>0.34494120057447636</v>
      </c>
      <c r="T410">
        <f t="shared" si="146"/>
        <v>6000</v>
      </c>
      <c r="U410">
        <f t="shared" si="147"/>
        <v>0.70028174960433953</v>
      </c>
      <c r="V410">
        <f t="shared" si="148"/>
        <v>6.7043165198543333</v>
      </c>
      <c r="W410">
        <f t="shared" si="149"/>
        <v>6000</v>
      </c>
      <c r="X410">
        <f t="shared" si="150"/>
        <v>0.70028174960433953</v>
      </c>
      <c r="Y410">
        <f t="shared" si="151"/>
        <v>6.7043165198543333</v>
      </c>
      <c r="Z410">
        <f t="shared" si="152"/>
        <v>6000</v>
      </c>
      <c r="AA410">
        <f t="shared" si="153"/>
        <v>0.70028174960433953</v>
      </c>
      <c r="AB410">
        <f t="shared" si="154"/>
        <v>6.7043165198543333</v>
      </c>
      <c r="AC410">
        <f t="shared" si="155"/>
        <v>6000</v>
      </c>
      <c r="AD410">
        <f t="shared" si="156"/>
        <v>0.70028174960433953</v>
      </c>
      <c r="AE410">
        <f t="shared" si="157"/>
        <v>6.7043165198543333</v>
      </c>
      <c r="AF410">
        <f t="shared" si="158"/>
        <v>6000</v>
      </c>
      <c r="AG410">
        <f t="shared" si="159"/>
        <v>0.70028174960433953</v>
      </c>
      <c r="AH410">
        <f t="shared" si="160"/>
        <v>6.7043165198543333</v>
      </c>
      <c r="AI410" cm="1">
        <f t="array" ref="AI410">_xlfn.LET(
    _xlpm.vals,   _xlfn.HSTACK(S410,V410,Y410,AB410,AE410,AH410),
    _xlpm.ints,   _xlfn.HSTACK(R410,U410,X410,AA410,AD410,AG410),
    _xlpm.slopes, _xlfn.HSTACK(Q410,T410,W410,Z410,AC410,AF410),
    _xlpm.limit,  -0.00001*_xlpm.slopes + 0.1086*_xlpm.slopes + 63.253,
    _xlpm.mask,   (_xlpm.vals&gt;=0) * (_xlpm.ints&lt;=_xlpm.limit),
    _xlpm.validVals, _xlfn._xlws.FILTER(_xlpm.vals, _xlpm.mask),
    _xlpm.minVal, MIN(_xlpm.validVals),
    IFERROR( _xlfn.XMATCH(_xlpm.minVal, _xlpm.vals), "" )
)</f>
        <v>1</v>
      </c>
      <c r="AJ410" cm="1">
        <f t="array" ref="AJ410">_xlfn.LET(
    _xlpm.vals, CHOOSE({1,2,3,4,5,6}, S410, V410, Y410, AB410, AE410, AH410),
    _xlpm.slopes, CHOOSE({1,2,3,4,5,6}, Q410, T410, W410, Z410, AC410, AF410),
    _xlpm.ints, CHOOSE({1,2,3,4,5,6}, R410, U410, X410, AA410, AD410, AG410),
    _xlpm.limit, -0.00001*_xlpm.slopes + 0.1086*_xlpm.slopes + 63.253,
    _xlpm.valid, (_xlpm.vals &gt;= 0) * (_xlpm.ints &lt;= _xlpm.limit),
    _xlpm.target, MIN(_xlfn._xlws.FILTER(_xlpm.vals, _xlpm.valid)),
    IFERROR(
        _xlfn.XLOOKUP(_xlpm.target, _xlpm.vals, _xlpm.vals),
        CHOOSE({1,2,3,4,5,6}, S$1, V$1, Y$1, AB$1, AE$1, AH$1)
    )
)</f>
        <v>0.34494120057447636</v>
      </c>
    </row>
    <row r="411" spans="9:36" x14ac:dyDescent="0.45">
      <c r="I411">
        <v>409</v>
      </c>
      <c r="J411">
        <v>0</v>
      </c>
      <c r="K411">
        <f t="shared" si="139"/>
        <v>0</v>
      </c>
      <c r="L411">
        <f t="shared" si="138"/>
        <v>0</v>
      </c>
      <c r="M411">
        <v>0.83</v>
      </c>
      <c r="N411">
        <f t="shared" si="140"/>
        <v>0.83</v>
      </c>
      <c r="O411">
        <f t="shared" si="141"/>
        <v>0</v>
      </c>
      <c r="P411">
        <f t="shared" si="142"/>
        <v>0</v>
      </c>
      <c r="Q411">
        <f t="shared" si="143"/>
        <v>1000</v>
      </c>
      <c r="R411">
        <f t="shared" si="144"/>
        <v>7.9259161659763882</v>
      </c>
      <c r="S411">
        <f t="shared" si="145"/>
        <v>0.36891820290256278</v>
      </c>
      <c r="T411">
        <f t="shared" si="146"/>
        <v>6000</v>
      </c>
      <c r="U411">
        <f t="shared" si="147"/>
        <v>1.3209860276627314</v>
      </c>
      <c r="V411">
        <f t="shared" si="148"/>
        <v>6.7082429823185636</v>
      </c>
      <c r="W411">
        <f t="shared" si="149"/>
        <v>6000</v>
      </c>
      <c r="X411">
        <f t="shared" si="150"/>
        <v>1.3209860276627314</v>
      </c>
      <c r="Y411">
        <f t="shared" si="151"/>
        <v>6.7082429823185636</v>
      </c>
      <c r="Z411">
        <f t="shared" si="152"/>
        <v>6000</v>
      </c>
      <c r="AA411">
        <f t="shared" si="153"/>
        <v>1.3209860276627314</v>
      </c>
      <c r="AB411">
        <f t="shared" si="154"/>
        <v>6.7082429823185636</v>
      </c>
      <c r="AC411">
        <f t="shared" si="155"/>
        <v>6000</v>
      </c>
      <c r="AD411">
        <f t="shared" si="156"/>
        <v>1.3209860276627314</v>
      </c>
      <c r="AE411">
        <f t="shared" si="157"/>
        <v>6.7082429823185636</v>
      </c>
      <c r="AF411">
        <f t="shared" si="158"/>
        <v>6000</v>
      </c>
      <c r="AG411">
        <f t="shared" si="159"/>
        <v>1.3209860276627314</v>
      </c>
      <c r="AH411">
        <f t="shared" si="160"/>
        <v>6.7082429823185636</v>
      </c>
      <c r="AI411" cm="1">
        <f t="array" ref="AI411">_xlfn.LET(
    _xlpm.vals,   _xlfn.HSTACK(S411,V411,Y411,AB411,AE411,AH411),
    _xlpm.ints,   _xlfn.HSTACK(R411,U411,X411,AA411,AD411,AG411),
    _xlpm.slopes, _xlfn.HSTACK(Q411,T411,W411,Z411,AC411,AF411),
    _xlpm.limit,  -0.00001*_xlpm.slopes + 0.1086*_xlpm.slopes + 63.253,
    _xlpm.mask,   (_xlpm.vals&gt;=0) * (_xlpm.ints&lt;=_xlpm.limit),
    _xlpm.validVals, _xlfn._xlws.FILTER(_xlpm.vals, _xlpm.mask),
    _xlpm.minVal, MIN(_xlpm.validVals),
    IFERROR( _xlfn.XMATCH(_xlpm.minVal, _xlpm.vals), "" )
)</f>
        <v>1</v>
      </c>
      <c r="AJ411" cm="1">
        <f t="array" ref="AJ411">_xlfn.LET(
    _xlpm.vals, CHOOSE({1,2,3,4,5,6}, S411, V411, Y411, AB411, AE411, AH411),
    _xlpm.slopes, CHOOSE({1,2,3,4,5,6}, Q411, T411, W411, Z411, AC411, AF411),
    _xlpm.ints, CHOOSE({1,2,3,4,5,6}, R411, U411, X411, AA411, AD411, AG411),
    _xlpm.limit, -0.00001*_xlpm.slopes + 0.1086*_xlpm.slopes + 63.253,
    _xlpm.valid, (_xlpm.vals &gt;= 0) * (_xlpm.ints &lt;= _xlpm.limit),
    _xlpm.target, MIN(_xlfn._xlws.FILTER(_xlpm.vals, _xlpm.valid)),
    IFERROR(
        _xlfn.XLOOKUP(_xlpm.target, _xlpm.vals, _xlpm.vals),
        CHOOSE({1,2,3,4,5,6}, S$1, V$1, Y$1, AB$1, AE$1, AH$1)
    )
)</f>
        <v>0.36891820290256278</v>
      </c>
    </row>
    <row r="412" spans="9:36" x14ac:dyDescent="0.45">
      <c r="I412">
        <v>410</v>
      </c>
      <c r="J412">
        <v>0</v>
      </c>
      <c r="K412">
        <f t="shared" si="139"/>
        <v>0</v>
      </c>
      <c r="L412">
        <f t="shared" si="138"/>
        <v>0</v>
      </c>
      <c r="M412">
        <v>0.46</v>
      </c>
      <c r="N412">
        <f t="shared" si="140"/>
        <v>0.46</v>
      </c>
      <c r="O412">
        <f t="shared" si="141"/>
        <v>0</v>
      </c>
      <c r="P412">
        <f t="shared" si="142"/>
        <v>0</v>
      </c>
      <c r="Q412">
        <f t="shared" si="143"/>
        <v>1000</v>
      </c>
      <c r="R412">
        <f t="shared" si="144"/>
        <v>4.3926764293363121</v>
      </c>
      <c r="S412">
        <f t="shared" si="145"/>
        <v>0.34613031128109145</v>
      </c>
      <c r="T412">
        <f t="shared" si="146"/>
        <v>6000</v>
      </c>
      <c r="U412">
        <f t="shared" si="147"/>
        <v>0.73211273822271861</v>
      </c>
      <c r="V412">
        <f t="shared" si="148"/>
        <v>6.704514758454228</v>
      </c>
      <c r="W412">
        <f t="shared" si="149"/>
        <v>6000</v>
      </c>
      <c r="X412">
        <f t="shared" si="150"/>
        <v>0.73211273822271861</v>
      </c>
      <c r="Y412">
        <f t="shared" si="151"/>
        <v>6.704514758454228</v>
      </c>
      <c r="Z412">
        <f t="shared" si="152"/>
        <v>6000</v>
      </c>
      <c r="AA412">
        <f t="shared" si="153"/>
        <v>0.73211273822271861</v>
      </c>
      <c r="AB412">
        <f t="shared" si="154"/>
        <v>6.704514758454228</v>
      </c>
      <c r="AC412">
        <f t="shared" si="155"/>
        <v>6000</v>
      </c>
      <c r="AD412">
        <f t="shared" si="156"/>
        <v>0.73211273822271861</v>
      </c>
      <c r="AE412">
        <f t="shared" si="157"/>
        <v>6.704514758454228</v>
      </c>
      <c r="AF412">
        <f t="shared" si="158"/>
        <v>6000</v>
      </c>
      <c r="AG412">
        <f t="shared" si="159"/>
        <v>0.73211273822271861</v>
      </c>
      <c r="AH412">
        <f t="shared" si="160"/>
        <v>6.704514758454228</v>
      </c>
      <c r="AI412" cm="1">
        <f t="array" ref="AI412">_xlfn.LET(
    _xlpm.vals,   _xlfn.HSTACK(S412,V412,Y412,AB412,AE412,AH412),
    _xlpm.ints,   _xlfn.HSTACK(R412,U412,X412,AA412,AD412,AG412),
    _xlpm.slopes, _xlfn.HSTACK(Q412,T412,W412,Z412,AC412,AF412),
    _xlpm.limit,  -0.00001*_xlpm.slopes + 0.1086*_xlpm.slopes + 63.253,
    _xlpm.mask,   (_xlpm.vals&gt;=0) * (_xlpm.ints&lt;=_xlpm.limit),
    _xlpm.validVals, _xlfn._xlws.FILTER(_xlpm.vals, _xlpm.mask),
    _xlpm.minVal, MIN(_xlpm.validVals),
    IFERROR( _xlfn.XMATCH(_xlpm.minVal, _xlpm.vals), "" )
)</f>
        <v>1</v>
      </c>
      <c r="AJ412" cm="1">
        <f t="array" ref="AJ412">_xlfn.LET(
    _xlpm.vals, CHOOSE({1,2,3,4,5,6}, S412, V412, Y412, AB412, AE412, AH412),
    _xlpm.slopes, CHOOSE({1,2,3,4,5,6}, Q412, T412, W412, Z412, AC412, AF412),
    _xlpm.ints, CHOOSE({1,2,3,4,5,6}, R412, U412, X412, AA412, AD412, AG412),
    _xlpm.limit, -0.00001*_xlpm.slopes + 0.1086*_xlpm.slopes + 63.253,
    _xlpm.valid, (_xlpm.vals &gt;= 0) * (_xlpm.ints &lt;= _xlpm.limit),
    _xlpm.target, MIN(_xlfn._xlws.FILTER(_xlpm.vals, _xlpm.valid)),
    IFERROR(
        _xlfn.XLOOKUP(_xlpm.target, _xlpm.vals, _xlpm.vals),
        CHOOSE({1,2,3,4,5,6}, S$1, V$1, Y$1, AB$1, AE$1, AH$1)
    )
)</f>
        <v>0.34613031128109145</v>
      </c>
    </row>
    <row r="413" spans="9:36" x14ac:dyDescent="0.45">
      <c r="I413">
        <v>411</v>
      </c>
      <c r="J413">
        <v>0</v>
      </c>
      <c r="K413">
        <f t="shared" si="139"/>
        <v>0</v>
      </c>
      <c r="L413">
        <f t="shared" si="138"/>
        <v>0</v>
      </c>
      <c r="M413">
        <v>0.83</v>
      </c>
      <c r="N413">
        <f t="shared" si="140"/>
        <v>0.83</v>
      </c>
      <c r="O413">
        <f t="shared" si="141"/>
        <v>0</v>
      </c>
      <c r="P413">
        <f t="shared" si="142"/>
        <v>0</v>
      </c>
      <c r="Q413">
        <f t="shared" si="143"/>
        <v>1000</v>
      </c>
      <c r="R413">
        <f t="shared" si="144"/>
        <v>7.9259161659763882</v>
      </c>
      <c r="S413">
        <f t="shared" si="145"/>
        <v>0.36891820290256278</v>
      </c>
      <c r="T413">
        <f t="shared" si="146"/>
        <v>6000</v>
      </c>
      <c r="U413">
        <f t="shared" si="147"/>
        <v>1.3209860276627314</v>
      </c>
      <c r="V413">
        <f t="shared" si="148"/>
        <v>6.7082429823185636</v>
      </c>
      <c r="W413">
        <f t="shared" si="149"/>
        <v>6000</v>
      </c>
      <c r="X413">
        <f t="shared" si="150"/>
        <v>1.3209860276627314</v>
      </c>
      <c r="Y413">
        <f t="shared" si="151"/>
        <v>6.7082429823185636</v>
      </c>
      <c r="Z413">
        <f t="shared" si="152"/>
        <v>6000</v>
      </c>
      <c r="AA413">
        <f t="shared" si="153"/>
        <v>1.3209860276627314</v>
      </c>
      <c r="AB413">
        <f t="shared" si="154"/>
        <v>6.7082429823185636</v>
      </c>
      <c r="AC413">
        <f t="shared" si="155"/>
        <v>6000</v>
      </c>
      <c r="AD413">
        <f t="shared" si="156"/>
        <v>1.3209860276627314</v>
      </c>
      <c r="AE413">
        <f t="shared" si="157"/>
        <v>6.7082429823185636</v>
      </c>
      <c r="AF413">
        <f t="shared" si="158"/>
        <v>6000</v>
      </c>
      <c r="AG413">
        <f t="shared" si="159"/>
        <v>1.3209860276627314</v>
      </c>
      <c r="AH413">
        <f t="shared" si="160"/>
        <v>6.7082429823185636</v>
      </c>
      <c r="AI413" cm="1">
        <f t="array" ref="AI413">_xlfn.LET(
    _xlpm.vals,   _xlfn.HSTACK(S413,V413,Y413,AB413,AE413,AH413),
    _xlpm.ints,   _xlfn.HSTACK(R413,U413,X413,AA413,AD413,AG413),
    _xlpm.slopes, _xlfn.HSTACK(Q413,T413,W413,Z413,AC413,AF413),
    _xlpm.limit,  -0.00001*_xlpm.slopes + 0.1086*_xlpm.slopes + 63.253,
    _xlpm.mask,   (_xlpm.vals&gt;=0) * (_xlpm.ints&lt;=_xlpm.limit),
    _xlpm.validVals, _xlfn._xlws.FILTER(_xlpm.vals, _xlpm.mask),
    _xlpm.minVal, MIN(_xlpm.validVals),
    IFERROR( _xlfn.XMATCH(_xlpm.minVal, _xlpm.vals), "" )
)</f>
        <v>1</v>
      </c>
      <c r="AJ413" cm="1">
        <f t="array" ref="AJ413">_xlfn.LET(
    _xlpm.vals, CHOOSE({1,2,3,4,5,6}, S413, V413, Y413, AB413, AE413, AH413),
    _xlpm.slopes, CHOOSE({1,2,3,4,5,6}, Q413, T413, W413, Z413, AC413, AF413),
    _xlpm.ints, CHOOSE({1,2,3,4,5,6}, R413, U413, X413, AA413, AD413, AG413),
    _xlpm.limit, -0.00001*_xlpm.slopes + 0.1086*_xlpm.slopes + 63.253,
    _xlpm.valid, (_xlpm.vals &gt;= 0) * (_xlpm.ints &lt;= _xlpm.limit),
    _xlpm.target, MIN(_xlfn._xlws.FILTER(_xlpm.vals, _xlpm.valid)),
    IFERROR(
        _xlfn.XLOOKUP(_xlpm.target, _xlpm.vals, _xlpm.vals),
        CHOOSE({1,2,3,4,5,6}, S$1, V$1, Y$1, AB$1, AE$1, AH$1)
    )
)</f>
        <v>0.36891820290256278</v>
      </c>
    </row>
    <row r="414" spans="9:36" x14ac:dyDescent="0.45">
      <c r="I414">
        <v>412</v>
      </c>
      <c r="J414">
        <v>0</v>
      </c>
      <c r="K414">
        <f t="shared" si="139"/>
        <v>0</v>
      </c>
      <c r="L414">
        <f t="shared" si="138"/>
        <v>0</v>
      </c>
      <c r="M414">
        <v>0.64</v>
      </c>
      <c r="N414">
        <f t="shared" si="140"/>
        <v>0.64</v>
      </c>
      <c r="O414">
        <f t="shared" si="141"/>
        <v>0</v>
      </c>
      <c r="P414">
        <f t="shared" si="142"/>
        <v>0</v>
      </c>
      <c r="Q414">
        <f t="shared" si="143"/>
        <v>1000</v>
      </c>
      <c r="R414">
        <f t="shared" si="144"/>
        <v>6.1115498147287814</v>
      </c>
      <c r="S414">
        <f t="shared" si="145"/>
        <v>0.35703130471806926</v>
      </c>
      <c r="T414">
        <f t="shared" si="146"/>
        <v>6000</v>
      </c>
      <c r="U414">
        <f t="shared" si="147"/>
        <v>1.0185916357881302</v>
      </c>
      <c r="V414">
        <f t="shared" si="148"/>
        <v>6.7063140862790025</v>
      </c>
      <c r="W414">
        <f t="shared" si="149"/>
        <v>6000</v>
      </c>
      <c r="X414">
        <f t="shared" si="150"/>
        <v>1.0185916357881302</v>
      </c>
      <c r="Y414">
        <f t="shared" si="151"/>
        <v>6.7063140862790025</v>
      </c>
      <c r="Z414">
        <f t="shared" si="152"/>
        <v>6000</v>
      </c>
      <c r="AA414">
        <f t="shared" si="153"/>
        <v>1.0185916357881302</v>
      </c>
      <c r="AB414">
        <f t="shared" si="154"/>
        <v>6.7063140862790025</v>
      </c>
      <c r="AC414">
        <f t="shared" si="155"/>
        <v>6000</v>
      </c>
      <c r="AD414">
        <f t="shared" si="156"/>
        <v>1.0185916357881302</v>
      </c>
      <c r="AE414">
        <f t="shared" si="157"/>
        <v>6.7063140862790025</v>
      </c>
      <c r="AF414">
        <f t="shared" si="158"/>
        <v>6000</v>
      </c>
      <c r="AG414">
        <f t="shared" si="159"/>
        <v>1.0185916357881302</v>
      </c>
      <c r="AH414">
        <f t="shared" si="160"/>
        <v>6.7063140862790025</v>
      </c>
      <c r="AI414" cm="1">
        <f t="array" ref="AI414">_xlfn.LET(
    _xlpm.vals,   _xlfn.HSTACK(S414,V414,Y414,AB414,AE414,AH414),
    _xlpm.ints,   _xlfn.HSTACK(R414,U414,X414,AA414,AD414,AG414),
    _xlpm.slopes, _xlfn.HSTACK(Q414,T414,W414,Z414,AC414,AF414),
    _xlpm.limit,  -0.00001*_xlpm.slopes + 0.1086*_xlpm.slopes + 63.253,
    _xlpm.mask,   (_xlpm.vals&gt;=0) * (_xlpm.ints&lt;=_xlpm.limit),
    _xlpm.validVals, _xlfn._xlws.FILTER(_xlpm.vals, _xlpm.mask),
    _xlpm.minVal, MIN(_xlpm.validVals),
    IFERROR( _xlfn.XMATCH(_xlpm.minVal, _xlpm.vals), "" )
)</f>
        <v>1</v>
      </c>
      <c r="AJ414" cm="1">
        <f t="array" ref="AJ414">_xlfn.LET(
    _xlpm.vals, CHOOSE({1,2,3,4,5,6}, S414, V414, Y414, AB414, AE414, AH414),
    _xlpm.slopes, CHOOSE({1,2,3,4,5,6}, Q414, T414, W414, Z414, AC414, AF414),
    _xlpm.ints, CHOOSE({1,2,3,4,5,6}, R414, U414, X414, AA414, AD414, AG414),
    _xlpm.limit, -0.00001*_xlpm.slopes + 0.1086*_xlpm.slopes + 63.253,
    _xlpm.valid, (_xlpm.vals &gt;= 0) * (_xlpm.ints &lt;= _xlpm.limit),
    _xlpm.target, MIN(_xlfn._xlws.FILTER(_xlpm.vals, _xlpm.valid)),
    IFERROR(
        _xlfn.XLOOKUP(_xlpm.target, _xlpm.vals, _xlpm.vals),
        CHOOSE({1,2,3,4,5,6}, S$1, V$1, Y$1, AB$1, AE$1, AH$1)
    )
)</f>
        <v>0.35703130471806926</v>
      </c>
    </row>
    <row r="415" spans="9:36" x14ac:dyDescent="0.45">
      <c r="I415">
        <v>413</v>
      </c>
      <c r="J415">
        <v>0</v>
      </c>
      <c r="K415">
        <f t="shared" si="139"/>
        <v>0</v>
      </c>
      <c r="L415">
        <f t="shared" si="138"/>
        <v>0</v>
      </c>
      <c r="M415">
        <v>0.28999999999999998</v>
      </c>
      <c r="N415">
        <f t="shared" si="140"/>
        <v>0.28999999999999998</v>
      </c>
      <c r="O415">
        <f t="shared" si="141"/>
        <v>0</v>
      </c>
      <c r="P415">
        <f t="shared" si="142"/>
        <v>0</v>
      </c>
      <c r="Q415">
        <f t="shared" si="143"/>
        <v>1000</v>
      </c>
      <c r="R415">
        <f t="shared" si="144"/>
        <v>2.7692960097989792</v>
      </c>
      <c r="S415">
        <f t="shared" si="145"/>
        <v>0.33616652941935438</v>
      </c>
      <c r="T415">
        <f t="shared" si="146"/>
        <v>6000</v>
      </c>
      <c r="U415">
        <f t="shared" si="147"/>
        <v>0.46154933496649647</v>
      </c>
      <c r="V415">
        <f t="shared" si="148"/>
        <v>6.7028404956700021</v>
      </c>
      <c r="W415">
        <f t="shared" si="149"/>
        <v>6000</v>
      </c>
      <c r="X415">
        <f t="shared" si="150"/>
        <v>0.46154933496649647</v>
      </c>
      <c r="Y415">
        <f t="shared" si="151"/>
        <v>6.7028404956700021</v>
      </c>
      <c r="Z415">
        <f t="shared" si="152"/>
        <v>6000</v>
      </c>
      <c r="AA415">
        <f t="shared" si="153"/>
        <v>0.46154933496649647</v>
      </c>
      <c r="AB415">
        <f t="shared" si="154"/>
        <v>6.7028404956700021</v>
      </c>
      <c r="AC415">
        <f t="shared" si="155"/>
        <v>6000</v>
      </c>
      <c r="AD415">
        <f t="shared" si="156"/>
        <v>0.46154933496649647</v>
      </c>
      <c r="AE415">
        <f t="shared" si="157"/>
        <v>6.7028404956700021</v>
      </c>
      <c r="AF415">
        <f t="shared" si="158"/>
        <v>6000</v>
      </c>
      <c r="AG415">
        <f t="shared" si="159"/>
        <v>0.46154933496649647</v>
      </c>
      <c r="AH415">
        <f t="shared" si="160"/>
        <v>6.7028404956700021</v>
      </c>
      <c r="AI415" cm="1">
        <f t="array" ref="AI415">_xlfn.LET(
    _xlpm.vals,   _xlfn.HSTACK(S415,V415,Y415,AB415,AE415,AH415),
    _xlpm.ints,   _xlfn.HSTACK(R415,U415,X415,AA415,AD415,AG415),
    _xlpm.slopes, _xlfn.HSTACK(Q415,T415,W415,Z415,AC415,AF415),
    _xlpm.limit,  -0.00001*_xlpm.slopes + 0.1086*_xlpm.slopes + 63.253,
    _xlpm.mask,   (_xlpm.vals&gt;=0) * (_xlpm.ints&lt;=_xlpm.limit),
    _xlpm.validVals, _xlfn._xlws.FILTER(_xlpm.vals, _xlpm.mask),
    _xlpm.minVal, MIN(_xlpm.validVals),
    IFERROR( _xlfn.XMATCH(_xlpm.minVal, _xlpm.vals), "" )
)</f>
        <v>1</v>
      </c>
      <c r="AJ415" cm="1">
        <f t="array" ref="AJ415">_xlfn.LET(
    _xlpm.vals, CHOOSE({1,2,3,4,5,6}, S415, V415, Y415, AB415, AE415, AH415),
    _xlpm.slopes, CHOOSE({1,2,3,4,5,6}, Q415, T415, W415, Z415, AC415, AF415),
    _xlpm.ints, CHOOSE({1,2,3,4,5,6}, R415, U415, X415, AA415, AD415, AG415),
    _xlpm.limit, -0.00001*_xlpm.slopes + 0.1086*_xlpm.slopes + 63.253,
    _xlpm.valid, (_xlpm.vals &gt;= 0) * (_xlpm.ints &lt;= _xlpm.limit),
    _xlpm.target, MIN(_xlfn._xlws.FILTER(_xlpm.vals, _xlpm.valid)),
    IFERROR(
        _xlfn.XLOOKUP(_xlpm.target, _xlpm.vals, _xlpm.vals),
        CHOOSE({1,2,3,4,5,6}, S$1, V$1, Y$1, AB$1, AE$1, AH$1)
    )
)</f>
        <v>0.33616652941935438</v>
      </c>
    </row>
    <row r="416" spans="9:36" x14ac:dyDescent="0.45">
      <c r="I416">
        <v>414</v>
      </c>
      <c r="J416">
        <v>0</v>
      </c>
      <c r="K416">
        <f t="shared" si="139"/>
        <v>0</v>
      </c>
      <c r="L416">
        <f t="shared" si="138"/>
        <v>0</v>
      </c>
      <c r="M416">
        <v>0.3</v>
      </c>
      <c r="N416">
        <f t="shared" si="140"/>
        <v>0.3</v>
      </c>
      <c r="O416">
        <f t="shared" si="141"/>
        <v>0</v>
      </c>
      <c r="P416">
        <f t="shared" si="142"/>
        <v>0</v>
      </c>
      <c r="Q416">
        <f t="shared" si="143"/>
        <v>1000</v>
      </c>
      <c r="R416">
        <f t="shared" si="144"/>
        <v>2.8647889756541165</v>
      </c>
      <c r="S416">
        <f t="shared" si="145"/>
        <v>0.33674355249062438</v>
      </c>
      <c r="T416">
        <f t="shared" si="146"/>
        <v>6000</v>
      </c>
      <c r="U416">
        <f t="shared" si="147"/>
        <v>0.47746482927568601</v>
      </c>
      <c r="V416">
        <f t="shared" si="148"/>
        <v>6.702938305931335</v>
      </c>
      <c r="W416">
        <f t="shared" si="149"/>
        <v>6000</v>
      </c>
      <c r="X416">
        <f t="shared" si="150"/>
        <v>0.47746482927568601</v>
      </c>
      <c r="Y416">
        <f t="shared" si="151"/>
        <v>6.702938305931335</v>
      </c>
      <c r="Z416">
        <f t="shared" si="152"/>
        <v>6000</v>
      </c>
      <c r="AA416">
        <f t="shared" si="153"/>
        <v>0.47746482927568601</v>
      </c>
      <c r="AB416">
        <f t="shared" si="154"/>
        <v>6.702938305931335</v>
      </c>
      <c r="AC416">
        <f t="shared" si="155"/>
        <v>6000</v>
      </c>
      <c r="AD416">
        <f t="shared" si="156"/>
        <v>0.47746482927568601</v>
      </c>
      <c r="AE416">
        <f t="shared" si="157"/>
        <v>6.702938305931335</v>
      </c>
      <c r="AF416">
        <f t="shared" si="158"/>
        <v>6000</v>
      </c>
      <c r="AG416">
        <f t="shared" si="159"/>
        <v>0.47746482927568601</v>
      </c>
      <c r="AH416">
        <f t="shared" si="160"/>
        <v>6.702938305931335</v>
      </c>
      <c r="AI416" cm="1">
        <f t="array" ref="AI416">_xlfn.LET(
    _xlpm.vals,   _xlfn.HSTACK(S416,V416,Y416,AB416,AE416,AH416),
    _xlpm.ints,   _xlfn.HSTACK(R416,U416,X416,AA416,AD416,AG416),
    _xlpm.slopes, _xlfn.HSTACK(Q416,T416,W416,Z416,AC416,AF416),
    _xlpm.limit,  -0.00001*_xlpm.slopes + 0.1086*_xlpm.slopes + 63.253,
    _xlpm.mask,   (_xlpm.vals&gt;=0) * (_xlpm.ints&lt;=_xlpm.limit),
    _xlpm.validVals, _xlfn._xlws.FILTER(_xlpm.vals, _xlpm.mask),
    _xlpm.minVal, MIN(_xlpm.validVals),
    IFERROR( _xlfn.XMATCH(_xlpm.minVal, _xlpm.vals), "" )
)</f>
        <v>1</v>
      </c>
      <c r="AJ416" cm="1">
        <f t="array" ref="AJ416">_xlfn.LET(
    _xlpm.vals, CHOOSE({1,2,3,4,5,6}, S416, V416, Y416, AB416, AE416, AH416),
    _xlpm.slopes, CHOOSE({1,2,3,4,5,6}, Q416, T416, W416, Z416, AC416, AF416),
    _xlpm.ints, CHOOSE({1,2,3,4,5,6}, R416, U416, X416, AA416, AD416, AG416),
    _xlpm.limit, -0.00001*_xlpm.slopes + 0.1086*_xlpm.slopes + 63.253,
    _xlpm.valid, (_xlpm.vals &gt;= 0) * (_xlpm.ints &lt;= _xlpm.limit),
    _xlpm.target, MIN(_xlfn._xlws.FILTER(_xlpm.vals, _xlpm.valid)),
    IFERROR(
        _xlfn.XLOOKUP(_xlpm.target, _xlpm.vals, _xlpm.vals),
        CHOOSE({1,2,3,4,5,6}, S$1, V$1, Y$1, AB$1, AE$1, AH$1)
    )
)</f>
        <v>0.33674355249062438</v>
      </c>
    </row>
    <row r="417" spans="9:36" x14ac:dyDescent="0.45">
      <c r="I417">
        <v>415</v>
      </c>
      <c r="J417">
        <v>0</v>
      </c>
      <c r="K417">
        <f t="shared" si="139"/>
        <v>0</v>
      </c>
      <c r="L417">
        <f t="shared" si="138"/>
        <v>0</v>
      </c>
      <c r="M417">
        <v>0.32</v>
      </c>
      <c r="N417">
        <f t="shared" si="140"/>
        <v>0.32</v>
      </c>
      <c r="O417">
        <f t="shared" si="141"/>
        <v>0</v>
      </c>
      <c r="P417">
        <f t="shared" si="142"/>
        <v>0</v>
      </c>
      <c r="Q417">
        <f t="shared" si="143"/>
        <v>1000</v>
      </c>
      <c r="R417">
        <f t="shared" si="144"/>
        <v>3.0557749073643907</v>
      </c>
      <c r="S417">
        <f t="shared" si="145"/>
        <v>0.3379010297260947</v>
      </c>
      <c r="T417">
        <f t="shared" si="146"/>
        <v>6000</v>
      </c>
      <c r="U417">
        <f t="shared" si="147"/>
        <v>0.50929581789406508</v>
      </c>
      <c r="V417">
        <f t="shared" si="148"/>
        <v>6.7031341799910731</v>
      </c>
      <c r="W417">
        <f t="shared" si="149"/>
        <v>6000</v>
      </c>
      <c r="X417">
        <f t="shared" si="150"/>
        <v>0.50929581789406508</v>
      </c>
      <c r="Y417">
        <f t="shared" si="151"/>
        <v>6.7031341799910731</v>
      </c>
      <c r="Z417">
        <f t="shared" si="152"/>
        <v>6000</v>
      </c>
      <c r="AA417">
        <f t="shared" si="153"/>
        <v>0.50929581789406508</v>
      </c>
      <c r="AB417">
        <f t="shared" si="154"/>
        <v>6.7031341799910731</v>
      </c>
      <c r="AC417">
        <f t="shared" si="155"/>
        <v>6000</v>
      </c>
      <c r="AD417">
        <f t="shared" si="156"/>
        <v>0.50929581789406508</v>
      </c>
      <c r="AE417">
        <f t="shared" si="157"/>
        <v>6.7031341799910731</v>
      </c>
      <c r="AF417">
        <f t="shared" si="158"/>
        <v>6000</v>
      </c>
      <c r="AG417">
        <f t="shared" si="159"/>
        <v>0.50929581789406508</v>
      </c>
      <c r="AH417">
        <f t="shared" si="160"/>
        <v>6.7031341799910731</v>
      </c>
      <c r="AI417" cm="1">
        <f t="array" ref="AI417">_xlfn.LET(
    _xlpm.vals,   _xlfn.HSTACK(S417,V417,Y417,AB417,AE417,AH417),
    _xlpm.ints,   _xlfn.HSTACK(R417,U417,X417,AA417,AD417,AG417),
    _xlpm.slopes, _xlfn.HSTACK(Q417,T417,W417,Z417,AC417,AF417),
    _xlpm.limit,  -0.00001*_xlpm.slopes + 0.1086*_xlpm.slopes + 63.253,
    _xlpm.mask,   (_xlpm.vals&gt;=0) * (_xlpm.ints&lt;=_xlpm.limit),
    _xlpm.validVals, _xlfn._xlws.FILTER(_xlpm.vals, _xlpm.mask),
    _xlpm.minVal, MIN(_xlpm.validVals),
    IFERROR( _xlfn.XMATCH(_xlpm.minVal, _xlpm.vals), "" )
)</f>
        <v>1</v>
      </c>
      <c r="AJ417" cm="1">
        <f t="array" ref="AJ417">_xlfn.LET(
    _xlpm.vals, CHOOSE({1,2,3,4,5,6}, S417, V417, Y417, AB417, AE417, AH417),
    _xlpm.slopes, CHOOSE({1,2,3,4,5,6}, Q417, T417, W417, Z417, AC417, AF417),
    _xlpm.ints, CHOOSE({1,2,3,4,5,6}, R417, U417, X417, AA417, AD417, AG417),
    _xlpm.limit, -0.00001*_xlpm.slopes + 0.1086*_xlpm.slopes + 63.253,
    _xlpm.valid, (_xlpm.vals &gt;= 0) * (_xlpm.ints &lt;= _xlpm.limit),
    _xlpm.target, MIN(_xlfn._xlws.FILTER(_xlpm.vals, _xlpm.valid)),
    IFERROR(
        _xlfn.XLOOKUP(_xlpm.target, _xlpm.vals, _xlpm.vals),
        CHOOSE({1,2,3,4,5,6}, S$1, V$1, Y$1, AB$1, AE$1, AH$1)
    )
)</f>
        <v>0.3379010297260947</v>
      </c>
    </row>
    <row r="418" spans="9:36" x14ac:dyDescent="0.45">
      <c r="I418">
        <v>416</v>
      </c>
      <c r="J418">
        <v>0</v>
      </c>
      <c r="K418">
        <f t="shared" si="139"/>
        <v>0</v>
      </c>
      <c r="L418">
        <f t="shared" si="138"/>
        <v>0</v>
      </c>
      <c r="M418">
        <v>0.39</v>
      </c>
      <c r="N418">
        <f t="shared" si="140"/>
        <v>0.39</v>
      </c>
      <c r="O418">
        <f t="shared" si="141"/>
        <v>0</v>
      </c>
      <c r="P418">
        <f t="shared" si="142"/>
        <v>0</v>
      </c>
      <c r="Q418">
        <f t="shared" si="143"/>
        <v>1000</v>
      </c>
      <c r="R418">
        <f t="shared" si="144"/>
        <v>3.7242256683503512</v>
      </c>
      <c r="S418">
        <f t="shared" si="145"/>
        <v>0.34198803573438646</v>
      </c>
      <c r="T418">
        <f t="shared" si="146"/>
        <v>6000</v>
      </c>
      <c r="U418">
        <f t="shared" si="147"/>
        <v>0.62070427805839179</v>
      </c>
      <c r="V418">
        <f t="shared" si="148"/>
        <v>6.7038224004561133</v>
      </c>
      <c r="W418">
        <f t="shared" si="149"/>
        <v>6000</v>
      </c>
      <c r="X418">
        <f t="shared" si="150"/>
        <v>0.62070427805839179</v>
      </c>
      <c r="Y418">
        <f t="shared" si="151"/>
        <v>6.7038224004561133</v>
      </c>
      <c r="Z418">
        <f t="shared" si="152"/>
        <v>6000</v>
      </c>
      <c r="AA418">
        <f t="shared" si="153"/>
        <v>0.62070427805839179</v>
      </c>
      <c r="AB418">
        <f t="shared" si="154"/>
        <v>6.7038224004561133</v>
      </c>
      <c r="AC418">
        <f t="shared" si="155"/>
        <v>6000</v>
      </c>
      <c r="AD418">
        <f t="shared" si="156"/>
        <v>0.62070427805839179</v>
      </c>
      <c r="AE418">
        <f t="shared" si="157"/>
        <v>6.7038224004561133</v>
      </c>
      <c r="AF418">
        <f t="shared" si="158"/>
        <v>6000</v>
      </c>
      <c r="AG418">
        <f t="shared" si="159"/>
        <v>0.62070427805839179</v>
      </c>
      <c r="AH418">
        <f t="shared" si="160"/>
        <v>6.7038224004561133</v>
      </c>
      <c r="AI418" cm="1">
        <f t="array" ref="AI418">_xlfn.LET(
    _xlpm.vals,   _xlfn.HSTACK(S418,V418,Y418,AB418,AE418,AH418),
    _xlpm.ints,   _xlfn.HSTACK(R418,U418,X418,AA418,AD418,AG418),
    _xlpm.slopes, _xlfn.HSTACK(Q418,T418,W418,Z418,AC418,AF418),
    _xlpm.limit,  -0.00001*_xlpm.slopes + 0.1086*_xlpm.slopes + 63.253,
    _xlpm.mask,   (_xlpm.vals&gt;=0) * (_xlpm.ints&lt;=_xlpm.limit),
    _xlpm.validVals, _xlfn._xlws.FILTER(_xlpm.vals, _xlpm.mask),
    _xlpm.minVal, MIN(_xlpm.validVals),
    IFERROR( _xlfn.XMATCH(_xlpm.minVal, _xlpm.vals), "" )
)</f>
        <v>1</v>
      </c>
      <c r="AJ418" cm="1">
        <f t="array" ref="AJ418">_xlfn.LET(
    _xlpm.vals, CHOOSE({1,2,3,4,5,6}, S418, V418, Y418, AB418, AE418, AH418),
    _xlpm.slopes, CHOOSE({1,2,3,4,5,6}, Q418, T418, W418, Z418, AC418, AF418),
    _xlpm.ints, CHOOSE({1,2,3,4,5,6}, R418, U418, X418, AA418, AD418, AG418),
    _xlpm.limit, -0.00001*_xlpm.slopes + 0.1086*_xlpm.slopes + 63.253,
    _xlpm.valid, (_xlpm.vals &gt;= 0) * (_xlpm.ints &lt;= _xlpm.limit),
    _xlpm.target, MIN(_xlfn._xlws.FILTER(_xlpm.vals, _xlpm.valid)),
    IFERROR(
        _xlfn.XLOOKUP(_xlpm.target, _xlpm.vals, _xlpm.vals),
        CHOOSE({1,2,3,4,5,6}, S$1, V$1, Y$1, AB$1, AE$1, AH$1)
    )
)</f>
        <v>0.34198803573438646</v>
      </c>
    </row>
    <row r="419" spans="9:36" x14ac:dyDescent="0.45">
      <c r="I419">
        <v>417</v>
      </c>
      <c r="J419">
        <v>0</v>
      </c>
      <c r="K419">
        <f t="shared" si="139"/>
        <v>0</v>
      </c>
      <c r="L419">
        <f t="shared" si="138"/>
        <v>0</v>
      </c>
      <c r="M419">
        <v>0.23</v>
      </c>
      <c r="N419">
        <f t="shared" si="140"/>
        <v>0.23</v>
      </c>
      <c r="O419">
        <f t="shared" si="141"/>
        <v>0</v>
      </c>
      <c r="P419">
        <f t="shared" si="142"/>
        <v>0</v>
      </c>
      <c r="Q419">
        <f t="shared" si="143"/>
        <v>1000</v>
      </c>
      <c r="R419">
        <f t="shared" si="144"/>
        <v>2.196338214668156</v>
      </c>
      <c r="S419">
        <f t="shared" si="145"/>
        <v>0.33272852311721807</v>
      </c>
      <c r="T419">
        <f t="shared" si="146"/>
        <v>6000</v>
      </c>
      <c r="U419">
        <f t="shared" si="147"/>
        <v>0.3660563691113593</v>
      </c>
      <c r="V419">
        <f t="shared" si="148"/>
        <v>6.7022554093914879</v>
      </c>
      <c r="W419">
        <f t="shared" si="149"/>
        <v>6000</v>
      </c>
      <c r="X419">
        <f t="shared" si="150"/>
        <v>0.3660563691113593</v>
      </c>
      <c r="Y419">
        <f t="shared" si="151"/>
        <v>6.7022554093914879</v>
      </c>
      <c r="Z419">
        <f t="shared" si="152"/>
        <v>6000</v>
      </c>
      <c r="AA419">
        <f t="shared" si="153"/>
        <v>0.3660563691113593</v>
      </c>
      <c r="AB419">
        <f t="shared" si="154"/>
        <v>6.7022554093914879</v>
      </c>
      <c r="AC419">
        <f t="shared" si="155"/>
        <v>6000</v>
      </c>
      <c r="AD419">
        <f t="shared" si="156"/>
        <v>0.3660563691113593</v>
      </c>
      <c r="AE419">
        <f t="shared" si="157"/>
        <v>6.7022554093914879</v>
      </c>
      <c r="AF419">
        <f t="shared" si="158"/>
        <v>6000</v>
      </c>
      <c r="AG419">
        <f t="shared" si="159"/>
        <v>0.3660563691113593</v>
      </c>
      <c r="AH419">
        <f t="shared" si="160"/>
        <v>6.7022554093914879</v>
      </c>
      <c r="AI419" cm="1">
        <f t="array" ref="AI419">_xlfn.LET(
    _xlpm.vals,   _xlfn.HSTACK(S419,V419,Y419,AB419,AE419,AH419),
    _xlpm.ints,   _xlfn.HSTACK(R419,U419,X419,AA419,AD419,AG419),
    _xlpm.slopes, _xlfn.HSTACK(Q419,T419,W419,Z419,AC419,AF419),
    _xlpm.limit,  -0.00001*_xlpm.slopes + 0.1086*_xlpm.slopes + 63.253,
    _xlpm.mask,   (_xlpm.vals&gt;=0) * (_xlpm.ints&lt;=_xlpm.limit),
    _xlpm.validVals, _xlfn._xlws.FILTER(_xlpm.vals, _xlpm.mask),
    _xlpm.minVal, MIN(_xlpm.validVals),
    IFERROR( _xlfn.XMATCH(_xlpm.minVal, _xlpm.vals), "" )
)</f>
        <v>1</v>
      </c>
      <c r="AJ419" cm="1">
        <f t="array" ref="AJ419">_xlfn.LET(
    _xlpm.vals, CHOOSE({1,2,3,4,5,6}, S419, V419, Y419, AB419, AE419, AH419),
    _xlpm.slopes, CHOOSE({1,2,3,4,5,6}, Q419, T419, W419, Z419, AC419, AF419),
    _xlpm.ints, CHOOSE({1,2,3,4,5,6}, R419, U419, X419, AA419, AD419, AG419),
    _xlpm.limit, -0.00001*_xlpm.slopes + 0.1086*_xlpm.slopes + 63.253,
    _xlpm.valid, (_xlpm.vals &gt;= 0) * (_xlpm.ints &lt;= _xlpm.limit),
    _xlpm.target, MIN(_xlfn._xlws.FILTER(_xlpm.vals, _xlpm.valid)),
    IFERROR(
        _xlfn.XLOOKUP(_xlpm.target, _xlpm.vals, _xlpm.vals),
        CHOOSE({1,2,3,4,5,6}, S$1, V$1, Y$1, AB$1, AE$1, AH$1)
    )
)</f>
        <v>0.33272852311721807</v>
      </c>
    </row>
    <row r="420" spans="9:36" x14ac:dyDescent="0.45">
      <c r="I420">
        <v>418</v>
      </c>
      <c r="J420">
        <v>0</v>
      </c>
      <c r="K420">
        <f t="shared" si="139"/>
        <v>0</v>
      </c>
      <c r="L420">
        <f t="shared" si="138"/>
        <v>0</v>
      </c>
      <c r="M420">
        <v>0.24</v>
      </c>
      <c r="N420">
        <f t="shared" si="140"/>
        <v>0.24</v>
      </c>
      <c r="O420">
        <f t="shared" si="141"/>
        <v>0</v>
      </c>
      <c r="P420">
        <f t="shared" si="142"/>
        <v>0</v>
      </c>
      <c r="Q420">
        <f t="shared" si="143"/>
        <v>1000</v>
      </c>
      <c r="R420">
        <f t="shared" si="144"/>
        <v>2.2918311805232929</v>
      </c>
      <c r="S420">
        <f t="shared" si="145"/>
        <v>0.33329864221017741</v>
      </c>
      <c r="T420">
        <f t="shared" si="146"/>
        <v>6000</v>
      </c>
      <c r="U420">
        <f t="shared" si="147"/>
        <v>0.38197186342054884</v>
      </c>
      <c r="V420">
        <f t="shared" si="148"/>
        <v>6.7023527123851929</v>
      </c>
      <c r="W420">
        <f t="shared" si="149"/>
        <v>6000</v>
      </c>
      <c r="X420">
        <f t="shared" si="150"/>
        <v>0.38197186342054884</v>
      </c>
      <c r="Y420">
        <f t="shared" si="151"/>
        <v>6.7023527123851929</v>
      </c>
      <c r="Z420">
        <f t="shared" si="152"/>
        <v>6000</v>
      </c>
      <c r="AA420">
        <f t="shared" si="153"/>
        <v>0.38197186342054884</v>
      </c>
      <c r="AB420">
        <f t="shared" si="154"/>
        <v>6.7023527123851929</v>
      </c>
      <c r="AC420">
        <f t="shared" si="155"/>
        <v>6000</v>
      </c>
      <c r="AD420">
        <f t="shared" si="156"/>
        <v>0.38197186342054884</v>
      </c>
      <c r="AE420">
        <f t="shared" si="157"/>
        <v>6.7023527123851929</v>
      </c>
      <c r="AF420">
        <f t="shared" si="158"/>
        <v>6000</v>
      </c>
      <c r="AG420">
        <f t="shared" si="159"/>
        <v>0.38197186342054884</v>
      </c>
      <c r="AH420">
        <f t="shared" si="160"/>
        <v>6.7023527123851929</v>
      </c>
      <c r="AI420" cm="1">
        <f t="array" ref="AI420">_xlfn.LET(
    _xlpm.vals,   _xlfn.HSTACK(S420,V420,Y420,AB420,AE420,AH420),
    _xlpm.ints,   _xlfn.HSTACK(R420,U420,X420,AA420,AD420,AG420),
    _xlpm.slopes, _xlfn.HSTACK(Q420,T420,W420,Z420,AC420,AF420),
    _xlpm.limit,  -0.00001*_xlpm.slopes + 0.1086*_xlpm.slopes + 63.253,
    _xlpm.mask,   (_xlpm.vals&gt;=0) * (_xlpm.ints&lt;=_xlpm.limit),
    _xlpm.validVals, _xlfn._xlws.FILTER(_xlpm.vals, _xlpm.mask),
    _xlpm.minVal, MIN(_xlpm.validVals),
    IFERROR( _xlfn.XMATCH(_xlpm.minVal, _xlpm.vals), "" )
)</f>
        <v>1</v>
      </c>
      <c r="AJ420" cm="1">
        <f t="array" ref="AJ420">_xlfn.LET(
    _xlpm.vals, CHOOSE({1,2,3,4,5,6}, S420, V420, Y420, AB420, AE420, AH420),
    _xlpm.slopes, CHOOSE({1,2,3,4,5,6}, Q420, T420, W420, Z420, AC420, AF420),
    _xlpm.ints, CHOOSE({1,2,3,4,5,6}, R420, U420, X420, AA420, AD420, AG420),
    _xlpm.limit, -0.00001*_xlpm.slopes + 0.1086*_xlpm.slopes + 63.253,
    _xlpm.valid, (_xlpm.vals &gt;= 0) * (_xlpm.ints &lt;= _xlpm.limit),
    _xlpm.target, MIN(_xlfn._xlws.FILTER(_xlpm.vals, _xlpm.valid)),
    IFERROR(
        _xlfn.XLOOKUP(_xlpm.target, _xlpm.vals, _xlpm.vals),
        CHOOSE({1,2,3,4,5,6}, S$1, V$1, Y$1, AB$1, AE$1, AH$1)
    )
)</f>
        <v>0.33329864221017741</v>
      </c>
    </row>
    <row r="421" spans="9:36" x14ac:dyDescent="0.45">
      <c r="I421">
        <v>419</v>
      </c>
      <c r="J421">
        <v>0</v>
      </c>
      <c r="K421">
        <f t="shared" si="139"/>
        <v>0</v>
      </c>
      <c r="L421">
        <f t="shared" si="138"/>
        <v>0</v>
      </c>
      <c r="M421">
        <v>0.38</v>
      </c>
      <c r="N421">
        <f t="shared" si="140"/>
        <v>0.38</v>
      </c>
      <c r="O421">
        <f t="shared" si="141"/>
        <v>0</v>
      </c>
      <c r="P421">
        <f t="shared" si="142"/>
        <v>0</v>
      </c>
      <c r="Q421">
        <f t="shared" si="143"/>
        <v>1000</v>
      </c>
      <c r="R421">
        <f t="shared" si="144"/>
        <v>3.6287327024952138</v>
      </c>
      <c r="S421">
        <f t="shared" si="145"/>
        <v>0.34140077934740681</v>
      </c>
      <c r="T421">
        <f t="shared" si="146"/>
        <v>6000</v>
      </c>
      <c r="U421">
        <f t="shared" si="147"/>
        <v>0.60478878374920231</v>
      </c>
      <c r="V421">
        <f t="shared" si="148"/>
        <v>6.7037238298611719</v>
      </c>
      <c r="W421">
        <f t="shared" si="149"/>
        <v>6000</v>
      </c>
      <c r="X421">
        <f t="shared" si="150"/>
        <v>0.60478878374920231</v>
      </c>
      <c r="Y421">
        <f t="shared" si="151"/>
        <v>6.7037238298611719</v>
      </c>
      <c r="Z421">
        <f t="shared" si="152"/>
        <v>6000</v>
      </c>
      <c r="AA421">
        <f t="shared" si="153"/>
        <v>0.60478878374920231</v>
      </c>
      <c r="AB421">
        <f t="shared" si="154"/>
        <v>6.7037238298611719</v>
      </c>
      <c r="AC421">
        <f t="shared" si="155"/>
        <v>6000</v>
      </c>
      <c r="AD421">
        <f t="shared" si="156"/>
        <v>0.60478878374920231</v>
      </c>
      <c r="AE421">
        <f t="shared" si="157"/>
        <v>6.7037238298611719</v>
      </c>
      <c r="AF421">
        <f t="shared" si="158"/>
        <v>6000</v>
      </c>
      <c r="AG421">
        <f t="shared" si="159"/>
        <v>0.60478878374920231</v>
      </c>
      <c r="AH421">
        <f t="shared" si="160"/>
        <v>6.7037238298611719</v>
      </c>
      <c r="AI421" cm="1">
        <f t="array" ref="AI421">_xlfn.LET(
    _xlpm.vals,   _xlfn.HSTACK(S421,V421,Y421,AB421,AE421,AH421),
    _xlpm.ints,   _xlfn.HSTACK(R421,U421,X421,AA421,AD421,AG421),
    _xlpm.slopes, _xlfn.HSTACK(Q421,T421,W421,Z421,AC421,AF421),
    _xlpm.limit,  -0.00001*_xlpm.slopes + 0.1086*_xlpm.slopes + 63.253,
    _xlpm.mask,   (_xlpm.vals&gt;=0) * (_xlpm.ints&lt;=_xlpm.limit),
    _xlpm.validVals, _xlfn._xlws.FILTER(_xlpm.vals, _xlpm.mask),
    _xlpm.minVal, MIN(_xlpm.validVals),
    IFERROR( _xlfn.XMATCH(_xlpm.minVal, _xlpm.vals), "" )
)</f>
        <v>1</v>
      </c>
      <c r="AJ421" cm="1">
        <f t="array" ref="AJ421">_xlfn.LET(
    _xlpm.vals, CHOOSE({1,2,3,4,5,6}, S421, V421, Y421, AB421, AE421, AH421),
    _xlpm.slopes, CHOOSE({1,2,3,4,5,6}, Q421, T421, W421, Z421, AC421, AF421),
    _xlpm.ints, CHOOSE({1,2,3,4,5,6}, R421, U421, X421, AA421, AD421, AG421),
    _xlpm.limit, -0.00001*_xlpm.slopes + 0.1086*_xlpm.slopes + 63.253,
    _xlpm.valid, (_xlpm.vals &gt;= 0) * (_xlpm.ints &lt;= _xlpm.limit),
    _xlpm.target, MIN(_xlfn._xlws.FILTER(_xlpm.vals, _xlpm.valid)),
    IFERROR(
        _xlfn.XLOOKUP(_xlpm.target, _xlpm.vals, _xlpm.vals),
        CHOOSE({1,2,3,4,5,6}, S$1, V$1, Y$1, AB$1, AE$1, AH$1)
    )
)</f>
        <v>0.34140077934740681</v>
      </c>
    </row>
    <row r="422" spans="9:36" x14ac:dyDescent="0.45">
      <c r="I422">
        <v>420</v>
      </c>
      <c r="J422">
        <v>0</v>
      </c>
      <c r="K422">
        <f t="shared" si="139"/>
        <v>0</v>
      </c>
      <c r="L422">
        <f t="shared" si="138"/>
        <v>0</v>
      </c>
      <c r="M422">
        <v>0.25</v>
      </c>
      <c r="N422">
        <f t="shared" si="140"/>
        <v>0.25</v>
      </c>
      <c r="O422">
        <f t="shared" si="141"/>
        <v>0</v>
      </c>
      <c r="P422">
        <f t="shared" si="142"/>
        <v>0</v>
      </c>
      <c r="Q422">
        <f t="shared" si="143"/>
        <v>1000</v>
      </c>
      <c r="R422">
        <f t="shared" si="144"/>
        <v>2.3873241463784303</v>
      </c>
      <c r="S422">
        <f t="shared" si="145"/>
        <v>0.33386991650884612</v>
      </c>
      <c r="T422">
        <f t="shared" si="146"/>
        <v>6000</v>
      </c>
      <c r="U422">
        <f t="shared" si="147"/>
        <v>0.39788735772973838</v>
      </c>
      <c r="V422">
        <f t="shared" si="148"/>
        <v>6.7024500999445333</v>
      </c>
      <c r="W422">
        <f t="shared" si="149"/>
        <v>6000</v>
      </c>
      <c r="X422">
        <f t="shared" si="150"/>
        <v>0.39788735772973838</v>
      </c>
      <c r="Y422">
        <f t="shared" si="151"/>
        <v>6.7024500999445333</v>
      </c>
      <c r="Z422">
        <f t="shared" si="152"/>
        <v>6000</v>
      </c>
      <c r="AA422">
        <f t="shared" si="153"/>
        <v>0.39788735772973838</v>
      </c>
      <c r="AB422">
        <f t="shared" si="154"/>
        <v>6.7024500999445333</v>
      </c>
      <c r="AC422">
        <f t="shared" si="155"/>
        <v>6000</v>
      </c>
      <c r="AD422">
        <f t="shared" si="156"/>
        <v>0.39788735772973838</v>
      </c>
      <c r="AE422">
        <f t="shared" si="157"/>
        <v>6.7024500999445333</v>
      </c>
      <c r="AF422">
        <f t="shared" si="158"/>
        <v>6000</v>
      </c>
      <c r="AG422">
        <f t="shared" si="159"/>
        <v>0.39788735772973838</v>
      </c>
      <c r="AH422">
        <f t="shared" si="160"/>
        <v>6.7024500999445333</v>
      </c>
      <c r="AI422" cm="1">
        <f t="array" ref="AI422">_xlfn.LET(
    _xlpm.vals,   _xlfn.HSTACK(S422,V422,Y422,AB422,AE422,AH422),
    _xlpm.ints,   _xlfn.HSTACK(R422,U422,X422,AA422,AD422,AG422),
    _xlpm.slopes, _xlfn.HSTACK(Q422,T422,W422,Z422,AC422,AF422),
    _xlpm.limit,  -0.00001*_xlpm.slopes + 0.1086*_xlpm.slopes + 63.253,
    _xlpm.mask,   (_xlpm.vals&gt;=0) * (_xlpm.ints&lt;=_xlpm.limit),
    _xlpm.validVals, _xlfn._xlws.FILTER(_xlpm.vals, _xlpm.mask),
    _xlpm.minVal, MIN(_xlpm.validVals),
    IFERROR( _xlfn.XMATCH(_xlpm.minVal, _xlpm.vals), "" )
)</f>
        <v>1</v>
      </c>
      <c r="AJ422" cm="1">
        <f t="array" ref="AJ422">_xlfn.LET(
    _xlpm.vals, CHOOSE({1,2,3,4,5,6}, S422, V422, Y422, AB422, AE422, AH422),
    _xlpm.slopes, CHOOSE({1,2,3,4,5,6}, Q422, T422, W422, Z422, AC422, AF422),
    _xlpm.ints, CHOOSE({1,2,3,4,5,6}, R422, U422, X422, AA422, AD422, AG422),
    _xlpm.limit, -0.00001*_xlpm.slopes + 0.1086*_xlpm.slopes + 63.253,
    _xlpm.valid, (_xlpm.vals &gt;= 0) * (_xlpm.ints &lt;= _xlpm.limit),
    _xlpm.target, MIN(_xlfn._xlws.FILTER(_xlpm.vals, _xlpm.valid)),
    IFERROR(
        _xlfn.XLOOKUP(_xlpm.target, _xlpm.vals, _xlpm.vals),
        CHOOSE({1,2,3,4,5,6}, S$1, V$1, Y$1, AB$1, AE$1, AH$1)
    )
)</f>
        <v>0.33386991650884612</v>
      </c>
    </row>
    <row r="423" spans="9:36" x14ac:dyDescent="0.45">
      <c r="I423">
        <v>421</v>
      </c>
      <c r="J423">
        <v>0</v>
      </c>
      <c r="K423">
        <f t="shared" si="139"/>
        <v>0</v>
      </c>
      <c r="L423">
        <f t="shared" si="138"/>
        <v>0</v>
      </c>
      <c r="M423">
        <v>0.34</v>
      </c>
      <c r="N423">
        <f t="shared" si="140"/>
        <v>0.34</v>
      </c>
      <c r="O423">
        <f t="shared" si="141"/>
        <v>0</v>
      </c>
      <c r="P423">
        <f t="shared" si="142"/>
        <v>0</v>
      </c>
      <c r="Q423">
        <f t="shared" si="143"/>
        <v>1000</v>
      </c>
      <c r="R423">
        <f t="shared" si="144"/>
        <v>3.2467608390746654</v>
      </c>
      <c r="S423">
        <f t="shared" si="145"/>
        <v>0.3390630696383849</v>
      </c>
      <c r="T423">
        <f t="shared" si="146"/>
        <v>6000</v>
      </c>
      <c r="U423">
        <f t="shared" si="147"/>
        <v>0.54112680651244416</v>
      </c>
      <c r="V423">
        <f t="shared" si="148"/>
        <v>6.7033303920441574</v>
      </c>
      <c r="W423">
        <f t="shared" si="149"/>
        <v>6000</v>
      </c>
      <c r="X423">
        <f t="shared" si="150"/>
        <v>0.54112680651244416</v>
      </c>
      <c r="Y423">
        <f t="shared" si="151"/>
        <v>6.7033303920441574</v>
      </c>
      <c r="Z423">
        <f t="shared" si="152"/>
        <v>6000</v>
      </c>
      <c r="AA423">
        <f t="shared" si="153"/>
        <v>0.54112680651244416</v>
      </c>
      <c r="AB423">
        <f t="shared" si="154"/>
        <v>6.7033303920441574</v>
      </c>
      <c r="AC423">
        <f t="shared" si="155"/>
        <v>6000</v>
      </c>
      <c r="AD423">
        <f t="shared" si="156"/>
        <v>0.54112680651244416</v>
      </c>
      <c r="AE423">
        <f t="shared" si="157"/>
        <v>6.7033303920441574</v>
      </c>
      <c r="AF423">
        <f t="shared" si="158"/>
        <v>6000</v>
      </c>
      <c r="AG423">
        <f t="shared" si="159"/>
        <v>0.54112680651244416</v>
      </c>
      <c r="AH423">
        <f t="shared" si="160"/>
        <v>6.7033303920441574</v>
      </c>
      <c r="AI423" cm="1">
        <f t="array" ref="AI423">_xlfn.LET(
    _xlpm.vals,   _xlfn.HSTACK(S423,V423,Y423,AB423,AE423,AH423),
    _xlpm.ints,   _xlfn.HSTACK(R423,U423,X423,AA423,AD423,AG423),
    _xlpm.slopes, _xlfn.HSTACK(Q423,T423,W423,Z423,AC423,AF423),
    _xlpm.limit,  -0.00001*_xlpm.slopes + 0.1086*_xlpm.slopes + 63.253,
    _xlpm.mask,   (_xlpm.vals&gt;=0) * (_xlpm.ints&lt;=_xlpm.limit),
    _xlpm.validVals, _xlfn._xlws.FILTER(_xlpm.vals, _xlpm.mask),
    _xlpm.minVal, MIN(_xlpm.validVals),
    IFERROR( _xlfn.XMATCH(_xlpm.minVal, _xlpm.vals), "" )
)</f>
        <v>1</v>
      </c>
      <c r="AJ423" cm="1">
        <f t="array" ref="AJ423">_xlfn.LET(
    _xlpm.vals, CHOOSE({1,2,3,4,5,6}, S423, V423, Y423, AB423, AE423, AH423),
    _xlpm.slopes, CHOOSE({1,2,3,4,5,6}, Q423, T423, W423, Z423, AC423, AF423),
    _xlpm.ints, CHOOSE({1,2,3,4,5,6}, R423, U423, X423, AA423, AD423, AG423),
    _xlpm.limit, -0.00001*_xlpm.slopes + 0.1086*_xlpm.slopes + 63.253,
    _xlpm.valid, (_xlpm.vals &gt;= 0) * (_xlpm.ints &lt;= _xlpm.limit),
    _xlpm.target, MIN(_xlfn._xlws.FILTER(_xlpm.vals, _xlpm.valid)),
    IFERROR(
        _xlfn.XLOOKUP(_xlpm.target, _xlpm.vals, _xlpm.vals),
        CHOOSE({1,2,3,4,5,6}, S$1, V$1, Y$1, AB$1, AE$1, AH$1)
    )
)</f>
        <v>0.3390630696383849</v>
      </c>
    </row>
    <row r="424" spans="9:36" x14ac:dyDescent="0.45">
      <c r="I424">
        <v>422</v>
      </c>
      <c r="J424">
        <v>0</v>
      </c>
      <c r="K424">
        <f t="shared" si="139"/>
        <v>0</v>
      </c>
      <c r="L424">
        <f t="shared" si="138"/>
        <v>0</v>
      </c>
      <c r="M424">
        <v>0.38</v>
      </c>
      <c r="N424">
        <f t="shared" si="140"/>
        <v>0.38</v>
      </c>
      <c r="O424">
        <f t="shared" si="141"/>
        <v>0</v>
      </c>
      <c r="P424">
        <f t="shared" si="142"/>
        <v>0</v>
      </c>
      <c r="Q424">
        <f t="shared" si="143"/>
        <v>1000</v>
      </c>
      <c r="R424">
        <f t="shared" si="144"/>
        <v>3.6287327024952138</v>
      </c>
      <c r="S424">
        <f t="shared" si="145"/>
        <v>0.34140077934740681</v>
      </c>
      <c r="T424">
        <f t="shared" si="146"/>
        <v>6000</v>
      </c>
      <c r="U424">
        <f t="shared" si="147"/>
        <v>0.60478878374920231</v>
      </c>
      <c r="V424">
        <f t="shared" si="148"/>
        <v>6.7037238298611719</v>
      </c>
      <c r="W424">
        <f t="shared" si="149"/>
        <v>6000</v>
      </c>
      <c r="X424">
        <f t="shared" si="150"/>
        <v>0.60478878374920231</v>
      </c>
      <c r="Y424">
        <f t="shared" si="151"/>
        <v>6.7037238298611719</v>
      </c>
      <c r="Z424">
        <f t="shared" si="152"/>
        <v>6000</v>
      </c>
      <c r="AA424">
        <f t="shared" si="153"/>
        <v>0.60478878374920231</v>
      </c>
      <c r="AB424">
        <f t="shared" si="154"/>
        <v>6.7037238298611719</v>
      </c>
      <c r="AC424">
        <f t="shared" si="155"/>
        <v>6000</v>
      </c>
      <c r="AD424">
        <f t="shared" si="156"/>
        <v>0.60478878374920231</v>
      </c>
      <c r="AE424">
        <f t="shared" si="157"/>
        <v>6.7037238298611719</v>
      </c>
      <c r="AF424">
        <f t="shared" si="158"/>
        <v>6000</v>
      </c>
      <c r="AG424">
        <f t="shared" si="159"/>
        <v>0.60478878374920231</v>
      </c>
      <c r="AH424">
        <f t="shared" si="160"/>
        <v>6.7037238298611719</v>
      </c>
      <c r="AI424" cm="1">
        <f t="array" ref="AI424">_xlfn.LET(
    _xlpm.vals,   _xlfn.HSTACK(S424,V424,Y424,AB424,AE424,AH424),
    _xlpm.ints,   _xlfn.HSTACK(R424,U424,X424,AA424,AD424,AG424),
    _xlpm.slopes, _xlfn.HSTACK(Q424,T424,W424,Z424,AC424,AF424),
    _xlpm.limit,  -0.00001*_xlpm.slopes + 0.1086*_xlpm.slopes + 63.253,
    _xlpm.mask,   (_xlpm.vals&gt;=0) * (_xlpm.ints&lt;=_xlpm.limit),
    _xlpm.validVals, _xlfn._xlws.FILTER(_xlpm.vals, _xlpm.mask),
    _xlpm.minVal, MIN(_xlpm.validVals),
    IFERROR( _xlfn.XMATCH(_xlpm.minVal, _xlpm.vals), "" )
)</f>
        <v>1</v>
      </c>
      <c r="AJ424" cm="1">
        <f t="array" ref="AJ424">_xlfn.LET(
    _xlpm.vals, CHOOSE({1,2,3,4,5,6}, S424, V424, Y424, AB424, AE424, AH424),
    _xlpm.slopes, CHOOSE({1,2,3,4,5,6}, Q424, T424, W424, Z424, AC424, AF424),
    _xlpm.ints, CHOOSE({1,2,3,4,5,6}, R424, U424, X424, AA424, AD424, AG424),
    _xlpm.limit, -0.00001*_xlpm.slopes + 0.1086*_xlpm.slopes + 63.253,
    _xlpm.valid, (_xlpm.vals &gt;= 0) * (_xlpm.ints &lt;= _xlpm.limit),
    _xlpm.target, MIN(_xlfn._xlws.FILTER(_xlpm.vals, _xlpm.valid)),
    IFERROR(
        _xlfn.XLOOKUP(_xlpm.target, _xlpm.vals, _xlpm.vals),
        CHOOSE({1,2,3,4,5,6}, S$1, V$1, Y$1, AB$1, AE$1, AH$1)
    )
)</f>
        <v>0.34140077934740681</v>
      </c>
    </row>
    <row r="425" spans="9:36" x14ac:dyDescent="0.45">
      <c r="I425">
        <v>423</v>
      </c>
      <c r="J425">
        <v>0</v>
      </c>
      <c r="K425">
        <f t="shared" si="139"/>
        <v>0</v>
      </c>
      <c r="L425">
        <f t="shared" si="138"/>
        <v>0</v>
      </c>
      <c r="M425">
        <v>0.72</v>
      </c>
      <c r="N425">
        <f t="shared" si="140"/>
        <v>0.72</v>
      </c>
      <c r="O425">
        <f t="shared" si="141"/>
        <v>0</v>
      </c>
      <c r="P425">
        <f t="shared" si="142"/>
        <v>0</v>
      </c>
      <c r="Q425">
        <f t="shared" si="143"/>
        <v>1000</v>
      </c>
      <c r="R425">
        <f t="shared" si="144"/>
        <v>6.8754935415698792</v>
      </c>
      <c r="S425">
        <f t="shared" si="145"/>
        <v>0.36198940301670424</v>
      </c>
      <c r="T425">
        <f t="shared" si="146"/>
        <v>6000</v>
      </c>
      <c r="U425">
        <f t="shared" si="147"/>
        <v>1.1459155902616465</v>
      </c>
      <c r="V425">
        <f t="shared" si="148"/>
        <v>6.7071225502815253</v>
      </c>
      <c r="W425">
        <f t="shared" si="149"/>
        <v>6000</v>
      </c>
      <c r="X425">
        <f t="shared" si="150"/>
        <v>1.1459155902616465</v>
      </c>
      <c r="Y425">
        <f t="shared" si="151"/>
        <v>6.7071225502815253</v>
      </c>
      <c r="Z425">
        <f t="shared" si="152"/>
        <v>6000</v>
      </c>
      <c r="AA425">
        <f t="shared" si="153"/>
        <v>1.1459155902616465</v>
      </c>
      <c r="AB425">
        <f t="shared" si="154"/>
        <v>6.7071225502815253</v>
      </c>
      <c r="AC425">
        <f t="shared" si="155"/>
        <v>6000</v>
      </c>
      <c r="AD425">
        <f t="shared" si="156"/>
        <v>1.1459155902616465</v>
      </c>
      <c r="AE425">
        <f t="shared" si="157"/>
        <v>6.7071225502815253</v>
      </c>
      <c r="AF425">
        <f t="shared" si="158"/>
        <v>6000</v>
      </c>
      <c r="AG425">
        <f t="shared" si="159"/>
        <v>1.1459155902616465</v>
      </c>
      <c r="AH425">
        <f t="shared" si="160"/>
        <v>6.7071225502815253</v>
      </c>
      <c r="AI425" cm="1">
        <f t="array" ref="AI425">_xlfn.LET(
    _xlpm.vals,   _xlfn.HSTACK(S425,V425,Y425,AB425,AE425,AH425),
    _xlpm.ints,   _xlfn.HSTACK(R425,U425,X425,AA425,AD425,AG425),
    _xlpm.slopes, _xlfn.HSTACK(Q425,T425,W425,Z425,AC425,AF425),
    _xlpm.limit,  -0.00001*_xlpm.slopes + 0.1086*_xlpm.slopes + 63.253,
    _xlpm.mask,   (_xlpm.vals&gt;=0) * (_xlpm.ints&lt;=_xlpm.limit),
    _xlpm.validVals, _xlfn._xlws.FILTER(_xlpm.vals, _xlpm.mask),
    _xlpm.minVal, MIN(_xlpm.validVals),
    IFERROR( _xlfn.XMATCH(_xlpm.minVal, _xlpm.vals), "" )
)</f>
        <v>1</v>
      </c>
      <c r="AJ425" cm="1">
        <f t="array" ref="AJ425">_xlfn.LET(
    _xlpm.vals, CHOOSE({1,2,3,4,5,6}, S425, V425, Y425, AB425, AE425, AH425),
    _xlpm.slopes, CHOOSE({1,2,3,4,5,6}, Q425, T425, W425, Z425, AC425, AF425),
    _xlpm.ints, CHOOSE({1,2,3,4,5,6}, R425, U425, X425, AA425, AD425, AG425),
    _xlpm.limit, -0.00001*_xlpm.slopes + 0.1086*_xlpm.slopes + 63.253,
    _xlpm.valid, (_xlpm.vals &gt;= 0) * (_xlpm.ints &lt;= _xlpm.limit),
    _xlpm.target, MIN(_xlfn._xlws.FILTER(_xlpm.vals, _xlpm.valid)),
    IFERROR(
        _xlfn.XLOOKUP(_xlpm.target, _xlpm.vals, _xlpm.vals),
        CHOOSE({1,2,3,4,5,6}, S$1, V$1, Y$1, AB$1, AE$1, AH$1)
    )
)</f>
        <v>0.36198940301670424</v>
      </c>
    </row>
    <row r="426" spans="9:36" x14ac:dyDescent="0.45">
      <c r="I426">
        <v>424</v>
      </c>
      <c r="J426">
        <v>0.6</v>
      </c>
      <c r="K426">
        <f t="shared" si="139"/>
        <v>0.6</v>
      </c>
      <c r="L426">
        <f t="shared" si="138"/>
        <v>1.6666666666666666E-4</v>
      </c>
      <c r="M426">
        <v>0.9</v>
      </c>
      <c r="N426">
        <f t="shared" si="140"/>
        <v>0.9</v>
      </c>
      <c r="O426">
        <f t="shared" si="141"/>
        <v>7.797109672306946</v>
      </c>
      <c r="P426">
        <f t="shared" si="142"/>
        <v>24.950750951382229</v>
      </c>
      <c r="Q426">
        <f t="shared" si="143"/>
        <v>1000</v>
      </c>
      <c r="R426">
        <f t="shared" si="144"/>
        <v>8.5943669269623495</v>
      </c>
      <c r="S426">
        <f t="shared" si="145"/>
        <v>0.37339361576315994</v>
      </c>
      <c r="T426">
        <f t="shared" si="146"/>
        <v>6000</v>
      </c>
      <c r="U426">
        <f t="shared" si="147"/>
        <v>1.432394487827058</v>
      </c>
      <c r="V426">
        <f t="shared" si="148"/>
        <v>6.7089612815969923</v>
      </c>
      <c r="W426">
        <f t="shared" si="149"/>
        <v>6000</v>
      </c>
      <c r="X426">
        <f t="shared" si="150"/>
        <v>1.432394487827058</v>
      </c>
      <c r="Y426">
        <f t="shared" si="151"/>
        <v>6.7089612815969923</v>
      </c>
      <c r="Z426">
        <f t="shared" si="152"/>
        <v>6000</v>
      </c>
      <c r="AA426">
        <f t="shared" si="153"/>
        <v>1.432394487827058</v>
      </c>
      <c r="AB426">
        <f t="shared" si="154"/>
        <v>6.7089612815969923</v>
      </c>
      <c r="AC426">
        <f t="shared" si="155"/>
        <v>6000</v>
      </c>
      <c r="AD426">
        <f t="shared" si="156"/>
        <v>1.432394487827058</v>
      </c>
      <c r="AE426">
        <f t="shared" si="157"/>
        <v>6.7089612815969923</v>
      </c>
      <c r="AF426">
        <f t="shared" si="158"/>
        <v>6000</v>
      </c>
      <c r="AG426">
        <f t="shared" si="159"/>
        <v>1.432394487827058</v>
      </c>
      <c r="AH426">
        <f t="shared" si="160"/>
        <v>6.7089612815969923</v>
      </c>
      <c r="AI426" cm="1">
        <f t="array" ref="AI426">_xlfn.LET(
    _xlpm.vals,   _xlfn.HSTACK(S426,V426,Y426,AB426,AE426,AH426),
    _xlpm.ints,   _xlfn.HSTACK(R426,U426,X426,AA426,AD426,AG426),
    _xlpm.slopes, _xlfn.HSTACK(Q426,T426,W426,Z426,AC426,AF426),
    _xlpm.limit,  -0.00001*_xlpm.slopes + 0.1086*_xlpm.slopes + 63.253,
    _xlpm.mask,   (_xlpm.vals&gt;=0) * (_xlpm.ints&lt;=_xlpm.limit),
    _xlpm.validVals, _xlfn._xlws.FILTER(_xlpm.vals, _xlpm.mask),
    _xlpm.minVal, MIN(_xlpm.validVals),
    IFERROR( _xlfn.XMATCH(_xlpm.minVal, _xlpm.vals), "" )
)</f>
        <v>1</v>
      </c>
      <c r="AJ426" cm="1">
        <f t="array" ref="AJ426">_xlfn.LET(
    _xlpm.vals, CHOOSE({1,2,3,4,5,6}, S426, V426, Y426, AB426, AE426, AH426),
    _xlpm.slopes, CHOOSE({1,2,3,4,5,6}, Q426, T426, W426, Z426, AC426, AF426),
    _xlpm.ints, CHOOSE({1,2,3,4,5,6}, R426, U426, X426, AA426, AD426, AG426),
    _xlpm.limit, -0.00001*_xlpm.slopes + 0.1086*_xlpm.slopes + 63.253,
    _xlpm.valid, (_xlpm.vals &gt;= 0) * (_xlpm.ints &lt;= _xlpm.limit),
    _xlpm.target, MIN(_xlfn._xlws.FILTER(_xlpm.vals, _xlpm.valid)),
    IFERROR(
        _xlfn.XLOOKUP(_xlpm.target, _xlpm.vals, _xlpm.vals),
        CHOOSE({1,2,3,4,5,6}, S$1, V$1, Y$1, AB$1, AE$1, AH$1)
    )
)</f>
        <v>0.37339361576315994</v>
      </c>
    </row>
    <row r="427" spans="9:36" x14ac:dyDescent="0.45">
      <c r="I427">
        <v>425</v>
      </c>
      <c r="J427">
        <v>3.9</v>
      </c>
      <c r="K427">
        <f t="shared" si="139"/>
        <v>3.9</v>
      </c>
      <c r="L427">
        <f t="shared" si="138"/>
        <v>1.0833333333333333E-3</v>
      </c>
      <c r="M427">
        <v>7.09</v>
      </c>
      <c r="N427">
        <f t="shared" si="140"/>
        <v>7.09</v>
      </c>
      <c r="O427">
        <f t="shared" si="141"/>
        <v>50.681212869995157</v>
      </c>
      <c r="P427">
        <f t="shared" si="142"/>
        <v>162.17988118398452</v>
      </c>
      <c r="Q427">
        <f t="shared" si="143"/>
        <v>1000</v>
      </c>
      <c r="R427">
        <f t="shared" si="144"/>
        <v>67.704512791292288</v>
      </c>
      <c r="S427">
        <f t="shared" si="145"/>
        <v>0.89791198263431371</v>
      </c>
      <c r="T427">
        <f t="shared" si="146"/>
        <v>6000</v>
      </c>
      <c r="U427">
        <f t="shared" si="147"/>
        <v>11.28408546521538</v>
      </c>
      <c r="V427">
        <f t="shared" si="148"/>
        <v>6.7884237356634562</v>
      </c>
      <c r="W427">
        <f t="shared" si="149"/>
        <v>6000</v>
      </c>
      <c r="X427">
        <f t="shared" si="150"/>
        <v>11.28408546521538</v>
      </c>
      <c r="Y427">
        <f t="shared" si="151"/>
        <v>6.7884237356634562</v>
      </c>
      <c r="Z427">
        <f t="shared" si="152"/>
        <v>6000</v>
      </c>
      <c r="AA427">
        <f t="shared" si="153"/>
        <v>11.28408546521538</v>
      </c>
      <c r="AB427">
        <f t="shared" si="154"/>
        <v>6.7884237356634562</v>
      </c>
      <c r="AC427">
        <f t="shared" si="155"/>
        <v>6000</v>
      </c>
      <c r="AD427">
        <f t="shared" si="156"/>
        <v>11.28408546521538</v>
      </c>
      <c r="AE427">
        <f t="shared" si="157"/>
        <v>6.7884237356634562</v>
      </c>
      <c r="AF427">
        <f t="shared" si="158"/>
        <v>6000</v>
      </c>
      <c r="AG427">
        <f t="shared" si="159"/>
        <v>11.28408546521538</v>
      </c>
      <c r="AH427">
        <f t="shared" si="160"/>
        <v>6.7884237356634562</v>
      </c>
      <c r="AI427" cm="1">
        <f t="array" ref="AI427">_xlfn.LET(
    _xlpm.vals,   _xlfn.HSTACK(S427,V427,Y427,AB427,AE427,AH427),
    _xlpm.ints,   _xlfn.HSTACK(R427,U427,X427,AA427,AD427,AG427),
    _xlpm.slopes, _xlfn.HSTACK(Q427,T427,W427,Z427,AC427,AF427),
    _xlpm.limit,  -0.00001*_xlpm.slopes + 0.1086*_xlpm.slopes + 63.253,
    _xlpm.mask,   (_xlpm.vals&gt;=0) * (_xlpm.ints&lt;=_xlpm.limit),
    _xlpm.validVals, _xlfn._xlws.FILTER(_xlpm.vals, _xlpm.mask),
    _xlpm.minVal, MIN(_xlpm.validVals),
    IFERROR( _xlfn.XMATCH(_xlpm.minVal, _xlpm.vals), "" )
)</f>
        <v>1</v>
      </c>
      <c r="AJ427" cm="1">
        <f t="array" ref="AJ427">_xlfn.LET(
    _xlpm.vals, CHOOSE({1,2,3,4,5,6}, S427, V427, Y427, AB427, AE427, AH427),
    _xlpm.slopes, CHOOSE({1,2,3,4,5,6}, Q427, T427, W427, Z427, AC427, AF427),
    _xlpm.ints, CHOOSE({1,2,3,4,5,6}, R427, U427, X427, AA427, AD427, AG427),
    _xlpm.limit, -0.00001*_xlpm.slopes + 0.1086*_xlpm.slopes + 63.253,
    _xlpm.valid, (_xlpm.vals &gt;= 0) * (_xlpm.ints &lt;= _xlpm.limit),
    _xlpm.target, MIN(_xlfn._xlws.FILTER(_xlpm.vals, _xlpm.valid)),
    IFERROR(
        _xlfn.XLOOKUP(_xlpm.target, _xlpm.vals, _xlpm.vals),
        CHOOSE({1,2,3,4,5,6}, S$1, V$1, Y$1, AB$1, AE$1, AH$1)
    )
)</f>
        <v>0.89791198263431371</v>
      </c>
    </row>
    <row r="428" spans="9:36" x14ac:dyDescent="0.45">
      <c r="I428">
        <v>426</v>
      </c>
      <c r="J428">
        <v>7.2</v>
      </c>
      <c r="K428">
        <f t="shared" si="139"/>
        <v>7.2</v>
      </c>
      <c r="L428">
        <f t="shared" si="138"/>
        <v>2E-3</v>
      </c>
      <c r="M428">
        <v>12.22</v>
      </c>
      <c r="N428">
        <f t="shared" si="140"/>
        <v>12.22</v>
      </c>
      <c r="O428">
        <f t="shared" si="141"/>
        <v>93.565316067683369</v>
      </c>
      <c r="P428">
        <f t="shared" si="142"/>
        <v>299.40901141658679</v>
      </c>
      <c r="Q428">
        <f t="shared" si="143"/>
        <v>1371.2932722879675</v>
      </c>
      <c r="R428">
        <f t="shared" si="144"/>
        <v>85.096606709285012</v>
      </c>
      <c r="S428">
        <f t="shared" si="145"/>
        <v>1.3847808748576667</v>
      </c>
      <c r="T428">
        <f t="shared" si="146"/>
        <v>6000</v>
      </c>
      <c r="U428">
        <f t="shared" si="147"/>
        <v>19.44873404582961</v>
      </c>
      <c r="V428">
        <f t="shared" si="148"/>
        <v>6.8772461672655245</v>
      </c>
      <c r="W428">
        <f t="shared" si="149"/>
        <v>6000</v>
      </c>
      <c r="X428">
        <f t="shared" si="150"/>
        <v>19.44873404582961</v>
      </c>
      <c r="Y428">
        <f t="shared" si="151"/>
        <v>6.8772461672655245</v>
      </c>
      <c r="Z428">
        <f t="shared" si="152"/>
        <v>6000</v>
      </c>
      <c r="AA428">
        <f t="shared" si="153"/>
        <v>19.44873404582961</v>
      </c>
      <c r="AB428">
        <f t="shared" si="154"/>
        <v>6.8772461672655245</v>
      </c>
      <c r="AC428">
        <f t="shared" si="155"/>
        <v>6000</v>
      </c>
      <c r="AD428">
        <f t="shared" si="156"/>
        <v>19.44873404582961</v>
      </c>
      <c r="AE428">
        <f t="shared" si="157"/>
        <v>6.8772461672655245</v>
      </c>
      <c r="AF428">
        <f t="shared" si="158"/>
        <v>6000</v>
      </c>
      <c r="AG428">
        <f t="shared" si="159"/>
        <v>19.44873404582961</v>
      </c>
      <c r="AH428">
        <f t="shared" si="160"/>
        <v>6.8772461672655245</v>
      </c>
      <c r="AI428" cm="1">
        <f t="array" ref="AI428">_xlfn.LET(
    _xlpm.vals,   _xlfn.HSTACK(S428,V428,Y428,AB428,AE428,AH428),
    _xlpm.ints,   _xlfn.HSTACK(R428,U428,X428,AA428,AD428,AG428),
    _xlpm.slopes, _xlfn.HSTACK(Q428,T428,W428,Z428,AC428,AF428),
    _xlpm.limit,  -0.00001*_xlpm.slopes + 0.1086*_xlpm.slopes + 63.253,
    _xlpm.mask,   (_xlpm.vals&gt;=0) * (_xlpm.ints&lt;=_xlpm.limit),
    _xlpm.validVals, _xlfn._xlws.FILTER(_xlpm.vals, _xlpm.mask),
    _xlpm.minVal, MIN(_xlpm.validVals),
    IFERROR( _xlfn.XMATCH(_xlpm.minVal, _xlpm.vals), "" )
)</f>
        <v>1</v>
      </c>
      <c r="AJ428" cm="1">
        <f t="array" ref="AJ428">_xlfn.LET(
    _xlpm.vals, CHOOSE({1,2,3,4,5,6}, S428, V428, Y428, AB428, AE428, AH428),
    _xlpm.slopes, CHOOSE({1,2,3,4,5,6}, Q428, T428, W428, Z428, AC428, AF428),
    _xlpm.ints, CHOOSE({1,2,3,4,5,6}, R428, U428, X428, AA428, AD428, AG428),
    _xlpm.limit, -0.00001*_xlpm.slopes + 0.1086*_xlpm.slopes + 63.253,
    _xlpm.valid, (_xlpm.vals &gt;= 0) * (_xlpm.ints &lt;= _xlpm.limit),
    _xlpm.target, MIN(_xlfn._xlws.FILTER(_xlpm.vals, _xlpm.valid)),
    IFERROR(
        _xlfn.XLOOKUP(_xlpm.target, _xlpm.vals, _xlpm.vals),
        CHOOSE({1,2,3,4,5,6}, S$1, V$1, Y$1, AB$1, AE$1, AH$1)
    )
)</f>
        <v>1.3847808748576667</v>
      </c>
    </row>
    <row r="429" spans="9:36" x14ac:dyDescent="0.45">
      <c r="I429">
        <v>427</v>
      </c>
      <c r="J429">
        <v>10.7</v>
      </c>
      <c r="K429">
        <f t="shared" si="139"/>
        <v>10.7</v>
      </c>
      <c r="L429">
        <f t="shared" si="138"/>
        <v>2.972222222222222E-3</v>
      </c>
      <c r="M429">
        <v>16.87</v>
      </c>
      <c r="N429">
        <f t="shared" si="140"/>
        <v>16.87</v>
      </c>
      <c r="O429">
        <f t="shared" si="141"/>
        <v>139.04845582280723</v>
      </c>
      <c r="P429">
        <f t="shared" si="142"/>
        <v>444.95505863298314</v>
      </c>
      <c r="Q429">
        <f t="shared" si="143"/>
        <v>2037.8941685390628</v>
      </c>
      <c r="R429">
        <f t="shared" si="144"/>
        <v>79.050539465994135</v>
      </c>
      <c r="S429">
        <f t="shared" si="145"/>
        <v>1.7997280369000814</v>
      </c>
      <c r="T429">
        <f t="shared" si="146"/>
        <v>1317.0669735536301</v>
      </c>
      <c r="U429">
        <f t="shared" si="147"/>
        <v>122.31468606562603</v>
      </c>
      <c r="V429">
        <f t="shared" si="148"/>
        <v>1.7616990810641973</v>
      </c>
      <c r="W429">
        <f t="shared" si="149"/>
        <v>6000</v>
      </c>
      <c r="X429">
        <f t="shared" si="150"/>
        <v>26.849438899602745</v>
      </c>
      <c r="Y429">
        <f t="shared" si="151"/>
        <v>6.974725711243587</v>
      </c>
      <c r="Z429">
        <f t="shared" si="152"/>
        <v>6000</v>
      </c>
      <c r="AA429">
        <f t="shared" si="153"/>
        <v>26.849438899602745</v>
      </c>
      <c r="AB429">
        <f t="shared" si="154"/>
        <v>6.974725711243587</v>
      </c>
      <c r="AC429">
        <f t="shared" si="155"/>
        <v>6000</v>
      </c>
      <c r="AD429">
        <f t="shared" si="156"/>
        <v>26.849438899602745</v>
      </c>
      <c r="AE429">
        <f t="shared" si="157"/>
        <v>6.974725711243587</v>
      </c>
      <c r="AF429">
        <f t="shared" si="158"/>
        <v>6000</v>
      </c>
      <c r="AG429">
        <f t="shared" si="159"/>
        <v>26.849438899602745</v>
      </c>
      <c r="AH429">
        <f t="shared" si="160"/>
        <v>6.974725711243587</v>
      </c>
      <c r="AI429" cm="1">
        <f t="array" ref="AI429">_xlfn.LET(
    _xlpm.vals,   _xlfn.HSTACK(S429,V429,Y429,AB429,AE429,AH429),
    _xlpm.ints,   _xlfn.HSTACK(R429,U429,X429,AA429,AD429,AG429),
    _xlpm.slopes, _xlfn.HSTACK(Q429,T429,W429,Z429,AC429,AF429),
    _xlpm.limit,  -0.00001*_xlpm.slopes + 0.1086*_xlpm.slopes + 63.253,
    _xlpm.mask,   (_xlpm.vals&gt;=0) * (_xlpm.ints&lt;=_xlpm.limit),
    _xlpm.validVals, _xlfn._xlws.FILTER(_xlpm.vals, _xlpm.mask),
    _xlpm.minVal, MIN(_xlpm.validVals),
    IFERROR( _xlfn.XMATCH(_xlpm.minVal, _xlpm.vals), "" )
)</f>
        <v>2</v>
      </c>
      <c r="AJ429" cm="1">
        <f t="array" ref="AJ429">_xlfn.LET(
    _xlpm.vals, CHOOSE({1,2,3,4,5,6}, S429, V429, Y429, AB429, AE429, AH429),
    _xlpm.slopes, CHOOSE({1,2,3,4,5,6}, Q429, T429, W429, Z429, AC429, AF429),
    _xlpm.ints, CHOOSE({1,2,3,4,5,6}, R429, U429, X429, AA429, AD429, AG429),
    _xlpm.limit, -0.00001*_xlpm.slopes + 0.1086*_xlpm.slopes + 63.253,
    _xlpm.valid, (_xlpm.vals &gt;= 0) * (_xlpm.ints &lt;= _xlpm.limit),
    _xlpm.target, MIN(_xlfn._xlws.FILTER(_xlpm.vals, _xlpm.valid)),
    IFERROR(
        _xlfn.XLOOKUP(_xlpm.target, _xlpm.vals, _xlpm.vals),
        CHOOSE({1,2,3,4,5,6}, S$1, V$1, Y$1, AB$1, AE$1, AH$1)
    )
)</f>
        <v>1.7616990810641973</v>
      </c>
    </row>
    <row r="430" spans="9:36" x14ac:dyDescent="0.45">
      <c r="I430">
        <v>428</v>
      </c>
      <c r="J430">
        <v>14.3</v>
      </c>
      <c r="K430">
        <f t="shared" si="139"/>
        <v>14.3</v>
      </c>
      <c r="L430">
        <f t="shared" si="138"/>
        <v>3.9722222222222225E-3</v>
      </c>
      <c r="M430">
        <v>20.39</v>
      </c>
      <c r="N430">
        <f t="shared" si="140"/>
        <v>20.39</v>
      </c>
      <c r="O430">
        <f t="shared" si="141"/>
        <v>185.8311138566489</v>
      </c>
      <c r="P430">
        <f t="shared" si="142"/>
        <v>594.65956434127645</v>
      </c>
      <c r="Q430">
        <f t="shared" si="143"/>
        <v>2723.5408046830462</v>
      </c>
      <c r="R430">
        <f t="shared" si="144"/>
        <v>71.491551381872654</v>
      </c>
      <c r="S430">
        <f t="shared" si="145"/>
        <v>2.1574575129336537</v>
      </c>
      <c r="T430">
        <f t="shared" si="146"/>
        <v>1760.1923104501782</v>
      </c>
      <c r="U430">
        <f t="shared" si="147"/>
        <v>110.6186842327624</v>
      </c>
      <c r="V430">
        <f t="shared" si="148"/>
        <v>2.1019636589407877</v>
      </c>
      <c r="W430">
        <f t="shared" si="149"/>
        <v>1135.799767891838</v>
      </c>
      <c r="X430">
        <f t="shared" si="150"/>
        <v>171.43000279004016</v>
      </c>
      <c r="Y430">
        <f t="shared" si="151"/>
        <v>1.732783955693608</v>
      </c>
      <c r="Z430">
        <f t="shared" si="152"/>
        <v>6000</v>
      </c>
      <c r="AA430">
        <f t="shared" si="153"/>
        <v>32.451692896437464</v>
      </c>
      <c r="AB430">
        <f t="shared" si="154"/>
        <v>7.0587104948905157</v>
      </c>
      <c r="AC430">
        <f t="shared" si="155"/>
        <v>6000</v>
      </c>
      <c r="AD430">
        <f t="shared" si="156"/>
        <v>32.451692896437464</v>
      </c>
      <c r="AE430">
        <f t="shared" si="157"/>
        <v>7.0587104948905157</v>
      </c>
      <c r="AF430">
        <f t="shared" si="158"/>
        <v>6000</v>
      </c>
      <c r="AG430">
        <f t="shared" si="159"/>
        <v>32.451692896437464</v>
      </c>
      <c r="AH430">
        <f t="shared" si="160"/>
        <v>7.0587104948905157</v>
      </c>
      <c r="AI430" cm="1">
        <f t="array" ref="AI430">_xlfn.LET(
    _xlpm.vals,   _xlfn.HSTACK(S430,V430,Y430,AB430,AE430,AH430),
    _xlpm.ints,   _xlfn.HSTACK(R430,U430,X430,AA430,AD430,AG430),
    _xlpm.slopes, _xlfn.HSTACK(Q430,T430,W430,Z430,AC430,AF430),
    _xlpm.limit,  -0.00001*_xlpm.slopes + 0.1086*_xlpm.slopes + 63.253,
    _xlpm.mask,   (_xlpm.vals&gt;=0) * (_xlpm.ints&lt;=_xlpm.limit),
    _xlpm.validVals, _xlfn._xlws.FILTER(_xlpm.vals, _xlpm.mask),
    _xlpm.minVal, MIN(_xlpm.validVals),
    IFERROR( _xlfn.XMATCH(_xlpm.minVal, _xlpm.vals), "" )
)</f>
        <v>3</v>
      </c>
      <c r="AJ430" cm="1">
        <f t="array" ref="AJ430">_xlfn.LET(
    _xlpm.vals, CHOOSE({1,2,3,4,5,6}, S430, V430, Y430, AB430, AE430, AH430),
    _xlpm.slopes, CHOOSE({1,2,3,4,5,6}, Q430, T430, W430, Z430, AC430, AF430),
    _xlpm.ints, CHOOSE({1,2,3,4,5,6}, R430, U430, X430, AA430, AD430, AG430),
    _xlpm.limit, -0.00001*_xlpm.slopes + 0.1086*_xlpm.slopes + 63.253,
    _xlpm.valid, (_xlpm.vals &gt;= 0) * (_xlpm.ints &lt;= _xlpm.limit),
    _xlpm.target, MIN(_xlfn._xlws.FILTER(_xlpm.vals, _xlpm.valid)),
    IFERROR(
        _xlfn.XLOOKUP(_xlpm.target, _xlpm.vals, _xlpm.vals),
        CHOOSE({1,2,3,4,5,6}, S$1, V$1, Y$1, AB$1, AE$1, AH$1)
    )
)</f>
        <v>1.732783955693608</v>
      </c>
    </row>
    <row r="431" spans="9:36" x14ac:dyDescent="0.45">
      <c r="I431">
        <v>429</v>
      </c>
      <c r="J431">
        <v>17.600000000000001</v>
      </c>
      <c r="K431">
        <f t="shared" si="139"/>
        <v>17.600000000000001</v>
      </c>
      <c r="L431">
        <f t="shared" si="138"/>
        <v>4.8888888888888897E-3</v>
      </c>
      <c r="M431">
        <v>24.07</v>
      </c>
      <c r="N431">
        <f t="shared" si="140"/>
        <v>24.07</v>
      </c>
      <c r="O431">
        <f t="shared" si="141"/>
        <v>228.71521705433713</v>
      </c>
      <c r="P431">
        <f t="shared" si="142"/>
        <v>731.88869457387887</v>
      </c>
      <c r="Q431">
        <f t="shared" si="143"/>
        <v>3352.0502211483654</v>
      </c>
      <c r="R431">
        <f t="shared" si="144"/>
        <v>68.570443056957345</v>
      </c>
      <c r="S431">
        <f t="shared" si="145"/>
        <v>2.6462972319485658</v>
      </c>
      <c r="T431">
        <f t="shared" si="146"/>
        <v>2166.3905359386813</v>
      </c>
      <c r="U431">
        <f t="shared" si="147"/>
        <v>106.09886121650834</v>
      </c>
      <c r="V431">
        <f t="shared" si="148"/>
        <v>2.4177945712394724</v>
      </c>
      <c r="W431">
        <f t="shared" si="149"/>
        <v>1397.9074066361086</v>
      </c>
      <c r="X431">
        <f t="shared" si="150"/>
        <v>164.42546031458883</v>
      </c>
      <c r="Y431">
        <f t="shared" si="151"/>
        <v>2.1849542413030409</v>
      </c>
      <c r="Z431">
        <f t="shared" si="152"/>
        <v>1053.9197201863856</v>
      </c>
      <c r="AA431">
        <f t="shared" si="153"/>
        <v>218.09210361171156</v>
      </c>
      <c r="AB431">
        <f t="shared" si="154"/>
        <v>1.2186215283688457</v>
      </c>
      <c r="AC431">
        <f t="shared" si="155"/>
        <v>6000</v>
      </c>
      <c r="AD431">
        <f t="shared" si="156"/>
        <v>38.308594802219211</v>
      </c>
      <c r="AE431">
        <f t="shared" si="157"/>
        <v>7.1554644325988557</v>
      </c>
      <c r="AF431">
        <f t="shared" si="158"/>
        <v>6000</v>
      </c>
      <c r="AG431">
        <f t="shared" si="159"/>
        <v>38.308594802219211</v>
      </c>
      <c r="AH431">
        <f t="shared" si="160"/>
        <v>7.1554644325988557</v>
      </c>
      <c r="AI431" cm="1">
        <f t="array" ref="AI431">_xlfn.LET(
    _xlpm.vals,   _xlfn.HSTACK(S431,V431,Y431,AB431,AE431,AH431),
    _xlpm.ints,   _xlfn.HSTACK(R431,U431,X431,AA431,AD431,AG431),
    _xlpm.slopes, _xlfn.HSTACK(Q431,T431,W431,Z431,AC431,AF431),
    _xlpm.limit,  -0.00001*_xlpm.slopes + 0.1086*_xlpm.slopes + 63.253,
    _xlpm.mask,   (_xlpm.vals&gt;=0) * (_xlpm.ints&lt;=_xlpm.limit),
    _xlpm.validVals, _xlfn._xlws.FILTER(_xlpm.vals, _xlpm.mask),
    _xlpm.minVal, MIN(_xlpm.validVals),
    IFERROR( _xlfn.XMATCH(_xlpm.minVal, _xlpm.vals), "" )
)</f>
        <v>3</v>
      </c>
      <c r="AJ431" cm="1">
        <f t="array" ref="AJ431">_xlfn.LET(
    _xlpm.vals, CHOOSE({1,2,3,4,5,6}, S431, V431, Y431, AB431, AE431, AH431),
    _xlpm.slopes, CHOOSE({1,2,3,4,5,6}, Q431, T431, W431, Z431, AC431, AF431),
    _xlpm.ints, CHOOSE({1,2,3,4,5,6}, R431, U431, X431, AA431, AD431, AG431),
    _xlpm.limit, -0.00001*_xlpm.slopes + 0.1086*_xlpm.slopes + 63.253,
    _xlpm.valid, (_xlpm.vals &gt;= 0) * (_xlpm.ints &lt;= _xlpm.limit),
    _xlpm.target, MIN(_xlfn._xlws.FILTER(_xlpm.vals, _xlpm.valid)),
    IFERROR(
        _xlfn.XLOOKUP(_xlpm.target, _xlpm.vals, _xlpm.vals),
        CHOOSE({1,2,3,4,5,6}, S$1, V$1, Y$1, AB$1, AE$1, AH$1)
    )
)</f>
        <v>2.1849542413030409</v>
      </c>
    </row>
    <row r="432" spans="9:36" x14ac:dyDescent="0.45">
      <c r="I432">
        <v>430</v>
      </c>
      <c r="J432">
        <v>19.899999999999999</v>
      </c>
      <c r="K432">
        <f t="shared" si="139"/>
        <v>19.899999999999999</v>
      </c>
      <c r="L432">
        <f t="shared" si="138"/>
        <v>5.5277777777777773E-3</v>
      </c>
      <c r="M432">
        <v>21.14</v>
      </c>
      <c r="N432">
        <f t="shared" si="140"/>
        <v>21.14</v>
      </c>
      <c r="O432">
        <f t="shared" si="141"/>
        <v>258.6041374648471</v>
      </c>
      <c r="P432">
        <f t="shared" si="142"/>
        <v>827.53323988751072</v>
      </c>
      <c r="Q432">
        <f t="shared" si="143"/>
        <v>3790.102238684799</v>
      </c>
      <c r="R432">
        <f t="shared" si="144"/>
        <v>53.262977382850643</v>
      </c>
      <c r="S432">
        <f t="shared" si="145"/>
        <v>2.7480760006894398</v>
      </c>
      <c r="T432">
        <f t="shared" si="146"/>
        <v>2449.4983900670318</v>
      </c>
      <c r="U432">
        <f t="shared" si="147"/>
        <v>82.413660950491874</v>
      </c>
      <c r="V432">
        <f t="shared" si="148"/>
        <v>2.1804982795132624</v>
      </c>
      <c r="W432">
        <f t="shared" si="149"/>
        <v>1580.5884881851455</v>
      </c>
      <c r="X432">
        <f t="shared" si="150"/>
        <v>127.71960021646909</v>
      </c>
      <c r="Y432">
        <f t="shared" si="151"/>
        <v>2.1384745632206021</v>
      </c>
      <c r="Z432">
        <f t="shared" si="152"/>
        <v>1191.6478654380153</v>
      </c>
      <c r="AA432">
        <f t="shared" si="153"/>
        <v>169.40585862045555</v>
      </c>
      <c r="AB432">
        <f t="shared" si="154"/>
        <v>1.836184687789264</v>
      </c>
      <c r="AC432">
        <f t="shared" si="155"/>
        <v>6000</v>
      </c>
      <c r="AD432">
        <f t="shared" si="156"/>
        <v>33.645354969626673</v>
      </c>
      <c r="AE432">
        <f t="shared" si="157"/>
        <v>7.0777000994307651</v>
      </c>
      <c r="AF432">
        <f t="shared" si="158"/>
        <v>6000</v>
      </c>
      <c r="AG432">
        <f t="shared" si="159"/>
        <v>33.645354969626673</v>
      </c>
      <c r="AH432">
        <f t="shared" si="160"/>
        <v>7.0777000994307651</v>
      </c>
      <c r="AI432" cm="1">
        <f t="array" ref="AI432">_xlfn.LET(
    _xlpm.vals,   _xlfn.HSTACK(S432,V432,Y432,AB432,AE432,AH432),
    _xlpm.ints,   _xlfn.HSTACK(R432,U432,X432,AA432,AD432,AG432),
    _xlpm.slopes, _xlfn.HSTACK(Q432,T432,W432,Z432,AC432,AF432),
    _xlpm.limit,  -0.00001*_xlpm.slopes + 0.1086*_xlpm.slopes + 63.253,
    _xlpm.mask,   (_xlpm.vals&gt;=0) * (_xlpm.ints&lt;=_xlpm.limit),
    _xlpm.validVals, _xlfn._xlws.FILTER(_xlpm.vals, _xlpm.mask),
    _xlpm.minVal, MIN(_xlpm.validVals),
    IFERROR( _xlfn.XMATCH(_xlpm.minVal, _xlpm.vals), "" )
)</f>
        <v>4</v>
      </c>
      <c r="AJ432" cm="1">
        <f t="array" ref="AJ432">_xlfn.LET(
    _xlpm.vals, CHOOSE({1,2,3,4,5,6}, S432, V432, Y432, AB432, AE432, AH432),
    _xlpm.slopes, CHOOSE({1,2,3,4,5,6}, Q432, T432, W432, Z432, AC432, AF432),
    _xlpm.ints, CHOOSE({1,2,3,4,5,6}, R432, U432, X432, AA432, AD432, AG432),
    _xlpm.limit, -0.00001*_xlpm.slopes + 0.1086*_xlpm.slopes + 63.253,
    _xlpm.valid, (_xlpm.vals &gt;= 0) * (_xlpm.ints &lt;= _xlpm.limit),
    _xlpm.target, MIN(_xlfn._xlws.FILTER(_xlpm.vals, _xlpm.valid)),
    IFERROR(
        _xlfn.XLOOKUP(_xlpm.target, _xlpm.vals, _xlpm.vals),
        CHOOSE({1,2,3,4,5,6}, S$1, V$1, Y$1, AB$1, AE$1, AH$1)
    )
)</f>
        <v>1.836184687789264</v>
      </c>
    </row>
    <row r="433" spans="9:36" x14ac:dyDescent="0.45">
      <c r="I433">
        <v>431</v>
      </c>
      <c r="J433">
        <v>22.9</v>
      </c>
      <c r="K433">
        <f t="shared" si="139"/>
        <v>22.9</v>
      </c>
      <c r="L433">
        <f t="shared" si="138"/>
        <v>6.3611111111111108E-3</v>
      </c>
      <c r="M433">
        <v>28.83</v>
      </c>
      <c r="N433">
        <f t="shared" si="140"/>
        <v>28.83</v>
      </c>
      <c r="O433">
        <f t="shared" si="141"/>
        <v>297.58968582638181</v>
      </c>
      <c r="P433">
        <f t="shared" si="142"/>
        <v>952.28699464442184</v>
      </c>
      <c r="Q433">
        <f t="shared" si="143"/>
        <v>4361.4744354714521</v>
      </c>
      <c r="R433">
        <f t="shared" si="144"/>
        <v>63.122282300068427</v>
      </c>
      <c r="S433">
        <f t="shared" si="145"/>
        <v>3.7963231787274072</v>
      </c>
      <c r="T433">
        <f t="shared" si="146"/>
        <v>2818.7695041474885</v>
      </c>
      <c r="U433">
        <f t="shared" si="147"/>
        <v>97.668936802132905</v>
      </c>
      <c r="V433">
        <f t="shared" si="148"/>
        <v>2.8482036125521408</v>
      </c>
      <c r="W433">
        <f t="shared" si="149"/>
        <v>1818.8681597708455</v>
      </c>
      <c r="X433">
        <f t="shared" si="150"/>
        <v>151.36128425880284</v>
      </c>
      <c r="Y433">
        <f t="shared" si="151"/>
        <v>2.7266290755197664</v>
      </c>
      <c r="Z433">
        <f t="shared" si="152"/>
        <v>1371.2932722879673</v>
      </c>
      <c r="AA433">
        <f t="shared" si="153"/>
        <v>200.76392564882875</v>
      </c>
      <c r="AB433">
        <f t="shared" si="154"/>
        <v>2.1359829972982278</v>
      </c>
      <c r="AC433">
        <f t="shared" si="155"/>
        <v>6000</v>
      </c>
      <c r="AD433">
        <f t="shared" si="156"/>
        <v>45.884370093393429</v>
      </c>
      <c r="AE433">
        <f t="shared" si="157"/>
        <v>7.2935127865333502</v>
      </c>
      <c r="AF433">
        <f t="shared" si="158"/>
        <v>6000</v>
      </c>
      <c r="AG433">
        <f t="shared" si="159"/>
        <v>45.884370093393429</v>
      </c>
      <c r="AH433">
        <f t="shared" si="160"/>
        <v>7.2935127865333502</v>
      </c>
      <c r="AI433" cm="1">
        <f t="array" ref="AI433">_xlfn.LET(
    _xlpm.vals,   _xlfn.HSTACK(S433,V433,Y433,AB433,AE433,AH433),
    _xlpm.ints,   _xlfn.HSTACK(R433,U433,X433,AA433,AD433,AG433),
    _xlpm.slopes, _xlfn.HSTACK(Q433,T433,W433,Z433,AC433,AF433),
    _xlpm.limit,  -0.00001*_xlpm.slopes + 0.1086*_xlpm.slopes + 63.253,
    _xlpm.mask,   (_xlpm.vals&gt;=0) * (_xlpm.ints&lt;=_xlpm.limit),
    _xlpm.validVals, _xlfn._xlws.FILTER(_xlpm.vals, _xlpm.mask),
    _xlpm.minVal, MIN(_xlpm.validVals),
    IFERROR( _xlfn.XMATCH(_xlpm.minVal, _xlpm.vals), "" )
)</f>
        <v>4</v>
      </c>
      <c r="AJ433" cm="1">
        <f t="array" ref="AJ433">_xlfn.LET(
    _xlpm.vals, CHOOSE({1,2,3,4,5,6}, S433, V433, Y433, AB433, AE433, AH433),
    _xlpm.slopes, CHOOSE({1,2,3,4,5,6}, Q433, T433, W433, Z433, AC433, AF433),
    _xlpm.ints, CHOOSE({1,2,3,4,5,6}, R433, U433, X433, AA433, AD433, AG433),
    _xlpm.limit, -0.00001*_xlpm.slopes + 0.1086*_xlpm.slopes + 63.253,
    _xlpm.valid, (_xlpm.vals &gt;= 0) * (_xlpm.ints &lt;= _xlpm.limit),
    _xlpm.target, MIN(_xlfn._xlws.FILTER(_xlpm.vals, _xlpm.valid)),
    IFERROR(
        _xlfn.XLOOKUP(_xlpm.target, _xlpm.vals, _xlpm.vals),
        CHOOSE({1,2,3,4,5,6}, S$1, V$1, Y$1, AB$1, AE$1, AH$1)
    )
)</f>
        <v>2.1359829972982278</v>
      </c>
    </row>
    <row r="434" spans="9:36" x14ac:dyDescent="0.45">
      <c r="I434">
        <v>432</v>
      </c>
      <c r="J434">
        <v>26</v>
      </c>
      <c r="K434">
        <f t="shared" si="139"/>
        <v>26</v>
      </c>
      <c r="L434">
        <f t="shared" si="138"/>
        <v>7.2222222222222219E-3</v>
      </c>
      <c r="M434">
        <v>34.89</v>
      </c>
      <c r="N434">
        <f t="shared" si="140"/>
        <v>34.89</v>
      </c>
      <c r="O434">
        <f t="shared" si="141"/>
        <v>337.87475246663439</v>
      </c>
      <c r="P434">
        <f t="shared" si="142"/>
        <v>1081.1992078932301</v>
      </c>
      <c r="Q434">
        <f t="shared" si="143"/>
        <v>4951.8923721509937</v>
      </c>
      <c r="R434">
        <f t="shared" si="144"/>
        <v>67.282350428761404</v>
      </c>
      <c r="S434">
        <f t="shared" si="145"/>
        <v>4.9952777234032189</v>
      </c>
      <c r="T434">
        <f t="shared" si="146"/>
        <v>3200.3496553639611</v>
      </c>
      <c r="U434">
        <f t="shared" si="147"/>
        <v>104.10579897423216</v>
      </c>
      <c r="V434">
        <f t="shared" si="148"/>
        <v>3.3987126195923039</v>
      </c>
      <c r="W434">
        <f t="shared" si="149"/>
        <v>2065.0904870760696</v>
      </c>
      <c r="X434">
        <f t="shared" si="150"/>
        <v>161.33673558310323</v>
      </c>
      <c r="Y434">
        <f t="shared" si="151"/>
        <v>3.1980487383842382</v>
      </c>
      <c r="Z434">
        <f t="shared" si="152"/>
        <v>1556.9268593662514</v>
      </c>
      <c r="AA434">
        <f t="shared" si="153"/>
        <v>213.99525344703278</v>
      </c>
      <c r="AB434">
        <f t="shared" si="154"/>
        <v>2.4793517422610911</v>
      </c>
      <c r="AC434">
        <f t="shared" si="155"/>
        <v>6000</v>
      </c>
      <c r="AD434">
        <f t="shared" si="156"/>
        <v>55.529159644762288</v>
      </c>
      <c r="AE434">
        <f t="shared" si="157"/>
        <v>7.4889834417134624</v>
      </c>
      <c r="AF434">
        <f t="shared" si="158"/>
        <v>6000</v>
      </c>
      <c r="AG434">
        <f t="shared" si="159"/>
        <v>55.529159644762288</v>
      </c>
      <c r="AH434">
        <f t="shared" si="160"/>
        <v>7.4889834417134624</v>
      </c>
      <c r="AI434" cm="1">
        <f t="array" ref="AI434">_xlfn.LET(
    _xlpm.vals,   _xlfn.HSTACK(S434,V434,Y434,AB434,AE434,AH434),
    _xlpm.ints,   _xlfn.HSTACK(R434,U434,X434,AA434,AD434,AG434),
    _xlpm.slopes, _xlfn.HSTACK(Q434,T434,W434,Z434,AC434,AF434),
    _xlpm.limit,  -0.00001*_xlpm.slopes + 0.1086*_xlpm.slopes + 63.253,
    _xlpm.mask,   (_xlpm.vals&gt;=0) * (_xlpm.ints&lt;=_xlpm.limit),
    _xlpm.validVals, _xlfn._xlws.FILTER(_xlpm.vals, _xlpm.mask),
    _xlpm.minVal, MIN(_xlpm.validVals),
    IFERROR( _xlfn.XMATCH(_xlpm.minVal, _xlpm.vals), "" )
)</f>
        <v>4</v>
      </c>
      <c r="AJ434" cm="1">
        <f t="array" ref="AJ434">_xlfn.LET(
    _xlpm.vals, CHOOSE({1,2,3,4,5,6}, S434, V434, Y434, AB434, AE434, AH434),
    _xlpm.slopes, CHOOSE({1,2,3,4,5,6}, Q434, T434, W434, Z434, AC434, AF434),
    _xlpm.ints, CHOOSE({1,2,3,4,5,6}, R434, U434, X434, AA434, AD434, AG434),
    _xlpm.limit, -0.00001*_xlpm.slopes + 0.1086*_xlpm.slopes + 63.253,
    _xlpm.valid, (_xlpm.vals &gt;= 0) * (_xlpm.ints &lt;= _xlpm.limit),
    _xlpm.target, MIN(_xlfn._xlws.FILTER(_xlpm.vals, _xlpm.valid)),
    IFERROR(
        _xlfn.XLOOKUP(_xlpm.target, _xlpm.vals, _xlpm.vals),
        CHOOSE({1,2,3,4,5,6}, S$1, V$1, Y$1, AB$1, AE$1, AH$1)
    )
)</f>
        <v>2.4793517422610911</v>
      </c>
    </row>
    <row r="435" spans="9:36" x14ac:dyDescent="0.45">
      <c r="I435">
        <v>433</v>
      </c>
      <c r="J435">
        <v>27.8</v>
      </c>
      <c r="K435">
        <f t="shared" si="139"/>
        <v>27.8</v>
      </c>
      <c r="L435">
        <f t="shared" si="138"/>
        <v>7.7222222222222223E-3</v>
      </c>
      <c r="M435">
        <v>23.35</v>
      </c>
      <c r="N435">
        <f t="shared" si="140"/>
        <v>23.35</v>
      </c>
      <c r="O435">
        <f t="shared" si="141"/>
        <v>361.26608148355524</v>
      </c>
      <c r="P435">
        <f t="shared" si="142"/>
        <v>1156.0514607473767</v>
      </c>
      <c r="Q435">
        <f t="shared" si="143"/>
        <v>5294.7156902229854</v>
      </c>
      <c r="R435">
        <f t="shared" si="144"/>
        <v>42.112945872331593</v>
      </c>
      <c r="S435">
        <f t="shared" si="145"/>
        <v>5.1767479403016674</v>
      </c>
      <c r="T435">
        <f t="shared" si="146"/>
        <v>3421.9123238122352</v>
      </c>
      <c r="U435">
        <f t="shared" si="147"/>
        <v>65.161247329486045</v>
      </c>
      <c r="V435">
        <f t="shared" si="148"/>
        <v>2.6324916989399383</v>
      </c>
      <c r="W435">
        <f t="shared" si="149"/>
        <v>2208.0582900274894</v>
      </c>
      <c r="X435">
        <f t="shared" si="150"/>
        <v>100.98287544255429</v>
      </c>
      <c r="Y435">
        <f t="shared" si="151"/>
        <v>2.3575782035201391</v>
      </c>
      <c r="Z435">
        <f t="shared" si="152"/>
        <v>1664.7141034762224</v>
      </c>
      <c r="AA435">
        <f t="shared" si="153"/>
        <v>133.94256395505465</v>
      </c>
      <c r="AB435">
        <f t="shared" si="154"/>
        <v>2.316702739419414</v>
      </c>
      <c r="AC435">
        <f t="shared" si="155"/>
        <v>6000</v>
      </c>
      <c r="AD435">
        <f t="shared" si="156"/>
        <v>37.16267921195756</v>
      </c>
      <c r="AE435">
        <f t="shared" si="157"/>
        <v>7.135833651836113</v>
      </c>
      <c r="AF435">
        <f t="shared" si="158"/>
        <v>6000</v>
      </c>
      <c r="AG435">
        <f t="shared" si="159"/>
        <v>37.16267921195756</v>
      </c>
      <c r="AH435">
        <f t="shared" si="160"/>
        <v>7.135833651836113</v>
      </c>
      <c r="AI435" cm="1">
        <f t="array" ref="AI435">_xlfn.LET(
    _xlpm.vals,   _xlfn.HSTACK(S435,V435,Y435,AB435,AE435,AH435),
    _xlpm.ints,   _xlfn.HSTACK(R435,U435,X435,AA435,AD435,AG435),
    _xlpm.slopes, _xlfn.HSTACK(Q435,T435,W435,Z435,AC435,AF435),
    _xlpm.limit,  -0.00001*_xlpm.slopes + 0.1086*_xlpm.slopes + 63.253,
    _xlpm.mask,   (_xlpm.vals&gt;=0) * (_xlpm.ints&lt;=_xlpm.limit),
    _xlpm.validVals, _xlfn._xlws.FILTER(_xlpm.vals, _xlpm.mask),
    _xlpm.minVal, MIN(_xlpm.validVals),
    IFERROR( _xlfn.XMATCH(_xlpm.minVal, _xlpm.vals), "" )
)</f>
        <v>4</v>
      </c>
      <c r="AJ435" cm="1">
        <f t="array" ref="AJ435">_xlfn.LET(
    _xlpm.vals, CHOOSE({1,2,3,4,5,6}, S435, V435, Y435, AB435, AE435, AH435),
    _xlpm.slopes, CHOOSE({1,2,3,4,5,6}, Q435, T435, W435, Z435, AC435, AF435),
    _xlpm.ints, CHOOSE({1,2,3,4,5,6}, R435, U435, X435, AA435, AD435, AG435),
    _xlpm.limit, -0.00001*_xlpm.slopes + 0.1086*_xlpm.slopes + 63.253,
    _xlpm.valid, (_xlpm.vals &gt;= 0) * (_xlpm.ints &lt;= _xlpm.limit),
    _xlpm.target, MIN(_xlfn._xlws.FILTER(_xlpm.vals, _xlpm.valid)),
    IFERROR(
        _xlfn.XLOOKUP(_xlpm.target, _xlpm.vals, _xlpm.vals),
        CHOOSE({1,2,3,4,5,6}, S$1, V$1, Y$1, AB$1, AE$1, AH$1)
    )
)</f>
        <v>2.316702739419414</v>
      </c>
    </row>
    <row r="436" spans="9:36" x14ac:dyDescent="0.45">
      <c r="I436">
        <v>434</v>
      </c>
      <c r="J436">
        <v>29.5</v>
      </c>
      <c r="K436">
        <f t="shared" si="139"/>
        <v>29.5</v>
      </c>
      <c r="L436">
        <f t="shared" si="138"/>
        <v>8.1944444444444452E-3</v>
      </c>
      <c r="M436">
        <v>30.9</v>
      </c>
      <c r="N436">
        <f t="shared" si="140"/>
        <v>30.9</v>
      </c>
      <c r="O436">
        <f t="shared" si="141"/>
        <v>383.35789222175828</v>
      </c>
      <c r="P436">
        <f t="shared" si="142"/>
        <v>1226.7452551096264</v>
      </c>
      <c r="Q436">
        <f t="shared" si="143"/>
        <v>5618.4932684020896</v>
      </c>
      <c r="R436">
        <f t="shared" si="144"/>
        <v>52.518219813813779</v>
      </c>
      <c r="S436">
        <f t="shared" si="145"/>
        <v>6.2626050568295319</v>
      </c>
      <c r="T436">
        <f t="shared" si="146"/>
        <v>3631.1659551244943</v>
      </c>
      <c r="U436">
        <f t="shared" si="147"/>
        <v>81.261299576779436</v>
      </c>
      <c r="V436">
        <f t="shared" si="148"/>
        <v>3.2786128731968063</v>
      </c>
      <c r="W436">
        <f t="shared" si="149"/>
        <v>2343.0834372593863</v>
      </c>
      <c r="X436">
        <f t="shared" si="150"/>
        <v>125.93374175249589</v>
      </c>
      <c r="Y436">
        <f t="shared" si="151"/>
        <v>2.9796095156722693</v>
      </c>
      <c r="Z436">
        <f t="shared" si="152"/>
        <v>1766.5131673578619</v>
      </c>
      <c r="AA436">
        <f t="shared" si="153"/>
        <v>167.03711579671329</v>
      </c>
      <c r="AB436">
        <f t="shared" si="154"/>
        <v>2.8023735182606369</v>
      </c>
      <c r="AC436">
        <f t="shared" si="155"/>
        <v>6000</v>
      </c>
      <c r="AD436">
        <f t="shared" si="156"/>
        <v>49.178877415395661</v>
      </c>
      <c r="AE436">
        <f t="shared" si="157"/>
        <v>7.3578775622138677</v>
      </c>
      <c r="AF436">
        <f t="shared" si="158"/>
        <v>6000</v>
      </c>
      <c r="AG436">
        <f t="shared" si="159"/>
        <v>49.178877415395661</v>
      </c>
      <c r="AH436">
        <f t="shared" si="160"/>
        <v>7.3578775622138677</v>
      </c>
      <c r="AI436" cm="1">
        <f t="array" ref="AI436">_xlfn.LET(
    _xlpm.vals,   _xlfn.HSTACK(S436,V436,Y436,AB436,AE436,AH436),
    _xlpm.ints,   _xlfn.HSTACK(R436,U436,X436,AA436,AD436,AG436),
    _xlpm.slopes, _xlfn.HSTACK(Q436,T436,W436,Z436,AC436,AF436),
    _xlpm.limit,  -0.00001*_xlpm.slopes + 0.1086*_xlpm.slopes + 63.253,
    _xlpm.mask,   (_xlpm.vals&gt;=0) * (_xlpm.ints&lt;=_xlpm.limit),
    _xlpm.validVals, _xlfn._xlws.FILTER(_xlpm.vals, _xlpm.mask),
    _xlpm.minVal, MIN(_xlpm.validVals),
    IFERROR( _xlfn.XMATCH(_xlpm.minVal, _xlpm.vals), "" )
)</f>
        <v>4</v>
      </c>
      <c r="AJ436" cm="1">
        <f t="array" ref="AJ436">_xlfn.LET(
    _xlpm.vals, CHOOSE({1,2,3,4,5,6}, S436, V436, Y436, AB436, AE436, AH436),
    _xlpm.slopes, CHOOSE({1,2,3,4,5,6}, Q436, T436, W436, Z436, AC436, AF436),
    _xlpm.ints, CHOOSE({1,2,3,4,5,6}, R436, U436, X436, AA436, AD436, AG436),
    _xlpm.limit, -0.00001*_xlpm.slopes + 0.1086*_xlpm.slopes + 63.253,
    _xlpm.valid, (_xlpm.vals &gt;= 0) * (_xlpm.ints &lt;= _xlpm.limit),
    _xlpm.target, MIN(_xlfn._xlws.FILTER(_xlpm.vals, _xlpm.valid)),
    IFERROR(
        _xlfn.XLOOKUP(_xlpm.target, _xlpm.vals, _xlpm.vals),
        CHOOSE({1,2,3,4,5,6}, S$1, V$1, Y$1, AB$1, AE$1, AH$1)
    )
)</f>
        <v>2.8023735182606369</v>
      </c>
    </row>
    <row r="437" spans="9:36" x14ac:dyDescent="0.45">
      <c r="I437">
        <v>435</v>
      </c>
      <c r="J437">
        <v>31.4</v>
      </c>
      <c r="K437">
        <f t="shared" si="139"/>
        <v>31.4</v>
      </c>
      <c r="L437">
        <f t="shared" si="138"/>
        <v>8.7222222222222215E-3</v>
      </c>
      <c r="M437">
        <v>30.64</v>
      </c>
      <c r="N437">
        <f t="shared" si="140"/>
        <v>30.64</v>
      </c>
      <c r="O437">
        <f t="shared" si="141"/>
        <v>408.04873951739688</v>
      </c>
      <c r="P437">
        <f t="shared" si="142"/>
        <v>1305.7559664556702</v>
      </c>
      <c r="Q437">
        <f t="shared" si="143"/>
        <v>5980.3623263669697</v>
      </c>
      <c r="R437">
        <f t="shared" si="144"/>
        <v>48.925204095098223</v>
      </c>
      <c r="S437">
        <f t="shared" si="145"/>
        <v>7.2882978625474211</v>
      </c>
      <c r="T437">
        <f t="shared" si="146"/>
        <v>3865.0376607087837</v>
      </c>
      <c r="U437">
        <f t="shared" si="147"/>
        <v>75.701836066064146</v>
      </c>
      <c r="V437">
        <f t="shared" si="148"/>
        <v>3.4172549678243724</v>
      </c>
      <c r="W437">
        <f t="shared" si="149"/>
        <v>2493.9938959303299</v>
      </c>
      <c r="X437">
        <f t="shared" si="150"/>
        <v>117.31802866782716</v>
      </c>
      <c r="Y437">
        <f t="shared" si="151"/>
        <v>2.9676166268879336</v>
      </c>
      <c r="Z437">
        <f t="shared" si="152"/>
        <v>1880.288591696165</v>
      </c>
      <c r="AA437">
        <f t="shared" si="153"/>
        <v>155.60932969135408</v>
      </c>
      <c r="AB437">
        <f t="shared" si="154"/>
        <v>2.8621840926072597</v>
      </c>
      <c r="AC437">
        <f t="shared" si="155"/>
        <v>6000</v>
      </c>
      <c r="AD437">
        <f t="shared" si="156"/>
        <v>48.765074563356734</v>
      </c>
      <c r="AE437">
        <f t="shared" si="157"/>
        <v>7.3496532663933758</v>
      </c>
      <c r="AF437">
        <f t="shared" si="158"/>
        <v>6000</v>
      </c>
      <c r="AG437">
        <f t="shared" si="159"/>
        <v>48.765074563356734</v>
      </c>
      <c r="AH437">
        <f t="shared" si="160"/>
        <v>7.3496532663933758</v>
      </c>
      <c r="AI437" cm="1">
        <f t="array" ref="AI437">_xlfn.LET(
    _xlpm.vals,   _xlfn.HSTACK(S437,V437,Y437,AB437,AE437,AH437),
    _xlpm.ints,   _xlfn.HSTACK(R437,U437,X437,AA437,AD437,AG437),
    _xlpm.slopes, _xlfn.HSTACK(Q437,T437,W437,Z437,AC437,AF437),
    _xlpm.limit,  -0.00001*_xlpm.slopes + 0.1086*_xlpm.slopes + 63.253,
    _xlpm.mask,   (_xlpm.vals&gt;=0) * (_xlpm.ints&lt;=_xlpm.limit),
    _xlpm.validVals, _xlfn._xlws.FILTER(_xlpm.vals, _xlpm.mask),
    _xlpm.minVal, MIN(_xlpm.validVals),
    IFERROR( _xlfn.XMATCH(_xlpm.minVal, _xlpm.vals), "" )
)</f>
        <v>4</v>
      </c>
      <c r="AJ437" cm="1">
        <f t="array" ref="AJ437">_xlfn.LET(
    _xlpm.vals, CHOOSE({1,2,3,4,5,6}, S437, V437, Y437, AB437, AE437, AH437),
    _xlpm.slopes, CHOOSE({1,2,3,4,5,6}, Q437, T437, W437, Z437, AC437, AF437),
    _xlpm.ints, CHOOSE({1,2,3,4,5,6}, R437, U437, X437, AA437, AD437, AG437),
    _xlpm.limit, -0.00001*_xlpm.slopes + 0.1086*_xlpm.slopes + 63.253,
    _xlpm.valid, (_xlpm.vals &gt;= 0) * (_xlpm.ints &lt;= _xlpm.limit),
    _xlpm.target, MIN(_xlfn._xlws.FILTER(_xlpm.vals, _xlpm.valid)),
    IFERROR(
        _xlfn.XLOOKUP(_xlpm.target, _xlpm.vals, _xlpm.vals),
        CHOOSE({1,2,3,4,5,6}, S$1, V$1, Y$1, AB$1, AE$1, AH$1)
    )
)</f>
        <v>2.8621840926072597</v>
      </c>
    </row>
    <row r="438" spans="9:36" x14ac:dyDescent="0.45">
      <c r="I438">
        <v>436</v>
      </c>
      <c r="J438">
        <v>33</v>
      </c>
      <c r="K438">
        <f t="shared" si="139"/>
        <v>33</v>
      </c>
      <c r="L438">
        <f t="shared" si="138"/>
        <v>9.1666666666666667E-3</v>
      </c>
      <c r="M438">
        <v>20.420000000000002</v>
      </c>
      <c r="N438">
        <f t="shared" si="140"/>
        <v>20.420000000000002</v>
      </c>
      <c r="O438">
        <f t="shared" si="141"/>
        <v>428.84103197688211</v>
      </c>
      <c r="P438">
        <f t="shared" si="142"/>
        <v>1372.2913023260228</v>
      </c>
      <c r="Q438">
        <f t="shared" si="143"/>
        <v>6285.0941646531846</v>
      </c>
      <c r="R438">
        <f t="shared" si="144"/>
        <v>31.02525295051808</v>
      </c>
      <c r="S438">
        <f t="shared" si="145"/>
        <v>8.0574910607313033</v>
      </c>
      <c r="T438">
        <f t="shared" si="146"/>
        <v>4061.9822548850275</v>
      </c>
      <c r="U438">
        <f t="shared" si="147"/>
        <v>48.005290038301617</v>
      </c>
      <c r="V438">
        <f t="shared" si="148"/>
        <v>2.9721727807115226</v>
      </c>
      <c r="W438">
        <f t="shared" si="149"/>
        <v>2621.0763874427034</v>
      </c>
      <c r="X438">
        <f t="shared" si="150"/>
        <v>74.39563272951456</v>
      </c>
      <c r="Y438">
        <f t="shared" si="151"/>
        <v>2.1415323054821171</v>
      </c>
      <c r="Z438">
        <f t="shared" si="152"/>
        <v>1976.0994753494726</v>
      </c>
      <c r="AA438">
        <f t="shared" si="153"/>
        <v>98.677540634286672</v>
      </c>
      <c r="AB438">
        <f t="shared" si="154"/>
        <v>2.1073834103919298</v>
      </c>
      <c r="AC438">
        <f t="shared" si="155"/>
        <v>1015.4955637212569</v>
      </c>
      <c r="AD438">
        <f t="shared" si="156"/>
        <v>192.02116015320647</v>
      </c>
      <c r="AE438">
        <f t="shared" si="157"/>
        <v>1.406629612173028</v>
      </c>
      <c r="AF438">
        <f t="shared" si="158"/>
        <v>6000</v>
      </c>
      <c r="AG438">
        <f t="shared" si="159"/>
        <v>32.499439379365029</v>
      </c>
      <c r="AH438">
        <f t="shared" si="160"/>
        <v>7.0594628002963553</v>
      </c>
      <c r="AI438" cm="1">
        <f t="array" ref="AI438">_xlfn.LET(
    _xlpm.vals,   _xlfn.HSTACK(S438,V438,Y438,AB438,AE438,AH438),
    _xlpm.ints,   _xlfn.HSTACK(R438,U438,X438,AA438,AD438,AG438),
    _xlpm.slopes, _xlfn.HSTACK(Q438,T438,W438,Z438,AC438,AF438),
    _xlpm.limit,  -0.00001*_xlpm.slopes + 0.1086*_xlpm.slopes + 63.253,
    _xlpm.mask,   (_xlpm.vals&gt;=0) * (_xlpm.ints&lt;=_xlpm.limit),
    _xlpm.validVals, _xlfn._xlws.FILTER(_xlpm.vals, _xlpm.mask),
    _xlpm.minVal, MIN(_xlpm.validVals),
    IFERROR( _xlfn.XMATCH(_xlpm.minVal, _xlpm.vals), "" )
)</f>
        <v>4</v>
      </c>
      <c r="AJ438" cm="1">
        <f t="array" ref="AJ438">_xlfn.LET(
    _xlpm.vals, CHOOSE({1,2,3,4,5,6}, S438, V438, Y438, AB438, AE438, AH438),
    _xlpm.slopes, CHOOSE({1,2,3,4,5,6}, Q438, T438, W438, Z438, AC438, AF438),
    _xlpm.ints, CHOOSE({1,2,3,4,5,6}, R438, U438, X438, AA438, AD438, AG438),
    _xlpm.limit, -0.00001*_xlpm.slopes + 0.1086*_xlpm.slopes + 63.253,
    _xlpm.valid, (_xlpm.vals &gt;= 0) * (_xlpm.ints &lt;= _xlpm.limit),
    _xlpm.target, MIN(_xlfn._xlws.FILTER(_xlpm.vals, _xlpm.valid)),
    IFERROR(
        _xlfn.XLOOKUP(_xlpm.target, _xlpm.vals, _xlpm.vals),
        CHOOSE({1,2,3,4,5,6}, S$1, V$1, Y$1, AB$1, AE$1, AH$1)
    )
)</f>
        <v>2.1073834103919298</v>
      </c>
    </row>
    <row r="439" spans="9:36" x14ac:dyDescent="0.45">
      <c r="I439">
        <v>437</v>
      </c>
      <c r="J439">
        <v>34.1</v>
      </c>
      <c r="K439">
        <f t="shared" si="139"/>
        <v>34.1</v>
      </c>
      <c r="L439">
        <f t="shared" si="138"/>
        <v>9.4722222222222222E-3</v>
      </c>
      <c r="M439">
        <v>15.49</v>
      </c>
      <c r="N439">
        <f t="shared" si="140"/>
        <v>15.49</v>
      </c>
      <c r="O439">
        <f t="shared" si="141"/>
        <v>443.13573304277816</v>
      </c>
      <c r="P439">
        <f t="shared" si="142"/>
        <v>1418.0343457368901</v>
      </c>
      <c r="Q439">
        <f t="shared" si="143"/>
        <v>6494.5973034749568</v>
      </c>
      <c r="R439">
        <f t="shared" si="144"/>
        <v>22.775639073182131</v>
      </c>
      <c r="S439">
        <f t="shared" si="145"/>
        <v>8.7881238876537644</v>
      </c>
      <c r="T439">
        <f t="shared" si="146"/>
        <v>4197.3816633811948</v>
      </c>
      <c r="U439">
        <f t="shared" si="147"/>
        <v>35.240684782153437</v>
      </c>
      <c r="V439">
        <f t="shared" si="148"/>
        <v>2.875596618460118</v>
      </c>
      <c r="W439">
        <f t="shared" si="149"/>
        <v>2708.4456003574601</v>
      </c>
      <c r="X439">
        <f t="shared" si="150"/>
        <v>54.613836102185424</v>
      </c>
      <c r="Y439">
        <f t="shared" si="151"/>
        <v>1.7762827863578532</v>
      </c>
      <c r="Z439">
        <f t="shared" si="152"/>
        <v>2041.9694578611218</v>
      </c>
      <c r="AA439">
        <f t="shared" si="153"/>
        <v>72.439185385537613</v>
      </c>
      <c r="AB439">
        <f t="shared" si="154"/>
        <v>1.6804623411872681</v>
      </c>
      <c r="AC439">
        <f t="shared" si="155"/>
        <v>1049.3454158452987</v>
      </c>
      <c r="AD439">
        <f t="shared" si="156"/>
        <v>140.96273912861375</v>
      </c>
      <c r="AE439">
        <f t="shared" si="157"/>
        <v>1.5282894151787314</v>
      </c>
      <c r="AF439">
        <f t="shared" si="158"/>
        <v>6000</v>
      </c>
      <c r="AG439">
        <f t="shared" si="159"/>
        <v>24.653100684934589</v>
      </c>
      <c r="AH439">
        <f t="shared" si="160"/>
        <v>6.9441657421482752</v>
      </c>
      <c r="AI439" cm="1">
        <f t="array" ref="AI439">_xlfn.LET(
    _xlpm.vals,   _xlfn.HSTACK(S439,V439,Y439,AB439,AE439,AH439),
    _xlpm.ints,   _xlfn.HSTACK(R439,U439,X439,AA439,AD439,AG439),
    _xlpm.slopes, _xlfn.HSTACK(Q439,T439,W439,Z439,AC439,AF439),
    _xlpm.limit,  -0.00001*_xlpm.slopes + 0.1086*_xlpm.slopes + 63.253,
    _xlpm.mask,   (_xlpm.vals&gt;=0) * (_xlpm.ints&lt;=_xlpm.limit),
    _xlpm.validVals, _xlfn._xlws.FILTER(_xlpm.vals, _xlpm.mask),
    _xlpm.minVal, MIN(_xlpm.validVals),
    IFERROR( _xlfn.XMATCH(_xlpm.minVal, _xlpm.vals), "" )
)</f>
        <v>5</v>
      </c>
      <c r="AJ439" cm="1">
        <f t="array" ref="AJ439">_xlfn.LET(
    _xlpm.vals, CHOOSE({1,2,3,4,5,6}, S439, V439, Y439, AB439, AE439, AH439),
    _xlpm.slopes, CHOOSE({1,2,3,4,5,6}, Q439, T439, W439, Z439, AC439, AF439),
    _xlpm.ints, CHOOSE({1,2,3,4,5,6}, R439, U439, X439, AA439, AD439, AG439),
    _xlpm.limit, -0.00001*_xlpm.slopes + 0.1086*_xlpm.slopes + 63.253,
    _xlpm.valid, (_xlpm.vals &gt;= 0) * (_xlpm.ints &lt;= _xlpm.limit),
    _xlpm.target, MIN(_xlfn._xlws.FILTER(_xlpm.vals, _xlpm.valid)),
    IFERROR(
        _xlfn.XLOOKUP(_xlpm.target, _xlpm.vals, _xlpm.vals),
        CHOOSE({1,2,3,4,5,6}, S$1, V$1, Y$1, AB$1, AE$1, AH$1)
    )
)</f>
        <v>1.5282894151787314</v>
      </c>
    </row>
    <row r="440" spans="9:36" x14ac:dyDescent="0.45">
      <c r="I440">
        <v>438</v>
      </c>
      <c r="J440">
        <v>34.6</v>
      </c>
      <c r="K440">
        <f t="shared" si="139"/>
        <v>34.6</v>
      </c>
      <c r="L440">
        <f t="shared" si="138"/>
        <v>9.6111111111111119E-3</v>
      </c>
      <c r="M440">
        <v>9.82</v>
      </c>
      <c r="N440">
        <f t="shared" si="140"/>
        <v>9.82</v>
      </c>
      <c r="O440">
        <f t="shared" si="141"/>
        <v>449.63332443636733</v>
      </c>
      <c r="P440">
        <f t="shared" si="142"/>
        <v>1438.8266381963756</v>
      </c>
      <c r="Q440">
        <f t="shared" si="143"/>
        <v>6589.8260029394005</v>
      </c>
      <c r="R440">
        <f t="shared" si="144"/>
        <v>14.230131786168053</v>
      </c>
      <c r="S440">
        <f t="shared" si="145"/>
        <v>9.1215335919498468</v>
      </c>
      <c r="T440">
        <f t="shared" si="146"/>
        <v>4258.9268490612722</v>
      </c>
      <c r="U440">
        <f t="shared" si="147"/>
        <v>22.01824445292219</v>
      </c>
      <c r="V440">
        <f t="shared" si="148"/>
        <v>2.7007007765906104</v>
      </c>
      <c r="W440">
        <f t="shared" si="149"/>
        <v>2748.1588789550774</v>
      </c>
      <c r="X440">
        <f t="shared" si="150"/>
        <v>34.122514963690939</v>
      </c>
      <c r="Y440">
        <f t="shared" si="151"/>
        <v>1.3873858513767936</v>
      </c>
      <c r="Z440">
        <f t="shared" si="152"/>
        <v>2071.9103590027808</v>
      </c>
      <c r="AA440">
        <f t="shared" si="153"/>
        <v>45.259724708784503</v>
      </c>
      <c r="AB440">
        <f t="shared" si="154"/>
        <v>1.2102690971143373</v>
      </c>
      <c r="AC440">
        <f t="shared" si="155"/>
        <v>1064.731712265318</v>
      </c>
      <c r="AD440">
        <f t="shared" si="156"/>
        <v>88.072977811688759</v>
      </c>
      <c r="AE440">
        <f t="shared" si="157"/>
        <v>1.1525265694492777</v>
      </c>
      <c r="AF440">
        <f t="shared" si="158"/>
        <v>6000</v>
      </c>
      <c r="AG440">
        <f t="shared" si="159"/>
        <v>15.629015411624122</v>
      </c>
      <c r="AH440">
        <f t="shared" si="160"/>
        <v>6.8331824248227022</v>
      </c>
      <c r="AI440" cm="1">
        <f t="array" ref="AI440">_xlfn.LET(
    _xlpm.vals,   _xlfn.HSTACK(S440,V440,Y440,AB440,AE440,AH440),
    _xlpm.ints,   _xlfn.HSTACK(R440,U440,X440,AA440,AD440,AG440),
    _xlpm.slopes, _xlfn.HSTACK(Q440,T440,W440,Z440,AC440,AF440),
    _xlpm.limit,  -0.00001*_xlpm.slopes + 0.1086*_xlpm.slopes + 63.253,
    _xlpm.mask,   (_xlpm.vals&gt;=0) * (_xlpm.ints&lt;=_xlpm.limit),
    _xlpm.validVals, _xlfn._xlws.FILTER(_xlpm.vals, _xlpm.mask),
    _xlpm.minVal, MIN(_xlpm.validVals),
    IFERROR( _xlfn.XMATCH(_xlpm.minVal, _xlpm.vals), "" )
)</f>
        <v>5</v>
      </c>
      <c r="AJ440" cm="1">
        <f t="array" ref="AJ440">_xlfn.LET(
    _xlpm.vals, CHOOSE({1,2,3,4,5,6}, S440, V440, Y440, AB440, AE440, AH440),
    _xlpm.slopes, CHOOSE({1,2,3,4,5,6}, Q440, T440, W440, Z440, AC440, AF440),
    _xlpm.ints, CHOOSE({1,2,3,4,5,6}, R440, U440, X440, AA440, AD440, AG440),
    _xlpm.limit, -0.00001*_xlpm.slopes + 0.1086*_xlpm.slopes + 63.253,
    _xlpm.valid, (_xlpm.vals &gt;= 0) * (_xlpm.ints &lt;= _xlpm.limit),
    _xlpm.target, MIN(_xlfn._xlws.FILTER(_xlpm.vals, _xlpm.valid)),
    IFERROR(
        _xlfn.XLOOKUP(_xlpm.target, _xlpm.vals, _xlpm.vals),
        CHOOSE({1,2,3,4,5,6}, S$1, V$1, Y$1, AB$1, AE$1, AH$1)
    )
)</f>
        <v>1.1525265694492777</v>
      </c>
    </row>
    <row r="441" spans="9:36" x14ac:dyDescent="0.45">
      <c r="I441">
        <v>439</v>
      </c>
      <c r="J441">
        <v>35.299999999999997</v>
      </c>
      <c r="K441">
        <f t="shared" si="139"/>
        <v>35.299999999999997</v>
      </c>
      <c r="L441">
        <f t="shared" si="138"/>
        <v>9.8055555555555552E-3</v>
      </c>
      <c r="M441">
        <v>8.0399999999999991</v>
      </c>
      <c r="N441">
        <f t="shared" si="140"/>
        <v>8.0399999999999991</v>
      </c>
      <c r="O441">
        <f t="shared" si="141"/>
        <v>458.72995238739202</v>
      </c>
      <c r="P441">
        <f t="shared" si="142"/>
        <v>1467.9358476396546</v>
      </c>
      <c r="Q441">
        <f t="shared" si="143"/>
        <v>6723.1461821896182</v>
      </c>
      <c r="R441">
        <f t="shared" si="144"/>
        <v>11.419704773178903</v>
      </c>
      <c r="S441">
        <f t="shared" si="145"/>
        <v>9.7001163039889189</v>
      </c>
      <c r="T441">
        <f t="shared" si="146"/>
        <v>4345.0901090133775</v>
      </c>
      <c r="U441">
        <f t="shared" si="147"/>
        <v>17.669678331472763</v>
      </c>
      <c r="V441">
        <f t="shared" si="148"/>
        <v>2.7571738766772063</v>
      </c>
      <c r="W441">
        <f t="shared" si="149"/>
        <v>2803.7574689917401</v>
      </c>
      <c r="X441">
        <f t="shared" si="150"/>
        <v>27.383375843538943</v>
      </c>
      <c r="Y441">
        <f t="shared" si="151"/>
        <v>1.296304881397659</v>
      </c>
      <c r="Z441">
        <f t="shared" si="152"/>
        <v>2113.8276206011028</v>
      </c>
      <c r="AA441">
        <f t="shared" si="153"/>
        <v>36.321005459138455</v>
      </c>
      <c r="AB441">
        <f t="shared" si="154"/>
        <v>1.0795800755650651</v>
      </c>
      <c r="AC441">
        <f t="shared" si="155"/>
        <v>1086.2725272533444</v>
      </c>
      <c r="AD441">
        <f t="shared" si="156"/>
        <v>70.678713325891053</v>
      </c>
      <c r="AE441">
        <f t="shared" si="157"/>
        <v>0.99183286962473793</v>
      </c>
      <c r="AF441">
        <f t="shared" si="158"/>
        <v>6000</v>
      </c>
      <c r="AG441">
        <f t="shared" si="159"/>
        <v>12.796057424588383</v>
      </c>
      <c r="AH441">
        <f t="shared" si="160"/>
        <v>6.8033415475329821</v>
      </c>
      <c r="AI441" cm="1">
        <f t="array" ref="AI441">_xlfn.LET(
    _xlpm.vals,   _xlfn.HSTACK(S441,V441,Y441,AB441,AE441,AH441),
    _xlpm.ints,   _xlfn.HSTACK(R441,U441,X441,AA441,AD441,AG441),
    _xlpm.slopes, _xlfn.HSTACK(Q441,T441,W441,Z441,AC441,AF441),
    _xlpm.limit,  -0.00001*_xlpm.slopes + 0.1086*_xlpm.slopes + 63.253,
    _xlpm.mask,   (_xlpm.vals&gt;=0) * (_xlpm.ints&lt;=_xlpm.limit),
    _xlpm.validVals, _xlfn._xlws.FILTER(_xlpm.vals, _xlpm.mask),
    _xlpm.minVal, MIN(_xlpm.validVals),
    IFERROR( _xlfn.XMATCH(_xlpm.minVal, _xlpm.vals), "" )
)</f>
        <v>5</v>
      </c>
      <c r="AJ441" cm="1">
        <f t="array" ref="AJ441">_xlfn.LET(
    _xlpm.vals, CHOOSE({1,2,3,4,5,6}, S441, V441, Y441, AB441, AE441, AH441),
    _xlpm.slopes, CHOOSE({1,2,3,4,5,6}, Q441, T441, W441, Z441, AC441, AF441),
    _xlpm.ints, CHOOSE({1,2,3,4,5,6}, R441, U441, X441, AA441, AD441, AG441),
    _xlpm.limit, -0.00001*_xlpm.slopes + 0.1086*_xlpm.slopes + 63.253,
    _xlpm.valid, (_xlpm.vals &gt;= 0) * (_xlpm.ints &lt;= _xlpm.limit),
    _xlpm.target, MIN(_xlfn._xlws.FILTER(_xlpm.vals, _xlpm.valid)),
    IFERROR(
        _xlfn.XLOOKUP(_xlpm.target, _xlpm.vals, _xlpm.vals),
        CHOOSE({1,2,3,4,5,6}, S$1, V$1, Y$1, AB$1, AE$1, AH$1)
    )
)</f>
        <v>0.99183286962473793</v>
      </c>
    </row>
    <row r="442" spans="9:36" x14ac:dyDescent="0.45">
      <c r="I442">
        <v>440</v>
      </c>
      <c r="J442">
        <v>35.700000000000003</v>
      </c>
      <c r="K442">
        <f t="shared" si="139"/>
        <v>35.700000000000003</v>
      </c>
      <c r="L442">
        <f t="shared" si="138"/>
        <v>9.9166666666666674E-3</v>
      </c>
      <c r="M442">
        <v>11.32</v>
      </c>
      <c r="N442">
        <f t="shared" si="140"/>
        <v>11.32</v>
      </c>
      <c r="O442">
        <f t="shared" si="141"/>
        <v>463.92802550226338</v>
      </c>
      <c r="P442">
        <f t="shared" si="142"/>
        <v>1484.569681607243</v>
      </c>
      <c r="Q442">
        <f t="shared" si="143"/>
        <v>6799.3291417611727</v>
      </c>
      <c r="R442">
        <f t="shared" si="144"/>
        <v>15.898338658748264</v>
      </c>
      <c r="S442">
        <f t="shared" si="145"/>
        <v>10.073502546121333</v>
      </c>
      <c r="T442">
        <f t="shared" si="146"/>
        <v>4394.326257557439</v>
      </c>
      <c r="U442">
        <f t="shared" si="147"/>
        <v>24.599456438198331</v>
      </c>
      <c r="V442">
        <f t="shared" si="148"/>
        <v>2.9660440335543727</v>
      </c>
      <c r="W442">
        <f t="shared" si="149"/>
        <v>2835.528091869834</v>
      </c>
      <c r="X442">
        <f t="shared" si="150"/>
        <v>38.122717830925154</v>
      </c>
      <c r="Y442">
        <f t="shared" si="151"/>
        <v>1.5237007665365783</v>
      </c>
      <c r="Z442">
        <f t="shared" si="152"/>
        <v>2137.7803415144299</v>
      </c>
      <c r="AA442">
        <f t="shared" si="153"/>
        <v>50.565549345185453</v>
      </c>
      <c r="AB442">
        <f t="shared" si="154"/>
        <v>1.3391675808696073</v>
      </c>
      <c r="AC442">
        <f t="shared" si="155"/>
        <v>1098.5815643893598</v>
      </c>
      <c r="AD442">
        <f t="shared" si="156"/>
        <v>98.397825752793324</v>
      </c>
      <c r="AE442">
        <f t="shared" si="157"/>
        <v>1.2855888375139426</v>
      </c>
      <c r="AF442">
        <f t="shared" si="158"/>
        <v>1009.5073834929253</v>
      </c>
      <c r="AG442">
        <f t="shared" si="159"/>
        <v>107.07998684862801</v>
      </c>
      <c r="AH442">
        <f t="shared" si="160"/>
        <v>1.2657327277205908</v>
      </c>
      <c r="AI442" cm="1">
        <f t="array" ref="AI442">_xlfn.LET(
    _xlpm.vals,   _xlfn.HSTACK(S442,V442,Y442,AB442,AE442,AH442),
    _xlpm.ints,   _xlfn.HSTACK(R442,U442,X442,AA442,AD442,AG442),
    _xlpm.slopes, _xlfn.HSTACK(Q442,T442,W442,Z442,AC442,AF442),
    _xlpm.limit,  -0.00001*_xlpm.slopes + 0.1086*_xlpm.slopes + 63.253,
    _xlpm.mask,   (_xlpm.vals&gt;=0) * (_xlpm.ints&lt;=_xlpm.limit),
    _xlpm.validVals, _xlfn._xlws.FILTER(_xlpm.vals, _xlpm.mask),
    _xlpm.minVal, MIN(_xlpm.validVals),
    IFERROR( _xlfn.XMATCH(_xlpm.minVal, _xlpm.vals), "" )
)</f>
        <v>6</v>
      </c>
      <c r="AJ442" cm="1">
        <f t="array" ref="AJ442">_xlfn.LET(
    _xlpm.vals, CHOOSE({1,2,3,4,5,6}, S442, V442, Y442, AB442, AE442, AH442),
    _xlpm.slopes, CHOOSE({1,2,3,4,5,6}, Q442, T442, W442, Z442, AC442, AF442),
    _xlpm.ints, CHOOSE({1,2,3,4,5,6}, R442, U442, X442, AA442, AD442, AG442),
    _xlpm.limit, -0.00001*_xlpm.slopes + 0.1086*_xlpm.slopes + 63.253,
    _xlpm.valid, (_xlpm.vals &gt;= 0) * (_xlpm.ints &lt;= _xlpm.limit),
    _xlpm.target, MIN(_xlfn._xlws.FILTER(_xlpm.vals, _xlpm.valid)),
    IFERROR(
        _xlfn.XLOOKUP(_xlpm.target, _xlpm.vals, _xlpm.vals),
        CHOOSE({1,2,3,4,5,6}, S$1, V$1, Y$1, AB$1, AE$1, AH$1)
    )
)</f>
        <v>1.2657327277205908</v>
      </c>
    </row>
    <row r="443" spans="9:36" x14ac:dyDescent="0.45">
      <c r="I443">
        <v>441</v>
      </c>
      <c r="J443">
        <v>36.1</v>
      </c>
      <c r="K443">
        <f t="shared" si="139"/>
        <v>36.1</v>
      </c>
      <c r="L443">
        <f t="shared" si="138"/>
        <v>1.0027777777777778E-2</v>
      </c>
      <c r="M443">
        <v>6.23</v>
      </c>
      <c r="N443">
        <f t="shared" si="140"/>
        <v>6.23</v>
      </c>
      <c r="O443">
        <f t="shared" si="141"/>
        <v>469.12609861713469</v>
      </c>
      <c r="P443">
        <f t="shared" si="142"/>
        <v>1501.203515574831</v>
      </c>
      <c r="Q443">
        <f t="shared" si="143"/>
        <v>6875.5121013327262</v>
      </c>
      <c r="R443">
        <f t="shared" si="144"/>
        <v>8.6527544204625464</v>
      </c>
      <c r="S443">
        <f t="shared" si="145"/>
        <v>10.407564471915794</v>
      </c>
      <c r="T443">
        <f t="shared" si="146"/>
        <v>4443.5624061014996</v>
      </c>
      <c r="U443">
        <f t="shared" si="147"/>
        <v>13.38838352895894</v>
      </c>
      <c r="V443">
        <f t="shared" si="148"/>
        <v>2.847803556129322</v>
      </c>
      <c r="W443">
        <f t="shared" si="149"/>
        <v>2867.2987147479271</v>
      </c>
      <c r="X443">
        <f t="shared" si="150"/>
        <v>20.748489657444221</v>
      </c>
      <c r="Y443">
        <f t="shared" si="151"/>
        <v>1.2178521528174076</v>
      </c>
      <c r="Z443">
        <f t="shared" si="152"/>
        <v>2161.7330624277565</v>
      </c>
      <c r="AA443">
        <f t="shared" si="153"/>
        <v>27.520566142860044</v>
      </c>
      <c r="AB443">
        <f t="shared" si="154"/>
        <v>0.95814348344596023</v>
      </c>
      <c r="AC443">
        <f t="shared" si="155"/>
        <v>1110.8906015253749</v>
      </c>
      <c r="AD443">
        <f t="shared" si="156"/>
        <v>53.55353411583576</v>
      </c>
      <c r="AE443">
        <f t="shared" si="157"/>
        <v>0.82483663544031605</v>
      </c>
      <c r="AF443">
        <f t="shared" si="158"/>
        <v>1020.8183905908852</v>
      </c>
      <c r="AG443">
        <f t="shared" si="159"/>
        <v>58.278845949585971</v>
      </c>
      <c r="AH443">
        <f t="shared" si="160"/>
        <v>0.81877498674762461</v>
      </c>
      <c r="AI443" cm="1">
        <f t="array" ref="AI443">_xlfn.LET(
    _xlpm.vals,   _xlfn.HSTACK(S443,V443,Y443,AB443,AE443,AH443),
    _xlpm.ints,   _xlfn.HSTACK(R443,U443,X443,AA443,AD443,AG443),
    _xlpm.slopes, _xlfn.HSTACK(Q443,T443,W443,Z443,AC443,AF443),
    _xlpm.limit,  -0.00001*_xlpm.slopes + 0.1086*_xlpm.slopes + 63.253,
    _xlpm.mask,   (_xlpm.vals&gt;=0) * (_xlpm.ints&lt;=_xlpm.limit),
    _xlpm.validVals, _xlfn._xlws.FILTER(_xlpm.vals, _xlpm.mask),
    _xlpm.minVal, MIN(_xlpm.validVals),
    IFERROR( _xlfn.XMATCH(_xlpm.minVal, _xlpm.vals), "" )
)</f>
        <v>6</v>
      </c>
      <c r="AJ443" cm="1">
        <f t="array" ref="AJ443">_xlfn.LET(
    _xlpm.vals, CHOOSE({1,2,3,4,5,6}, S443, V443, Y443, AB443, AE443, AH443),
    _xlpm.slopes, CHOOSE({1,2,3,4,5,6}, Q443, T443, W443, Z443, AC443, AF443),
    _xlpm.ints, CHOOSE({1,2,3,4,5,6}, R443, U443, X443, AA443, AD443, AG443),
    _xlpm.limit, -0.00001*_xlpm.slopes + 0.1086*_xlpm.slopes + 63.253,
    _xlpm.valid, (_xlpm.vals &gt;= 0) * (_xlpm.ints &lt;= _xlpm.limit),
    _xlpm.target, MIN(_xlfn._xlws.FILTER(_xlpm.vals, _xlpm.valid)),
    IFERROR(
        _xlfn.XLOOKUP(_xlpm.target, _xlpm.vals, _xlpm.vals),
        CHOOSE({1,2,3,4,5,6}, S$1, V$1, Y$1, AB$1, AE$1, AH$1)
    )
)</f>
        <v>0.81877498674762461</v>
      </c>
    </row>
    <row r="444" spans="9:36" x14ac:dyDescent="0.45">
      <c r="I444">
        <v>442</v>
      </c>
      <c r="J444">
        <v>36</v>
      </c>
      <c r="K444">
        <f t="shared" si="139"/>
        <v>36</v>
      </c>
      <c r="L444">
        <f t="shared" si="138"/>
        <v>0.01</v>
      </c>
      <c r="M444">
        <v>6.2</v>
      </c>
      <c r="N444">
        <f t="shared" si="140"/>
        <v>6.2</v>
      </c>
      <c r="O444">
        <f t="shared" si="141"/>
        <v>467.82658033841687</v>
      </c>
      <c r="P444">
        <f t="shared" si="142"/>
        <v>1497.0450570829341</v>
      </c>
      <c r="Q444">
        <f t="shared" si="143"/>
        <v>6856.4663614398387</v>
      </c>
      <c r="R444">
        <f t="shared" si="144"/>
        <v>8.6350075547883307</v>
      </c>
      <c r="S444">
        <f t="shared" si="145"/>
        <v>10.315661152552869</v>
      </c>
      <c r="T444">
        <f t="shared" si="146"/>
        <v>4431.2533689654847</v>
      </c>
      <c r="U444">
        <f t="shared" si="147"/>
        <v>13.36092385166573</v>
      </c>
      <c r="V444">
        <f t="shared" si="148"/>
        <v>2.826299100479424</v>
      </c>
      <c r="W444">
        <f t="shared" si="149"/>
        <v>2859.3560590284042</v>
      </c>
      <c r="X444">
        <f t="shared" si="150"/>
        <v>20.705934346036944</v>
      </c>
      <c r="Y444">
        <f t="shared" si="151"/>
        <v>1.2119708970294985</v>
      </c>
      <c r="Z444">
        <f t="shared" si="152"/>
        <v>2155.7448821994249</v>
      </c>
      <c r="AA444">
        <f t="shared" si="153"/>
        <v>27.464121250646226</v>
      </c>
      <c r="AB444">
        <f t="shared" si="154"/>
        <v>0.95461389135887609</v>
      </c>
      <c r="AC444">
        <f t="shared" si="155"/>
        <v>1107.8133422413712</v>
      </c>
      <c r="AD444">
        <f t="shared" si="156"/>
        <v>53.443695406662918</v>
      </c>
      <c r="AE444">
        <f t="shared" si="157"/>
        <v>0.82187096286370631</v>
      </c>
      <c r="AF444">
        <f t="shared" si="158"/>
        <v>1017.9906388163953</v>
      </c>
      <c r="AG444">
        <f t="shared" si="159"/>
        <v>58.159315589603757</v>
      </c>
      <c r="AH444">
        <f t="shared" si="160"/>
        <v>0.81577349407708255</v>
      </c>
      <c r="AI444" cm="1">
        <f t="array" ref="AI444">_xlfn.LET(
    _xlpm.vals,   _xlfn.HSTACK(S444,V444,Y444,AB444,AE444,AH444),
    _xlpm.ints,   _xlfn.HSTACK(R444,U444,X444,AA444,AD444,AG444),
    _xlpm.slopes, _xlfn.HSTACK(Q444,T444,W444,Z444,AC444,AF444),
    _xlpm.limit,  -0.00001*_xlpm.slopes + 0.1086*_xlpm.slopes + 63.253,
    _xlpm.mask,   (_xlpm.vals&gt;=0) * (_xlpm.ints&lt;=_xlpm.limit),
    _xlpm.validVals, _xlfn._xlws.FILTER(_xlpm.vals, _xlpm.mask),
    _xlpm.minVal, MIN(_xlpm.validVals),
    IFERROR( _xlfn.XMATCH(_xlpm.minVal, _xlpm.vals), "" )
)</f>
        <v>6</v>
      </c>
      <c r="AJ444" cm="1">
        <f t="array" ref="AJ444">_xlfn.LET(
    _xlpm.vals, CHOOSE({1,2,3,4,5,6}, S444, V444, Y444, AB444, AE444, AH444),
    _xlpm.slopes, CHOOSE({1,2,3,4,5,6}, Q444, T444, W444, Z444, AC444, AF444),
    _xlpm.ints, CHOOSE({1,2,3,4,5,6}, R444, U444, X444, AA444, AD444, AG444),
    _xlpm.limit, -0.00001*_xlpm.slopes + 0.1086*_xlpm.slopes + 63.253,
    _xlpm.valid, (_xlpm.vals &gt;= 0) * (_xlpm.ints &lt;= _xlpm.limit),
    _xlpm.target, MIN(_xlfn._xlws.FILTER(_xlpm.vals, _xlpm.valid)),
    IFERROR(
        _xlfn.XLOOKUP(_xlpm.target, _xlpm.vals, _xlpm.vals),
        CHOOSE({1,2,3,4,5,6}, S$1, V$1, Y$1, AB$1, AE$1, AH$1)
    )
)</f>
        <v>0.81577349407708255</v>
      </c>
    </row>
    <row r="445" spans="9:36" x14ac:dyDescent="0.45">
      <c r="I445">
        <v>443</v>
      </c>
      <c r="J445">
        <v>36.200000000000003</v>
      </c>
      <c r="K445">
        <f t="shared" si="139"/>
        <v>36.200000000000003</v>
      </c>
      <c r="L445">
        <f t="shared" si="138"/>
        <v>1.0055555555555557E-2</v>
      </c>
      <c r="M445">
        <v>9.84</v>
      </c>
      <c r="N445">
        <f t="shared" si="140"/>
        <v>9.84</v>
      </c>
      <c r="O445">
        <f t="shared" si="141"/>
        <v>470.4256168958525</v>
      </c>
      <c r="P445">
        <f t="shared" si="142"/>
        <v>1505.3619740667282</v>
      </c>
      <c r="Q445">
        <f t="shared" si="143"/>
        <v>6894.5578412256154</v>
      </c>
      <c r="R445">
        <f t="shared" si="144"/>
        <v>13.628876653930755</v>
      </c>
      <c r="S445">
        <f t="shared" si="145"/>
        <v>10.514553963883019</v>
      </c>
      <c r="T445">
        <f t="shared" si="146"/>
        <v>4455.8714432375155</v>
      </c>
      <c r="U445">
        <f t="shared" si="147"/>
        <v>21.087924011825287</v>
      </c>
      <c r="V445">
        <f t="shared" si="148"/>
        <v>3.0035410452046252</v>
      </c>
      <c r="W445">
        <f t="shared" si="149"/>
        <v>2875.2413704674509</v>
      </c>
      <c r="X445">
        <f t="shared" si="150"/>
        <v>32.680761819373224</v>
      </c>
      <c r="Y445">
        <f t="shared" si="151"/>
        <v>1.443806330238746</v>
      </c>
      <c r="Z445">
        <f t="shared" si="152"/>
        <v>2167.7212426560886</v>
      </c>
      <c r="AA445">
        <f t="shared" si="153"/>
        <v>43.347399357640874</v>
      </c>
      <c r="AB445">
        <f t="shared" si="154"/>
        <v>1.2267789934948217</v>
      </c>
      <c r="AC445">
        <f t="shared" si="155"/>
        <v>1113.9678608093789</v>
      </c>
      <c r="AD445">
        <f t="shared" si="156"/>
        <v>84.351696047301147</v>
      </c>
      <c r="AE445">
        <f t="shared" si="157"/>
        <v>1.1586645780927813</v>
      </c>
      <c r="AF445">
        <f t="shared" si="158"/>
        <v>1023.6461423653752</v>
      </c>
      <c r="AG445">
        <f t="shared" si="159"/>
        <v>91.794492757357133</v>
      </c>
      <c r="AH445">
        <f t="shared" si="160"/>
        <v>1.149223096851256</v>
      </c>
      <c r="AI445" cm="1">
        <f t="array" ref="AI445">_xlfn.LET(
    _xlpm.vals,   _xlfn.HSTACK(S445,V445,Y445,AB445,AE445,AH445),
    _xlpm.ints,   _xlfn.HSTACK(R445,U445,X445,AA445,AD445,AG445),
    _xlpm.slopes, _xlfn.HSTACK(Q445,T445,W445,Z445,AC445,AF445),
    _xlpm.limit,  -0.00001*_xlpm.slopes + 0.1086*_xlpm.slopes + 63.253,
    _xlpm.mask,   (_xlpm.vals&gt;=0) * (_xlpm.ints&lt;=_xlpm.limit),
    _xlpm.validVals, _xlfn._xlws.FILTER(_xlpm.vals, _xlpm.mask),
    _xlpm.minVal, MIN(_xlpm.validVals),
    IFERROR( _xlfn.XMATCH(_xlpm.minVal, _xlpm.vals), "" )
)</f>
        <v>6</v>
      </c>
      <c r="AJ445" cm="1">
        <f t="array" ref="AJ445">_xlfn.LET(
    _xlpm.vals, CHOOSE({1,2,3,4,5,6}, S445, V445, Y445, AB445, AE445, AH445),
    _xlpm.slopes, CHOOSE({1,2,3,4,5,6}, Q445, T445, W445, Z445, AC445, AF445),
    _xlpm.ints, CHOOSE({1,2,3,4,5,6}, R445, U445, X445, AA445, AD445, AG445),
    _xlpm.limit, -0.00001*_xlpm.slopes + 0.1086*_xlpm.slopes + 63.253,
    _xlpm.valid, (_xlpm.vals &gt;= 0) * (_xlpm.ints &lt;= _xlpm.limit),
    _xlpm.target, MIN(_xlfn._xlws.FILTER(_xlpm.vals, _xlpm.valid)),
    IFERROR(
        _xlfn.XLOOKUP(_xlpm.target, _xlpm.vals, _xlpm.vals),
        CHOOSE({1,2,3,4,5,6}, S$1, V$1, Y$1, AB$1, AE$1, AH$1)
    )
)</f>
        <v>1.149223096851256</v>
      </c>
    </row>
    <row r="446" spans="9:36" x14ac:dyDescent="0.45">
      <c r="I446">
        <v>444</v>
      </c>
      <c r="J446">
        <v>36.5</v>
      </c>
      <c r="K446">
        <f t="shared" si="139"/>
        <v>36.5</v>
      </c>
      <c r="L446">
        <f t="shared" si="138"/>
        <v>1.0138888888888888E-2</v>
      </c>
      <c r="M446">
        <v>2.7</v>
      </c>
      <c r="N446">
        <f t="shared" si="140"/>
        <v>2.7</v>
      </c>
      <c r="O446">
        <f t="shared" si="141"/>
        <v>474.32417173200594</v>
      </c>
      <c r="P446">
        <f t="shared" si="142"/>
        <v>1517.8373495424191</v>
      </c>
      <c r="Q446">
        <f t="shared" si="143"/>
        <v>6951.6950609042797</v>
      </c>
      <c r="R446">
        <f t="shared" si="144"/>
        <v>3.7088940977703309</v>
      </c>
      <c r="S446">
        <f t="shared" si="145"/>
        <v>10.777682624833732</v>
      </c>
      <c r="T446">
        <f t="shared" si="146"/>
        <v>4492.7985546455602</v>
      </c>
      <c r="U446">
        <f t="shared" si="147"/>
        <v>5.7387618134419318</v>
      </c>
      <c r="V446">
        <f t="shared" si="148"/>
        <v>2.8146507910932024</v>
      </c>
      <c r="W446">
        <f t="shared" si="149"/>
        <v>2899.0693376260206</v>
      </c>
      <c r="X446">
        <f t="shared" si="150"/>
        <v>8.8935785171665529</v>
      </c>
      <c r="Y446">
        <f t="shared" si="151"/>
        <v>1.0418271440605651</v>
      </c>
      <c r="Z446">
        <f t="shared" si="152"/>
        <v>2185.6857833410836</v>
      </c>
      <c r="AA446">
        <f t="shared" si="153"/>
        <v>11.796343727630637</v>
      </c>
      <c r="AB446">
        <f t="shared" si="154"/>
        <v>0.73335409129788209</v>
      </c>
      <c r="AC446">
        <f t="shared" si="155"/>
        <v>1123.1996386613901</v>
      </c>
      <c r="AD446">
        <f t="shared" si="156"/>
        <v>22.955047253767727</v>
      </c>
      <c r="AE446">
        <f t="shared" si="157"/>
        <v>0.52257266713625083</v>
      </c>
      <c r="AF446">
        <f t="shared" si="158"/>
        <v>1032.1293976888451</v>
      </c>
      <c r="AG446">
        <f t="shared" si="159"/>
        <v>24.980492599688404</v>
      </c>
      <c r="AH446">
        <f t="shared" si="160"/>
        <v>0.50897564953916496</v>
      </c>
      <c r="AI446" cm="1">
        <f t="array" ref="AI446">_xlfn.LET(
    _xlpm.vals,   _xlfn.HSTACK(S446,V446,Y446,AB446,AE446,AH446),
    _xlpm.ints,   _xlfn.HSTACK(R446,U446,X446,AA446,AD446,AG446),
    _xlpm.slopes, _xlfn.HSTACK(Q446,T446,W446,Z446,AC446,AF446),
    _xlpm.limit,  -0.00001*_xlpm.slopes + 0.1086*_xlpm.slopes + 63.253,
    _xlpm.mask,   (_xlpm.vals&gt;=0) * (_xlpm.ints&lt;=_xlpm.limit),
    _xlpm.validVals, _xlfn._xlws.FILTER(_xlpm.vals, _xlpm.mask),
    _xlpm.minVal, MIN(_xlpm.validVals),
    IFERROR( _xlfn.XMATCH(_xlpm.minVal, _xlpm.vals), "" )
)</f>
        <v>6</v>
      </c>
      <c r="AJ446" cm="1">
        <f t="array" ref="AJ446">_xlfn.LET(
    _xlpm.vals, CHOOSE({1,2,3,4,5,6}, S446, V446, Y446, AB446, AE446, AH446),
    _xlpm.slopes, CHOOSE({1,2,3,4,5,6}, Q446, T446, W446, Z446, AC446, AF446),
    _xlpm.ints, CHOOSE({1,2,3,4,5,6}, R446, U446, X446, AA446, AD446, AG446),
    _xlpm.limit, -0.00001*_xlpm.slopes + 0.1086*_xlpm.slopes + 63.253,
    _xlpm.valid, (_xlpm.vals &gt;= 0) * (_xlpm.ints &lt;= _xlpm.limit),
    _xlpm.target, MIN(_xlfn._xlws.FILTER(_xlpm.vals, _xlpm.valid)),
    IFERROR(
        _xlfn.XLOOKUP(_xlpm.target, _xlpm.vals, _xlpm.vals),
        CHOOSE({1,2,3,4,5,6}, S$1, V$1, Y$1, AB$1, AE$1, AH$1)
    )
)</f>
        <v>0.50897564953916496</v>
      </c>
    </row>
    <row r="447" spans="9:36" x14ac:dyDescent="0.45">
      <c r="I447">
        <v>445</v>
      </c>
      <c r="J447">
        <v>36.200000000000003</v>
      </c>
      <c r="K447">
        <f t="shared" si="139"/>
        <v>36.200000000000003</v>
      </c>
      <c r="L447">
        <f t="shared" si="138"/>
        <v>1.0055555555555557E-2</v>
      </c>
      <c r="M447">
        <v>5.48</v>
      </c>
      <c r="N447">
        <f t="shared" si="140"/>
        <v>5.48</v>
      </c>
      <c r="O447">
        <f t="shared" si="141"/>
        <v>470.4256168958525</v>
      </c>
      <c r="P447">
        <f t="shared" si="142"/>
        <v>1505.3619740667282</v>
      </c>
      <c r="Q447">
        <f t="shared" si="143"/>
        <v>6894.5578412256154</v>
      </c>
      <c r="R447">
        <f t="shared" si="144"/>
        <v>7.5900654536118433</v>
      </c>
      <c r="S447">
        <f t="shared" si="145"/>
        <v>10.498036654731109</v>
      </c>
      <c r="T447">
        <f t="shared" si="146"/>
        <v>4455.8714432375155</v>
      </c>
      <c r="U447">
        <f t="shared" si="147"/>
        <v>11.74408776268319</v>
      </c>
      <c r="V447">
        <f t="shared" si="148"/>
        <v>2.8420985527335239</v>
      </c>
      <c r="W447">
        <f t="shared" si="149"/>
        <v>2875.2413704674509</v>
      </c>
      <c r="X447">
        <f t="shared" si="150"/>
        <v>18.200261663634681</v>
      </c>
      <c r="Y447">
        <f t="shared" si="151"/>
        <v>1.1787759754814369</v>
      </c>
      <c r="Z447">
        <f t="shared" si="152"/>
        <v>2167.7212426560886</v>
      </c>
      <c r="AA447">
        <f t="shared" si="153"/>
        <v>24.140624845515447</v>
      </c>
      <c r="AB447">
        <f t="shared" si="154"/>
        <v>0.90764247382758945</v>
      </c>
      <c r="AC447">
        <f t="shared" si="155"/>
        <v>1113.9678608093789</v>
      </c>
      <c r="AD447">
        <f t="shared" si="156"/>
        <v>46.97635105073276</v>
      </c>
      <c r="AE447">
        <f t="shared" si="157"/>
        <v>0.75664042993314062</v>
      </c>
      <c r="AF447">
        <f t="shared" si="158"/>
        <v>1023.6461423653752</v>
      </c>
      <c r="AG447">
        <f t="shared" si="159"/>
        <v>51.121323202268002</v>
      </c>
      <c r="AH447">
        <f t="shared" si="160"/>
        <v>0.74930650775253105</v>
      </c>
      <c r="AI447" cm="1">
        <f t="array" ref="AI447">_xlfn.LET(
    _xlpm.vals,   _xlfn.HSTACK(S447,V447,Y447,AB447,AE447,AH447),
    _xlpm.ints,   _xlfn.HSTACK(R447,U447,X447,AA447,AD447,AG447),
    _xlpm.slopes, _xlfn.HSTACK(Q447,T447,W447,Z447,AC447,AF447),
    _xlpm.limit,  -0.00001*_xlpm.slopes + 0.1086*_xlpm.slopes + 63.253,
    _xlpm.mask,   (_xlpm.vals&gt;=0) * (_xlpm.ints&lt;=_xlpm.limit),
    _xlpm.validVals, _xlfn._xlws.FILTER(_xlpm.vals, _xlpm.mask),
    _xlpm.minVal, MIN(_xlpm.validVals),
    IFERROR( _xlfn.XMATCH(_xlpm.minVal, _xlpm.vals), "" )
)</f>
        <v>6</v>
      </c>
      <c r="AJ447" cm="1">
        <f t="array" ref="AJ447">_xlfn.LET(
    _xlpm.vals, CHOOSE({1,2,3,4,5,6}, S447, V447, Y447, AB447, AE447, AH447),
    _xlpm.slopes, CHOOSE({1,2,3,4,5,6}, Q447, T447, W447, Z447, AC447, AF447),
    _xlpm.ints, CHOOSE({1,2,3,4,5,6}, R447, U447, X447, AA447, AD447, AG447),
    _xlpm.limit, -0.00001*_xlpm.slopes + 0.1086*_xlpm.slopes + 63.253,
    _xlpm.valid, (_xlpm.vals &gt;= 0) * (_xlpm.ints &lt;= _xlpm.limit),
    _xlpm.target, MIN(_xlfn._xlws.FILTER(_xlpm.vals, _xlpm.valid)),
    IFERROR(
        _xlfn.XLOOKUP(_xlpm.target, _xlpm.vals, _xlpm.vals),
        CHOOSE({1,2,3,4,5,6}, S$1, V$1, Y$1, AB$1, AE$1, AH$1)
    )
)</f>
        <v>0.74930650775253105</v>
      </c>
    </row>
    <row r="448" spans="9:36" x14ac:dyDescent="0.45">
      <c r="I448">
        <v>446</v>
      </c>
      <c r="J448">
        <v>36.1</v>
      </c>
      <c r="K448">
        <f t="shared" si="139"/>
        <v>36.1</v>
      </c>
      <c r="L448">
        <f t="shared" si="138"/>
        <v>1.0027777777777778E-2</v>
      </c>
      <c r="M448">
        <v>2.68</v>
      </c>
      <c r="N448">
        <f t="shared" si="140"/>
        <v>2.68</v>
      </c>
      <c r="O448">
        <f t="shared" si="141"/>
        <v>469.12609861713469</v>
      </c>
      <c r="P448">
        <f t="shared" si="142"/>
        <v>1501.203515574831</v>
      </c>
      <c r="Q448">
        <f t="shared" si="143"/>
        <v>6875.5121013327262</v>
      </c>
      <c r="R448">
        <f t="shared" si="144"/>
        <v>3.7222121744525882</v>
      </c>
      <c r="S448">
        <f t="shared" si="145"/>
        <v>10.400950506749583</v>
      </c>
      <c r="T448">
        <f t="shared" si="146"/>
        <v>4443.5624061014996</v>
      </c>
      <c r="U448">
        <f t="shared" si="147"/>
        <v>5.7593688374975862</v>
      </c>
      <c r="V448">
        <f t="shared" si="148"/>
        <v>2.7285491370391224</v>
      </c>
      <c r="W448">
        <f t="shared" si="149"/>
        <v>2867.2987147479271</v>
      </c>
      <c r="X448">
        <f t="shared" si="150"/>
        <v>8.9255140099439032</v>
      </c>
      <c r="Y448">
        <f t="shared" si="151"/>
        <v>1.0223775625761093</v>
      </c>
      <c r="Z448">
        <f t="shared" si="152"/>
        <v>2161.7330624277565</v>
      </c>
      <c r="AA448">
        <f t="shared" si="153"/>
        <v>11.838702610411705</v>
      </c>
      <c r="AB448">
        <f t="shared" si="154"/>
        <v>0.72499597087106349</v>
      </c>
      <c r="AC448">
        <f t="shared" si="155"/>
        <v>1110.8906015253749</v>
      </c>
      <c r="AD448">
        <f t="shared" si="156"/>
        <v>23.037475349990345</v>
      </c>
      <c r="AE448">
        <f t="shared" si="157"/>
        <v>0.51919270432476594</v>
      </c>
      <c r="AF448">
        <f t="shared" si="158"/>
        <v>1020.8183905908852</v>
      </c>
      <c r="AG448">
        <f t="shared" si="159"/>
        <v>25.070193763224783</v>
      </c>
      <c r="AH448">
        <f t="shared" si="160"/>
        <v>0.50568681322961551</v>
      </c>
      <c r="AI448" cm="1">
        <f t="array" ref="AI448">_xlfn.LET(
    _xlpm.vals,   _xlfn.HSTACK(S448,V448,Y448,AB448,AE448,AH448),
    _xlpm.ints,   _xlfn.HSTACK(R448,U448,X448,AA448,AD448,AG448),
    _xlpm.slopes, _xlfn.HSTACK(Q448,T448,W448,Z448,AC448,AF448),
    _xlpm.limit,  -0.00001*_xlpm.slopes + 0.1086*_xlpm.slopes + 63.253,
    _xlpm.mask,   (_xlpm.vals&gt;=0) * (_xlpm.ints&lt;=_xlpm.limit),
    _xlpm.validVals, _xlfn._xlws.FILTER(_xlpm.vals, _xlpm.mask),
    _xlpm.minVal, MIN(_xlpm.validVals),
    IFERROR( _xlfn.XMATCH(_xlpm.minVal, _xlpm.vals), "" )
)</f>
        <v>6</v>
      </c>
      <c r="AJ448" cm="1">
        <f t="array" ref="AJ448">_xlfn.LET(
    _xlpm.vals, CHOOSE({1,2,3,4,5,6}, S448, V448, Y448, AB448, AE448, AH448),
    _xlpm.slopes, CHOOSE({1,2,3,4,5,6}, Q448, T448, W448, Z448, AC448, AF448),
    _xlpm.ints, CHOOSE({1,2,3,4,5,6}, R448, U448, X448, AA448, AD448, AG448),
    _xlpm.limit, -0.00001*_xlpm.slopes + 0.1086*_xlpm.slopes + 63.253,
    _xlpm.valid, (_xlpm.vals &gt;= 0) * (_xlpm.ints &lt;= _xlpm.limit),
    _xlpm.target, MIN(_xlfn._xlws.FILTER(_xlpm.vals, _xlpm.valid)),
    IFERROR(
        _xlfn.XLOOKUP(_xlpm.target, _xlpm.vals, _xlpm.vals),
        CHOOSE({1,2,3,4,5,6}, S$1, V$1, Y$1, AB$1, AE$1, AH$1)
    )
)</f>
        <v>0.50568681322961551</v>
      </c>
    </row>
    <row r="449" spans="9:36" x14ac:dyDescent="0.45">
      <c r="I449">
        <v>447</v>
      </c>
      <c r="J449">
        <v>35.9</v>
      </c>
      <c r="K449">
        <f t="shared" si="139"/>
        <v>35.9</v>
      </c>
      <c r="L449">
        <f t="shared" si="138"/>
        <v>9.9722222222222226E-3</v>
      </c>
      <c r="M449">
        <v>4.4000000000000004</v>
      </c>
      <c r="N449">
        <f t="shared" si="140"/>
        <v>4.4000000000000004</v>
      </c>
      <c r="O449">
        <f t="shared" si="141"/>
        <v>466.52706205969901</v>
      </c>
      <c r="P449">
        <f t="shared" si="142"/>
        <v>1492.886598591037</v>
      </c>
      <c r="Q449">
        <f t="shared" si="143"/>
        <v>6837.4206215469494</v>
      </c>
      <c r="R449">
        <f t="shared" si="144"/>
        <v>6.1451397101198308</v>
      </c>
      <c r="S449">
        <f t="shared" si="145"/>
        <v>10.219151023839308</v>
      </c>
      <c r="T449">
        <f t="shared" si="146"/>
        <v>4418.9443318294698</v>
      </c>
      <c r="U449">
        <f t="shared" si="147"/>
        <v>9.5083580649827102</v>
      </c>
      <c r="V449">
        <f t="shared" si="148"/>
        <v>2.7431742939002999</v>
      </c>
      <c r="W449">
        <f t="shared" si="149"/>
        <v>2851.4134033088803</v>
      </c>
      <c r="X449">
        <f t="shared" si="150"/>
        <v>14.735465901753312</v>
      </c>
      <c r="Y449">
        <f t="shared" si="151"/>
        <v>1.105350891032457</v>
      </c>
      <c r="Z449">
        <f t="shared" si="152"/>
        <v>2149.7567019710932</v>
      </c>
      <c r="AA449">
        <f t="shared" si="153"/>
        <v>19.544958244686683</v>
      </c>
      <c r="AB449">
        <f t="shared" si="154"/>
        <v>0.83052022550961735</v>
      </c>
      <c r="AC449">
        <f t="shared" si="155"/>
        <v>1104.7360829573674</v>
      </c>
      <c r="AD449">
        <f t="shared" si="156"/>
        <v>38.033432259930841</v>
      </c>
      <c r="AE449">
        <f t="shared" si="157"/>
        <v>0.66005951336810598</v>
      </c>
      <c r="AF449">
        <f t="shared" si="158"/>
        <v>1015.1628870419053</v>
      </c>
      <c r="AG449">
        <f t="shared" si="159"/>
        <v>41.38932334168944</v>
      </c>
      <c r="AH449">
        <f t="shared" si="160"/>
        <v>0.65048218327180019</v>
      </c>
      <c r="AI449" cm="1">
        <f t="array" ref="AI449">_xlfn.LET(
    _xlpm.vals,   _xlfn.HSTACK(S449,V449,Y449,AB449,AE449,AH449),
    _xlpm.ints,   _xlfn.HSTACK(R449,U449,X449,AA449,AD449,AG449),
    _xlpm.slopes, _xlfn.HSTACK(Q449,T449,W449,Z449,AC449,AF449),
    _xlpm.limit,  -0.00001*_xlpm.slopes + 0.1086*_xlpm.slopes + 63.253,
    _xlpm.mask,   (_xlpm.vals&gt;=0) * (_xlpm.ints&lt;=_xlpm.limit),
    _xlpm.validVals, _xlfn._xlws.FILTER(_xlpm.vals, _xlpm.mask),
    _xlpm.minVal, MIN(_xlpm.validVals),
    IFERROR( _xlfn.XMATCH(_xlpm.minVal, _xlpm.vals), "" )
)</f>
        <v>6</v>
      </c>
      <c r="AJ449" cm="1">
        <f t="array" ref="AJ449">_xlfn.LET(
    _xlpm.vals, CHOOSE({1,2,3,4,5,6}, S449, V449, Y449, AB449, AE449, AH449),
    _xlpm.slopes, CHOOSE({1,2,3,4,5,6}, Q449, T449, W449, Z449, AC449, AF449),
    _xlpm.ints, CHOOSE({1,2,3,4,5,6}, R449, U449, X449, AA449, AD449, AG449),
    _xlpm.limit, -0.00001*_xlpm.slopes + 0.1086*_xlpm.slopes + 63.253,
    _xlpm.valid, (_xlpm.vals &gt;= 0) * (_xlpm.ints &lt;= _xlpm.limit),
    _xlpm.target, MIN(_xlfn._xlws.FILTER(_xlpm.vals, _xlpm.valid)),
    IFERROR(
        _xlfn.XLOOKUP(_xlpm.target, _xlpm.vals, _xlpm.vals),
        CHOOSE({1,2,3,4,5,6}, S$1, V$1, Y$1, AB$1, AE$1, AH$1)
    )
)</f>
        <v>0.65048218327180019</v>
      </c>
    </row>
    <row r="450" spans="9:36" x14ac:dyDescent="0.45">
      <c r="I450">
        <v>448</v>
      </c>
      <c r="J450">
        <v>35.700000000000003</v>
      </c>
      <c r="K450">
        <f t="shared" si="139"/>
        <v>35.700000000000003</v>
      </c>
      <c r="L450">
        <f t="shared" ref="L450:L513" si="161">K450*(1/3600)</f>
        <v>9.9166666666666674E-3</v>
      </c>
      <c r="M450">
        <v>4.51</v>
      </c>
      <c r="N450">
        <f t="shared" si="140"/>
        <v>4.51</v>
      </c>
      <c r="O450">
        <f t="shared" si="141"/>
        <v>463.92802550226338</v>
      </c>
      <c r="P450">
        <f t="shared" si="142"/>
        <v>1484.569681607243</v>
      </c>
      <c r="Q450">
        <f t="shared" si="143"/>
        <v>6799.3291417611727</v>
      </c>
      <c r="R450">
        <f t="shared" si="144"/>
        <v>6.3340554196956429</v>
      </c>
      <c r="S450">
        <f t="shared" si="145"/>
        <v>10.037930439499688</v>
      </c>
      <c r="T450">
        <f t="shared" si="146"/>
        <v>4394.326257557439</v>
      </c>
      <c r="U450">
        <f t="shared" si="147"/>
        <v>9.8006668318263674</v>
      </c>
      <c r="V450">
        <f t="shared" si="148"/>
        <v>2.7061885719744319</v>
      </c>
      <c r="W450">
        <f t="shared" si="149"/>
        <v>2835.528091869834</v>
      </c>
      <c r="X450">
        <f t="shared" si="150"/>
        <v>15.188467969741383</v>
      </c>
      <c r="Y450">
        <f t="shared" si="151"/>
        <v>1.1029325143948663</v>
      </c>
      <c r="Z450">
        <f t="shared" si="152"/>
        <v>2137.7803415144299</v>
      </c>
      <c r="AA450">
        <f t="shared" si="153"/>
        <v>20.145815154309751</v>
      </c>
      <c r="AB450">
        <f t="shared" si="154"/>
        <v>0.83463341195590235</v>
      </c>
      <c r="AC450">
        <f t="shared" si="155"/>
        <v>1098.5815643893598</v>
      </c>
      <c r="AD450">
        <f t="shared" si="156"/>
        <v>39.20266732730547</v>
      </c>
      <c r="AE450">
        <f t="shared" si="157"/>
        <v>0.6689796317580301</v>
      </c>
      <c r="AF450">
        <f t="shared" si="158"/>
        <v>1009.5073834929253</v>
      </c>
      <c r="AG450">
        <f t="shared" si="159"/>
        <v>42.661726209126527</v>
      </c>
      <c r="AH450">
        <f t="shared" si="160"/>
        <v>0.65971039780847618</v>
      </c>
      <c r="AI450" cm="1">
        <f t="array" ref="AI450">_xlfn.LET(
    _xlpm.vals,   _xlfn.HSTACK(S450,V450,Y450,AB450,AE450,AH450),
    _xlpm.ints,   _xlfn.HSTACK(R450,U450,X450,AA450,AD450,AG450),
    _xlpm.slopes, _xlfn.HSTACK(Q450,T450,W450,Z450,AC450,AF450),
    _xlpm.limit,  -0.00001*_xlpm.slopes + 0.1086*_xlpm.slopes + 63.253,
    _xlpm.mask,   (_xlpm.vals&gt;=0) * (_xlpm.ints&lt;=_xlpm.limit),
    _xlpm.validVals, _xlfn._xlws.FILTER(_xlpm.vals, _xlpm.mask),
    _xlpm.minVal, MIN(_xlpm.validVals),
    IFERROR( _xlfn.XMATCH(_xlpm.minVal, _xlpm.vals), "" )
)</f>
        <v>6</v>
      </c>
      <c r="AJ450" cm="1">
        <f t="array" ref="AJ450">_xlfn.LET(
    _xlpm.vals, CHOOSE({1,2,3,4,5,6}, S450, V450, Y450, AB450, AE450, AH450),
    _xlpm.slopes, CHOOSE({1,2,3,4,5,6}, Q450, T450, W450, Z450, AC450, AF450),
    _xlpm.ints, CHOOSE({1,2,3,4,5,6}, R450, U450, X450, AA450, AD450, AG450),
    _xlpm.limit, -0.00001*_xlpm.slopes + 0.1086*_xlpm.slopes + 63.253,
    _xlpm.valid, (_xlpm.vals &gt;= 0) * (_xlpm.ints &lt;= _xlpm.limit),
    _xlpm.target, MIN(_xlfn._xlws.FILTER(_xlpm.vals, _xlpm.valid)),
    IFERROR(
        _xlfn.XLOOKUP(_xlpm.target, _xlpm.vals, _xlpm.vals),
        CHOOSE({1,2,3,4,5,6}, S$1, V$1, Y$1, AB$1, AE$1, AH$1)
    )
)</f>
        <v>0.65971039780847618</v>
      </c>
    </row>
    <row r="451" spans="9:36" x14ac:dyDescent="0.45">
      <c r="I451">
        <v>449</v>
      </c>
      <c r="J451">
        <v>35.6</v>
      </c>
      <c r="K451">
        <f t="shared" ref="K451:K514" si="162">IF(J451&lt;0,0,J451)</f>
        <v>35.6</v>
      </c>
      <c r="L451">
        <f t="shared" si="161"/>
        <v>9.8888888888888898E-3</v>
      </c>
      <c r="M451">
        <v>5.99</v>
      </c>
      <c r="N451">
        <f t="shared" ref="N451:N514" si="163">IF(M451&lt;0,0,M451)</f>
        <v>5.99</v>
      </c>
      <c r="O451">
        <f t="shared" ref="O451:O514" si="164">(K451*0.44704*60)/(PI()*$B$2)</f>
        <v>462.62850722354551</v>
      </c>
      <c r="P451">
        <f t="shared" ref="P451:P514" si="165">O451*3.2</f>
        <v>1480.4112231153458</v>
      </c>
      <c r="Q451">
        <f t="shared" ref="Q451:Q514" si="166">IF(4.58*P451&lt;1000,1000,4.58*P451)</f>
        <v>6780.2834018682843</v>
      </c>
      <c r="R451">
        <f t="shared" ref="R451:R514" si="167">(1000*N451*60)/(Q451*2*PI())</f>
        <v>8.4362678013526455</v>
      </c>
      <c r="S451">
        <f t="shared" ref="S451:S514" si="168">(0.072946 + (0.000364279 * Q451) + (-0.00248749 * R451) + (0.00000951906 * Q451 * R451) + (-0.000000165418 * Q451^2) + (0.000045414 * R451^2) + (-0.00000000135106 * Q451^2 * R451) + (0.0000000203184 * Q451 * R451^2) + (0.0000000000481318 * Q451^3) + (-0.00000034778 * R451^3))</f>
        <v>9.9534879309052808</v>
      </c>
      <c r="T451">
        <f t="shared" ref="T451:T514" si="169">IF(2.96*P451&lt;1000,6000,2.96*P451)</f>
        <v>4382.0172204214232</v>
      </c>
      <c r="U451">
        <f t="shared" ref="U451:U514" si="170">(1000*N451*60)/(T451*2*PI())</f>
        <v>13.053414368309163</v>
      </c>
      <c r="V451">
        <f t="shared" ref="V451:V514" si="171">(0.072946 + (0.000364279 * T451) + (-0.00248749 * U451) + (0.00000951906 * T451 * U451) + (-0.000000165418 * T451^2) + (0.000045414 * U451^2) + (-0.00000000135106 * T451^2 * U451) + (0.0000000203184 * T451 * U451^2) + (0.0000000000481318 * T451^3) + (-0.00000034778 * U451^3))</f>
        <v>2.7383591982273363</v>
      </c>
      <c r="W451">
        <f t="shared" ref="W451:W514" si="172">IF(1.91*P451&lt;1000,6000,1.91*P451)</f>
        <v>2827.5854361503102</v>
      </c>
      <c r="X451">
        <f t="shared" ref="X451:X514" si="173">(1000*N451*60)/(W451*2*PI())</f>
        <v>20.22937514669902</v>
      </c>
      <c r="Y451">
        <f t="shared" ref="Y451:Y514" si="174">(0.072946 + (0.000364279 * W451) + (-0.00248749 * X451) + (0.00000951906 * W451 * X451) + (-0.000000165418 * W451^2) + (0.000045414 * X451^2) + (-0.00000000135106 * W451^2 * X451) + (0.0000000203184 * W451 * X451^2) + (0.0000000000481318 * W451^3) + (-0.00000034778 * X451^3))</f>
        <v>1.1834162469235261</v>
      </c>
      <c r="Z451">
        <f t="shared" ref="Z451:Z514" si="175">IF(1.44*P451&lt;1000,6000,1.44*P451)</f>
        <v>2131.7921612860978</v>
      </c>
      <c r="AA451">
        <f t="shared" ref="AA451:AA514" si="176">(1000*N451*60)/(Z451*2*PI())</f>
        <v>26.832018423746614</v>
      </c>
      <c r="AB451">
        <f t="shared" ref="AB451:AB514" si="177">(0.072946 + (0.000364279 * Z451) + (-0.00248749 * AA451) + (0.00000951906 * Z451 * AA451) + (-0.000000165418 * Z451^2) + (0.000045414 * AA451^2) + (-0.00000000135106 * Z451^2 * AA451) + (0.0000000203184 * Z451 * AA451^2) + (0.0000000000481318 * Z451^3) + (-0.00000034778 * AA451^3))</f>
        <v>0.93423005428816497</v>
      </c>
      <c r="AC451">
        <f t="shared" ref="AC451:AC514" si="178">IF(0.74*P451&lt;1000,6000,0.74*P451)</f>
        <v>1095.5043051053558</v>
      </c>
      <c r="AD451">
        <f t="shared" ref="AD451:AD514" si="179">(1000*N451*60)/(AC451*2*PI())</f>
        <v>52.213657473236651</v>
      </c>
      <c r="AE451">
        <f t="shared" ref="AE451:AE514" si="180">(0.072946 + (0.000364279 * AC451) + (-0.00248749 * AD451) + (0.00000951906 * AC451 * AD451) + (-0.000000165418 * AC451^2) + (0.000045414 * AD451^2) + (-0.00000000135106 * AC451^2 * AD451) + (0.0000000203184 * AC451 * AD451^2) + (0.0000000000481318 * AC451^3) + (-0.00000034778 * AD451^3))</f>
        <v>0.80171204628217829</v>
      </c>
      <c r="AF451">
        <f t="shared" ref="AF451:AF514" si="181">IF(0.68*P451&lt;1000,6000,0.68*P451)</f>
        <v>1006.6796317184352</v>
      </c>
      <c r="AG451">
        <f t="shared" ref="AG451:AG514" si="182">(1000*N451*60)/(AF451*2*PI())</f>
        <v>56.820744897345762</v>
      </c>
      <c r="AH451">
        <f t="shared" ref="AH451:AH514" si="183">(0.072946 + (0.000364279 * AF451) + (-0.00248749 * AG451) + (0.00000951906 * AF451 * AG451) + (-0.000000165418 * AF451^2) + (0.000045414 * AG451^2) + (-0.00000000135106 * AF451^2 * AG451) + (0.0000000203184 * AF451 * AG451^2) + (0.0000000000481318 * AF451^3) + (-0.00000034778 * AG451^3))</f>
        <v>0.79534139513093938</v>
      </c>
      <c r="AI451" cm="1">
        <f t="array" ref="AI451">_xlfn.LET(
    _xlpm.vals,   _xlfn.HSTACK(S451,V451,Y451,AB451,AE451,AH451),
    _xlpm.ints,   _xlfn.HSTACK(R451,U451,X451,AA451,AD451,AG451),
    _xlpm.slopes, _xlfn.HSTACK(Q451,T451,W451,Z451,AC451,AF451),
    _xlpm.limit,  -0.00001*_xlpm.slopes + 0.1086*_xlpm.slopes + 63.253,
    _xlpm.mask,   (_xlpm.vals&gt;=0) * (_xlpm.ints&lt;=_xlpm.limit),
    _xlpm.validVals, _xlfn._xlws.FILTER(_xlpm.vals, _xlpm.mask),
    _xlpm.minVal, MIN(_xlpm.validVals),
    IFERROR( _xlfn.XMATCH(_xlpm.minVal, _xlpm.vals), "" )
)</f>
        <v>6</v>
      </c>
      <c r="AJ451" cm="1">
        <f t="array" ref="AJ451">_xlfn.LET(
    _xlpm.vals, CHOOSE({1,2,3,4,5,6}, S451, V451, Y451, AB451, AE451, AH451),
    _xlpm.slopes, CHOOSE({1,2,3,4,5,6}, Q451, T451, W451, Z451, AC451, AF451),
    _xlpm.ints, CHOOSE({1,2,3,4,5,6}, R451, U451, X451, AA451, AD451, AG451),
    _xlpm.limit, -0.00001*_xlpm.slopes + 0.1086*_xlpm.slopes + 63.253,
    _xlpm.valid, (_xlpm.vals &gt;= 0) * (_xlpm.ints &lt;= _xlpm.limit),
    _xlpm.target, MIN(_xlfn._xlws.FILTER(_xlpm.vals, _xlpm.valid)),
    IFERROR(
        _xlfn.XLOOKUP(_xlpm.target, _xlpm.vals, _xlpm.vals),
        CHOOSE({1,2,3,4,5,6}, S$1, V$1, Y$1, AB$1, AE$1, AH$1)
    )
)</f>
        <v>0.79534139513093938</v>
      </c>
    </row>
    <row r="452" spans="9:36" x14ac:dyDescent="0.45">
      <c r="I452">
        <v>450</v>
      </c>
      <c r="J452">
        <v>35.5</v>
      </c>
      <c r="K452">
        <f t="shared" si="162"/>
        <v>35.5</v>
      </c>
      <c r="L452">
        <f t="shared" si="161"/>
        <v>9.8611111111111104E-3</v>
      </c>
      <c r="M452">
        <v>4.88</v>
      </c>
      <c r="N452">
        <f t="shared" si="163"/>
        <v>4.88</v>
      </c>
      <c r="O452">
        <f t="shared" si="164"/>
        <v>461.3289889448277</v>
      </c>
      <c r="P452">
        <f t="shared" si="165"/>
        <v>1476.2527646234487</v>
      </c>
      <c r="Q452">
        <f t="shared" si="166"/>
        <v>6761.237661975395</v>
      </c>
      <c r="R452">
        <f t="shared" si="167"/>
        <v>6.8923131632222372</v>
      </c>
      <c r="S452">
        <f t="shared" si="168"/>
        <v>9.8601195295836206</v>
      </c>
      <c r="T452">
        <f t="shared" si="169"/>
        <v>4369.7081832854083</v>
      </c>
      <c r="U452">
        <f t="shared" si="170"/>
        <v>10.664457529580353</v>
      </c>
      <c r="V452">
        <f t="shared" si="171"/>
        <v>2.6789391892744119</v>
      </c>
      <c r="W452">
        <f t="shared" si="172"/>
        <v>2819.6427804307868</v>
      </c>
      <c r="X452">
        <f t="shared" si="173"/>
        <v>16.527117428040757</v>
      </c>
      <c r="Y452">
        <f t="shared" si="174"/>
        <v>1.1153689610760384</v>
      </c>
      <c r="Z452">
        <f t="shared" si="175"/>
        <v>2125.8039810577661</v>
      </c>
      <c r="AA452">
        <f t="shared" si="176"/>
        <v>21.92138492191517</v>
      </c>
      <c r="AB452">
        <f t="shared" si="177"/>
        <v>0.85632326117801316</v>
      </c>
      <c r="AC452">
        <f t="shared" si="178"/>
        <v>1092.4270458213521</v>
      </c>
      <c r="AD452">
        <f t="shared" si="179"/>
        <v>42.657830118321414</v>
      </c>
      <c r="AE452">
        <f t="shared" si="180"/>
        <v>0.70097143166214482</v>
      </c>
      <c r="AF452">
        <f t="shared" si="181"/>
        <v>1003.8518799439452</v>
      </c>
      <c r="AG452">
        <f t="shared" si="182"/>
        <v>46.421756305232122</v>
      </c>
      <c r="AH452">
        <f t="shared" si="183"/>
        <v>0.69257020485093701</v>
      </c>
      <c r="AI452" cm="1">
        <f t="array" ref="AI452">_xlfn.LET(
    _xlpm.vals,   _xlfn.HSTACK(S452,V452,Y452,AB452,AE452,AH452),
    _xlpm.ints,   _xlfn.HSTACK(R452,U452,X452,AA452,AD452,AG452),
    _xlpm.slopes, _xlfn.HSTACK(Q452,T452,W452,Z452,AC452,AF452),
    _xlpm.limit,  -0.00001*_xlpm.slopes + 0.1086*_xlpm.slopes + 63.253,
    _xlpm.mask,   (_xlpm.vals&gt;=0) * (_xlpm.ints&lt;=_xlpm.limit),
    _xlpm.validVals, _xlfn._xlws.FILTER(_xlpm.vals, _xlpm.mask),
    _xlpm.minVal, MIN(_xlpm.validVals),
    IFERROR( _xlfn.XMATCH(_xlpm.minVal, _xlpm.vals), "" )
)</f>
        <v>6</v>
      </c>
      <c r="AJ452" cm="1">
        <f t="array" ref="AJ452">_xlfn.LET(
    _xlpm.vals, CHOOSE({1,2,3,4,5,6}, S452, V452, Y452, AB452, AE452, AH452),
    _xlpm.slopes, CHOOSE({1,2,3,4,5,6}, Q452, T452, W452, Z452, AC452, AF452),
    _xlpm.ints, CHOOSE({1,2,3,4,5,6}, R452, U452, X452, AA452, AD452, AG452),
    _xlpm.limit, -0.00001*_xlpm.slopes + 0.1086*_xlpm.slopes + 63.253,
    _xlpm.valid, (_xlpm.vals &gt;= 0) * (_xlpm.ints &lt;= _xlpm.limit),
    _xlpm.target, MIN(_xlfn._xlws.FILTER(_xlpm.vals, _xlpm.valid)),
    IFERROR(
        _xlfn.XLOOKUP(_xlpm.target, _xlpm.vals, _xlpm.vals),
        CHOOSE({1,2,3,4,5,6}, S$1, V$1, Y$1, AB$1, AE$1, AH$1)
    )
)</f>
        <v>0.69257020485093701</v>
      </c>
    </row>
    <row r="453" spans="9:36" x14ac:dyDescent="0.45">
      <c r="I453">
        <v>451</v>
      </c>
      <c r="J453">
        <v>35.4</v>
      </c>
      <c r="K453">
        <f t="shared" si="162"/>
        <v>35.4</v>
      </c>
      <c r="L453">
        <f t="shared" si="161"/>
        <v>9.8333333333333328E-3</v>
      </c>
      <c r="M453">
        <v>5.32</v>
      </c>
      <c r="N453">
        <f t="shared" si="163"/>
        <v>5.32</v>
      </c>
      <c r="O453">
        <f t="shared" si="164"/>
        <v>460.02947066610983</v>
      </c>
      <c r="P453">
        <f t="shared" si="165"/>
        <v>1472.0943061315515</v>
      </c>
      <c r="Q453">
        <f t="shared" si="166"/>
        <v>6742.1919220825066</v>
      </c>
      <c r="R453">
        <f t="shared" si="167"/>
        <v>7.5349765212915134</v>
      </c>
      <c r="S453">
        <f t="shared" si="168"/>
        <v>9.7733192025278655</v>
      </c>
      <c r="T453">
        <f t="shared" si="169"/>
        <v>4357.3991461493924</v>
      </c>
      <c r="U453">
        <f t="shared" si="170"/>
        <v>11.658848806592951</v>
      </c>
      <c r="V453">
        <f t="shared" si="171"/>
        <v>2.674760082080136</v>
      </c>
      <c r="W453">
        <f t="shared" si="172"/>
        <v>2811.7001247112635</v>
      </c>
      <c r="X453">
        <f t="shared" si="173"/>
        <v>18.068163595557664</v>
      </c>
      <c r="Y453">
        <f t="shared" si="174"/>
        <v>1.1364249064428769</v>
      </c>
      <c r="Z453">
        <f t="shared" si="175"/>
        <v>2119.815800829434</v>
      </c>
      <c r="AA453">
        <f t="shared" si="176"/>
        <v>23.965411435774403</v>
      </c>
      <c r="AB453">
        <f t="shared" si="177"/>
        <v>0.88482352333667236</v>
      </c>
      <c r="AC453">
        <f t="shared" si="178"/>
        <v>1089.3497865373481</v>
      </c>
      <c r="AD453">
        <f t="shared" si="179"/>
        <v>46.635395226371806</v>
      </c>
      <c r="AE453">
        <f t="shared" si="180"/>
        <v>0.74014356022413319</v>
      </c>
      <c r="AF453">
        <f t="shared" si="181"/>
        <v>1001.0241281694551</v>
      </c>
      <c r="AG453">
        <f t="shared" si="182"/>
        <v>50.75028304046343</v>
      </c>
      <c r="AH453">
        <f t="shared" si="183"/>
        <v>0.73265700847362536</v>
      </c>
      <c r="AI453" cm="1">
        <f t="array" ref="AI453">_xlfn.LET(
    _xlpm.vals,   _xlfn.HSTACK(S453,V453,Y453,AB453,AE453,AH453),
    _xlpm.ints,   _xlfn.HSTACK(R453,U453,X453,AA453,AD453,AG453),
    _xlpm.slopes, _xlfn.HSTACK(Q453,T453,W453,Z453,AC453,AF453),
    _xlpm.limit,  -0.00001*_xlpm.slopes + 0.1086*_xlpm.slopes + 63.253,
    _xlpm.mask,   (_xlpm.vals&gt;=0) * (_xlpm.ints&lt;=_xlpm.limit),
    _xlpm.validVals, _xlfn._xlws.FILTER(_xlpm.vals, _xlpm.mask),
    _xlpm.minVal, MIN(_xlpm.validVals),
    IFERROR( _xlfn.XMATCH(_xlpm.minVal, _xlpm.vals), "" )
)</f>
        <v>6</v>
      </c>
      <c r="AJ453" cm="1">
        <f t="array" ref="AJ453">_xlfn.LET(
    _xlpm.vals, CHOOSE({1,2,3,4,5,6}, S453, V453, Y453, AB453, AE453, AH453),
    _xlpm.slopes, CHOOSE({1,2,3,4,5,6}, Q453, T453, W453, Z453, AC453, AF453),
    _xlpm.ints, CHOOSE({1,2,3,4,5,6}, R453, U453, X453, AA453, AD453, AG453),
    _xlpm.limit, -0.00001*_xlpm.slopes + 0.1086*_xlpm.slopes + 63.253,
    _xlpm.valid, (_xlpm.vals &gt;= 0) * (_xlpm.ints &lt;= _xlpm.limit),
    _xlpm.target, MIN(_xlfn._xlws.FILTER(_xlpm.vals, _xlpm.valid)),
    IFERROR(
        _xlfn.XLOOKUP(_xlpm.target, _xlpm.vals, _xlpm.vals),
        CHOOSE({1,2,3,4,5,6}, S$1, V$1, Y$1, AB$1, AE$1, AH$1)
    )
)</f>
        <v>0.73265700847362536</v>
      </c>
    </row>
    <row r="454" spans="9:36" x14ac:dyDescent="0.45">
      <c r="I454">
        <v>452</v>
      </c>
      <c r="J454">
        <v>35.299999999999997</v>
      </c>
      <c r="K454">
        <f t="shared" si="162"/>
        <v>35.299999999999997</v>
      </c>
      <c r="L454">
        <f t="shared" si="161"/>
        <v>9.8055555555555552E-3</v>
      </c>
      <c r="M454">
        <v>6.87</v>
      </c>
      <c r="N454">
        <f t="shared" si="163"/>
        <v>6.87</v>
      </c>
      <c r="O454">
        <f t="shared" si="164"/>
        <v>458.72995238739202</v>
      </c>
      <c r="P454">
        <f t="shared" si="165"/>
        <v>1467.9358476396546</v>
      </c>
      <c r="Q454">
        <f t="shared" si="166"/>
        <v>6723.1461821896182</v>
      </c>
      <c r="R454">
        <f t="shared" si="167"/>
        <v>9.7578820636491379</v>
      </c>
      <c r="S454">
        <f t="shared" si="168"/>
        <v>9.6931712770304106</v>
      </c>
      <c r="T454">
        <f t="shared" si="169"/>
        <v>4345.0901090133775</v>
      </c>
      <c r="U454">
        <f t="shared" si="170"/>
        <v>15.098344544430088</v>
      </c>
      <c r="V454">
        <f t="shared" si="171"/>
        <v>2.7122620702707891</v>
      </c>
      <c r="W454">
        <f t="shared" si="172"/>
        <v>2803.7574689917401</v>
      </c>
      <c r="X454">
        <f t="shared" si="173"/>
        <v>23.398481597650814</v>
      </c>
      <c r="Y454">
        <f t="shared" si="174"/>
        <v>1.2241543563779813</v>
      </c>
      <c r="Z454">
        <f t="shared" si="175"/>
        <v>2113.8276206011028</v>
      </c>
      <c r="AA454">
        <f t="shared" si="176"/>
        <v>31.035486007995175</v>
      </c>
      <c r="AB454">
        <f t="shared" si="177"/>
        <v>0.99309144991043807</v>
      </c>
      <c r="AC454">
        <f t="shared" si="178"/>
        <v>1086.2725272533444</v>
      </c>
      <c r="AD454">
        <f t="shared" si="179"/>
        <v>60.393378177720351</v>
      </c>
      <c r="AE454">
        <f t="shared" si="180"/>
        <v>0.8826674533291452</v>
      </c>
      <c r="AF454">
        <f t="shared" si="181"/>
        <v>6000</v>
      </c>
      <c r="AG454">
        <f t="shared" si="182"/>
        <v>10.93394459041321</v>
      </c>
      <c r="AH454">
        <f t="shared" si="183"/>
        <v>6.7850702407503611</v>
      </c>
      <c r="AI454" cm="1">
        <f t="array" ref="AI454">_xlfn.LET(
    _xlpm.vals,   _xlfn.HSTACK(S454,V454,Y454,AB454,AE454,AH454),
    _xlpm.ints,   _xlfn.HSTACK(R454,U454,X454,AA454,AD454,AG454),
    _xlpm.slopes, _xlfn.HSTACK(Q454,T454,W454,Z454,AC454,AF454),
    _xlpm.limit,  -0.00001*_xlpm.slopes + 0.1086*_xlpm.slopes + 63.253,
    _xlpm.mask,   (_xlpm.vals&gt;=0) * (_xlpm.ints&lt;=_xlpm.limit),
    _xlpm.validVals, _xlfn._xlws.FILTER(_xlpm.vals, _xlpm.mask),
    _xlpm.minVal, MIN(_xlpm.validVals),
    IFERROR( _xlfn.XMATCH(_xlpm.minVal, _xlpm.vals), "" )
)</f>
        <v>5</v>
      </c>
      <c r="AJ454" cm="1">
        <f t="array" ref="AJ454">_xlfn.LET(
    _xlpm.vals, CHOOSE({1,2,3,4,5,6}, S454, V454, Y454, AB454, AE454, AH454),
    _xlpm.slopes, CHOOSE({1,2,3,4,5,6}, Q454, T454, W454, Z454, AC454, AF454),
    _xlpm.ints, CHOOSE({1,2,3,4,5,6}, R454, U454, X454, AA454, AD454, AG454),
    _xlpm.limit, -0.00001*_xlpm.slopes + 0.1086*_xlpm.slopes + 63.253,
    _xlpm.valid, (_xlpm.vals &gt;= 0) * (_xlpm.ints &lt;= _xlpm.limit),
    _xlpm.target, MIN(_xlfn._xlws.FILTER(_xlpm.vals, _xlpm.valid)),
    IFERROR(
        _xlfn.XLOOKUP(_xlpm.target, _xlpm.vals, _xlpm.vals),
        CHOOSE({1,2,3,4,5,6}, S$1, V$1, Y$1, AB$1, AE$1, AH$1)
    )
)</f>
        <v>0.8826674533291452</v>
      </c>
    </row>
    <row r="455" spans="9:36" x14ac:dyDescent="0.45">
      <c r="I455">
        <v>453</v>
      </c>
      <c r="J455">
        <v>35.200000000000003</v>
      </c>
      <c r="K455">
        <f t="shared" si="162"/>
        <v>35.200000000000003</v>
      </c>
      <c r="L455">
        <f t="shared" si="161"/>
        <v>9.7777777777777793E-3</v>
      </c>
      <c r="M455">
        <v>7.56</v>
      </c>
      <c r="N455">
        <f t="shared" si="163"/>
        <v>7.56</v>
      </c>
      <c r="O455">
        <f t="shared" si="164"/>
        <v>457.43043410867426</v>
      </c>
      <c r="P455">
        <f t="shared" si="165"/>
        <v>1463.7773891477577</v>
      </c>
      <c r="Q455">
        <f t="shared" si="166"/>
        <v>6704.1004422967308</v>
      </c>
      <c r="R455">
        <f t="shared" si="167"/>
        <v>10.768436840685448</v>
      </c>
      <c r="S455">
        <f t="shared" si="168"/>
        <v>9.6104147869897592</v>
      </c>
      <c r="T455">
        <f t="shared" si="169"/>
        <v>4332.7810718773626</v>
      </c>
      <c r="U455">
        <f t="shared" si="170"/>
        <v>16.661973219709242</v>
      </c>
      <c r="V455">
        <f t="shared" si="171"/>
        <v>2.7194962238792431</v>
      </c>
      <c r="W455">
        <f t="shared" si="172"/>
        <v>2795.8148132722172</v>
      </c>
      <c r="X455">
        <f t="shared" si="173"/>
        <v>25.821696717455165</v>
      </c>
      <c r="Y455">
        <f t="shared" si="174"/>
        <v>1.2627076963135513</v>
      </c>
      <c r="Z455">
        <f t="shared" si="175"/>
        <v>2107.8394403727712</v>
      </c>
      <c r="AA455">
        <f t="shared" si="176"/>
        <v>34.249611618291219</v>
      </c>
      <c r="AB455">
        <f t="shared" si="177"/>
        <v>1.042554735967933</v>
      </c>
      <c r="AC455">
        <f t="shared" si="178"/>
        <v>1083.1952679693406</v>
      </c>
      <c r="AD455">
        <f t="shared" si="179"/>
        <v>66.64789287883697</v>
      </c>
      <c r="AE455">
        <f t="shared" si="180"/>
        <v>0.94691481923399923</v>
      </c>
      <c r="AF455">
        <f t="shared" si="181"/>
        <v>6000</v>
      </c>
      <c r="AG455">
        <f t="shared" si="182"/>
        <v>12.032113697747288</v>
      </c>
      <c r="AH455">
        <f t="shared" si="183"/>
        <v>6.7957156859515973</v>
      </c>
      <c r="AI455" cm="1">
        <f t="array" ref="AI455">_xlfn.LET(
    _xlpm.vals,   _xlfn.HSTACK(S455,V455,Y455,AB455,AE455,AH455),
    _xlpm.ints,   _xlfn.HSTACK(R455,U455,X455,AA455,AD455,AG455),
    _xlpm.slopes, _xlfn.HSTACK(Q455,T455,W455,Z455,AC455,AF455),
    _xlpm.limit,  -0.00001*_xlpm.slopes + 0.1086*_xlpm.slopes + 63.253,
    _xlpm.mask,   (_xlpm.vals&gt;=0) * (_xlpm.ints&lt;=_xlpm.limit),
    _xlpm.validVals, _xlfn._xlws.FILTER(_xlpm.vals, _xlpm.mask),
    _xlpm.minVal, MIN(_xlpm.validVals),
    IFERROR( _xlfn.XMATCH(_xlpm.minVal, _xlpm.vals), "" )
)</f>
        <v>5</v>
      </c>
      <c r="AJ455" cm="1">
        <f t="array" ref="AJ455">_xlfn.LET(
    _xlpm.vals, CHOOSE({1,2,3,4,5,6}, S455, V455, Y455, AB455, AE455, AH455),
    _xlpm.slopes, CHOOSE({1,2,3,4,5,6}, Q455, T455, W455, Z455, AC455, AF455),
    _xlpm.ints, CHOOSE({1,2,3,4,5,6}, R455, U455, X455, AA455, AD455, AG455),
    _xlpm.limit, -0.00001*_xlpm.slopes + 0.1086*_xlpm.slopes + 63.253,
    _xlpm.valid, (_xlpm.vals &gt;= 0) * (_xlpm.ints &lt;= _xlpm.limit),
    _xlpm.target, MIN(_xlfn._xlws.FILTER(_xlpm.vals, _xlpm.valid)),
    IFERROR(
        _xlfn.XLOOKUP(_xlpm.target, _xlpm.vals, _xlpm.vals),
        CHOOSE({1,2,3,4,5,6}, S$1, V$1, Y$1, AB$1, AE$1, AH$1)
    )
)</f>
        <v>0.94691481923399923</v>
      </c>
    </row>
    <row r="456" spans="9:36" x14ac:dyDescent="0.45">
      <c r="I456">
        <v>454</v>
      </c>
      <c r="J456">
        <v>35.1</v>
      </c>
      <c r="K456">
        <f t="shared" si="162"/>
        <v>35.1</v>
      </c>
      <c r="L456">
        <f t="shared" si="161"/>
        <v>9.75E-3</v>
      </c>
      <c r="M456">
        <v>2.94</v>
      </c>
      <c r="N456">
        <f t="shared" si="163"/>
        <v>2.94</v>
      </c>
      <c r="O456">
        <f t="shared" si="164"/>
        <v>456.13091582995645</v>
      </c>
      <c r="P456">
        <f t="shared" si="165"/>
        <v>1459.6189306558608</v>
      </c>
      <c r="Q456">
        <f t="shared" si="166"/>
        <v>6685.0547024038424</v>
      </c>
      <c r="R456">
        <f t="shared" si="167"/>
        <v>4.1996562797481714</v>
      </c>
      <c r="S456">
        <f t="shared" si="168"/>
        <v>9.5016552199490274</v>
      </c>
      <c r="T456">
        <f t="shared" si="169"/>
        <v>4320.4720347413477</v>
      </c>
      <c r="U456">
        <f t="shared" si="170"/>
        <v>6.4981168112319683</v>
      </c>
      <c r="V456">
        <f t="shared" si="171"/>
        <v>2.5334974901883545</v>
      </c>
      <c r="W456">
        <f t="shared" si="172"/>
        <v>2787.8721575526943</v>
      </c>
      <c r="X456">
        <f t="shared" si="173"/>
        <v>10.070379979710273</v>
      </c>
      <c r="Y456">
        <f t="shared" si="174"/>
        <v>0.99220689959754216</v>
      </c>
      <c r="Z456">
        <f t="shared" si="175"/>
        <v>2101.8512601444395</v>
      </c>
      <c r="AA456">
        <f t="shared" si="176"/>
        <v>13.357240111976823</v>
      </c>
      <c r="AB456">
        <f t="shared" si="177"/>
        <v>0.72394370194854962</v>
      </c>
      <c r="AC456">
        <f t="shared" si="178"/>
        <v>1080.1180086853369</v>
      </c>
      <c r="AD456">
        <f t="shared" si="179"/>
        <v>25.992467244927873</v>
      </c>
      <c r="AE456">
        <f t="shared" si="180"/>
        <v>0.53509965258592795</v>
      </c>
      <c r="AF456">
        <f t="shared" si="181"/>
        <v>6000</v>
      </c>
      <c r="AG456">
        <f t="shared" si="182"/>
        <v>4.6791553269017232</v>
      </c>
      <c r="AH456">
        <f t="shared" si="183"/>
        <v>6.7316907581902097</v>
      </c>
      <c r="AI456" cm="1">
        <f t="array" ref="AI456">_xlfn.LET(
    _xlpm.vals,   _xlfn.HSTACK(S456,V456,Y456,AB456,AE456,AH456),
    _xlpm.ints,   _xlfn.HSTACK(R456,U456,X456,AA456,AD456,AG456),
    _xlpm.slopes, _xlfn.HSTACK(Q456,T456,W456,Z456,AC456,AF456),
    _xlpm.limit,  -0.00001*_xlpm.slopes + 0.1086*_xlpm.slopes + 63.253,
    _xlpm.mask,   (_xlpm.vals&gt;=0) * (_xlpm.ints&lt;=_xlpm.limit),
    _xlpm.validVals, _xlfn._xlws.FILTER(_xlpm.vals, _xlpm.mask),
    _xlpm.minVal, MIN(_xlpm.validVals),
    IFERROR( _xlfn.XMATCH(_xlpm.minVal, _xlpm.vals), "" )
)</f>
        <v>5</v>
      </c>
      <c r="AJ456" cm="1">
        <f t="array" ref="AJ456">_xlfn.LET(
    _xlpm.vals, CHOOSE({1,2,3,4,5,6}, S456, V456, Y456, AB456, AE456, AH456),
    _xlpm.slopes, CHOOSE({1,2,3,4,5,6}, Q456, T456, W456, Z456, AC456, AF456),
    _xlpm.ints, CHOOSE({1,2,3,4,5,6}, R456, U456, X456, AA456, AD456, AG456),
    _xlpm.limit, -0.00001*_xlpm.slopes + 0.1086*_xlpm.slopes + 63.253,
    _xlpm.valid, (_xlpm.vals &gt;= 0) * (_xlpm.ints &lt;= _xlpm.limit),
    _xlpm.target, MIN(_xlfn._xlws.FILTER(_xlpm.vals, _xlpm.valid)),
    IFERROR(
        _xlfn.XLOOKUP(_xlpm.target, _xlpm.vals, _xlpm.vals),
        CHOOSE({1,2,3,4,5,6}, S$1, V$1, Y$1, AB$1, AE$1, AH$1)
    )
)</f>
        <v>0.53509965258592795</v>
      </c>
    </row>
    <row r="457" spans="9:36" x14ac:dyDescent="0.45">
      <c r="I457">
        <v>455</v>
      </c>
      <c r="J457">
        <v>35</v>
      </c>
      <c r="K457">
        <f t="shared" si="162"/>
        <v>35</v>
      </c>
      <c r="L457">
        <f t="shared" si="161"/>
        <v>9.7222222222222224E-3</v>
      </c>
      <c r="M457">
        <v>8.66</v>
      </c>
      <c r="N457">
        <f t="shared" si="163"/>
        <v>8.66</v>
      </c>
      <c r="O457">
        <f t="shared" si="164"/>
        <v>454.83139755123858</v>
      </c>
      <c r="P457">
        <f t="shared" si="165"/>
        <v>1455.4604721639635</v>
      </c>
      <c r="Q457">
        <f t="shared" si="166"/>
        <v>6666.0089625109531</v>
      </c>
      <c r="R457">
        <f t="shared" si="167"/>
        <v>12.405760162584379</v>
      </c>
      <c r="S457">
        <f t="shared" si="168"/>
        <v>9.4465510304776483</v>
      </c>
      <c r="T457">
        <f t="shared" si="169"/>
        <v>4308.1629976053318</v>
      </c>
      <c r="U457">
        <f t="shared" si="170"/>
        <v>19.195399170485292</v>
      </c>
      <c r="V457">
        <f t="shared" si="171"/>
        <v>2.7253983921527811</v>
      </c>
      <c r="W457">
        <f t="shared" si="172"/>
        <v>2779.92950183317</v>
      </c>
      <c r="X457">
        <f t="shared" si="173"/>
        <v>29.747843740647369</v>
      </c>
      <c r="Y457">
        <f t="shared" si="174"/>
        <v>1.3249146151684161</v>
      </c>
      <c r="Z457">
        <f t="shared" si="175"/>
        <v>2095.8630799161074</v>
      </c>
      <c r="AA457">
        <f t="shared" si="176"/>
        <v>39.457209405997546</v>
      </c>
      <c r="AB457">
        <f t="shared" si="177"/>
        <v>1.1234405405459935</v>
      </c>
      <c r="AC457">
        <f t="shared" si="178"/>
        <v>1077.040749401333</v>
      </c>
      <c r="AD457">
        <f t="shared" si="179"/>
        <v>76.781596681941167</v>
      </c>
      <c r="AE457">
        <f t="shared" si="180"/>
        <v>1.048726283818497</v>
      </c>
      <c r="AF457">
        <f t="shared" si="181"/>
        <v>6000</v>
      </c>
      <c r="AG457">
        <f t="shared" si="182"/>
        <v>13.782818071758136</v>
      </c>
      <c r="AH457">
        <f t="shared" si="183"/>
        <v>6.8134574785781776</v>
      </c>
      <c r="AI457" cm="1">
        <f t="array" ref="AI457">_xlfn.LET(
    _xlpm.vals,   _xlfn.HSTACK(S457,V457,Y457,AB457,AE457,AH457),
    _xlpm.ints,   _xlfn.HSTACK(R457,U457,X457,AA457,AD457,AG457),
    _xlpm.slopes, _xlfn.HSTACK(Q457,T457,W457,Z457,AC457,AF457),
    _xlpm.limit,  -0.00001*_xlpm.slopes + 0.1086*_xlpm.slopes + 63.253,
    _xlpm.mask,   (_xlpm.vals&gt;=0) * (_xlpm.ints&lt;=_xlpm.limit),
    _xlpm.validVals, _xlfn._xlws.FILTER(_xlpm.vals, _xlpm.mask),
    _xlpm.minVal, MIN(_xlpm.validVals),
    IFERROR( _xlfn.XMATCH(_xlpm.minVal, _xlpm.vals), "" )
)</f>
        <v>5</v>
      </c>
      <c r="AJ457" cm="1">
        <f t="array" ref="AJ457">_xlfn.LET(
    _xlpm.vals, CHOOSE({1,2,3,4,5,6}, S457, V457, Y457, AB457, AE457, AH457),
    _xlpm.slopes, CHOOSE({1,2,3,4,5,6}, Q457, T457, W457, Z457, AC457, AF457),
    _xlpm.ints, CHOOSE({1,2,3,4,5,6}, R457, U457, X457, AA457, AD457, AG457),
    _xlpm.limit, -0.00001*_xlpm.slopes + 0.1086*_xlpm.slopes + 63.253,
    _xlpm.valid, (_xlpm.vals &gt;= 0) * (_xlpm.ints &lt;= _xlpm.limit),
    _xlpm.target, MIN(_xlfn._xlws.FILTER(_xlpm.vals, _xlpm.valid)),
    IFERROR(
        _xlfn.XLOOKUP(_xlpm.target, _xlpm.vals, _xlpm.vals),
        CHOOSE({1,2,3,4,5,6}, S$1, V$1, Y$1, AB$1, AE$1, AH$1)
    )
)</f>
        <v>1.048726283818497</v>
      </c>
    </row>
    <row r="458" spans="9:36" x14ac:dyDescent="0.45">
      <c r="I458">
        <v>456</v>
      </c>
      <c r="J458">
        <v>35</v>
      </c>
      <c r="K458">
        <f t="shared" si="162"/>
        <v>35</v>
      </c>
      <c r="L458">
        <f t="shared" si="161"/>
        <v>9.7222222222222224E-3</v>
      </c>
      <c r="M458">
        <v>8.7899999999999991</v>
      </c>
      <c r="N458">
        <f t="shared" si="163"/>
        <v>8.7899999999999991</v>
      </c>
      <c r="O458">
        <f t="shared" si="164"/>
        <v>454.83139755123858</v>
      </c>
      <c r="P458">
        <f t="shared" si="165"/>
        <v>1455.4604721639635</v>
      </c>
      <c r="Q458">
        <f t="shared" si="166"/>
        <v>6666.0089625109531</v>
      </c>
      <c r="R458">
        <f t="shared" si="167"/>
        <v>12.591989818604699</v>
      </c>
      <c r="S458">
        <f t="shared" si="168"/>
        <v>9.4475360734309444</v>
      </c>
      <c r="T458">
        <f t="shared" si="169"/>
        <v>4308.1629976053318</v>
      </c>
      <c r="U458">
        <f t="shared" si="170"/>
        <v>19.483551813922141</v>
      </c>
      <c r="V458">
        <f t="shared" si="171"/>
        <v>2.7306422603799989</v>
      </c>
      <c r="W458">
        <f t="shared" si="172"/>
        <v>2779.92950183317</v>
      </c>
      <c r="X458">
        <f t="shared" si="173"/>
        <v>30.194404905345309</v>
      </c>
      <c r="Y458">
        <f t="shared" si="174"/>
        <v>1.3332673564546738</v>
      </c>
      <c r="Z458">
        <f t="shared" si="175"/>
        <v>2095.8630799161074</v>
      </c>
      <c r="AA458">
        <f t="shared" si="176"/>
        <v>40.049523173062177</v>
      </c>
      <c r="AB458">
        <f t="shared" si="177"/>
        <v>1.1334364639384009</v>
      </c>
      <c r="AC458">
        <f t="shared" si="178"/>
        <v>1077.040749401333</v>
      </c>
      <c r="AD458">
        <f t="shared" si="179"/>
        <v>77.934207255688563</v>
      </c>
      <c r="AE458">
        <f t="shared" si="180"/>
        <v>1.0606742222646015</v>
      </c>
      <c r="AF458">
        <f t="shared" si="181"/>
        <v>6000</v>
      </c>
      <c r="AG458">
        <f t="shared" si="182"/>
        <v>13.989719497777601</v>
      </c>
      <c r="AH458">
        <f t="shared" si="183"/>
        <v>6.8156164005737967</v>
      </c>
      <c r="AI458" cm="1">
        <f t="array" ref="AI458">_xlfn.LET(
    _xlpm.vals,   _xlfn.HSTACK(S458,V458,Y458,AB458,AE458,AH458),
    _xlpm.ints,   _xlfn.HSTACK(R458,U458,X458,AA458,AD458,AG458),
    _xlpm.slopes, _xlfn.HSTACK(Q458,T458,W458,Z458,AC458,AF458),
    _xlpm.limit,  -0.00001*_xlpm.slopes + 0.1086*_xlpm.slopes + 63.253,
    _xlpm.mask,   (_xlpm.vals&gt;=0) * (_xlpm.ints&lt;=_xlpm.limit),
    _xlpm.validVals, _xlfn._xlws.FILTER(_xlpm.vals, _xlpm.mask),
    _xlpm.minVal, MIN(_xlpm.validVals),
    IFERROR( _xlfn.XMATCH(_xlpm.minVal, _xlpm.vals), "" )
)</f>
        <v>5</v>
      </c>
      <c r="AJ458" cm="1">
        <f t="array" ref="AJ458">_xlfn.LET(
    _xlpm.vals, CHOOSE({1,2,3,4,5,6}, S458, V458, Y458, AB458, AE458, AH458),
    _xlpm.slopes, CHOOSE({1,2,3,4,5,6}, Q458, T458, W458, Z458, AC458, AF458),
    _xlpm.ints, CHOOSE({1,2,3,4,5,6}, R458, U458, X458, AA458, AD458, AG458),
    _xlpm.limit, -0.00001*_xlpm.slopes + 0.1086*_xlpm.slopes + 63.253,
    _xlpm.valid, (_xlpm.vals &gt;= 0) * (_xlpm.ints &lt;= _xlpm.limit),
    _xlpm.target, MIN(_xlfn._xlws.FILTER(_xlpm.vals, _xlpm.valid)),
    IFERROR(
        _xlfn.XLOOKUP(_xlpm.target, _xlpm.vals, _xlpm.vals),
        CHOOSE({1,2,3,4,5,6}, S$1, V$1, Y$1, AB$1, AE$1, AH$1)
    )
)</f>
        <v>1.0606742222646015</v>
      </c>
    </row>
    <row r="459" spans="9:36" x14ac:dyDescent="0.45">
      <c r="I459">
        <v>457</v>
      </c>
      <c r="J459">
        <v>34.9</v>
      </c>
      <c r="K459">
        <f t="shared" si="162"/>
        <v>34.9</v>
      </c>
      <c r="L459">
        <f t="shared" si="161"/>
        <v>9.6944444444444448E-3</v>
      </c>
      <c r="M459">
        <v>2.92</v>
      </c>
      <c r="N459">
        <f t="shared" si="163"/>
        <v>2.92</v>
      </c>
      <c r="O459">
        <f t="shared" si="164"/>
        <v>453.53187927252071</v>
      </c>
      <c r="P459">
        <f t="shared" si="165"/>
        <v>1451.3020136720663</v>
      </c>
      <c r="Q459">
        <f t="shared" si="166"/>
        <v>6646.9632226180638</v>
      </c>
      <c r="R459">
        <f t="shared" si="167"/>
        <v>4.1949902678590885</v>
      </c>
      <c r="S459">
        <f t="shared" si="168"/>
        <v>9.3287102090195102</v>
      </c>
      <c r="T459">
        <f t="shared" si="169"/>
        <v>4295.853960469316</v>
      </c>
      <c r="U459">
        <f t="shared" si="170"/>
        <v>6.4908971036468346</v>
      </c>
      <c r="V459">
        <f t="shared" si="171"/>
        <v>2.4938495895871227</v>
      </c>
      <c r="W459">
        <f t="shared" si="172"/>
        <v>2771.9868461136466</v>
      </c>
      <c r="X459">
        <f t="shared" si="173"/>
        <v>10.059191322929124</v>
      </c>
      <c r="Y459">
        <f t="shared" si="174"/>
        <v>0.98277682940147804</v>
      </c>
      <c r="Z459">
        <f t="shared" si="175"/>
        <v>2089.8748996877753</v>
      </c>
      <c r="AA459">
        <f t="shared" si="176"/>
        <v>13.342399601940715</v>
      </c>
      <c r="AB459">
        <f t="shared" si="177"/>
        <v>0.71942582786831366</v>
      </c>
      <c r="AC459">
        <f t="shared" si="178"/>
        <v>1073.963490117329</v>
      </c>
      <c r="AD459">
        <f t="shared" si="179"/>
        <v>25.963588414587338</v>
      </c>
      <c r="AE459">
        <f t="shared" si="180"/>
        <v>0.53261916265437259</v>
      </c>
      <c r="AF459">
        <f t="shared" si="181"/>
        <v>6000</v>
      </c>
      <c r="AG459">
        <f t="shared" si="182"/>
        <v>4.6473243382833438</v>
      </c>
      <c r="AH459">
        <f t="shared" si="183"/>
        <v>6.731451180049854</v>
      </c>
      <c r="AI459" cm="1">
        <f t="array" ref="AI459">_xlfn.LET(
    _xlpm.vals,   _xlfn.HSTACK(S459,V459,Y459,AB459,AE459,AH459),
    _xlpm.ints,   _xlfn.HSTACK(R459,U459,X459,AA459,AD459,AG459),
    _xlpm.slopes, _xlfn.HSTACK(Q459,T459,W459,Z459,AC459,AF459),
    _xlpm.limit,  -0.00001*_xlpm.slopes + 0.1086*_xlpm.slopes + 63.253,
    _xlpm.mask,   (_xlpm.vals&gt;=0) * (_xlpm.ints&lt;=_xlpm.limit),
    _xlpm.validVals, _xlfn._xlws.FILTER(_xlpm.vals, _xlpm.mask),
    _xlpm.minVal, MIN(_xlpm.validVals),
    IFERROR( _xlfn.XMATCH(_xlpm.minVal, _xlpm.vals), "" )
)</f>
        <v>5</v>
      </c>
      <c r="AJ459" cm="1">
        <f t="array" ref="AJ459">_xlfn.LET(
    _xlpm.vals, CHOOSE({1,2,3,4,5,6}, S459, V459, Y459, AB459, AE459, AH459),
    _xlpm.slopes, CHOOSE({1,2,3,4,5,6}, Q459, T459, W459, Z459, AC459, AF459),
    _xlpm.ints, CHOOSE({1,2,3,4,5,6}, R459, U459, X459, AA459, AD459, AG459),
    _xlpm.limit, -0.00001*_xlpm.slopes + 0.1086*_xlpm.slopes + 63.253,
    _xlpm.valid, (_xlpm.vals &gt;= 0) * (_xlpm.ints &lt;= _xlpm.limit),
    _xlpm.target, MIN(_xlfn._xlws.FILTER(_xlpm.vals, _xlpm.valid)),
    IFERROR(
        _xlfn.XLOOKUP(_xlpm.target, _xlpm.vals, _xlpm.vals),
        CHOOSE({1,2,3,4,5,6}, S$1, V$1, Y$1, AB$1, AE$1, AH$1)
    )
)</f>
        <v>0.53261916265437259</v>
      </c>
    </row>
    <row r="460" spans="9:36" x14ac:dyDescent="0.45">
      <c r="I460">
        <v>458</v>
      </c>
      <c r="J460">
        <v>34.799999999999997</v>
      </c>
      <c r="K460">
        <f t="shared" si="162"/>
        <v>34.799999999999997</v>
      </c>
      <c r="L460">
        <f t="shared" si="161"/>
        <v>9.6666666666666654E-3</v>
      </c>
      <c r="M460">
        <v>3.66</v>
      </c>
      <c r="N460">
        <f t="shared" si="163"/>
        <v>3.66</v>
      </c>
      <c r="O460">
        <f t="shared" si="164"/>
        <v>452.2323609938029</v>
      </c>
      <c r="P460">
        <f t="shared" si="165"/>
        <v>1447.1435551801694</v>
      </c>
      <c r="Q460">
        <f t="shared" si="166"/>
        <v>6627.9174827251763</v>
      </c>
      <c r="R460">
        <f t="shared" si="167"/>
        <v>5.2732137347928747</v>
      </c>
      <c r="S460">
        <f t="shared" si="168"/>
        <v>9.2462663589513046</v>
      </c>
      <c r="T460">
        <f t="shared" si="169"/>
        <v>4283.5449233333011</v>
      </c>
      <c r="U460">
        <f t="shared" si="170"/>
        <v>8.1592293599160044</v>
      </c>
      <c r="V460">
        <f t="shared" si="171"/>
        <v>2.4999450449627103</v>
      </c>
      <c r="W460">
        <f t="shared" si="172"/>
        <v>2764.0441903941237</v>
      </c>
      <c r="X460">
        <f t="shared" si="173"/>
        <v>12.644669583953597</v>
      </c>
      <c r="Y460">
        <f t="shared" si="174"/>
        <v>1.0187118838735811</v>
      </c>
      <c r="Z460">
        <f t="shared" si="175"/>
        <v>2083.8867194594441</v>
      </c>
      <c r="AA460">
        <f t="shared" si="176"/>
        <v>16.77174923982734</v>
      </c>
      <c r="AB460">
        <f t="shared" si="177"/>
        <v>0.76490541213492746</v>
      </c>
      <c r="AC460">
        <f t="shared" si="178"/>
        <v>1070.8862308333253</v>
      </c>
      <c r="AD460">
        <f t="shared" si="179"/>
        <v>32.636917439664018</v>
      </c>
      <c r="AE460">
        <f t="shared" si="180"/>
        <v>0.59286048759430843</v>
      </c>
      <c r="AF460">
        <f t="shared" si="181"/>
        <v>6000</v>
      </c>
      <c r="AG460">
        <f t="shared" si="182"/>
        <v>5.8250709171633694</v>
      </c>
      <c r="AH460">
        <f t="shared" si="183"/>
        <v>6.7405342803653943</v>
      </c>
      <c r="AI460" cm="1">
        <f t="array" ref="AI460">_xlfn.LET(
    _xlpm.vals,   _xlfn.HSTACK(S460,V460,Y460,AB460,AE460,AH460),
    _xlpm.ints,   _xlfn.HSTACK(R460,U460,X460,AA460,AD460,AG460),
    _xlpm.slopes, _xlfn.HSTACK(Q460,T460,W460,Z460,AC460,AF460),
    _xlpm.limit,  -0.00001*_xlpm.slopes + 0.1086*_xlpm.slopes + 63.253,
    _xlpm.mask,   (_xlpm.vals&gt;=0) * (_xlpm.ints&lt;=_xlpm.limit),
    _xlpm.validVals, _xlfn._xlws.FILTER(_xlpm.vals, _xlpm.mask),
    _xlpm.minVal, MIN(_xlpm.validVals),
    IFERROR( _xlfn.XMATCH(_xlpm.minVal, _xlpm.vals), "" )
)</f>
        <v>5</v>
      </c>
      <c r="AJ460" cm="1">
        <f t="array" ref="AJ460">_xlfn.LET(
    _xlpm.vals, CHOOSE({1,2,3,4,5,6}, S460, V460, Y460, AB460, AE460, AH460),
    _xlpm.slopes, CHOOSE({1,2,3,4,5,6}, Q460, T460, W460, Z460, AC460, AF460),
    _xlpm.ints, CHOOSE({1,2,3,4,5,6}, R460, U460, X460, AA460, AD460, AG460),
    _xlpm.limit, -0.00001*_xlpm.slopes + 0.1086*_xlpm.slopes + 63.253,
    _xlpm.valid, (_xlpm.vals &gt;= 0) * (_xlpm.ints &lt;= _xlpm.limit),
    _xlpm.target, MIN(_xlfn._xlws.FILTER(_xlpm.vals, _xlpm.valid)),
    IFERROR(
        _xlfn.XLOOKUP(_xlpm.target, _xlpm.vals, _xlpm.vals),
        CHOOSE({1,2,3,4,5,6}, S$1, V$1, Y$1, AB$1, AE$1, AH$1)
    )
)</f>
        <v>0.59286048759430843</v>
      </c>
    </row>
    <row r="461" spans="9:36" x14ac:dyDescent="0.45">
      <c r="I461">
        <v>459</v>
      </c>
      <c r="J461">
        <v>35</v>
      </c>
      <c r="K461">
        <f t="shared" si="162"/>
        <v>35</v>
      </c>
      <c r="L461">
        <f t="shared" si="161"/>
        <v>9.7222222222222224E-3</v>
      </c>
      <c r="M461">
        <v>13.77</v>
      </c>
      <c r="N461">
        <f t="shared" si="163"/>
        <v>13.77</v>
      </c>
      <c r="O461">
        <f t="shared" si="164"/>
        <v>454.83139755123858</v>
      </c>
      <c r="P461">
        <f t="shared" si="165"/>
        <v>1455.4604721639635</v>
      </c>
      <c r="Q461">
        <f t="shared" si="166"/>
        <v>6666.0089625109531</v>
      </c>
      <c r="R461">
        <f t="shared" si="167"/>
        <v>19.726018179998487</v>
      </c>
      <c r="S461">
        <f t="shared" si="168"/>
        <v>9.4939033818551479</v>
      </c>
      <c r="T461">
        <f t="shared" si="169"/>
        <v>4308.1629976053318</v>
      </c>
      <c r="U461">
        <f t="shared" si="170"/>
        <v>30.522014616349018</v>
      </c>
      <c r="V461">
        <f t="shared" si="171"/>
        <v>2.945136129125399</v>
      </c>
      <c r="W461">
        <f t="shared" si="172"/>
        <v>2779.92950183317</v>
      </c>
      <c r="X461">
        <f t="shared" si="173"/>
        <v>47.301132599158692</v>
      </c>
      <c r="Y461">
        <f t="shared" si="174"/>
        <v>1.6726398295728919</v>
      </c>
      <c r="Z461">
        <f t="shared" si="175"/>
        <v>2095.8630799161074</v>
      </c>
      <c r="AA461">
        <f t="shared" si="176"/>
        <v>62.739696711384092</v>
      </c>
      <c r="AB461">
        <f t="shared" si="177"/>
        <v>1.5367109991482899</v>
      </c>
      <c r="AC461">
        <f t="shared" si="178"/>
        <v>1077.040749401333</v>
      </c>
      <c r="AD461">
        <f t="shared" si="179"/>
        <v>122.08805846539607</v>
      </c>
      <c r="AE461">
        <f t="shared" si="180"/>
        <v>1.4604207926124413</v>
      </c>
      <c r="AF461">
        <f t="shared" si="181"/>
        <v>6000</v>
      </c>
      <c r="AG461">
        <f t="shared" si="182"/>
        <v>21.915635663753989</v>
      </c>
      <c r="AH461">
        <f t="shared" si="183"/>
        <v>6.9079915510485828</v>
      </c>
      <c r="AI461" cm="1">
        <f t="array" ref="AI461">_xlfn.LET(
    _xlpm.vals,   _xlfn.HSTACK(S461,V461,Y461,AB461,AE461,AH461),
    _xlpm.ints,   _xlfn.HSTACK(R461,U461,X461,AA461,AD461,AG461),
    _xlpm.slopes, _xlfn.HSTACK(Q461,T461,W461,Z461,AC461,AF461),
    _xlpm.limit,  -0.00001*_xlpm.slopes + 0.1086*_xlpm.slopes + 63.253,
    _xlpm.mask,   (_xlpm.vals&gt;=0) * (_xlpm.ints&lt;=_xlpm.limit),
    _xlpm.validVals, _xlfn._xlws.FILTER(_xlpm.vals, _xlpm.mask),
    _xlpm.minVal, MIN(_xlpm.validVals),
    IFERROR( _xlfn.XMATCH(_xlpm.minVal, _xlpm.vals), "" )
)</f>
        <v>5</v>
      </c>
      <c r="AJ461" cm="1">
        <f t="array" ref="AJ461">_xlfn.LET(
    _xlpm.vals, CHOOSE({1,2,3,4,5,6}, S461, V461, Y461, AB461, AE461, AH461),
    _xlpm.slopes, CHOOSE({1,2,3,4,5,6}, Q461, T461, W461, Z461, AC461, AF461),
    _xlpm.ints, CHOOSE({1,2,3,4,5,6}, R461, U461, X461, AA461, AD461, AG461),
    _xlpm.limit, -0.00001*_xlpm.slopes + 0.1086*_xlpm.slopes + 63.253,
    _xlpm.valid, (_xlpm.vals &gt;= 0) * (_xlpm.ints &lt;= _xlpm.limit),
    _xlpm.target, MIN(_xlfn._xlws.FILTER(_xlpm.vals, _xlpm.valid)),
    IFERROR(
        _xlfn.XLOOKUP(_xlpm.target, _xlpm.vals, _xlpm.vals),
        CHOOSE({1,2,3,4,5,6}, S$1, V$1, Y$1, AB$1, AE$1, AH$1)
    )
)</f>
        <v>1.4604207926124413</v>
      </c>
    </row>
    <row r="462" spans="9:36" x14ac:dyDescent="0.45">
      <c r="I462">
        <v>460</v>
      </c>
      <c r="J462">
        <v>35.200000000000003</v>
      </c>
      <c r="K462">
        <f t="shared" si="162"/>
        <v>35.200000000000003</v>
      </c>
      <c r="L462">
        <f t="shared" si="161"/>
        <v>9.7777777777777793E-3</v>
      </c>
      <c r="M462">
        <v>9.61</v>
      </c>
      <c r="N462">
        <f t="shared" si="163"/>
        <v>9.61</v>
      </c>
      <c r="O462">
        <f t="shared" si="164"/>
        <v>457.43043410867426</v>
      </c>
      <c r="P462">
        <f t="shared" si="165"/>
        <v>1463.7773891477577</v>
      </c>
      <c r="Q462">
        <f t="shared" si="166"/>
        <v>6704.1004422967308</v>
      </c>
      <c r="R462">
        <f t="shared" si="167"/>
        <v>13.688449476056503</v>
      </c>
      <c r="S462">
        <f t="shared" si="168"/>
        <v>9.6246973420093127</v>
      </c>
      <c r="T462">
        <f t="shared" si="169"/>
        <v>4332.7810718773626</v>
      </c>
      <c r="U462">
        <f t="shared" si="170"/>
        <v>21.180100878492834</v>
      </c>
      <c r="V462">
        <f t="shared" si="171"/>
        <v>2.8011287239511131</v>
      </c>
      <c r="W462">
        <f t="shared" si="172"/>
        <v>2795.8148132722172</v>
      </c>
      <c r="X462">
        <f t="shared" si="173"/>
        <v>32.823611832638115</v>
      </c>
      <c r="Y462">
        <f t="shared" si="174"/>
        <v>1.3933548644602107</v>
      </c>
      <c r="Z462">
        <f t="shared" si="175"/>
        <v>2107.8394403727712</v>
      </c>
      <c r="AA462">
        <f t="shared" si="176"/>
        <v>43.536874028013045</v>
      </c>
      <c r="AB462">
        <f t="shared" si="177"/>
        <v>1.1990702184914157</v>
      </c>
      <c r="AC462">
        <f t="shared" si="178"/>
        <v>1083.1952679693406</v>
      </c>
      <c r="AD462">
        <f t="shared" si="179"/>
        <v>84.720403513971334</v>
      </c>
      <c r="AE462">
        <f t="shared" si="180"/>
        <v>1.1355778441442379</v>
      </c>
      <c r="AF462">
        <f t="shared" si="181"/>
        <v>6000</v>
      </c>
      <c r="AG462">
        <f t="shared" si="182"/>
        <v>15.294790031131143</v>
      </c>
      <c r="AH462">
        <f t="shared" si="183"/>
        <v>6.8295348308215882</v>
      </c>
      <c r="AI462" cm="1">
        <f t="array" ref="AI462">_xlfn.LET(
    _xlpm.vals,   _xlfn.HSTACK(S462,V462,Y462,AB462,AE462,AH462),
    _xlpm.ints,   _xlfn.HSTACK(R462,U462,X462,AA462,AD462,AG462),
    _xlpm.slopes, _xlfn.HSTACK(Q462,T462,W462,Z462,AC462,AF462),
    _xlpm.limit,  -0.00001*_xlpm.slopes + 0.1086*_xlpm.slopes + 63.253,
    _xlpm.mask,   (_xlpm.vals&gt;=0) * (_xlpm.ints&lt;=_xlpm.limit),
    _xlpm.validVals, _xlfn._xlws.FILTER(_xlpm.vals, _xlpm.mask),
    _xlpm.minVal, MIN(_xlpm.validVals),
    IFERROR( _xlfn.XMATCH(_xlpm.minVal, _xlpm.vals), "" )
)</f>
        <v>5</v>
      </c>
      <c r="AJ462" cm="1">
        <f t="array" ref="AJ462">_xlfn.LET(
    _xlpm.vals, CHOOSE({1,2,3,4,5,6}, S462, V462, Y462, AB462, AE462, AH462),
    _xlpm.slopes, CHOOSE({1,2,3,4,5,6}, Q462, T462, W462, Z462, AC462, AF462),
    _xlpm.ints, CHOOSE({1,2,3,4,5,6}, R462, U462, X462, AA462, AD462, AG462),
    _xlpm.limit, -0.00001*_xlpm.slopes + 0.1086*_xlpm.slopes + 63.253,
    _xlpm.valid, (_xlpm.vals &gt;= 0) * (_xlpm.ints &lt;= _xlpm.limit),
    _xlpm.target, MIN(_xlfn._xlws.FILTER(_xlpm.vals, _xlpm.valid)),
    IFERROR(
        _xlfn.XLOOKUP(_xlpm.target, _xlpm.vals, _xlpm.vals),
        CHOOSE({1,2,3,4,5,6}, S$1, V$1, Y$1, AB$1, AE$1, AH$1)
    )
)</f>
        <v>1.1355778441442379</v>
      </c>
    </row>
    <row r="463" spans="9:36" x14ac:dyDescent="0.45">
      <c r="I463">
        <v>461</v>
      </c>
      <c r="J463">
        <v>35.299999999999997</v>
      </c>
      <c r="K463">
        <f t="shared" si="162"/>
        <v>35.299999999999997</v>
      </c>
      <c r="L463">
        <f t="shared" si="161"/>
        <v>9.8055555555555552E-3</v>
      </c>
      <c r="M463">
        <v>8.6300000000000008</v>
      </c>
      <c r="N463">
        <f t="shared" si="163"/>
        <v>8.6300000000000008</v>
      </c>
      <c r="O463">
        <f t="shared" si="164"/>
        <v>458.72995238739202</v>
      </c>
      <c r="P463">
        <f t="shared" si="165"/>
        <v>1467.9358476396546</v>
      </c>
      <c r="Q463">
        <f t="shared" si="166"/>
        <v>6723.1461821896182</v>
      </c>
      <c r="R463">
        <f t="shared" si="167"/>
        <v>12.257717934394769</v>
      </c>
      <c r="S463">
        <f t="shared" si="168"/>
        <v>9.7039754451243905</v>
      </c>
      <c r="T463">
        <f t="shared" si="169"/>
        <v>4345.0901090133775</v>
      </c>
      <c r="U463">
        <f t="shared" si="170"/>
        <v>18.966333830921638</v>
      </c>
      <c r="V463">
        <f t="shared" si="171"/>
        <v>2.7804020338246809</v>
      </c>
      <c r="W463">
        <f t="shared" si="172"/>
        <v>2803.7574689917401</v>
      </c>
      <c r="X463">
        <f t="shared" si="173"/>
        <v>29.392852429072278</v>
      </c>
      <c r="Y463">
        <f t="shared" si="174"/>
        <v>1.3335858572008299</v>
      </c>
      <c r="Z463">
        <f t="shared" si="175"/>
        <v>2113.8276206011028</v>
      </c>
      <c r="AA463">
        <f t="shared" si="176"/>
        <v>38.986352874672249</v>
      </c>
      <c r="AB463">
        <f t="shared" si="177"/>
        <v>1.1242828269753287</v>
      </c>
      <c r="AC463">
        <f t="shared" si="178"/>
        <v>1086.2725272533444</v>
      </c>
      <c r="AD463">
        <f t="shared" si="179"/>
        <v>75.865335323686551</v>
      </c>
      <c r="AE463">
        <f t="shared" si="180"/>
        <v>1.0465223180977847</v>
      </c>
      <c r="AF463">
        <f t="shared" si="181"/>
        <v>6000</v>
      </c>
      <c r="AG463">
        <f t="shared" si="182"/>
        <v>13.735071588830568</v>
      </c>
      <c r="AH463">
        <f t="shared" si="183"/>
        <v>6.8129611247158772</v>
      </c>
      <c r="AI463" cm="1">
        <f t="array" ref="AI463">_xlfn.LET(
    _xlpm.vals,   _xlfn.HSTACK(S463,V463,Y463,AB463,AE463,AH463),
    _xlpm.ints,   _xlfn.HSTACK(R463,U463,X463,AA463,AD463,AG463),
    _xlpm.slopes, _xlfn.HSTACK(Q463,T463,W463,Z463,AC463,AF463),
    _xlpm.limit,  -0.00001*_xlpm.slopes + 0.1086*_xlpm.slopes + 63.253,
    _xlpm.mask,   (_xlpm.vals&gt;=0) * (_xlpm.ints&lt;=_xlpm.limit),
    _xlpm.validVals, _xlfn._xlws.FILTER(_xlpm.vals, _xlpm.mask),
    _xlpm.minVal, MIN(_xlpm.validVals),
    IFERROR( _xlfn.XMATCH(_xlpm.minVal, _xlpm.vals), "" )
)</f>
        <v>5</v>
      </c>
      <c r="AJ463" cm="1">
        <f t="array" ref="AJ463">_xlfn.LET(
    _xlpm.vals, CHOOSE({1,2,3,4,5,6}, S463, V463, Y463, AB463, AE463, AH463),
    _xlpm.slopes, CHOOSE({1,2,3,4,5,6}, Q463, T463, W463, Z463, AC463, AF463),
    _xlpm.ints, CHOOSE({1,2,3,4,5,6}, R463, U463, X463, AA463, AD463, AG463),
    _xlpm.limit, -0.00001*_xlpm.slopes + 0.1086*_xlpm.slopes + 63.253,
    _xlpm.valid, (_xlpm.vals &gt;= 0) * (_xlpm.ints &lt;= _xlpm.limit),
    _xlpm.target, MIN(_xlfn._xlws.FILTER(_xlpm.vals, _xlpm.valid)),
    IFERROR(
        _xlfn.XLOOKUP(_xlpm.target, _xlpm.vals, _xlpm.vals),
        CHOOSE({1,2,3,4,5,6}, S$1, V$1, Y$1, AB$1, AE$1, AH$1)
    )
)</f>
        <v>1.0465223180977847</v>
      </c>
    </row>
    <row r="464" spans="9:36" x14ac:dyDescent="0.45">
      <c r="I464">
        <v>462</v>
      </c>
      <c r="J464">
        <v>35.200000000000003</v>
      </c>
      <c r="K464">
        <f t="shared" si="162"/>
        <v>35.200000000000003</v>
      </c>
      <c r="L464">
        <f t="shared" si="161"/>
        <v>9.7777777777777793E-3</v>
      </c>
      <c r="M464">
        <v>6.01</v>
      </c>
      <c r="N464">
        <f t="shared" si="163"/>
        <v>6.01</v>
      </c>
      <c r="O464">
        <f t="shared" si="164"/>
        <v>457.43043410867426</v>
      </c>
      <c r="P464">
        <f t="shared" si="165"/>
        <v>1463.7773891477577</v>
      </c>
      <c r="Q464">
        <f t="shared" si="166"/>
        <v>6704.1004422967308</v>
      </c>
      <c r="R464">
        <f t="shared" si="167"/>
        <v>8.5606224090634324</v>
      </c>
      <c r="S464">
        <f t="shared" si="168"/>
        <v>9.6015420742704567</v>
      </c>
      <c r="T464">
        <f t="shared" si="169"/>
        <v>4332.7810718773626</v>
      </c>
      <c r="U464">
        <f t="shared" si="170"/>
        <v>13.245827916726528</v>
      </c>
      <c r="V464">
        <f t="shared" si="171"/>
        <v>2.6609096027544865</v>
      </c>
      <c r="W464">
        <f t="shared" si="172"/>
        <v>2795.8148132722172</v>
      </c>
      <c r="X464">
        <f t="shared" si="173"/>
        <v>20.527565776707082</v>
      </c>
      <c r="Y464">
        <f t="shared" si="174"/>
        <v>1.1687874997207703</v>
      </c>
      <c r="Z464">
        <f t="shared" si="175"/>
        <v>2107.8394403727712</v>
      </c>
      <c r="AA464">
        <f t="shared" si="176"/>
        <v>27.227535162160084</v>
      </c>
      <c r="AB464">
        <f t="shared" si="177"/>
        <v>0.93013703336353037</v>
      </c>
      <c r="AC464">
        <f t="shared" si="178"/>
        <v>1083.1952679693406</v>
      </c>
      <c r="AD464">
        <f t="shared" si="179"/>
        <v>52.983311666906111</v>
      </c>
      <c r="AE464">
        <f t="shared" si="180"/>
        <v>0.80268572713267283</v>
      </c>
      <c r="AF464">
        <f t="shared" si="181"/>
        <v>6000</v>
      </c>
      <c r="AG464">
        <f t="shared" si="182"/>
        <v>9.5652120798229099</v>
      </c>
      <c r="AH464">
        <f t="shared" si="183"/>
        <v>6.7723287791835833</v>
      </c>
      <c r="AI464" cm="1">
        <f t="array" ref="AI464">_xlfn.LET(
    _xlpm.vals,   _xlfn.HSTACK(S464,V464,Y464,AB464,AE464,AH464),
    _xlpm.ints,   _xlfn.HSTACK(R464,U464,X464,AA464,AD464,AG464),
    _xlpm.slopes, _xlfn.HSTACK(Q464,T464,W464,Z464,AC464,AF464),
    _xlpm.limit,  -0.00001*_xlpm.slopes + 0.1086*_xlpm.slopes + 63.253,
    _xlpm.mask,   (_xlpm.vals&gt;=0) * (_xlpm.ints&lt;=_xlpm.limit),
    _xlpm.validVals, _xlfn._xlws.FILTER(_xlpm.vals, _xlpm.mask),
    _xlpm.minVal, MIN(_xlpm.validVals),
    IFERROR( _xlfn.XMATCH(_xlpm.minVal, _xlpm.vals), "" )
)</f>
        <v>5</v>
      </c>
      <c r="AJ464" cm="1">
        <f t="array" ref="AJ464">_xlfn.LET(
    _xlpm.vals, CHOOSE({1,2,3,4,5,6}, S464, V464, Y464, AB464, AE464, AH464),
    _xlpm.slopes, CHOOSE({1,2,3,4,5,6}, Q464, T464, W464, Z464, AC464, AF464),
    _xlpm.ints, CHOOSE({1,2,3,4,5,6}, R464, U464, X464, AA464, AD464, AG464),
    _xlpm.limit, -0.00001*_xlpm.slopes + 0.1086*_xlpm.slopes + 63.253,
    _xlpm.valid, (_xlpm.vals &gt;= 0) * (_xlpm.ints &lt;= _xlpm.limit),
    _xlpm.target, MIN(_xlfn._xlws.FILTER(_xlpm.vals, _xlpm.valid)),
    IFERROR(
        _xlfn.XLOOKUP(_xlpm.target, _xlpm.vals, _xlpm.vals),
        CHOOSE({1,2,3,4,5,6}, S$1, V$1, Y$1, AB$1, AE$1, AH$1)
    )
)</f>
        <v>0.80268572713267283</v>
      </c>
    </row>
    <row r="465" spans="9:36" x14ac:dyDescent="0.45">
      <c r="I465">
        <v>463</v>
      </c>
      <c r="J465">
        <v>35.1</v>
      </c>
      <c r="K465">
        <f t="shared" si="162"/>
        <v>35.1</v>
      </c>
      <c r="L465">
        <f t="shared" si="161"/>
        <v>9.75E-3</v>
      </c>
      <c r="M465">
        <v>7.79</v>
      </c>
      <c r="N465">
        <f t="shared" si="163"/>
        <v>7.79</v>
      </c>
      <c r="O465">
        <f t="shared" si="164"/>
        <v>456.13091582995645</v>
      </c>
      <c r="P465">
        <f t="shared" si="165"/>
        <v>1459.6189306558608</v>
      </c>
      <c r="Q465">
        <f t="shared" si="166"/>
        <v>6685.0547024038424</v>
      </c>
      <c r="R465">
        <f t="shared" si="167"/>
        <v>11.127660686815732</v>
      </c>
      <c r="S465">
        <f t="shared" si="168"/>
        <v>9.525776193002951</v>
      </c>
      <c r="T465">
        <f t="shared" si="169"/>
        <v>4320.4720347413477</v>
      </c>
      <c r="U465">
        <f t="shared" si="170"/>
        <v>17.21779930595137</v>
      </c>
      <c r="V465">
        <f t="shared" si="171"/>
        <v>2.7095366722974656</v>
      </c>
      <c r="W465">
        <f t="shared" si="172"/>
        <v>2787.8721575526943</v>
      </c>
      <c r="X465">
        <f t="shared" si="173"/>
        <v>26.683081646919398</v>
      </c>
      <c r="Y465">
        <f t="shared" si="174"/>
        <v>1.2733664325092935</v>
      </c>
      <c r="Z465">
        <f t="shared" si="175"/>
        <v>2101.8512601444395</v>
      </c>
      <c r="AA465">
        <f t="shared" si="176"/>
        <v>35.392143017788925</v>
      </c>
      <c r="AB465">
        <f t="shared" si="177"/>
        <v>1.0585479375211073</v>
      </c>
      <c r="AC465">
        <f t="shared" si="178"/>
        <v>1080.1180086853369</v>
      </c>
      <c r="AD465">
        <f t="shared" si="179"/>
        <v>68.871197223805481</v>
      </c>
      <c r="AE465">
        <f t="shared" si="180"/>
        <v>0.96821339221611846</v>
      </c>
      <c r="AF465">
        <f t="shared" si="181"/>
        <v>6000</v>
      </c>
      <c r="AG465">
        <f t="shared" si="182"/>
        <v>12.398170066858647</v>
      </c>
      <c r="AH465">
        <f t="shared" si="183"/>
        <v>6.7993472596193545</v>
      </c>
      <c r="AI465" cm="1">
        <f t="array" ref="AI465">_xlfn.LET(
    _xlpm.vals,   _xlfn.HSTACK(S465,V465,Y465,AB465,AE465,AH465),
    _xlpm.ints,   _xlfn.HSTACK(R465,U465,X465,AA465,AD465,AG465),
    _xlpm.slopes, _xlfn.HSTACK(Q465,T465,W465,Z465,AC465,AF465),
    _xlpm.limit,  -0.00001*_xlpm.slopes + 0.1086*_xlpm.slopes + 63.253,
    _xlpm.mask,   (_xlpm.vals&gt;=0) * (_xlpm.ints&lt;=_xlpm.limit),
    _xlpm.validVals, _xlfn._xlws.FILTER(_xlpm.vals, _xlpm.mask),
    _xlpm.minVal, MIN(_xlpm.validVals),
    IFERROR( _xlfn.XMATCH(_xlpm.minVal, _xlpm.vals), "" )
)</f>
        <v>5</v>
      </c>
      <c r="AJ465" cm="1">
        <f t="array" ref="AJ465">_xlfn.LET(
    _xlpm.vals, CHOOSE({1,2,3,4,5,6}, S465, V465, Y465, AB465, AE465, AH465),
    _xlpm.slopes, CHOOSE({1,2,3,4,5,6}, Q465, T465, W465, Z465, AC465, AF465),
    _xlpm.ints, CHOOSE({1,2,3,4,5,6}, R465, U465, X465, AA465, AD465, AG465),
    _xlpm.limit, -0.00001*_xlpm.slopes + 0.1086*_xlpm.slopes + 63.253,
    _xlpm.valid, (_xlpm.vals &gt;= 0) * (_xlpm.ints &lt;= _xlpm.limit),
    _xlpm.target, MIN(_xlfn._xlws.FILTER(_xlpm.vals, _xlpm.valid)),
    IFERROR(
        _xlfn.XLOOKUP(_xlpm.target, _xlpm.vals, _xlpm.vals),
        CHOOSE({1,2,3,4,5,6}, S$1, V$1, Y$1, AB$1, AE$1, AH$1)
    )
)</f>
        <v>0.96821339221611846</v>
      </c>
    </row>
    <row r="466" spans="9:36" x14ac:dyDescent="0.45">
      <c r="I466">
        <v>464</v>
      </c>
      <c r="J466">
        <v>35</v>
      </c>
      <c r="K466">
        <f t="shared" si="162"/>
        <v>35</v>
      </c>
      <c r="L466">
        <f t="shared" si="161"/>
        <v>9.7222222222222224E-3</v>
      </c>
      <c r="M466">
        <v>1.9</v>
      </c>
      <c r="N466">
        <f t="shared" si="163"/>
        <v>1.9</v>
      </c>
      <c r="O466">
        <f t="shared" si="164"/>
        <v>454.83139755123858</v>
      </c>
      <c r="P466">
        <f t="shared" si="165"/>
        <v>1455.4604721639635</v>
      </c>
      <c r="Q466">
        <f t="shared" si="166"/>
        <v>6666.0089625109531</v>
      </c>
      <c r="R466">
        <f t="shared" si="167"/>
        <v>2.7218180495277506</v>
      </c>
      <c r="S466">
        <f t="shared" si="168"/>
        <v>9.4116940251543788</v>
      </c>
      <c r="T466">
        <f t="shared" si="169"/>
        <v>4308.1629976053318</v>
      </c>
      <c r="U466">
        <f t="shared" si="170"/>
        <v>4.2114617117692905</v>
      </c>
      <c r="V466">
        <f t="shared" si="171"/>
        <v>2.4797273463220226</v>
      </c>
      <c r="W466">
        <f t="shared" si="172"/>
        <v>2779.92950183317</v>
      </c>
      <c r="X466">
        <f t="shared" si="173"/>
        <v>6.5266631763545035</v>
      </c>
      <c r="Y466">
        <f t="shared" si="174"/>
        <v>0.93386963559612135</v>
      </c>
      <c r="Z466">
        <f t="shared" si="175"/>
        <v>2095.8630799161074</v>
      </c>
      <c r="AA466">
        <f t="shared" si="176"/>
        <v>8.6568935186368758</v>
      </c>
      <c r="AB466">
        <f t="shared" si="177"/>
        <v>0.65909187352909171</v>
      </c>
      <c r="AC466">
        <f t="shared" si="178"/>
        <v>1077.040749401333</v>
      </c>
      <c r="AD466">
        <f t="shared" si="179"/>
        <v>16.845846847077162</v>
      </c>
      <c r="AE466">
        <f t="shared" si="180"/>
        <v>0.45537723544593572</v>
      </c>
      <c r="AF466">
        <f t="shared" si="181"/>
        <v>6000</v>
      </c>
      <c r="AG466">
        <f t="shared" si="182"/>
        <v>3.0239439187460118</v>
      </c>
      <c r="AH466">
        <f t="shared" si="183"/>
        <v>6.7196707604315353</v>
      </c>
      <c r="AI466" cm="1">
        <f t="array" ref="AI466">_xlfn.LET(
    _xlpm.vals,   _xlfn.HSTACK(S466,V466,Y466,AB466,AE466,AH466),
    _xlpm.ints,   _xlfn.HSTACK(R466,U466,X466,AA466,AD466,AG466),
    _xlpm.slopes, _xlfn.HSTACK(Q466,T466,W466,Z466,AC466,AF466),
    _xlpm.limit,  -0.00001*_xlpm.slopes + 0.1086*_xlpm.slopes + 63.253,
    _xlpm.mask,   (_xlpm.vals&gt;=0) * (_xlpm.ints&lt;=_xlpm.limit),
    _xlpm.validVals, _xlfn._xlws.FILTER(_xlpm.vals, _xlpm.mask),
    _xlpm.minVal, MIN(_xlpm.validVals),
    IFERROR( _xlfn.XMATCH(_xlpm.minVal, _xlpm.vals), "" )
)</f>
        <v>5</v>
      </c>
      <c r="AJ466" cm="1">
        <f t="array" ref="AJ466">_xlfn.LET(
    _xlpm.vals, CHOOSE({1,2,3,4,5,6}, S466, V466, Y466, AB466, AE466, AH466),
    _xlpm.slopes, CHOOSE({1,2,3,4,5,6}, Q466, T466, W466, Z466, AC466, AF466),
    _xlpm.ints, CHOOSE({1,2,3,4,5,6}, R466, U466, X466, AA466, AD466, AG466),
    _xlpm.limit, -0.00001*_xlpm.slopes + 0.1086*_xlpm.slopes + 63.253,
    _xlpm.valid, (_xlpm.vals &gt;= 0) * (_xlpm.ints &lt;= _xlpm.limit),
    _xlpm.target, MIN(_xlfn._xlws.FILTER(_xlpm.vals, _xlpm.valid)),
    IFERROR(
        _xlfn.XLOOKUP(_xlpm.target, _xlpm.vals, _xlpm.vals),
        CHOOSE({1,2,3,4,5,6}, S$1, V$1, Y$1, AB$1, AE$1, AH$1)
    )
)</f>
        <v>0.45537723544593572</v>
      </c>
    </row>
    <row r="467" spans="9:36" x14ac:dyDescent="0.45">
      <c r="I467">
        <v>465</v>
      </c>
      <c r="J467">
        <v>35</v>
      </c>
      <c r="K467">
        <f t="shared" si="162"/>
        <v>35</v>
      </c>
      <c r="L467">
        <f t="shared" si="161"/>
        <v>9.7222222222222224E-3</v>
      </c>
      <c r="M467">
        <v>9.24</v>
      </c>
      <c r="N467">
        <f t="shared" si="163"/>
        <v>9.24</v>
      </c>
      <c r="O467">
        <f t="shared" si="164"/>
        <v>454.83139755123858</v>
      </c>
      <c r="P467">
        <f t="shared" si="165"/>
        <v>1455.4604721639635</v>
      </c>
      <c r="Q467">
        <f t="shared" si="166"/>
        <v>6666.0089625109531</v>
      </c>
      <c r="R467">
        <f t="shared" si="167"/>
        <v>13.236630935598114</v>
      </c>
      <c r="S467">
        <f t="shared" si="168"/>
        <v>9.451035584615294</v>
      </c>
      <c r="T467">
        <f t="shared" si="169"/>
        <v>4308.1629976053318</v>
      </c>
      <c r="U467">
        <f t="shared" si="170"/>
        <v>20.48100327197276</v>
      </c>
      <c r="V467">
        <f t="shared" si="171"/>
        <v>2.7489382126504585</v>
      </c>
      <c r="W467">
        <f t="shared" si="172"/>
        <v>2779.92950183317</v>
      </c>
      <c r="X467">
        <f t="shared" si="173"/>
        <v>31.740193552376638</v>
      </c>
      <c r="Y467">
        <f t="shared" si="174"/>
        <v>1.362396312485163</v>
      </c>
      <c r="Z467">
        <f t="shared" si="175"/>
        <v>2095.8630799161074</v>
      </c>
      <c r="AA467">
        <f t="shared" si="176"/>
        <v>42.099840059055119</v>
      </c>
      <c r="AB467">
        <f t="shared" si="177"/>
        <v>1.1682853842093328</v>
      </c>
      <c r="AC467">
        <f t="shared" si="178"/>
        <v>1077.040749401333</v>
      </c>
      <c r="AD467">
        <f t="shared" si="179"/>
        <v>81.924013087891041</v>
      </c>
      <c r="AE467">
        <f t="shared" si="180"/>
        <v>1.1017246946312429</v>
      </c>
      <c r="AF467">
        <f t="shared" si="181"/>
        <v>6000</v>
      </c>
      <c r="AG467">
        <f t="shared" si="182"/>
        <v>14.70591674169113</v>
      </c>
      <c r="AH467">
        <f t="shared" si="183"/>
        <v>6.8231904468853024</v>
      </c>
      <c r="AI467" cm="1">
        <f t="array" ref="AI467">_xlfn.LET(
    _xlpm.vals,   _xlfn.HSTACK(S467,V467,Y467,AB467,AE467,AH467),
    _xlpm.ints,   _xlfn.HSTACK(R467,U467,X467,AA467,AD467,AG467),
    _xlpm.slopes, _xlfn.HSTACK(Q467,T467,W467,Z467,AC467,AF467),
    _xlpm.limit,  -0.00001*_xlpm.slopes + 0.1086*_xlpm.slopes + 63.253,
    _xlpm.mask,   (_xlpm.vals&gt;=0) * (_xlpm.ints&lt;=_xlpm.limit),
    _xlpm.validVals, _xlfn._xlws.FILTER(_xlpm.vals, _xlpm.mask),
    _xlpm.minVal, MIN(_xlpm.validVals),
    IFERROR( _xlfn.XMATCH(_xlpm.minVal, _xlpm.vals), "" )
)</f>
        <v>5</v>
      </c>
      <c r="AJ467" cm="1">
        <f t="array" ref="AJ467">_xlfn.LET(
    _xlpm.vals, CHOOSE({1,2,3,4,5,6}, S467, V467, Y467, AB467, AE467, AH467),
    _xlpm.slopes, CHOOSE({1,2,3,4,5,6}, Q467, T467, W467, Z467, AC467, AF467),
    _xlpm.ints, CHOOSE({1,2,3,4,5,6}, R467, U467, X467, AA467, AD467, AG467),
    _xlpm.limit, -0.00001*_xlpm.slopes + 0.1086*_xlpm.slopes + 63.253,
    _xlpm.valid, (_xlpm.vals &gt;= 0) * (_xlpm.ints &lt;= _xlpm.limit),
    _xlpm.target, MIN(_xlfn._xlws.FILTER(_xlpm.vals, _xlpm.valid)),
    IFERROR(
        _xlfn.XLOOKUP(_xlpm.target, _xlpm.vals, _xlpm.vals),
        CHOOSE({1,2,3,4,5,6}, S$1, V$1, Y$1, AB$1, AE$1, AH$1)
    )
)</f>
        <v>1.1017246946312429</v>
      </c>
    </row>
    <row r="468" spans="9:36" x14ac:dyDescent="0.45">
      <c r="I468">
        <v>466</v>
      </c>
      <c r="J468">
        <v>34.799999999999997</v>
      </c>
      <c r="K468">
        <f t="shared" si="162"/>
        <v>34.799999999999997</v>
      </c>
      <c r="L468">
        <f t="shared" si="161"/>
        <v>9.6666666666666654E-3</v>
      </c>
      <c r="M468">
        <v>1.28</v>
      </c>
      <c r="N468">
        <f t="shared" si="163"/>
        <v>1.28</v>
      </c>
      <c r="O468">
        <f t="shared" si="164"/>
        <v>452.2323609938029</v>
      </c>
      <c r="P468">
        <f t="shared" si="165"/>
        <v>1447.1435551801694</v>
      </c>
      <c r="Q468">
        <f t="shared" si="166"/>
        <v>6627.9174827251763</v>
      </c>
      <c r="R468">
        <f t="shared" si="167"/>
        <v>1.8441840383975081</v>
      </c>
      <c r="S468">
        <f t="shared" si="168"/>
        <v>9.2376237229220823</v>
      </c>
      <c r="T468">
        <f t="shared" si="169"/>
        <v>4283.5449233333011</v>
      </c>
      <c r="U468">
        <f t="shared" si="170"/>
        <v>2.8535009783312799</v>
      </c>
      <c r="V468">
        <f t="shared" si="171"/>
        <v>2.4207724336267251</v>
      </c>
      <c r="W468">
        <f t="shared" si="172"/>
        <v>2764.0441903941237</v>
      </c>
      <c r="X468">
        <f t="shared" si="173"/>
        <v>4.4221795266285806</v>
      </c>
      <c r="Y468">
        <f t="shared" si="174"/>
        <v>0.89411397934681136</v>
      </c>
      <c r="Z468">
        <f t="shared" si="175"/>
        <v>2083.8867194594441</v>
      </c>
      <c r="AA468">
        <f t="shared" si="176"/>
        <v>5.8655297887920748</v>
      </c>
      <c r="AB468">
        <f t="shared" si="177"/>
        <v>0.61958444815303382</v>
      </c>
      <c r="AC468">
        <f t="shared" si="178"/>
        <v>1070.8862308333253</v>
      </c>
      <c r="AD468">
        <f t="shared" si="179"/>
        <v>11.41400391332512</v>
      </c>
      <c r="AE468">
        <f t="shared" si="180"/>
        <v>0.41096610606474177</v>
      </c>
      <c r="AF468">
        <f t="shared" si="181"/>
        <v>6000</v>
      </c>
      <c r="AG468">
        <f t="shared" si="182"/>
        <v>2.0371832715762603</v>
      </c>
      <c r="AH468">
        <f t="shared" si="183"/>
        <v>6.7129323751246464</v>
      </c>
      <c r="AI468" cm="1">
        <f t="array" ref="AI468">_xlfn.LET(
    _xlpm.vals,   _xlfn.HSTACK(S468,V468,Y468,AB468,AE468,AH468),
    _xlpm.ints,   _xlfn.HSTACK(R468,U468,X468,AA468,AD468,AG468),
    _xlpm.slopes, _xlfn.HSTACK(Q468,T468,W468,Z468,AC468,AF468),
    _xlpm.limit,  -0.00001*_xlpm.slopes + 0.1086*_xlpm.slopes + 63.253,
    _xlpm.mask,   (_xlpm.vals&gt;=0) * (_xlpm.ints&lt;=_xlpm.limit),
    _xlpm.validVals, _xlfn._xlws.FILTER(_xlpm.vals, _xlpm.mask),
    _xlpm.minVal, MIN(_xlpm.validVals),
    IFERROR( _xlfn.XMATCH(_xlpm.minVal, _xlpm.vals), "" )
)</f>
        <v>5</v>
      </c>
      <c r="AJ468" cm="1">
        <f t="array" ref="AJ468">_xlfn.LET(
    _xlpm.vals, CHOOSE({1,2,3,4,5,6}, S468, V468, Y468, AB468, AE468, AH468),
    _xlpm.slopes, CHOOSE({1,2,3,4,5,6}, Q468, T468, W468, Z468, AC468, AF468),
    _xlpm.ints, CHOOSE({1,2,3,4,5,6}, R468, U468, X468, AA468, AD468, AG468),
    _xlpm.limit, -0.00001*_xlpm.slopes + 0.1086*_xlpm.slopes + 63.253,
    _xlpm.valid, (_xlpm.vals &gt;= 0) * (_xlpm.ints &lt;= _xlpm.limit),
    _xlpm.target, MIN(_xlfn._xlws.FILTER(_xlpm.vals, _xlpm.valid)),
    IFERROR(
        _xlfn.XLOOKUP(_xlpm.target, _xlpm.vals, _xlpm.vals),
        CHOOSE({1,2,3,4,5,6}, S$1, V$1, Y$1, AB$1, AE$1, AH$1)
    )
)</f>
        <v>0.41096610606474177</v>
      </c>
    </row>
    <row r="469" spans="9:36" x14ac:dyDescent="0.45">
      <c r="I469">
        <v>467</v>
      </c>
      <c r="J469">
        <v>34.700000000000003</v>
      </c>
      <c r="K469">
        <f t="shared" si="162"/>
        <v>34.700000000000003</v>
      </c>
      <c r="L469">
        <f t="shared" si="161"/>
        <v>9.6388888888888895E-3</v>
      </c>
      <c r="M469">
        <v>4.2699999999999996</v>
      </c>
      <c r="N469">
        <f t="shared" si="163"/>
        <v>4.2699999999999996</v>
      </c>
      <c r="O469">
        <f t="shared" si="164"/>
        <v>450.93284271508514</v>
      </c>
      <c r="P469">
        <f t="shared" si="165"/>
        <v>1442.9850966882725</v>
      </c>
      <c r="Q469">
        <f t="shared" si="166"/>
        <v>6608.871742832288</v>
      </c>
      <c r="R469">
        <f t="shared" si="167"/>
        <v>6.1698120355213462</v>
      </c>
      <c r="S469">
        <f t="shared" si="168"/>
        <v>9.1644756386514441</v>
      </c>
      <c r="T469">
        <f t="shared" si="169"/>
        <v>4271.2358861972862</v>
      </c>
      <c r="U469">
        <f t="shared" si="170"/>
        <v>9.546533487394516</v>
      </c>
      <c r="V469">
        <f t="shared" si="171"/>
        <v>2.5024426714906487</v>
      </c>
      <c r="W469">
        <f t="shared" si="172"/>
        <v>2756.1015346746003</v>
      </c>
      <c r="X469">
        <f t="shared" si="173"/>
        <v>14.794627812925532</v>
      </c>
      <c r="Y469">
        <f t="shared" si="174"/>
        <v>1.0486537809825187</v>
      </c>
      <c r="Z469">
        <f t="shared" si="175"/>
        <v>2077.8985392311124</v>
      </c>
      <c r="AA469">
        <f t="shared" si="176"/>
        <v>19.623429946310949</v>
      </c>
      <c r="AB469">
        <f t="shared" si="177"/>
        <v>0.80346149349915574</v>
      </c>
      <c r="AC469">
        <f t="shared" si="178"/>
        <v>1067.8089715493215</v>
      </c>
      <c r="AD469">
        <f t="shared" si="179"/>
        <v>38.186133949578064</v>
      </c>
      <c r="AE469">
        <f t="shared" si="180"/>
        <v>0.64474078203044793</v>
      </c>
      <c r="AF469">
        <f t="shared" si="181"/>
        <v>6000</v>
      </c>
      <c r="AG469">
        <f t="shared" si="182"/>
        <v>6.7959160700239316</v>
      </c>
      <c r="AH469">
        <f t="shared" si="183"/>
        <v>6.7483582038810441</v>
      </c>
      <c r="AI469" cm="1">
        <f t="array" ref="AI469">_xlfn.LET(
    _xlpm.vals,   _xlfn.HSTACK(S469,V469,Y469,AB469,AE469,AH469),
    _xlpm.ints,   _xlfn.HSTACK(R469,U469,X469,AA469,AD469,AG469),
    _xlpm.slopes, _xlfn.HSTACK(Q469,T469,W469,Z469,AC469,AF469),
    _xlpm.limit,  -0.00001*_xlpm.slopes + 0.1086*_xlpm.slopes + 63.253,
    _xlpm.mask,   (_xlpm.vals&gt;=0) * (_xlpm.ints&lt;=_xlpm.limit),
    _xlpm.validVals, _xlfn._xlws.FILTER(_xlpm.vals, _xlpm.mask),
    _xlpm.minVal, MIN(_xlpm.validVals),
    IFERROR( _xlfn.XMATCH(_xlpm.minVal, _xlpm.vals), "" )
)</f>
        <v>5</v>
      </c>
      <c r="AJ469" cm="1">
        <f t="array" ref="AJ469">_xlfn.LET(
    _xlpm.vals, CHOOSE({1,2,3,4,5,6}, S469, V469, Y469, AB469, AE469, AH469),
    _xlpm.slopes, CHOOSE({1,2,3,4,5,6}, Q469, T469, W469, Z469, AC469, AF469),
    _xlpm.ints, CHOOSE({1,2,3,4,5,6}, R469, U469, X469, AA469, AD469, AG469),
    _xlpm.limit, -0.00001*_xlpm.slopes + 0.1086*_xlpm.slopes + 63.253,
    _xlpm.valid, (_xlpm.vals &gt;= 0) * (_xlpm.ints &lt;= _xlpm.limit),
    _xlpm.target, MIN(_xlfn._xlws.FILTER(_xlpm.vals, _xlpm.valid)),
    IFERROR(
        _xlfn.XLOOKUP(_xlpm.target, _xlpm.vals, _xlpm.vals),
        CHOOSE({1,2,3,4,5,6}, S$1, V$1, Y$1, AB$1, AE$1, AH$1)
    )
)</f>
        <v>0.64474078203044793</v>
      </c>
    </row>
    <row r="470" spans="9:36" x14ac:dyDescent="0.45">
      <c r="I470">
        <v>468</v>
      </c>
      <c r="J470">
        <v>34.6</v>
      </c>
      <c r="K470">
        <f t="shared" si="162"/>
        <v>34.6</v>
      </c>
      <c r="L470">
        <f t="shared" si="161"/>
        <v>9.6111111111111119E-3</v>
      </c>
      <c r="M470">
        <v>4.2699999999999996</v>
      </c>
      <c r="N470">
        <f t="shared" si="163"/>
        <v>4.2699999999999996</v>
      </c>
      <c r="O470">
        <f t="shared" si="164"/>
        <v>449.63332443636733</v>
      </c>
      <c r="P470">
        <f t="shared" si="165"/>
        <v>1438.8266381963756</v>
      </c>
      <c r="Q470">
        <f t="shared" si="166"/>
        <v>6589.8260029394005</v>
      </c>
      <c r="R470">
        <f t="shared" si="167"/>
        <v>6.1876438622136041</v>
      </c>
      <c r="S470">
        <f t="shared" si="168"/>
        <v>9.080377673699962</v>
      </c>
      <c r="T470">
        <f t="shared" si="169"/>
        <v>4258.9268490612722</v>
      </c>
      <c r="U470">
        <f t="shared" si="170"/>
        <v>9.5741246246413194</v>
      </c>
      <c r="V470">
        <f t="shared" si="171"/>
        <v>2.4836489961973087</v>
      </c>
      <c r="W470">
        <f t="shared" si="172"/>
        <v>2748.1588789550774</v>
      </c>
      <c r="X470">
        <f t="shared" si="173"/>
        <v>14.837386852847281</v>
      </c>
      <c r="Y470">
        <f t="shared" si="174"/>
        <v>1.0447198786179701</v>
      </c>
      <c r="Z470">
        <f t="shared" si="175"/>
        <v>2071.9103590027808</v>
      </c>
      <c r="AA470">
        <f t="shared" si="176"/>
        <v>19.680145061762712</v>
      </c>
      <c r="AB470">
        <f t="shared" si="177"/>
        <v>0.80198232400303926</v>
      </c>
      <c r="AC470">
        <f t="shared" si="178"/>
        <v>1064.731712265318</v>
      </c>
      <c r="AD470">
        <f t="shared" si="179"/>
        <v>38.296498498565278</v>
      </c>
      <c r="AE470">
        <f t="shared" si="180"/>
        <v>0.64440152815192575</v>
      </c>
      <c r="AF470">
        <f t="shared" si="181"/>
        <v>6000</v>
      </c>
      <c r="AG470">
        <f t="shared" si="182"/>
        <v>6.7959160700239316</v>
      </c>
      <c r="AH470">
        <f t="shared" si="183"/>
        <v>6.7483582038810441</v>
      </c>
      <c r="AI470" cm="1">
        <f t="array" ref="AI470">_xlfn.LET(
    _xlpm.vals,   _xlfn.HSTACK(S470,V470,Y470,AB470,AE470,AH470),
    _xlpm.ints,   _xlfn.HSTACK(R470,U470,X470,AA470,AD470,AG470),
    _xlpm.slopes, _xlfn.HSTACK(Q470,T470,W470,Z470,AC470,AF470),
    _xlpm.limit,  -0.00001*_xlpm.slopes + 0.1086*_xlpm.slopes + 63.253,
    _xlpm.mask,   (_xlpm.vals&gt;=0) * (_xlpm.ints&lt;=_xlpm.limit),
    _xlpm.validVals, _xlfn._xlws.FILTER(_xlpm.vals, _xlpm.mask),
    _xlpm.minVal, MIN(_xlpm.validVals),
    IFERROR( _xlfn.XMATCH(_xlpm.minVal, _xlpm.vals), "" )
)</f>
        <v>5</v>
      </c>
      <c r="AJ470" cm="1">
        <f t="array" ref="AJ470">_xlfn.LET(
    _xlpm.vals, CHOOSE({1,2,3,4,5,6}, S470, V470, Y470, AB470, AE470, AH470),
    _xlpm.slopes, CHOOSE({1,2,3,4,5,6}, Q470, T470, W470, Z470, AC470, AF470),
    _xlpm.ints, CHOOSE({1,2,3,4,5,6}, R470, U470, X470, AA470, AD470, AG470),
    _xlpm.limit, -0.00001*_xlpm.slopes + 0.1086*_xlpm.slopes + 63.253,
    _xlpm.valid, (_xlpm.vals &gt;= 0) * (_xlpm.ints &lt;= _xlpm.limit),
    _xlpm.target, MIN(_xlfn._xlws.FILTER(_xlpm.vals, _xlpm.valid)),
    IFERROR(
        _xlfn.XLOOKUP(_xlpm.target, _xlpm.vals, _xlpm.vals),
        CHOOSE({1,2,3,4,5,6}, S$1, V$1, Y$1, AB$1, AE$1, AH$1)
    )
)</f>
        <v>0.64440152815192575</v>
      </c>
    </row>
    <row r="471" spans="9:36" x14ac:dyDescent="0.45">
      <c r="I471">
        <v>469</v>
      </c>
      <c r="J471">
        <v>33.4</v>
      </c>
      <c r="K471">
        <f t="shared" si="162"/>
        <v>33.4</v>
      </c>
      <c r="L471">
        <f t="shared" si="161"/>
        <v>9.2777777777777772E-3</v>
      </c>
      <c r="M471">
        <v>-2.67</v>
      </c>
      <c r="N471">
        <f t="shared" si="163"/>
        <v>0</v>
      </c>
      <c r="O471">
        <f t="shared" si="164"/>
        <v>434.03910509175336</v>
      </c>
      <c r="P471">
        <f t="shared" si="165"/>
        <v>1388.9251362936109</v>
      </c>
      <c r="Q471">
        <f t="shared" si="166"/>
        <v>6361.2771242247381</v>
      </c>
      <c r="R471">
        <f t="shared" si="167"/>
        <v>0</v>
      </c>
      <c r="S471">
        <f t="shared" si="168"/>
        <v>8.0862677761252648</v>
      </c>
      <c r="T471">
        <f t="shared" si="169"/>
        <v>4111.2184034290885</v>
      </c>
      <c r="U471">
        <f t="shared" si="170"/>
        <v>0</v>
      </c>
      <c r="V471">
        <f t="shared" si="171"/>
        <v>2.1192588227500631</v>
      </c>
      <c r="W471">
        <f t="shared" si="172"/>
        <v>2652.8470103207965</v>
      </c>
      <c r="X471">
        <f t="shared" si="173"/>
        <v>0</v>
      </c>
      <c r="Y471">
        <f t="shared" si="174"/>
        <v>0.77378195971577279</v>
      </c>
      <c r="Z471">
        <f t="shared" si="175"/>
        <v>2000.0521962627995</v>
      </c>
      <c r="AA471">
        <f t="shared" si="176"/>
        <v>0</v>
      </c>
      <c r="AB471">
        <f t="shared" si="177"/>
        <v>0.52490102513392878</v>
      </c>
      <c r="AC471">
        <f t="shared" si="178"/>
        <v>1027.8046008572721</v>
      </c>
      <c r="AD471">
        <f t="shared" si="179"/>
        <v>0</v>
      </c>
      <c r="AE471">
        <f t="shared" si="180"/>
        <v>0.32486830786765292</v>
      </c>
      <c r="AF471">
        <f t="shared" si="181"/>
        <v>6000</v>
      </c>
      <c r="AG471">
        <f t="shared" si="182"/>
        <v>0</v>
      </c>
      <c r="AH471">
        <f t="shared" si="183"/>
        <v>6.7000407999999982</v>
      </c>
      <c r="AI471" cm="1">
        <f t="array" ref="AI471">_xlfn.LET(
    _xlpm.vals,   _xlfn.HSTACK(S471,V471,Y471,AB471,AE471,AH471),
    _xlpm.ints,   _xlfn.HSTACK(R471,U471,X471,AA471,AD471,AG471),
    _xlpm.slopes, _xlfn.HSTACK(Q471,T471,W471,Z471,AC471,AF471),
    _xlpm.limit,  -0.00001*_xlpm.slopes + 0.1086*_xlpm.slopes + 63.253,
    _xlpm.mask,   (_xlpm.vals&gt;=0) * (_xlpm.ints&lt;=_xlpm.limit),
    _xlpm.validVals, _xlfn._xlws.FILTER(_xlpm.vals, _xlpm.mask),
    _xlpm.minVal, MIN(_xlpm.validVals),
    IFERROR( _xlfn.XMATCH(_xlpm.minVal, _xlpm.vals), "" )
)</f>
        <v>5</v>
      </c>
      <c r="AJ471" cm="1">
        <f t="array" ref="AJ471">_xlfn.LET(
    _xlpm.vals, CHOOSE({1,2,3,4,5,6}, S471, V471, Y471, AB471, AE471, AH471),
    _xlpm.slopes, CHOOSE({1,2,3,4,5,6}, Q471, T471, W471, Z471, AC471, AF471),
    _xlpm.ints, CHOOSE({1,2,3,4,5,6}, R471, U471, X471, AA471, AD471, AG471),
    _xlpm.limit, -0.00001*_xlpm.slopes + 0.1086*_xlpm.slopes + 63.253,
    _xlpm.valid, (_xlpm.vals &gt;= 0) * (_xlpm.ints &lt;= _xlpm.limit),
    _xlpm.target, MIN(_xlfn._xlws.FILTER(_xlpm.vals, _xlpm.valid)),
    IFERROR(
        _xlfn.XLOOKUP(_xlpm.target, _xlpm.vals, _xlpm.vals),
        CHOOSE({1,2,3,4,5,6}, S$1, V$1, Y$1, AB$1, AE$1, AH$1)
    )
)</f>
        <v>0.32486830786765292</v>
      </c>
    </row>
    <row r="472" spans="9:36" x14ac:dyDescent="0.45">
      <c r="I472">
        <v>470</v>
      </c>
      <c r="J472">
        <v>27.5</v>
      </c>
      <c r="K472">
        <f t="shared" si="162"/>
        <v>27.5</v>
      </c>
      <c r="L472">
        <f t="shared" si="161"/>
        <v>7.6388888888888886E-3</v>
      </c>
      <c r="M472">
        <v>-2.2000000000000002</v>
      </c>
      <c r="N472">
        <f t="shared" si="163"/>
        <v>0</v>
      </c>
      <c r="O472">
        <f t="shared" si="164"/>
        <v>357.36752664740175</v>
      </c>
      <c r="P472">
        <f t="shared" si="165"/>
        <v>1143.5760852716855</v>
      </c>
      <c r="Q472">
        <f t="shared" si="166"/>
        <v>5237.5784705443202</v>
      </c>
      <c r="R472">
        <f t="shared" si="167"/>
        <v>0</v>
      </c>
      <c r="S472">
        <f t="shared" si="168"/>
        <v>4.3586038410797325</v>
      </c>
      <c r="T472">
        <f t="shared" si="169"/>
        <v>3384.985212404189</v>
      </c>
      <c r="U472">
        <f t="shared" si="170"/>
        <v>0</v>
      </c>
      <c r="V472">
        <f t="shared" si="171"/>
        <v>1.2774648641181774</v>
      </c>
      <c r="W472">
        <f t="shared" si="172"/>
        <v>2184.2303228689193</v>
      </c>
      <c r="X472">
        <f t="shared" si="173"/>
        <v>0</v>
      </c>
      <c r="Y472">
        <f t="shared" si="174"/>
        <v>0.58099397385486973</v>
      </c>
      <c r="Z472">
        <f t="shared" si="175"/>
        <v>1646.7495627912272</v>
      </c>
      <c r="AA472">
        <f t="shared" si="176"/>
        <v>0</v>
      </c>
      <c r="AB472">
        <f t="shared" si="177"/>
        <v>0.43918315521720386</v>
      </c>
      <c r="AC472">
        <f t="shared" si="178"/>
        <v>6000</v>
      </c>
      <c r="AD472">
        <f t="shared" si="179"/>
        <v>0</v>
      </c>
      <c r="AE472">
        <f t="shared" si="180"/>
        <v>6.7000407999999982</v>
      </c>
      <c r="AF472">
        <f t="shared" si="181"/>
        <v>6000</v>
      </c>
      <c r="AG472">
        <f t="shared" si="182"/>
        <v>0</v>
      </c>
      <c r="AH472">
        <f t="shared" si="183"/>
        <v>6.7000407999999982</v>
      </c>
      <c r="AI472" cm="1">
        <f t="array" ref="AI472">_xlfn.LET(
    _xlpm.vals,   _xlfn.HSTACK(S472,V472,Y472,AB472,AE472,AH472),
    _xlpm.ints,   _xlfn.HSTACK(R472,U472,X472,AA472,AD472,AG472),
    _xlpm.slopes, _xlfn.HSTACK(Q472,T472,W472,Z472,AC472,AF472),
    _xlpm.limit,  -0.00001*_xlpm.slopes + 0.1086*_xlpm.slopes + 63.253,
    _xlpm.mask,   (_xlpm.vals&gt;=0) * (_xlpm.ints&lt;=_xlpm.limit),
    _xlpm.validVals, _xlfn._xlws.FILTER(_xlpm.vals, _xlpm.mask),
    _xlpm.minVal, MIN(_xlpm.validVals),
    IFERROR( _xlfn.XMATCH(_xlpm.minVal, _xlpm.vals), "" )
)</f>
        <v>4</v>
      </c>
      <c r="AJ472" cm="1">
        <f t="array" ref="AJ472">_xlfn.LET(
    _xlpm.vals, CHOOSE({1,2,3,4,5,6}, S472, V472, Y472, AB472, AE472, AH472),
    _xlpm.slopes, CHOOSE({1,2,3,4,5,6}, Q472, T472, W472, Z472, AC472, AF472),
    _xlpm.ints, CHOOSE({1,2,3,4,5,6}, R472, U472, X472, AA472, AD472, AG472),
    _xlpm.limit, -0.00001*_xlpm.slopes + 0.1086*_xlpm.slopes + 63.253,
    _xlpm.valid, (_xlpm.vals &gt;= 0) * (_xlpm.ints &lt;= _xlpm.limit),
    _xlpm.target, MIN(_xlfn._xlws.FILTER(_xlpm.vals, _xlpm.valid)),
    IFERROR(
        _xlfn.XLOOKUP(_xlpm.target, _xlpm.vals, _xlpm.vals),
        CHOOSE({1,2,3,4,5,6}, S$1, V$1, Y$1, AB$1, AE$1, AH$1)
    )
)</f>
        <v>0.43918315521720386</v>
      </c>
    </row>
    <row r="473" spans="9:36" x14ac:dyDescent="0.45">
      <c r="I473">
        <v>471</v>
      </c>
      <c r="J473">
        <v>25.3</v>
      </c>
      <c r="K473">
        <f t="shared" si="162"/>
        <v>25.3</v>
      </c>
      <c r="L473">
        <f t="shared" si="161"/>
        <v>7.0277777777777778E-3</v>
      </c>
      <c r="M473">
        <v>-0.45</v>
      </c>
      <c r="N473">
        <f t="shared" si="163"/>
        <v>0</v>
      </c>
      <c r="O473">
        <f t="shared" si="164"/>
        <v>328.77812451560959</v>
      </c>
      <c r="P473">
        <f t="shared" si="165"/>
        <v>1052.0899984499508</v>
      </c>
      <c r="Q473">
        <f t="shared" si="166"/>
        <v>4818.572192900775</v>
      </c>
      <c r="R473">
        <f t="shared" si="167"/>
        <v>0</v>
      </c>
      <c r="S473">
        <f t="shared" si="168"/>
        <v>3.3724886761426531</v>
      </c>
      <c r="T473">
        <f t="shared" si="169"/>
        <v>3114.1863954118544</v>
      </c>
      <c r="U473">
        <f t="shared" si="170"/>
        <v>0</v>
      </c>
      <c r="V473">
        <f t="shared" si="171"/>
        <v>1.0567992713761776</v>
      </c>
      <c r="W473">
        <f t="shared" si="172"/>
        <v>2009.491897039406</v>
      </c>
      <c r="X473">
        <f t="shared" si="173"/>
        <v>0</v>
      </c>
      <c r="Y473">
        <f t="shared" si="174"/>
        <v>0.52755707791359863</v>
      </c>
      <c r="Z473">
        <f t="shared" si="175"/>
        <v>1515.0095977679291</v>
      </c>
      <c r="AA473">
        <f t="shared" si="176"/>
        <v>0</v>
      </c>
      <c r="AB473">
        <f t="shared" si="177"/>
        <v>0.41252608819410297</v>
      </c>
      <c r="AC473">
        <f t="shared" si="178"/>
        <v>6000</v>
      </c>
      <c r="AD473">
        <f t="shared" si="179"/>
        <v>0</v>
      </c>
      <c r="AE473">
        <f t="shared" si="180"/>
        <v>6.7000407999999982</v>
      </c>
      <c r="AF473">
        <f t="shared" si="181"/>
        <v>6000</v>
      </c>
      <c r="AG473">
        <f t="shared" si="182"/>
        <v>0</v>
      </c>
      <c r="AH473">
        <f t="shared" si="183"/>
        <v>6.7000407999999982</v>
      </c>
      <c r="AI473" cm="1">
        <f t="array" ref="AI473">_xlfn.LET(
    _xlpm.vals,   _xlfn.HSTACK(S473,V473,Y473,AB473,AE473,AH473),
    _xlpm.ints,   _xlfn.HSTACK(R473,U473,X473,AA473,AD473,AG473),
    _xlpm.slopes, _xlfn.HSTACK(Q473,T473,W473,Z473,AC473,AF473),
    _xlpm.limit,  -0.00001*_xlpm.slopes + 0.1086*_xlpm.slopes + 63.253,
    _xlpm.mask,   (_xlpm.vals&gt;=0) * (_xlpm.ints&lt;=_xlpm.limit),
    _xlpm.validVals, _xlfn._xlws.FILTER(_xlpm.vals, _xlpm.mask),
    _xlpm.minVal, MIN(_xlpm.validVals),
    IFERROR( _xlfn.XMATCH(_xlpm.minVal, _xlpm.vals), "" )
)</f>
        <v>4</v>
      </c>
      <c r="AJ473" cm="1">
        <f t="array" ref="AJ473">_xlfn.LET(
    _xlpm.vals, CHOOSE({1,2,3,4,5,6}, S473, V473, Y473, AB473, AE473, AH473),
    _xlpm.slopes, CHOOSE({1,2,3,4,5,6}, Q473, T473, W473, Z473, AC473, AF473),
    _xlpm.ints, CHOOSE({1,2,3,4,5,6}, R473, U473, X473, AA473, AD473, AG473),
    _xlpm.limit, -0.00001*_xlpm.slopes + 0.1086*_xlpm.slopes + 63.253,
    _xlpm.valid, (_xlpm.vals &gt;= 0) * (_xlpm.ints &lt;= _xlpm.limit),
    _xlpm.target, MIN(_xlfn._xlws.FILTER(_xlpm.vals, _xlpm.valid)),
    IFERROR(
        _xlfn.XLOOKUP(_xlpm.target, _xlpm.vals, _xlpm.vals),
        CHOOSE({1,2,3,4,5,6}, S$1, V$1, Y$1, AB$1, AE$1, AH$1)
    )
)</f>
        <v>0.41252608819410297</v>
      </c>
    </row>
    <row r="474" spans="9:36" x14ac:dyDescent="0.45">
      <c r="I474">
        <v>472</v>
      </c>
      <c r="J474">
        <v>22.2</v>
      </c>
      <c r="K474">
        <f t="shared" si="162"/>
        <v>22.2</v>
      </c>
      <c r="L474">
        <f t="shared" si="161"/>
        <v>6.1666666666666667E-3</v>
      </c>
      <c r="M474">
        <v>-1.07</v>
      </c>
      <c r="N474">
        <f t="shared" si="163"/>
        <v>0</v>
      </c>
      <c r="O474">
        <f t="shared" si="164"/>
        <v>288.49305787535701</v>
      </c>
      <c r="P474">
        <f t="shared" si="165"/>
        <v>923.17778520114246</v>
      </c>
      <c r="Q474">
        <f t="shared" si="166"/>
        <v>4228.1542562212326</v>
      </c>
      <c r="R474">
        <f t="shared" si="167"/>
        <v>0</v>
      </c>
      <c r="S474">
        <f t="shared" si="168"/>
        <v>2.2941317877052283</v>
      </c>
      <c r="T474">
        <f t="shared" si="169"/>
        <v>2732.6062441953818</v>
      </c>
      <c r="U474">
        <f t="shared" si="170"/>
        <v>0</v>
      </c>
      <c r="V474">
        <f t="shared" si="171"/>
        <v>0.8152953202878328</v>
      </c>
      <c r="W474">
        <f t="shared" si="172"/>
        <v>1763.2695697341819</v>
      </c>
      <c r="X474">
        <f t="shared" si="173"/>
        <v>0</v>
      </c>
      <c r="Y474">
        <f t="shared" si="174"/>
        <v>0.46483265464436208</v>
      </c>
      <c r="Z474">
        <f t="shared" si="175"/>
        <v>1329.376010689645</v>
      </c>
      <c r="AA474">
        <f t="shared" si="176"/>
        <v>0</v>
      </c>
      <c r="AB474">
        <f t="shared" si="177"/>
        <v>0.37795371023234203</v>
      </c>
      <c r="AC474">
        <f t="shared" si="178"/>
        <v>6000</v>
      </c>
      <c r="AD474">
        <f t="shared" si="179"/>
        <v>0</v>
      </c>
      <c r="AE474">
        <f t="shared" si="180"/>
        <v>6.7000407999999982</v>
      </c>
      <c r="AF474">
        <f t="shared" si="181"/>
        <v>6000</v>
      </c>
      <c r="AG474">
        <f t="shared" si="182"/>
        <v>0</v>
      </c>
      <c r="AH474">
        <f t="shared" si="183"/>
        <v>6.7000407999999982</v>
      </c>
      <c r="AI474" cm="1">
        <f t="array" ref="AI474">_xlfn.LET(
    _xlpm.vals,   _xlfn.HSTACK(S474,V474,Y474,AB474,AE474,AH474),
    _xlpm.ints,   _xlfn.HSTACK(R474,U474,X474,AA474,AD474,AG474),
    _xlpm.slopes, _xlfn.HSTACK(Q474,T474,W474,Z474,AC474,AF474),
    _xlpm.limit,  -0.00001*_xlpm.slopes + 0.1086*_xlpm.slopes + 63.253,
    _xlpm.mask,   (_xlpm.vals&gt;=0) * (_xlpm.ints&lt;=_xlpm.limit),
    _xlpm.validVals, _xlfn._xlws.FILTER(_xlpm.vals, _xlpm.mask),
    _xlpm.minVal, MIN(_xlpm.validVals),
    IFERROR( _xlfn.XMATCH(_xlpm.minVal, _xlpm.vals), "" )
)</f>
        <v>4</v>
      </c>
      <c r="AJ474" cm="1">
        <f t="array" ref="AJ474">_xlfn.LET(
    _xlpm.vals, CHOOSE({1,2,3,4,5,6}, S474, V474, Y474, AB474, AE474, AH474),
    _xlpm.slopes, CHOOSE({1,2,3,4,5,6}, Q474, T474, W474, Z474, AC474, AF474),
    _xlpm.ints, CHOOSE({1,2,3,4,5,6}, R474, U474, X474, AA474, AD474, AG474),
    _xlpm.limit, -0.00001*_xlpm.slopes + 0.1086*_xlpm.slopes + 63.253,
    _xlpm.valid, (_xlpm.vals &gt;= 0) * (_xlpm.ints &lt;= _xlpm.limit),
    _xlpm.target, MIN(_xlfn._xlws.FILTER(_xlpm.vals, _xlpm.valid)),
    IFERROR(
        _xlfn.XLOOKUP(_xlpm.target, _xlpm.vals, _xlpm.vals),
        CHOOSE({1,2,3,4,5,6}, S$1, V$1, Y$1, AB$1, AE$1, AH$1)
    )
)</f>
        <v>0.37795371023234203</v>
      </c>
    </row>
    <row r="475" spans="9:36" x14ac:dyDescent="0.45">
      <c r="I475">
        <v>473</v>
      </c>
      <c r="J475">
        <v>18.8</v>
      </c>
      <c r="K475">
        <f t="shared" si="162"/>
        <v>18.8</v>
      </c>
      <c r="L475">
        <f t="shared" si="161"/>
        <v>5.2222222222222227E-3</v>
      </c>
      <c r="M475">
        <v>-0.73</v>
      </c>
      <c r="N475">
        <f t="shared" si="163"/>
        <v>0</v>
      </c>
      <c r="O475">
        <f t="shared" si="164"/>
        <v>244.30943639895099</v>
      </c>
      <c r="P475">
        <f t="shared" si="165"/>
        <v>781.79019647664325</v>
      </c>
      <c r="Q475">
        <f t="shared" si="166"/>
        <v>3580.5990998630259</v>
      </c>
      <c r="R475">
        <f t="shared" si="167"/>
        <v>0</v>
      </c>
      <c r="S475">
        <f t="shared" si="168"/>
        <v>1.4660365900086396</v>
      </c>
      <c r="T475">
        <f t="shared" si="169"/>
        <v>2314.098981570864</v>
      </c>
      <c r="U475">
        <f t="shared" si="170"/>
        <v>0</v>
      </c>
      <c r="V475">
        <f t="shared" si="171"/>
        <v>0.62655661756430381</v>
      </c>
      <c r="W475">
        <f t="shared" si="172"/>
        <v>1493.2192752703886</v>
      </c>
      <c r="X475">
        <f t="shared" si="173"/>
        <v>0</v>
      </c>
      <c r="Y475">
        <f t="shared" si="174"/>
        <v>0.40831306179660443</v>
      </c>
      <c r="Z475">
        <f t="shared" si="175"/>
        <v>1125.7778829263661</v>
      </c>
      <c r="AA475">
        <f t="shared" si="176"/>
        <v>0</v>
      </c>
      <c r="AB475">
        <f t="shared" si="177"/>
        <v>0.3420701317375095</v>
      </c>
      <c r="AC475">
        <f t="shared" si="178"/>
        <v>6000</v>
      </c>
      <c r="AD475">
        <f t="shared" si="179"/>
        <v>0</v>
      </c>
      <c r="AE475">
        <f t="shared" si="180"/>
        <v>6.7000407999999982</v>
      </c>
      <c r="AF475">
        <f t="shared" si="181"/>
        <v>6000</v>
      </c>
      <c r="AG475">
        <f t="shared" si="182"/>
        <v>0</v>
      </c>
      <c r="AH475">
        <f t="shared" si="183"/>
        <v>6.7000407999999982</v>
      </c>
      <c r="AI475" cm="1">
        <f t="array" ref="AI475">_xlfn.LET(
    _xlpm.vals,   _xlfn.HSTACK(S475,V475,Y475,AB475,AE475,AH475),
    _xlpm.ints,   _xlfn.HSTACK(R475,U475,X475,AA475,AD475,AG475),
    _xlpm.slopes, _xlfn.HSTACK(Q475,T475,W475,Z475,AC475,AF475),
    _xlpm.limit,  -0.00001*_xlpm.slopes + 0.1086*_xlpm.slopes + 63.253,
    _xlpm.mask,   (_xlpm.vals&gt;=0) * (_xlpm.ints&lt;=_xlpm.limit),
    _xlpm.validVals, _xlfn._xlws.FILTER(_xlpm.vals, _xlpm.mask),
    _xlpm.minVal, MIN(_xlpm.validVals),
    IFERROR( _xlfn.XMATCH(_xlpm.minVal, _xlpm.vals), "" )
)</f>
        <v>4</v>
      </c>
      <c r="AJ475" cm="1">
        <f t="array" ref="AJ475">_xlfn.LET(
    _xlpm.vals, CHOOSE({1,2,3,4,5,6}, S475, V475, Y475, AB475, AE475, AH475),
    _xlpm.slopes, CHOOSE({1,2,3,4,5,6}, Q475, T475, W475, Z475, AC475, AF475),
    _xlpm.ints, CHOOSE({1,2,3,4,5,6}, R475, U475, X475, AA475, AD475, AG475),
    _xlpm.limit, -0.00001*_xlpm.slopes + 0.1086*_xlpm.slopes + 63.253,
    _xlpm.valid, (_xlpm.vals &gt;= 0) * (_xlpm.ints &lt;= _xlpm.limit),
    _xlpm.target, MIN(_xlfn._xlws.FILTER(_xlpm.vals, _xlpm.valid)),
    IFERROR(
        _xlfn.XLOOKUP(_xlpm.target, _xlpm.vals, _xlpm.vals),
        CHOOSE({1,2,3,4,5,6}, S$1, V$1, Y$1, AB$1, AE$1, AH$1)
    )
)</f>
        <v>0.3420701317375095</v>
      </c>
    </row>
    <row r="476" spans="9:36" x14ac:dyDescent="0.45">
      <c r="I476">
        <v>474</v>
      </c>
      <c r="J476">
        <v>15.8</v>
      </c>
      <c r="K476">
        <f t="shared" si="162"/>
        <v>15.8</v>
      </c>
      <c r="L476">
        <f t="shared" si="161"/>
        <v>4.3888888888888892E-3</v>
      </c>
      <c r="M476">
        <v>-0.69</v>
      </c>
      <c r="N476">
        <f t="shared" si="163"/>
        <v>0</v>
      </c>
      <c r="O476">
        <f t="shared" si="164"/>
        <v>205.32388803741628</v>
      </c>
      <c r="P476">
        <f t="shared" si="165"/>
        <v>657.03644171973212</v>
      </c>
      <c r="Q476">
        <f t="shared" si="166"/>
        <v>3009.2269030763732</v>
      </c>
      <c r="R476">
        <f t="shared" si="167"/>
        <v>0</v>
      </c>
      <c r="S476">
        <f t="shared" si="168"/>
        <v>0.98279672760487458</v>
      </c>
      <c r="T476">
        <f t="shared" si="169"/>
        <v>1944.827867490407</v>
      </c>
      <c r="U476">
        <f t="shared" si="170"/>
        <v>0</v>
      </c>
      <c r="V476">
        <f t="shared" si="171"/>
        <v>0.5097952564696866</v>
      </c>
      <c r="W476">
        <f t="shared" si="172"/>
        <v>1254.9396036846883</v>
      </c>
      <c r="X476">
        <f t="shared" si="173"/>
        <v>0</v>
      </c>
      <c r="Y476">
        <f t="shared" si="174"/>
        <v>0.36470802859464502</v>
      </c>
      <c r="Z476">
        <f t="shared" si="175"/>
        <v>6000</v>
      </c>
      <c r="AA476">
        <f t="shared" si="176"/>
        <v>0</v>
      </c>
      <c r="AB476">
        <f t="shared" si="177"/>
        <v>6.7000407999999982</v>
      </c>
      <c r="AC476">
        <f t="shared" si="178"/>
        <v>6000</v>
      </c>
      <c r="AD476">
        <f t="shared" si="179"/>
        <v>0</v>
      </c>
      <c r="AE476">
        <f t="shared" si="180"/>
        <v>6.7000407999999982</v>
      </c>
      <c r="AF476">
        <f t="shared" si="181"/>
        <v>6000</v>
      </c>
      <c r="AG476">
        <f t="shared" si="182"/>
        <v>0</v>
      </c>
      <c r="AH476">
        <f t="shared" si="183"/>
        <v>6.7000407999999982</v>
      </c>
      <c r="AI476" cm="1">
        <f t="array" ref="AI476">_xlfn.LET(
    _xlpm.vals,   _xlfn.HSTACK(S476,V476,Y476,AB476,AE476,AH476),
    _xlpm.ints,   _xlfn.HSTACK(R476,U476,X476,AA476,AD476,AG476),
    _xlpm.slopes, _xlfn.HSTACK(Q476,T476,W476,Z476,AC476,AF476),
    _xlpm.limit,  -0.00001*_xlpm.slopes + 0.1086*_xlpm.slopes + 63.253,
    _xlpm.mask,   (_xlpm.vals&gt;=0) * (_xlpm.ints&lt;=_xlpm.limit),
    _xlpm.validVals, _xlfn._xlws.FILTER(_xlpm.vals, _xlpm.mask),
    _xlpm.minVal, MIN(_xlpm.validVals),
    IFERROR( _xlfn.XMATCH(_xlpm.minVal, _xlpm.vals), "" )
)</f>
        <v>3</v>
      </c>
      <c r="AJ476" cm="1">
        <f t="array" ref="AJ476">_xlfn.LET(
    _xlpm.vals, CHOOSE({1,2,3,4,5,6}, S476, V476, Y476, AB476, AE476, AH476),
    _xlpm.slopes, CHOOSE({1,2,3,4,5,6}, Q476, T476, W476, Z476, AC476, AF476),
    _xlpm.ints, CHOOSE({1,2,3,4,5,6}, R476, U476, X476, AA476, AD476, AG476),
    _xlpm.limit, -0.00001*_xlpm.slopes + 0.1086*_xlpm.slopes + 63.253,
    _xlpm.valid, (_xlpm.vals &gt;= 0) * (_xlpm.ints &lt;= _xlpm.limit),
    _xlpm.target, MIN(_xlfn._xlws.FILTER(_xlpm.vals, _xlpm.valid)),
    IFERROR(
        _xlfn.XLOOKUP(_xlpm.target, _xlpm.vals, _xlpm.vals),
        CHOOSE({1,2,3,4,5,6}, S$1, V$1, Y$1, AB$1, AE$1, AH$1)
    )
)</f>
        <v>0.36470802859464502</v>
      </c>
    </row>
    <row r="477" spans="9:36" x14ac:dyDescent="0.45">
      <c r="I477">
        <v>475</v>
      </c>
      <c r="J477">
        <v>12.6</v>
      </c>
      <c r="K477">
        <f t="shared" si="162"/>
        <v>12.6</v>
      </c>
      <c r="L477">
        <f t="shared" si="161"/>
        <v>3.5000000000000001E-3</v>
      </c>
      <c r="M477">
        <v>-0.56000000000000005</v>
      </c>
      <c r="N477">
        <f t="shared" si="163"/>
        <v>0</v>
      </c>
      <c r="O477">
        <f t="shared" si="164"/>
        <v>163.73930311844586</v>
      </c>
      <c r="P477">
        <f t="shared" si="165"/>
        <v>523.96576997902673</v>
      </c>
      <c r="Q477">
        <f t="shared" si="166"/>
        <v>2399.7632265039424</v>
      </c>
      <c r="R477">
        <f t="shared" si="167"/>
        <v>0</v>
      </c>
      <c r="S477">
        <f t="shared" si="168"/>
        <v>0.65968675275156385</v>
      </c>
      <c r="T477">
        <f t="shared" si="169"/>
        <v>1550.9386791379191</v>
      </c>
      <c r="U477">
        <f t="shared" si="170"/>
        <v>0</v>
      </c>
      <c r="V477">
        <f t="shared" si="171"/>
        <v>0.41958479072721377</v>
      </c>
      <c r="W477">
        <f t="shared" si="172"/>
        <v>1000.774620659941</v>
      </c>
      <c r="X477">
        <f t="shared" si="173"/>
        <v>0</v>
      </c>
      <c r="Y477">
        <f t="shared" si="174"/>
        <v>0.32007654470680125</v>
      </c>
      <c r="Z477">
        <f t="shared" si="175"/>
        <v>6000</v>
      </c>
      <c r="AA477">
        <f t="shared" si="176"/>
        <v>0</v>
      </c>
      <c r="AB477">
        <f t="shared" si="177"/>
        <v>6.7000407999999982</v>
      </c>
      <c r="AC477">
        <f t="shared" si="178"/>
        <v>6000</v>
      </c>
      <c r="AD477">
        <f t="shared" si="179"/>
        <v>0</v>
      </c>
      <c r="AE477">
        <f t="shared" si="180"/>
        <v>6.7000407999999982</v>
      </c>
      <c r="AF477">
        <f t="shared" si="181"/>
        <v>6000</v>
      </c>
      <c r="AG477">
        <f t="shared" si="182"/>
        <v>0</v>
      </c>
      <c r="AH477">
        <f t="shared" si="183"/>
        <v>6.7000407999999982</v>
      </c>
      <c r="AI477" cm="1">
        <f t="array" ref="AI477">_xlfn.LET(
    _xlpm.vals,   _xlfn.HSTACK(S477,V477,Y477,AB477,AE477,AH477),
    _xlpm.ints,   _xlfn.HSTACK(R477,U477,X477,AA477,AD477,AG477),
    _xlpm.slopes, _xlfn.HSTACK(Q477,T477,W477,Z477,AC477,AF477),
    _xlpm.limit,  -0.00001*_xlpm.slopes + 0.1086*_xlpm.slopes + 63.253,
    _xlpm.mask,   (_xlpm.vals&gt;=0) * (_xlpm.ints&lt;=_xlpm.limit),
    _xlpm.validVals, _xlfn._xlws.FILTER(_xlpm.vals, _xlpm.mask),
    _xlpm.minVal, MIN(_xlpm.validVals),
    IFERROR( _xlfn.XMATCH(_xlpm.minVal, _xlpm.vals), "" )
)</f>
        <v>3</v>
      </c>
      <c r="AJ477" cm="1">
        <f t="array" ref="AJ477">_xlfn.LET(
    _xlpm.vals, CHOOSE({1,2,3,4,5,6}, S477, V477, Y477, AB477, AE477, AH477),
    _xlpm.slopes, CHOOSE({1,2,3,4,5,6}, Q477, T477, W477, Z477, AC477, AF477),
    _xlpm.ints, CHOOSE({1,2,3,4,5,6}, R477, U477, X477, AA477, AD477, AG477),
    _xlpm.limit, -0.00001*_xlpm.slopes + 0.1086*_xlpm.slopes + 63.253,
    _xlpm.valid, (_xlpm.vals &gt;= 0) * (_xlpm.ints &lt;= _xlpm.limit),
    _xlpm.target, MIN(_xlfn._xlws.FILTER(_xlpm.vals, _xlpm.valid)),
    IFERROR(
        _xlfn.XLOOKUP(_xlpm.target, _xlpm.vals, _xlpm.vals),
        CHOOSE({1,2,3,4,5,6}, S$1, V$1, Y$1, AB$1, AE$1, AH$1)
    )
)</f>
        <v>0.32007654470680125</v>
      </c>
    </row>
    <row r="478" spans="9:36" x14ac:dyDescent="0.45">
      <c r="I478">
        <v>476</v>
      </c>
      <c r="J478">
        <v>9.4</v>
      </c>
      <c r="K478">
        <f t="shared" si="162"/>
        <v>9.4</v>
      </c>
      <c r="L478">
        <f t="shared" si="161"/>
        <v>2.6111111111111114E-3</v>
      </c>
      <c r="M478">
        <v>-0.23</v>
      </c>
      <c r="N478">
        <f t="shared" si="163"/>
        <v>0</v>
      </c>
      <c r="O478">
        <f t="shared" si="164"/>
        <v>122.1547181994755</v>
      </c>
      <c r="P478">
        <f t="shared" si="165"/>
        <v>390.89509823832162</v>
      </c>
      <c r="Q478">
        <f t="shared" si="166"/>
        <v>1790.299549931513</v>
      </c>
      <c r="R478">
        <f t="shared" si="167"/>
        <v>0</v>
      </c>
      <c r="S478">
        <f t="shared" si="168"/>
        <v>0.47111211054019214</v>
      </c>
      <c r="T478">
        <f t="shared" si="169"/>
        <v>1157.049490785432</v>
      </c>
      <c r="U478">
        <f t="shared" si="170"/>
        <v>0</v>
      </c>
      <c r="V478">
        <f t="shared" si="171"/>
        <v>0.34753615846890201</v>
      </c>
      <c r="W478">
        <f t="shared" si="172"/>
        <v>6000</v>
      </c>
      <c r="X478">
        <f t="shared" si="173"/>
        <v>0</v>
      </c>
      <c r="Y478">
        <f t="shared" si="174"/>
        <v>6.7000407999999982</v>
      </c>
      <c r="Z478">
        <f t="shared" si="175"/>
        <v>6000</v>
      </c>
      <c r="AA478">
        <f t="shared" si="176"/>
        <v>0</v>
      </c>
      <c r="AB478">
        <f t="shared" si="177"/>
        <v>6.7000407999999982</v>
      </c>
      <c r="AC478">
        <f t="shared" si="178"/>
        <v>6000</v>
      </c>
      <c r="AD478">
        <f t="shared" si="179"/>
        <v>0</v>
      </c>
      <c r="AE478">
        <f t="shared" si="180"/>
        <v>6.7000407999999982</v>
      </c>
      <c r="AF478">
        <f t="shared" si="181"/>
        <v>6000</v>
      </c>
      <c r="AG478">
        <f t="shared" si="182"/>
        <v>0</v>
      </c>
      <c r="AH478">
        <f t="shared" si="183"/>
        <v>6.7000407999999982</v>
      </c>
      <c r="AI478" cm="1">
        <f t="array" ref="AI478">_xlfn.LET(
    _xlpm.vals,   _xlfn.HSTACK(S478,V478,Y478,AB478,AE478,AH478),
    _xlpm.ints,   _xlfn.HSTACK(R478,U478,X478,AA478,AD478,AG478),
    _xlpm.slopes, _xlfn.HSTACK(Q478,T478,W478,Z478,AC478,AF478),
    _xlpm.limit,  -0.00001*_xlpm.slopes + 0.1086*_xlpm.slopes + 63.253,
    _xlpm.mask,   (_xlpm.vals&gt;=0) * (_xlpm.ints&lt;=_xlpm.limit),
    _xlpm.validVals, _xlfn._xlws.FILTER(_xlpm.vals, _xlpm.mask),
    _xlpm.minVal, MIN(_xlpm.validVals),
    IFERROR( _xlfn.XMATCH(_xlpm.minVal, _xlpm.vals), "" )
)</f>
        <v>2</v>
      </c>
      <c r="AJ478" cm="1">
        <f t="array" ref="AJ478">_xlfn.LET(
    _xlpm.vals, CHOOSE({1,2,3,4,5,6}, S478, V478, Y478, AB478, AE478, AH478),
    _xlpm.slopes, CHOOSE({1,2,3,4,5,6}, Q478, T478, W478, Z478, AC478, AF478),
    _xlpm.ints, CHOOSE({1,2,3,4,5,6}, R478, U478, X478, AA478, AD478, AG478),
    _xlpm.limit, -0.00001*_xlpm.slopes + 0.1086*_xlpm.slopes + 63.253,
    _xlpm.valid, (_xlpm.vals &gt;= 0) * (_xlpm.ints &lt;= _xlpm.limit),
    _xlpm.target, MIN(_xlfn._xlws.FILTER(_xlpm.vals, _xlpm.valid)),
    IFERROR(
        _xlfn.XLOOKUP(_xlpm.target, _xlpm.vals, _xlpm.vals),
        CHOOSE({1,2,3,4,5,6}, S$1, V$1, Y$1, AB$1, AE$1, AH$1)
    )
)</f>
        <v>0.34753615846890201</v>
      </c>
    </row>
    <row r="479" spans="9:36" x14ac:dyDescent="0.45">
      <c r="I479">
        <v>477</v>
      </c>
      <c r="J479">
        <v>6.6</v>
      </c>
      <c r="K479">
        <f t="shared" si="162"/>
        <v>6.6</v>
      </c>
      <c r="L479">
        <f t="shared" si="161"/>
        <v>1.8333333333333333E-3</v>
      </c>
      <c r="M479">
        <v>0.03</v>
      </c>
      <c r="N479">
        <f t="shared" si="163"/>
        <v>0.03</v>
      </c>
      <c r="O479">
        <f t="shared" si="164"/>
        <v>85.768206395376424</v>
      </c>
      <c r="P479">
        <f t="shared" si="165"/>
        <v>274.45826046520455</v>
      </c>
      <c r="Q479">
        <f t="shared" si="166"/>
        <v>1257.0188329306368</v>
      </c>
      <c r="R479">
        <f t="shared" si="167"/>
        <v>0.22790342519969209</v>
      </c>
      <c r="S479">
        <f t="shared" si="168"/>
        <v>0.36675234436587062</v>
      </c>
      <c r="T479">
        <f t="shared" si="169"/>
        <v>6000</v>
      </c>
      <c r="U479">
        <f t="shared" si="170"/>
        <v>4.7746482927568605E-2</v>
      </c>
      <c r="V479">
        <f t="shared" si="171"/>
        <v>6.7003271212558078</v>
      </c>
      <c r="W479">
        <f t="shared" si="172"/>
        <v>6000</v>
      </c>
      <c r="X479">
        <f t="shared" si="173"/>
        <v>4.7746482927568605E-2</v>
      </c>
      <c r="Y479">
        <f t="shared" si="174"/>
        <v>6.7003271212558078</v>
      </c>
      <c r="Z479">
        <f t="shared" si="175"/>
        <v>6000</v>
      </c>
      <c r="AA479">
        <f t="shared" si="176"/>
        <v>4.7746482927568605E-2</v>
      </c>
      <c r="AB479">
        <f t="shared" si="177"/>
        <v>6.7003271212558078</v>
      </c>
      <c r="AC479">
        <f t="shared" si="178"/>
        <v>6000</v>
      </c>
      <c r="AD479">
        <f t="shared" si="179"/>
        <v>4.7746482927568605E-2</v>
      </c>
      <c r="AE479">
        <f t="shared" si="180"/>
        <v>6.7003271212558078</v>
      </c>
      <c r="AF479">
        <f t="shared" si="181"/>
        <v>6000</v>
      </c>
      <c r="AG479">
        <f t="shared" si="182"/>
        <v>4.7746482927568605E-2</v>
      </c>
      <c r="AH479">
        <f t="shared" si="183"/>
        <v>6.7003271212558078</v>
      </c>
      <c r="AI479" cm="1">
        <f t="array" ref="AI479">_xlfn.LET(
    _xlpm.vals,   _xlfn.HSTACK(S479,V479,Y479,AB479,AE479,AH479),
    _xlpm.ints,   _xlfn.HSTACK(R479,U479,X479,AA479,AD479,AG479),
    _xlpm.slopes, _xlfn.HSTACK(Q479,T479,W479,Z479,AC479,AF479),
    _xlpm.limit,  -0.00001*_xlpm.slopes + 0.1086*_xlpm.slopes + 63.253,
    _xlpm.mask,   (_xlpm.vals&gt;=0) * (_xlpm.ints&lt;=_xlpm.limit),
    _xlpm.validVals, _xlfn._xlws.FILTER(_xlpm.vals, _xlpm.mask),
    _xlpm.minVal, MIN(_xlpm.validVals),
    IFERROR( _xlfn.XMATCH(_xlpm.minVal, _xlpm.vals), "" )
)</f>
        <v>1</v>
      </c>
      <c r="AJ479" cm="1">
        <f t="array" ref="AJ479">_xlfn.LET(
    _xlpm.vals, CHOOSE({1,2,3,4,5,6}, S479, V479, Y479, AB479, AE479, AH479),
    _xlpm.slopes, CHOOSE({1,2,3,4,5,6}, Q479, T479, W479, Z479, AC479, AF479),
    _xlpm.ints, CHOOSE({1,2,3,4,5,6}, R479, U479, X479, AA479, AD479, AG479),
    _xlpm.limit, -0.00001*_xlpm.slopes + 0.1086*_xlpm.slopes + 63.253,
    _xlpm.valid, (_xlpm.vals &gt;= 0) * (_xlpm.ints &lt;= _xlpm.limit),
    _xlpm.target, MIN(_xlfn._xlws.FILTER(_xlpm.vals, _xlpm.valid)),
    IFERROR(
        _xlfn.XLOOKUP(_xlpm.target, _xlpm.vals, _xlpm.vals),
        CHOOSE({1,2,3,4,5,6}, S$1, V$1, Y$1, AB$1, AE$1, AH$1)
    )
)</f>
        <v>0.36675234436587062</v>
      </c>
    </row>
    <row r="480" spans="9:36" x14ac:dyDescent="0.45">
      <c r="I480">
        <v>478</v>
      </c>
      <c r="J480">
        <v>3.2</v>
      </c>
      <c r="K480">
        <f t="shared" si="162"/>
        <v>3.2</v>
      </c>
      <c r="L480">
        <f t="shared" si="161"/>
        <v>8.8888888888888893E-4</v>
      </c>
      <c r="M480">
        <v>0.65</v>
      </c>
      <c r="N480">
        <f t="shared" si="163"/>
        <v>0.65</v>
      </c>
      <c r="O480">
        <f t="shared" si="164"/>
        <v>41.584584918970386</v>
      </c>
      <c r="P480">
        <f t="shared" si="165"/>
        <v>133.07067174070525</v>
      </c>
      <c r="Q480">
        <f t="shared" si="166"/>
        <v>1000</v>
      </c>
      <c r="R480">
        <f t="shared" si="167"/>
        <v>6.2070427805839188</v>
      </c>
      <c r="S480">
        <f t="shared" si="168"/>
        <v>0.35764729725340616</v>
      </c>
      <c r="T480">
        <f t="shared" si="169"/>
        <v>6000</v>
      </c>
      <c r="U480">
        <f t="shared" si="170"/>
        <v>1.0345071300973196</v>
      </c>
      <c r="V480">
        <f t="shared" si="171"/>
        <v>6.7064148495656495</v>
      </c>
      <c r="W480">
        <f t="shared" si="172"/>
        <v>6000</v>
      </c>
      <c r="X480">
        <f t="shared" si="173"/>
        <v>1.0345071300973196</v>
      </c>
      <c r="Y480">
        <f t="shared" si="174"/>
        <v>6.7064148495656495</v>
      </c>
      <c r="Z480">
        <f t="shared" si="175"/>
        <v>6000</v>
      </c>
      <c r="AA480">
        <f t="shared" si="176"/>
        <v>1.0345071300973196</v>
      </c>
      <c r="AB480">
        <f t="shared" si="177"/>
        <v>6.7064148495656495</v>
      </c>
      <c r="AC480">
        <f t="shared" si="178"/>
        <v>6000</v>
      </c>
      <c r="AD480">
        <f t="shared" si="179"/>
        <v>1.0345071300973196</v>
      </c>
      <c r="AE480">
        <f t="shared" si="180"/>
        <v>6.7064148495656495</v>
      </c>
      <c r="AF480">
        <f t="shared" si="181"/>
        <v>6000</v>
      </c>
      <c r="AG480">
        <f t="shared" si="182"/>
        <v>1.0345071300973196</v>
      </c>
      <c r="AH480">
        <f t="shared" si="183"/>
        <v>6.7064148495656495</v>
      </c>
      <c r="AI480" cm="1">
        <f t="array" ref="AI480">_xlfn.LET(
    _xlpm.vals,   _xlfn.HSTACK(S480,V480,Y480,AB480,AE480,AH480),
    _xlpm.ints,   _xlfn.HSTACK(R480,U480,X480,AA480,AD480,AG480),
    _xlpm.slopes, _xlfn.HSTACK(Q480,T480,W480,Z480,AC480,AF480),
    _xlpm.limit,  -0.00001*_xlpm.slopes + 0.1086*_xlpm.slopes + 63.253,
    _xlpm.mask,   (_xlpm.vals&gt;=0) * (_xlpm.ints&lt;=_xlpm.limit),
    _xlpm.validVals, _xlfn._xlws.FILTER(_xlpm.vals, _xlpm.mask),
    _xlpm.minVal, MIN(_xlpm.validVals),
    IFERROR( _xlfn.XMATCH(_xlpm.minVal, _xlpm.vals), "" )
)</f>
        <v>1</v>
      </c>
      <c r="AJ480" cm="1">
        <f t="array" ref="AJ480">_xlfn.LET(
    _xlpm.vals, CHOOSE({1,2,3,4,5,6}, S480, V480, Y480, AB480, AE480, AH480),
    _xlpm.slopes, CHOOSE({1,2,3,4,5,6}, Q480, T480, W480, Z480, AC480, AF480),
    _xlpm.ints, CHOOSE({1,2,3,4,5,6}, R480, U480, X480, AA480, AD480, AG480),
    _xlpm.limit, -0.00001*_xlpm.slopes + 0.1086*_xlpm.slopes + 63.253,
    _xlpm.valid, (_xlpm.vals &gt;= 0) * (_xlpm.ints &lt;= _xlpm.limit),
    _xlpm.target, MIN(_xlfn._xlws.FILTER(_xlpm.vals, _xlpm.valid)),
    IFERROR(
        _xlfn.XLOOKUP(_xlpm.target, _xlpm.vals, _xlpm.vals),
        CHOOSE({1,2,3,4,5,6}, S$1, V$1, Y$1, AB$1, AE$1, AH$1)
    )
)</f>
        <v>0.35764729725340616</v>
      </c>
    </row>
    <row r="481" spans="9:36" x14ac:dyDescent="0.45">
      <c r="I481">
        <v>479</v>
      </c>
      <c r="J481">
        <v>1</v>
      </c>
      <c r="K481">
        <f t="shared" si="162"/>
        <v>1</v>
      </c>
      <c r="L481">
        <f t="shared" si="161"/>
        <v>2.7777777777777778E-4</v>
      </c>
      <c r="M481">
        <v>0.46</v>
      </c>
      <c r="N481">
        <f t="shared" si="163"/>
        <v>0.46</v>
      </c>
      <c r="O481">
        <f t="shared" si="164"/>
        <v>12.995182787178244</v>
      </c>
      <c r="P481">
        <f t="shared" si="165"/>
        <v>41.584584918970386</v>
      </c>
      <c r="Q481">
        <f t="shared" si="166"/>
        <v>1000</v>
      </c>
      <c r="R481">
        <f t="shared" si="167"/>
        <v>4.3926764293363121</v>
      </c>
      <c r="S481">
        <f t="shared" si="168"/>
        <v>0.34613031128109145</v>
      </c>
      <c r="T481">
        <f t="shared" si="169"/>
        <v>6000</v>
      </c>
      <c r="U481">
        <f t="shared" si="170"/>
        <v>0.73211273822271861</v>
      </c>
      <c r="V481">
        <f t="shared" si="171"/>
        <v>6.704514758454228</v>
      </c>
      <c r="W481">
        <f t="shared" si="172"/>
        <v>6000</v>
      </c>
      <c r="X481">
        <f t="shared" si="173"/>
        <v>0.73211273822271861</v>
      </c>
      <c r="Y481">
        <f t="shared" si="174"/>
        <v>6.704514758454228</v>
      </c>
      <c r="Z481">
        <f t="shared" si="175"/>
        <v>6000</v>
      </c>
      <c r="AA481">
        <f t="shared" si="176"/>
        <v>0.73211273822271861</v>
      </c>
      <c r="AB481">
        <f t="shared" si="177"/>
        <v>6.704514758454228</v>
      </c>
      <c r="AC481">
        <f t="shared" si="178"/>
        <v>6000</v>
      </c>
      <c r="AD481">
        <f t="shared" si="179"/>
        <v>0.73211273822271861</v>
      </c>
      <c r="AE481">
        <f t="shared" si="180"/>
        <v>6.704514758454228</v>
      </c>
      <c r="AF481">
        <f t="shared" si="181"/>
        <v>6000</v>
      </c>
      <c r="AG481">
        <f t="shared" si="182"/>
        <v>0.73211273822271861</v>
      </c>
      <c r="AH481">
        <f t="shared" si="183"/>
        <v>6.704514758454228</v>
      </c>
      <c r="AI481" cm="1">
        <f t="array" ref="AI481">_xlfn.LET(
    _xlpm.vals,   _xlfn.HSTACK(S481,V481,Y481,AB481,AE481,AH481),
    _xlpm.ints,   _xlfn.HSTACK(R481,U481,X481,AA481,AD481,AG481),
    _xlpm.slopes, _xlfn.HSTACK(Q481,T481,W481,Z481,AC481,AF481),
    _xlpm.limit,  -0.00001*_xlpm.slopes + 0.1086*_xlpm.slopes + 63.253,
    _xlpm.mask,   (_xlpm.vals&gt;=0) * (_xlpm.ints&lt;=_xlpm.limit),
    _xlpm.validVals, _xlfn._xlws.FILTER(_xlpm.vals, _xlpm.mask),
    _xlpm.minVal, MIN(_xlpm.validVals),
    IFERROR( _xlfn.XMATCH(_xlpm.minVal, _xlpm.vals), "" )
)</f>
        <v>1</v>
      </c>
      <c r="AJ481" cm="1">
        <f t="array" ref="AJ481">_xlfn.LET(
    _xlpm.vals, CHOOSE({1,2,3,4,5,6}, S481, V481, Y481, AB481, AE481, AH481),
    _xlpm.slopes, CHOOSE({1,2,3,4,5,6}, Q481, T481, W481, Z481, AC481, AF481),
    _xlpm.ints, CHOOSE({1,2,3,4,5,6}, R481, U481, X481, AA481, AD481, AG481),
    _xlpm.limit, -0.00001*_xlpm.slopes + 0.1086*_xlpm.slopes + 63.253,
    _xlpm.valid, (_xlpm.vals &gt;= 0) * (_xlpm.ints &lt;= _xlpm.limit),
    _xlpm.target, MIN(_xlfn._xlws.FILTER(_xlpm.vals, _xlpm.valid)),
    IFERROR(
        _xlfn.XLOOKUP(_xlpm.target, _xlpm.vals, _xlpm.vals),
        CHOOSE({1,2,3,4,5,6}, S$1, V$1, Y$1, AB$1, AE$1, AH$1)
    )
)</f>
        <v>0.34613031128109145</v>
      </c>
    </row>
    <row r="482" spans="9:36" x14ac:dyDescent="0.45">
      <c r="I482">
        <v>480</v>
      </c>
      <c r="J482">
        <v>0</v>
      </c>
      <c r="K482">
        <f t="shared" si="162"/>
        <v>0</v>
      </c>
      <c r="L482">
        <f t="shared" si="161"/>
        <v>0</v>
      </c>
      <c r="M482">
        <v>0.96</v>
      </c>
      <c r="N482">
        <f t="shared" si="163"/>
        <v>0.96</v>
      </c>
      <c r="O482">
        <f t="shared" si="164"/>
        <v>0</v>
      </c>
      <c r="P482">
        <f t="shared" si="165"/>
        <v>0</v>
      </c>
      <c r="Q482">
        <f t="shared" si="166"/>
        <v>1000</v>
      </c>
      <c r="R482">
        <f t="shared" si="167"/>
        <v>9.1673247220931717</v>
      </c>
      <c r="S482">
        <f t="shared" si="168"/>
        <v>0.37727008345355634</v>
      </c>
      <c r="T482">
        <f t="shared" si="169"/>
        <v>6000</v>
      </c>
      <c r="U482">
        <f t="shared" si="170"/>
        <v>1.5278874536821954</v>
      </c>
      <c r="V482">
        <f t="shared" si="171"/>
        <v>6.7095802432085936</v>
      </c>
      <c r="W482">
        <f t="shared" si="172"/>
        <v>6000</v>
      </c>
      <c r="X482">
        <f t="shared" si="173"/>
        <v>1.5278874536821954</v>
      </c>
      <c r="Y482">
        <f t="shared" si="174"/>
        <v>6.7095802432085936</v>
      </c>
      <c r="Z482">
        <f t="shared" si="175"/>
        <v>6000</v>
      </c>
      <c r="AA482">
        <f t="shared" si="176"/>
        <v>1.5278874536821954</v>
      </c>
      <c r="AB482">
        <f t="shared" si="177"/>
        <v>6.7095802432085936</v>
      </c>
      <c r="AC482">
        <f t="shared" si="178"/>
        <v>6000</v>
      </c>
      <c r="AD482">
        <f t="shared" si="179"/>
        <v>1.5278874536821954</v>
      </c>
      <c r="AE482">
        <f t="shared" si="180"/>
        <v>6.7095802432085936</v>
      </c>
      <c r="AF482">
        <f t="shared" si="181"/>
        <v>6000</v>
      </c>
      <c r="AG482">
        <f t="shared" si="182"/>
        <v>1.5278874536821954</v>
      </c>
      <c r="AH482">
        <f t="shared" si="183"/>
        <v>6.7095802432085936</v>
      </c>
      <c r="AI482" cm="1">
        <f t="array" ref="AI482">_xlfn.LET(
    _xlpm.vals,   _xlfn.HSTACK(S482,V482,Y482,AB482,AE482,AH482),
    _xlpm.ints,   _xlfn.HSTACK(R482,U482,X482,AA482,AD482,AG482),
    _xlpm.slopes, _xlfn.HSTACK(Q482,T482,W482,Z482,AC482,AF482),
    _xlpm.limit,  -0.00001*_xlpm.slopes + 0.1086*_xlpm.slopes + 63.253,
    _xlpm.mask,   (_xlpm.vals&gt;=0) * (_xlpm.ints&lt;=_xlpm.limit),
    _xlpm.validVals, _xlfn._xlws.FILTER(_xlpm.vals, _xlpm.mask),
    _xlpm.minVal, MIN(_xlpm.validVals),
    IFERROR( _xlfn.XMATCH(_xlpm.minVal, _xlpm.vals), "" )
)</f>
        <v>1</v>
      </c>
      <c r="AJ482" cm="1">
        <f t="array" ref="AJ482">_xlfn.LET(
    _xlpm.vals, CHOOSE({1,2,3,4,5,6}, S482, V482, Y482, AB482, AE482, AH482),
    _xlpm.slopes, CHOOSE({1,2,3,4,5,6}, Q482, T482, W482, Z482, AC482, AF482),
    _xlpm.ints, CHOOSE({1,2,3,4,5,6}, R482, U482, X482, AA482, AD482, AG482),
    _xlpm.limit, -0.00001*_xlpm.slopes + 0.1086*_xlpm.slopes + 63.253,
    _xlpm.valid, (_xlpm.vals &gt;= 0) * (_xlpm.ints &lt;= _xlpm.limit),
    _xlpm.target, MIN(_xlfn._xlws.FILTER(_xlpm.vals, _xlpm.valid)),
    IFERROR(
        _xlfn.XLOOKUP(_xlpm.target, _xlpm.vals, _xlpm.vals),
        CHOOSE({1,2,3,4,5,6}, S$1, V$1, Y$1, AB$1, AE$1, AH$1)
    )
)</f>
        <v>0.37727008345355634</v>
      </c>
    </row>
    <row r="483" spans="9:36" x14ac:dyDescent="0.45">
      <c r="I483">
        <v>481</v>
      </c>
      <c r="J483">
        <v>0</v>
      </c>
      <c r="K483">
        <f t="shared" si="162"/>
        <v>0</v>
      </c>
      <c r="L483">
        <f t="shared" si="161"/>
        <v>0</v>
      </c>
      <c r="M483">
        <v>0.31</v>
      </c>
      <c r="N483">
        <f t="shared" si="163"/>
        <v>0.31</v>
      </c>
      <c r="O483">
        <f t="shared" si="164"/>
        <v>0</v>
      </c>
      <c r="P483">
        <f t="shared" si="165"/>
        <v>0</v>
      </c>
      <c r="Q483">
        <f t="shared" si="166"/>
        <v>1000</v>
      </c>
      <c r="R483">
        <f t="shared" si="167"/>
        <v>2.9602819415092534</v>
      </c>
      <c r="S483">
        <f t="shared" si="168"/>
        <v>0.33732171986522552</v>
      </c>
      <c r="T483">
        <f t="shared" si="169"/>
        <v>6000</v>
      </c>
      <c r="U483">
        <f t="shared" si="170"/>
        <v>0.49338032358487555</v>
      </c>
      <c r="V483">
        <f t="shared" si="171"/>
        <v>6.7030362007078299</v>
      </c>
      <c r="W483">
        <f t="shared" si="172"/>
        <v>6000</v>
      </c>
      <c r="X483">
        <f t="shared" si="173"/>
        <v>0.49338032358487555</v>
      </c>
      <c r="Y483">
        <f t="shared" si="174"/>
        <v>6.7030362007078299</v>
      </c>
      <c r="Z483">
        <f t="shared" si="175"/>
        <v>6000</v>
      </c>
      <c r="AA483">
        <f t="shared" si="176"/>
        <v>0.49338032358487555</v>
      </c>
      <c r="AB483">
        <f t="shared" si="177"/>
        <v>6.7030362007078299</v>
      </c>
      <c r="AC483">
        <f t="shared" si="178"/>
        <v>6000</v>
      </c>
      <c r="AD483">
        <f t="shared" si="179"/>
        <v>0.49338032358487555</v>
      </c>
      <c r="AE483">
        <f t="shared" si="180"/>
        <v>6.7030362007078299</v>
      </c>
      <c r="AF483">
        <f t="shared" si="181"/>
        <v>6000</v>
      </c>
      <c r="AG483">
        <f t="shared" si="182"/>
        <v>0.49338032358487555</v>
      </c>
      <c r="AH483">
        <f t="shared" si="183"/>
        <v>6.7030362007078299</v>
      </c>
      <c r="AI483" cm="1">
        <f t="array" ref="AI483">_xlfn.LET(
    _xlpm.vals,   _xlfn.HSTACK(S483,V483,Y483,AB483,AE483,AH483),
    _xlpm.ints,   _xlfn.HSTACK(R483,U483,X483,AA483,AD483,AG483),
    _xlpm.slopes, _xlfn.HSTACK(Q483,T483,W483,Z483,AC483,AF483),
    _xlpm.limit,  -0.00001*_xlpm.slopes + 0.1086*_xlpm.slopes + 63.253,
    _xlpm.mask,   (_xlpm.vals&gt;=0) * (_xlpm.ints&lt;=_xlpm.limit),
    _xlpm.validVals, _xlfn._xlws.FILTER(_xlpm.vals, _xlpm.mask),
    _xlpm.minVal, MIN(_xlpm.validVals),
    IFERROR( _xlfn.XMATCH(_xlpm.minVal, _xlpm.vals), "" )
)</f>
        <v>1</v>
      </c>
      <c r="AJ483" cm="1">
        <f t="array" ref="AJ483">_xlfn.LET(
    _xlpm.vals, CHOOSE({1,2,3,4,5,6}, S483, V483, Y483, AB483, AE483, AH483),
    _xlpm.slopes, CHOOSE({1,2,3,4,5,6}, Q483, T483, W483, Z483, AC483, AF483),
    _xlpm.ints, CHOOSE({1,2,3,4,5,6}, R483, U483, X483, AA483, AD483, AG483),
    _xlpm.limit, -0.00001*_xlpm.slopes + 0.1086*_xlpm.slopes + 63.253,
    _xlpm.valid, (_xlpm.vals &gt;= 0) * (_xlpm.ints &lt;= _xlpm.limit),
    _xlpm.target, MIN(_xlfn._xlws.FILTER(_xlpm.vals, _xlpm.valid)),
    IFERROR(
        _xlfn.XLOOKUP(_xlpm.target, _xlpm.vals, _xlpm.vals),
        CHOOSE({1,2,3,4,5,6}, S$1, V$1, Y$1, AB$1, AE$1, AH$1)
    )
)</f>
        <v>0.33732171986522552</v>
      </c>
    </row>
    <row r="484" spans="9:36" x14ac:dyDescent="0.45">
      <c r="I484">
        <v>482</v>
      </c>
      <c r="J484">
        <v>0</v>
      </c>
      <c r="K484">
        <f t="shared" si="162"/>
        <v>0</v>
      </c>
      <c r="L484">
        <f t="shared" si="161"/>
        <v>0</v>
      </c>
      <c r="M484">
        <v>0.43</v>
      </c>
      <c r="N484">
        <f t="shared" si="163"/>
        <v>0.43</v>
      </c>
      <c r="O484">
        <f t="shared" si="164"/>
        <v>0</v>
      </c>
      <c r="P484">
        <f t="shared" si="165"/>
        <v>0</v>
      </c>
      <c r="Q484">
        <f t="shared" si="166"/>
        <v>1000</v>
      </c>
      <c r="R484">
        <f t="shared" si="167"/>
        <v>4.1061975317709001</v>
      </c>
      <c r="S484">
        <f t="shared" si="168"/>
        <v>0.3443483226093097</v>
      </c>
      <c r="T484">
        <f t="shared" si="169"/>
        <v>6000</v>
      </c>
      <c r="U484">
        <f t="shared" si="170"/>
        <v>0.68436625529514994</v>
      </c>
      <c r="V484">
        <f t="shared" si="171"/>
        <v>6.7042175271462616</v>
      </c>
      <c r="W484">
        <f t="shared" si="172"/>
        <v>6000</v>
      </c>
      <c r="X484">
        <f t="shared" si="173"/>
        <v>0.68436625529514994</v>
      </c>
      <c r="Y484">
        <f t="shared" si="174"/>
        <v>6.7042175271462616</v>
      </c>
      <c r="Z484">
        <f t="shared" si="175"/>
        <v>6000</v>
      </c>
      <c r="AA484">
        <f t="shared" si="176"/>
        <v>0.68436625529514994</v>
      </c>
      <c r="AB484">
        <f t="shared" si="177"/>
        <v>6.7042175271462616</v>
      </c>
      <c r="AC484">
        <f t="shared" si="178"/>
        <v>6000</v>
      </c>
      <c r="AD484">
        <f t="shared" si="179"/>
        <v>0.68436625529514994</v>
      </c>
      <c r="AE484">
        <f t="shared" si="180"/>
        <v>6.7042175271462616</v>
      </c>
      <c r="AF484">
        <f t="shared" si="181"/>
        <v>6000</v>
      </c>
      <c r="AG484">
        <f t="shared" si="182"/>
        <v>0.68436625529514994</v>
      </c>
      <c r="AH484">
        <f t="shared" si="183"/>
        <v>6.7042175271462616</v>
      </c>
      <c r="AI484" cm="1">
        <f t="array" ref="AI484">_xlfn.LET(
    _xlpm.vals,   _xlfn.HSTACK(S484,V484,Y484,AB484,AE484,AH484),
    _xlpm.ints,   _xlfn.HSTACK(R484,U484,X484,AA484,AD484,AG484),
    _xlpm.slopes, _xlfn.HSTACK(Q484,T484,W484,Z484,AC484,AF484),
    _xlpm.limit,  -0.00001*_xlpm.slopes + 0.1086*_xlpm.slopes + 63.253,
    _xlpm.mask,   (_xlpm.vals&gt;=0) * (_xlpm.ints&lt;=_xlpm.limit),
    _xlpm.validVals, _xlfn._xlws.FILTER(_xlpm.vals, _xlpm.mask),
    _xlpm.minVal, MIN(_xlpm.validVals),
    IFERROR( _xlfn.XMATCH(_xlpm.minVal, _xlpm.vals), "" )
)</f>
        <v>1</v>
      </c>
      <c r="AJ484" cm="1">
        <f t="array" ref="AJ484">_xlfn.LET(
    _xlpm.vals, CHOOSE({1,2,3,4,5,6}, S484, V484, Y484, AB484, AE484, AH484),
    _xlpm.slopes, CHOOSE({1,2,3,4,5,6}, Q484, T484, W484, Z484, AC484, AF484),
    _xlpm.ints, CHOOSE({1,2,3,4,5,6}, R484, U484, X484, AA484, AD484, AG484),
    _xlpm.limit, -0.00001*_xlpm.slopes + 0.1086*_xlpm.slopes + 63.253,
    _xlpm.valid, (_xlpm.vals &gt;= 0) * (_xlpm.ints &lt;= _xlpm.limit),
    _xlpm.target, MIN(_xlfn._xlws.FILTER(_xlpm.vals, _xlpm.valid)),
    IFERROR(
        _xlfn.XLOOKUP(_xlpm.target, _xlpm.vals, _xlpm.vals),
        CHOOSE({1,2,3,4,5,6}, S$1, V$1, Y$1, AB$1, AE$1, AH$1)
    )
)</f>
        <v>0.3443483226093097</v>
      </c>
    </row>
    <row r="485" spans="9:36" x14ac:dyDescent="0.45">
      <c r="I485">
        <v>483</v>
      </c>
      <c r="J485">
        <v>0</v>
      </c>
      <c r="K485">
        <f t="shared" si="162"/>
        <v>0</v>
      </c>
      <c r="L485">
        <f t="shared" si="161"/>
        <v>0</v>
      </c>
      <c r="M485">
        <v>0.88</v>
      </c>
      <c r="N485">
        <f t="shared" si="163"/>
        <v>0.88</v>
      </c>
      <c r="O485">
        <f t="shared" si="164"/>
        <v>0</v>
      </c>
      <c r="P485">
        <f t="shared" si="165"/>
        <v>0</v>
      </c>
      <c r="Q485">
        <f t="shared" si="166"/>
        <v>1000</v>
      </c>
      <c r="R485">
        <f t="shared" si="167"/>
        <v>8.4033809952520748</v>
      </c>
      <c r="S485">
        <f t="shared" si="168"/>
        <v>0.37210972272073473</v>
      </c>
      <c r="T485">
        <f t="shared" si="169"/>
        <v>6000</v>
      </c>
      <c r="U485">
        <f t="shared" si="170"/>
        <v>1.4005634992086791</v>
      </c>
      <c r="V485">
        <f t="shared" si="171"/>
        <v>6.7087556330534337</v>
      </c>
      <c r="W485">
        <f t="shared" si="172"/>
        <v>6000</v>
      </c>
      <c r="X485">
        <f t="shared" si="173"/>
        <v>1.4005634992086791</v>
      </c>
      <c r="Y485">
        <f t="shared" si="174"/>
        <v>6.7087556330534337</v>
      </c>
      <c r="Z485">
        <f t="shared" si="175"/>
        <v>6000</v>
      </c>
      <c r="AA485">
        <f t="shared" si="176"/>
        <v>1.4005634992086791</v>
      </c>
      <c r="AB485">
        <f t="shared" si="177"/>
        <v>6.7087556330534337</v>
      </c>
      <c r="AC485">
        <f t="shared" si="178"/>
        <v>6000</v>
      </c>
      <c r="AD485">
        <f t="shared" si="179"/>
        <v>1.4005634992086791</v>
      </c>
      <c r="AE485">
        <f t="shared" si="180"/>
        <v>6.7087556330534337</v>
      </c>
      <c r="AF485">
        <f t="shared" si="181"/>
        <v>6000</v>
      </c>
      <c r="AG485">
        <f t="shared" si="182"/>
        <v>1.4005634992086791</v>
      </c>
      <c r="AH485">
        <f t="shared" si="183"/>
        <v>6.7087556330534337</v>
      </c>
      <c r="AI485" cm="1">
        <f t="array" ref="AI485">_xlfn.LET(
    _xlpm.vals,   _xlfn.HSTACK(S485,V485,Y485,AB485,AE485,AH485),
    _xlpm.ints,   _xlfn.HSTACK(R485,U485,X485,AA485,AD485,AG485),
    _xlpm.slopes, _xlfn.HSTACK(Q485,T485,W485,Z485,AC485,AF485),
    _xlpm.limit,  -0.00001*_xlpm.slopes + 0.1086*_xlpm.slopes + 63.253,
    _xlpm.mask,   (_xlpm.vals&gt;=0) * (_xlpm.ints&lt;=_xlpm.limit),
    _xlpm.validVals, _xlfn._xlws.FILTER(_xlpm.vals, _xlpm.mask),
    _xlpm.minVal, MIN(_xlpm.validVals),
    IFERROR( _xlfn.XMATCH(_xlpm.minVal, _xlpm.vals), "" )
)</f>
        <v>1</v>
      </c>
      <c r="AJ485" cm="1">
        <f t="array" ref="AJ485">_xlfn.LET(
    _xlpm.vals, CHOOSE({1,2,3,4,5,6}, S485, V485, Y485, AB485, AE485, AH485),
    _xlpm.slopes, CHOOSE({1,2,3,4,5,6}, Q485, T485, W485, Z485, AC485, AF485),
    _xlpm.ints, CHOOSE({1,2,3,4,5,6}, R485, U485, X485, AA485, AD485, AG485),
    _xlpm.limit, -0.00001*_xlpm.slopes + 0.1086*_xlpm.slopes + 63.253,
    _xlpm.valid, (_xlpm.vals &gt;= 0) * (_xlpm.ints &lt;= _xlpm.limit),
    _xlpm.target, MIN(_xlfn._xlws.FILTER(_xlpm.vals, _xlpm.valid)),
    IFERROR(
        _xlfn.XLOOKUP(_xlpm.target, _xlpm.vals, _xlpm.vals),
        CHOOSE({1,2,3,4,5,6}, S$1, V$1, Y$1, AB$1, AE$1, AH$1)
    )
)</f>
        <v>0.37210972272073473</v>
      </c>
    </row>
    <row r="486" spans="9:36" x14ac:dyDescent="0.45">
      <c r="I486">
        <v>484</v>
      </c>
      <c r="J486">
        <v>0</v>
      </c>
      <c r="K486">
        <f t="shared" si="162"/>
        <v>0</v>
      </c>
      <c r="L486">
        <f t="shared" si="161"/>
        <v>0</v>
      </c>
      <c r="M486">
        <v>0.3</v>
      </c>
      <c r="N486">
        <f t="shared" si="163"/>
        <v>0.3</v>
      </c>
      <c r="O486">
        <f t="shared" si="164"/>
        <v>0</v>
      </c>
      <c r="P486">
        <f t="shared" si="165"/>
        <v>0</v>
      </c>
      <c r="Q486">
        <f t="shared" si="166"/>
        <v>1000</v>
      </c>
      <c r="R486">
        <f t="shared" si="167"/>
        <v>2.8647889756541165</v>
      </c>
      <c r="S486">
        <f t="shared" si="168"/>
        <v>0.33674355249062438</v>
      </c>
      <c r="T486">
        <f t="shared" si="169"/>
        <v>6000</v>
      </c>
      <c r="U486">
        <f t="shared" si="170"/>
        <v>0.47746482927568601</v>
      </c>
      <c r="V486">
        <f t="shared" si="171"/>
        <v>6.702938305931335</v>
      </c>
      <c r="W486">
        <f t="shared" si="172"/>
        <v>6000</v>
      </c>
      <c r="X486">
        <f t="shared" si="173"/>
        <v>0.47746482927568601</v>
      </c>
      <c r="Y486">
        <f t="shared" si="174"/>
        <v>6.702938305931335</v>
      </c>
      <c r="Z486">
        <f t="shared" si="175"/>
        <v>6000</v>
      </c>
      <c r="AA486">
        <f t="shared" si="176"/>
        <v>0.47746482927568601</v>
      </c>
      <c r="AB486">
        <f t="shared" si="177"/>
        <v>6.702938305931335</v>
      </c>
      <c r="AC486">
        <f t="shared" si="178"/>
        <v>6000</v>
      </c>
      <c r="AD486">
        <f t="shared" si="179"/>
        <v>0.47746482927568601</v>
      </c>
      <c r="AE486">
        <f t="shared" si="180"/>
        <v>6.702938305931335</v>
      </c>
      <c r="AF486">
        <f t="shared" si="181"/>
        <v>6000</v>
      </c>
      <c r="AG486">
        <f t="shared" si="182"/>
        <v>0.47746482927568601</v>
      </c>
      <c r="AH486">
        <f t="shared" si="183"/>
        <v>6.702938305931335</v>
      </c>
      <c r="AI486" cm="1">
        <f t="array" ref="AI486">_xlfn.LET(
    _xlpm.vals,   _xlfn.HSTACK(S486,V486,Y486,AB486,AE486,AH486),
    _xlpm.ints,   _xlfn.HSTACK(R486,U486,X486,AA486,AD486,AG486),
    _xlpm.slopes, _xlfn.HSTACK(Q486,T486,W486,Z486,AC486,AF486),
    _xlpm.limit,  -0.00001*_xlpm.slopes + 0.1086*_xlpm.slopes + 63.253,
    _xlpm.mask,   (_xlpm.vals&gt;=0) * (_xlpm.ints&lt;=_xlpm.limit),
    _xlpm.validVals, _xlfn._xlws.FILTER(_xlpm.vals, _xlpm.mask),
    _xlpm.minVal, MIN(_xlpm.validVals),
    IFERROR( _xlfn.XMATCH(_xlpm.minVal, _xlpm.vals), "" )
)</f>
        <v>1</v>
      </c>
      <c r="AJ486" cm="1">
        <f t="array" ref="AJ486">_xlfn.LET(
    _xlpm.vals, CHOOSE({1,2,3,4,5,6}, S486, V486, Y486, AB486, AE486, AH486),
    _xlpm.slopes, CHOOSE({1,2,3,4,5,6}, Q486, T486, W486, Z486, AC486, AF486),
    _xlpm.ints, CHOOSE({1,2,3,4,5,6}, R486, U486, X486, AA486, AD486, AG486),
    _xlpm.limit, -0.00001*_xlpm.slopes + 0.1086*_xlpm.slopes + 63.253,
    _xlpm.valid, (_xlpm.vals &gt;= 0) * (_xlpm.ints &lt;= _xlpm.limit),
    _xlpm.target, MIN(_xlfn._xlws.FILTER(_xlpm.vals, _xlpm.valid)),
    IFERROR(
        _xlfn.XLOOKUP(_xlpm.target, _xlpm.vals, _xlpm.vals),
        CHOOSE({1,2,3,4,5,6}, S$1, V$1, Y$1, AB$1, AE$1, AH$1)
    )
)</f>
        <v>0.33674355249062438</v>
      </c>
    </row>
    <row r="487" spans="9:36" x14ac:dyDescent="0.45">
      <c r="I487">
        <v>485</v>
      </c>
      <c r="J487">
        <v>0.3</v>
      </c>
      <c r="K487">
        <f t="shared" si="162"/>
        <v>0.3</v>
      </c>
      <c r="L487">
        <f t="shared" si="161"/>
        <v>8.3333333333333331E-5</v>
      </c>
      <c r="M487">
        <v>1.04</v>
      </c>
      <c r="N487">
        <f t="shared" si="163"/>
        <v>1.04</v>
      </c>
      <c r="O487">
        <f t="shared" si="164"/>
        <v>3.898554836153473</v>
      </c>
      <c r="P487">
        <f t="shared" si="165"/>
        <v>12.475375475691115</v>
      </c>
      <c r="Q487">
        <f t="shared" si="166"/>
        <v>1000</v>
      </c>
      <c r="R487">
        <f t="shared" si="167"/>
        <v>9.9312684489342704</v>
      </c>
      <c r="S487">
        <f t="shared" si="168"/>
        <v>0.38249600432519959</v>
      </c>
      <c r="T487">
        <f t="shared" si="169"/>
        <v>6000</v>
      </c>
      <c r="U487">
        <f t="shared" si="170"/>
        <v>1.6552114081557117</v>
      </c>
      <c r="V487">
        <f t="shared" si="171"/>
        <v>6.7104102268004064</v>
      </c>
      <c r="W487">
        <f t="shared" si="172"/>
        <v>6000</v>
      </c>
      <c r="X487">
        <f t="shared" si="173"/>
        <v>1.6552114081557117</v>
      </c>
      <c r="Y487">
        <f t="shared" si="174"/>
        <v>6.7104102268004064</v>
      </c>
      <c r="Z487">
        <f t="shared" si="175"/>
        <v>6000</v>
      </c>
      <c r="AA487">
        <f t="shared" si="176"/>
        <v>1.6552114081557117</v>
      </c>
      <c r="AB487">
        <f t="shared" si="177"/>
        <v>6.7104102268004064</v>
      </c>
      <c r="AC487">
        <f t="shared" si="178"/>
        <v>6000</v>
      </c>
      <c r="AD487">
        <f t="shared" si="179"/>
        <v>1.6552114081557117</v>
      </c>
      <c r="AE487">
        <f t="shared" si="180"/>
        <v>6.7104102268004064</v>
      </c>
      <c r="AF487">
        <f t="shared" si="181"/>
        <v>6000</v>
      </c>
      <c r="AG487">
        <f t="shared" si="182"/>
        <v>1.6552114081557117</v>
      </c>
      <c r="AH487">
        <f t="shared" si="183"/>
        <v>6.7104102268004064</v>
      </c>
      <c r="AI487" cm="1">
        <f t="array" ref="AI487">_xlfn.LET(
    _xlpm.vals,   _xlfn.HSTACK(S487,V487,Y487,AB487,AE487,AH487),
    _xlpm.ints,   _xlfn.HSTACK(R487,U487,X487,AA487,AD487,AG487),
    _xlpm.slopes, _xlfn.HSTACK(Q487,T487,W487,Z487,AC487,AF487),
    _xlpm.limit,  -0.00001*_xlpm.slopes + 0.1086*_xlpm.slopes + 63.253,
    _xlpm.mask,   (_xlpm.vals&gt;=0) * (_xlpm.ints&lt;=_xlpm.limit),
    _xlpm.validVals, _xlfn._xlws.FILTER(_xlpm.vals, _xlpm.mask),
    _xlpm.minVal, MIN(_xlpm.validVals),
    IFERROR( _xlfn.XMATCH(_xlpm.minVal, _xlpm.vals), "" )
)</f>
        <v>1</v>
      </c>
      <c r="AJ487" cm="1">
        <f t="array" ref="AJ487">_xlfn.LET(
    _xlpm.vals, CHOOSE({1,2,3,4,5,6}, S487, V487, Y487, AB487, AE487, AH487),
    _xlpm.slopes, CHOOSE({1,2,3,4,5,6}, Q487, T487, W487, Z487, AC487, AF487),
    _xlpm.ints, CHOOSE({1,2,3,4,5,6}, R487, U487, X487, AA487, AD487, AG487),
    _xlpm.limit, -0.00001*_xlpm.slopes + 0.1086*_xlpm.slopes + 63.253,
    _xlpm.valid, (_xlpm.vals &gt;= 0) * (_xlpm.ints &lt;= _xlpm.limit),
    _xlpm.target, MIN(_xlfn._xlws.FILTER(_xlpm.vals, _xlpm.valid)),
    IFERROR(
        _xlfn.XLOOKUP(_xlpm.target, _xlpm.vals, _xlpm.vals),
        CHOOSE({1,2,3,4,5,6}, S$1, V$1, Y$1, AB$1, AE$1, AH$1)
    )
)</f>
        <v>0.38249600432519959</v>
      </c>
    </row>
    <row r="488" spans="9:36" x14ac:dyDescent="0.45">
      <c r="I488">
        <v>486</v>
      </c>
      <c r="J488">
        <v>1.5</v>
      </c>
      <c r="K488">
        <f t="shared" si="162"/>
        <v>1.5</v>
      </c>
      <c r="L488">
        <f t="shared" si="161"/>
        <v>4.1666666666666664E-4</v>
      </c>
      <c r="M488">
        <v>0.9</v>
      </c>
      <c r="N488">
        <f t="shared" si="163"/>
        <v>0.9</v>
      </c>
      <c r="O488">
        <f t="shared" si="164"/>
        <v>19.49277418076737</v>
      </c>
      <c r="P488">
        <f t="shared" si="165"/>
        <v>62.376877378455589</v>
      </c>
      <c r="Q488">
        <f t="shared" si="166"/>
        <v>1000</v>
      </c>
      <c r="R488">
        <f t="shared" si="167"/>
        <v>8.5943669269623495</v>
      </c>
      <c r="S488">
        <f t="shared" si="168"/>
        <v>0.37339361576315994</v>
      </c>
      <c r="T488">
        <f t="shared" si="169"/>
        <v>6000</v>
      </c>
      <c r="U488">
        <f t="shared" si="170"/>
        <v>1.432394487827058</v>
      </c>
      <c r="V488">
        <f t="shared" si="171"/>
        <v>6.7089612815969923</v>
      </c>
      <c r="W488">
        <f t="shared" si="172"/>
        <v>6000</v>
      </c>
      <c r="X488">
        <f t="shared" si="173"/>
        <v>1.432394487827058</v>
      </c>
      <c r="Y488">
        <f t="shared" si="174"/>
        <v>6.7089612815969923</v>
      </c>
      <c r="Z488">
        <f t="shared" si="175"/>
        <v>6000</v>
      </c>
      <c r="AA488">
        <f t="shared" si="176"/>
        <v>1.432394487827058</v>
      </c>
      <c r="AB488">
        <f t="shared" si="177"/>
        <v>6.7089612815969923</v>
      </c>
      <c r="AC488">
        <f t="shared" si="178"/>
        <v>6000</v>
      </c>
      <c r="AD488">
        <f t="shared" si="179"/>
        <v>1.432394487827058</v>
      </c>
      <c r="AE488">
        <f t="shared" si="180"/>
        <v>6.7089612815969923</v>
      </c>
      <c r="AF488">
        <f t="shared" si="181"/>
        <v>6000</v>
      </c>
      <c r="AG488">
        <f t="shared" si="182"/>
        <v>1.432394487827058</v>
      </c>
      <c r="AH488">
        <f t="shared" si="183"/>
        <v>6.7089612815969923</v>
      </c>
      <c r="AI488" cm="1">
        <f t="array" ref="AI488">_xlfn.LET(
    _xlpm.vals,   _xlfn.HSTACK(S488,V488,Y488,AB488,AE488,AH488),
    _xlpm.ints,   _xlfn.HSTACK(R488,U488,X488,AA488,AD488,AG488),
    _xlpm.slopes, _xlfn.HSTACK(Q488,T488,W488,Z488,AC488,AF488),
    _xlpm.limit,  -0.00001*_xlpm.slopes + 0.1086*_xlpm.slopes + 63.253,
    _xlpm.mask,   (_xlpm.vals&gt;=0) * (_xlpm.ints&lt;=_xlpm.limit),
    _xlpm.validVals, _xlfn._xlws.FILTER(_xlpm.vals, _xlpm.mask),
    _xlpm.minVal, MIN(_xlpm.validVals),
    IFERROR( _xlfn.XMATCH(_xlpm.minVal, _xlpm.vals), "" )
)</f>
        <v>1</v>
      </c>
      <c r="AJ488" cm="1">
        <f t="array" ref="AJ488">_xlfn.LET(
    _xlpm.vals, CHOOSE({1,2,3,4,5,6}, S488, V488, Y488, AB488, AE488, AH488),
    _xlpm.slopes, CHOOSE({1,2,3,4,5,6}, Q488, T488, W488, Z488, AC488, AF488),
    _xlpm.ints, CHOOSE({1,2,3,4,5,6}, R488, U488, X488, AA488, AD488, AG488),
    _xlpm.limit, -0.00001*_xlpm.slopes + 0.1086*_xlpm.slopes + 63.253,
    _xlpm.valid, (_xlpm.vals &gt;= 0) * (_xlpm.ints &lt;= _xlpm.limit),
    _xlpm.target, MIN(_xlfn._xlws.FILTER(_xlpm.vals, _xlpm.valid)),
    IFERROR(
        _xlfn.XLOOKUP(_xlpm.target, _xlpm.vals, _xlpm.vals),
        CHOOSE({1,2,3,4,5,6}, S$1, V$1, Y$1, AB$1, AE$1, AH$1)
    )
)</f>
        <v>0.37339361576315994</v>
      </c>
    </row>
    <row r="489" spans="9:36" x14ac:dyDescent="0.45">
      <c r="I489">
        <v>487</v>
      </c>
      <c r="J489">
        <v>3.6</v>
      </c>
      <c r="K489">
        <f t="shared" si="162"/>
        <v>3.6</v>
      </c>
      <c r="L489">
        <f t="shared" si="161"/>
        <v>1E-3</v>
      </c>
      <c r="M489">
        <v>2.4900000000000002</v>
      </c>
      <c r="N489">
        <f t="shared" si="163"/>
        <v>2.4900000000000002</v>
      </c>
      <c r="O489">
        <f t="shared" si="164"/>
        <v>46.782658033841685</v>
      </c>
      <c r="P489">
        <f t="shared" si="165"/>
        <v>149.7045057082934</v>
      </c>
      <c r="Q489">
        <f t="shared" si="166"/>
        <v>1000</v>
      </c>
      <c r="R489">
        <f t="shared" si="167"/>
        <v>23.777748497929167</v>
      </c>
      <c r="S489">
        <f t="shared" si="168"/>
        <v>0.48749703077456702</v>
      </c>
      <c r="T489">
        <f t="shared" si="169"/>
        <v>6000</v>
      </c>
      <c r="U489">
        <f t="shared" si="170"/>
        <v>3.9629580829881941</v>
      </c>
      <c r="V489">
        <f t="shared" si="171"/>
        <v>6.7263799972836873</v>
      </c>
      <c r="W489">
        <f t="shared" si="172"/>
        <v>6000</v>
      </c>
      <c r="X489">
        <f t="shared" si="173"/>
        <v>3.9629580829881941</v>
      </c>
      <c r="Y489">
        <f t="shared" si="174"/>
        <v>6.7263799972836873</v>
      </c>
      <c r="Z489">
        <f t="shared" si="175"/>
        <v>6000</v>
      </c>
      <c r="AA489">
        <f t="shared" si="176"/>
        <v>3.9629580829881941</v>
      </c>
      <c r="AB489">
        <f t="shared" si="177"/>
        <v>6.7263799972836873</v>
      </c>
      <c r="AC489">
        <f t="shared" si="178"/>
        <v>6000</v>
      </c>
      <c r="AD489">
        <f t="shared" si="179"/>
        <v>3.9629580829881941</v>
      </c>
      <c r="AE489">
        <f t="shared" si="180"/>
        <v>6.7263799972836873</v>
      </c>
      <c r="AF489">
        <f t="shared" si="181"/>
        <v>6000</v>
      </c>
      <c r="AG489">
        <f t="shared" si="182"/>
        <v>3.9629580829881941</v>
      </c>
      <c r="AH489">
        <f t="shared" si="183"/>
        <v>6.7263799972836873</v>
      </c>
      <c r="AI489" cm="1">
        <f t="array" ref="AI489">_xlfn.LET(
    _xlpm.vals,   _xlfn.HSTACK(S489,V489,Y489,AB489,AE489,AH489),
    _xlpm.ints,   _xlfn.HSTACK(R489,U489,X489,AA489,AD489,AG489),
    _xlpm.slopes, _xlfn.HSTACK(Q489,T489,W489,Z489,AC489,AF489),
    _xlpm.limit,  -0.00001*_xlpm.slopes + 0.1086*_xlpm.slopes + 63.253,
    _xlpm.mask,   (_xlpm.vals&gt;=0) * (_xlpm.ints&lt;=_xlpm.limit),
    _xlpm.validVals, _xlfn._xlws.FILTER(_xlpm.vals, _xlpm.mask),
    _xlpm.minVal, MIN(_xlpm.validVals),
    IFERROR( _xlfn.XMATCH(_xlpm.minVal, _xlpm.vals), "" )
)</f>
        <v>1</v>
      </c>
      <c r="AJ489" cm="1">
        <f t="array" ref="AJ489">_xlfn.LET(
    _xlpm.vals, CHOOSE({1,2,3,4,5,6}, S489, V489, Y489, AB489, AE489, AH489),
    _xlpm.slopes, CHOOSE({1,2,3,4,5,6}, Q489, T489, W489, Z489, AC489, AF489),
    _xlpm.ints, CHOOSE({1,2,3,4,5,6}, R489, U489, X489, AA489, AD489, AG489),
    _xlpm.limit, -0.00001*_xlpm.slopes + 0.1086*_xlpm.slopes + 63.253,
    _xlpm.valid, (_xlpm.vals &gt;= 0) * (_xlpm.ints &lt;= _xlpm.limit),
    _xlpm.target, MIN(_xlfn._xlws.FILTER(_xlpm.vals, _xlpm.valid)),
    IFERROR(
        _xlfn.XLOOKUP(_xlpm.target, _xlpm.vals, _xlpm.vals),
        CHOOSE({1,2,3,4,5,6}, S$1, V$1, Y$1, AB$1, AE$1, AH$1)
    )
)</f>
        <v>0.48749703077456702</v>
      </c>
    </row>
    <row r="490" spans="9:36" x14ac:dyDescent="0.45">
      <c r="I490">
        <v>488</v>
      </c>
      <c r="J490">
        <v>5.5</v>
      </c>
      <c r="K490">
        <f t="shared" si="162"/>
        <v>5.5</v>
      </c>
      <c r="L490">
        <f t="shared" si="161"/>
        <v>1.5277777777777779E-3</v>
      </c>
      <c r="M490">
        <v>5.22</v>
      </c>
      <c r="N490">
        <f t="shared" si="163"/>
        <v>5.22</v>
      </c>
      <c r="O490">
        <f t="shared" si="164"/>
        <v>71.473505329480346</v>
      </c>
      <c r="P490">
        <f t="shared" si="165"/>
        <v>228.71521705433713</v>
      </c>
      <c r="Q490">
        <f t="shared" si="166"/>
        <v>1047.5156941088642</v>
      </c>
      <c r="R490">
        <f t="shared" si="167"/>
        <v>47.586235181695699</v>
      </c>
      <c r="S490">
        <f t="shared" si="168"/>
        <v>0.72748759201554314</v>
      </c>
      <c r="T490">
        <f t="shared" si="169"/>
        <v>6000</v>
      </c>
      <c r="U490">
        <f t="shared" si="170"/>
        <v>8.3078880293969366</v>
      </c>
      <c r="V490">
        <f t="shared" si="171"/>
        <v>6.7611438065406455</v>
      </c>
      <c r="W490">
        <f t="shared" si="172"/>
        <v>6000</v>
      </c>
      <c r="X490">
        <f t="shared" si="173"/>
        <v>8.3078880293969366</v>
      </c>
      <c r="Y490">
        <f t="shared" si="174"/>
        <v>6.7611438065406455</v>
      </c>
      <c r="Z490">
        <f t="shared" si="175"/>
        <v>6000</v>
      </c>
      <c r="AA490">
        <f t="shared" si="176"/>
        <v>8.3078880293969366</v>
      </c>
      <c r="AB490">
        <f t="shared" si="177"/>
        <v>6.7611438065406455</v>
      </c>
      <c r="AC490">
        <f t="shared" si="178"/>
        <v>6000</v>
      </c>
      <c r="AD490">
        <f t="shared" si="179"/>
        <v>8.3078880293969366</v>
      </c>
      <c r="AE490">
        <f t="shared" si="180"/>
        <v>6.7611438065406455</v>
      </c>
      <c r="AF490">
        <f t="shared" si="181"/>
        <v>6000</v>
      </c>
      <c r="AG490">
        <f t="shared" si="182"/>
        <v>8.3078880293969366</v>
      </c>
      <c r="AH490">
        <f t="shared" si="183"/>
        <v>6.7611438065406455</v>
      </c>
      <c r="AI490" cm="1">
        <f t="array" ref="AI490">_xlfn.LET(
    _xlpm.vals,   _xlfn.HSTACK(S490,V490,Y490,AB490,AE490,AH490),
    _xlpm.ints,   _xlfn.HSTACK(R490,U490,X490,AA490,AD490,AG490),
    _xlpm.slopes, _xlfn.HSTACK(Q490,T490,W490,Z490,AC490,AF490),
    _xlpm.limit,  -0.00001*_xlpm.slopes + 0.1086*_xlpm.slopes + 63.253,
    _xlpm.mask,   (_xlpm.vals&gt;=0) * (_xlpm.ints&lt;=_xlpm.limit),
    _xlpm.validVals, _xlfn._xlws.FILTER(_xlpm.vals, _xlpm.mask),
    _xlpm.minVal, MIN(_xlpm.validVals),
    IFERROR( _xlfn.XMATCH(_xlpm.minVal, _xlpm.vals), "" )
)</f>
        <v>1</v>
      </c>
      <c r="AJ490" cm="1">
        <f t="array" ref="AJ490">_xlfn.LET(
    _xlpm.vals, CHOOSE({1,2,3,4,5,6}, S490, V490, Y490, AB490, AE490, AH490),
    _xlpm.slopes, CHOOSE({1,2,3,4,5,6}, Q490, T490, W490, Z490, AC490, AF490),
    _xlpm.ints, CHOOSE({1,2,3,4,5,6}, R490, U490, X490, AA490, AD490, AG490),
    _xlpm.limit, -0.00001*_xlpm.slopes + 0.1086*_xlpm.slopes + 63.253,
    _xlpm.valid, (_xlpm.vals &gt;= 0) * (_xlpm.ints &lt;= _xlpm.limit),
    _xlpm.target, MIN(_xlfn._xlws.FILTER(_xlpm.vals, _xlpm.valid)),
    IFERROR(
        _xlfn.XLOOKUP(_xlpm.target, _xlpm.vals, _xlpm.vals),
        CHOOSE({1,2,3,4,5,6}, S$1, V$1, Y$1, AB$1, AE$1, AH$1)
    )
)</f>
        <v>0.72748759201554314</v>
      </c>
    </row>
    <row r="491" spans="9:36" x14ac:dyDescent="0.45">
      <c r="I491">
        <v>489</v>
      </c>
      <c r="J491">
        <v>7.2</v>
      </c>
      <c r="K491">
        <f t="shared" si="162"/>
        <v>7.2</v>
      </c>
      <c r="L491">
        <f t="shared" si="161"/>
        <v>2E-3</v>
      </c>
      <c r="M491">
        <v>9.7100000000000009</v>
      </c>
      <c r="N491">
        <f t="shared" si="163"/>
        <v>9.7100000000000009</v>
      </c>
      <c r="O491">
        <f t="shared" si="164"/>
        <v>93.565316067683369</v>
      </c>
      <c r="P491">
        <f t="shared" si="165"/>
        <v>299.40901141658679</v>
      </c>
      <c r="Q491">
        <f t="shared" si="166"/>
        <v>1371.2932722879675</v>
      </c>
      <c r="R491">
        <f t="shared" si="167"/>
        <v>67.617680126608633</v>
      </c>
      <c r="S491">
        <f t="shared" si="168"/>
        <v>1.1557013902534539</v>
      </c>
      <c r="T491">
        <f t="shared" si="169"/>
        <v>6000</v>
      </c>
      <c r="U491">
        <f t="shared" si="170"/>
        <v>15.453944974223038</v>
      </c>
      <c r="V491">
        <f t="shared" si="171"/>
        <v>6.8312675675463614</v>
      </c>
      <c r="W491">
        <f t="shared" si="172"/>
        <v>6000</v>
      </c>
      <c r="X491">
        <f t="shared" si="173"/>
        <v>15.453944974223038</v>
      </c>
      <c r="Y491">
        <f t="shared" si="174"/>
        <v>6.8312675675463614</v>
      </c>
      <c r="Z491">
        <f t="shared" si="175"/>
        <v>6000</v>
      </c>
      <c r="AA491">
        <f t="shared" si="176"/>
        <v>15.453944974223038</v>
      </c>
      <c r="AB491">
        <f t="shared" si="177"/>
        <v>6.8312675675463614</v>
      </c>
      <c r="AC491">
        <f t="shared" si="178"/>
        <v>6000</v>
      </c>
      <c r="AD491">
        <f t="shared" si="179"/>
        <v>15.453944974223038</v>
      </c>
      <c r="AE491">
        <f t="shared" si="180"/>
        <v>6.8312675675463614</v>
      </c>
      <c r="AF491">
        <f t="shared" si="181"/>
        <v>6000</v>
      </c>
      <c r="AG491">
        <f t="shared" si="182"/>
        <v>15.453944974223038</v>
      </c>
      <c r="AH491">
        <f t="shared" si="183"/>
        <v>6.8312675675463614</v>
      </c>
      <c r="AI491" cm="1">
        <f t="array" ref="AI491">_xlfn.LET(
    _xlpm.vals,   _xlfn.HSTACK(S491,V491,Y491,AB491,AE491,AH491),
    _xlpm.ints,   _xlfn.HSTACK(R491,U491,X491,AA491,AD491,AG491),
    _xlpm.slopes, _xlfn.HSTACK(Q491,T491,W491,Z491,AC491,AF491),
    _xlpm.limit,  -0.00001*_xlpm.slopes + 0.1086*_xlpm.slopes + 63.253,
    _xlpm.mask,   (_xlpm.vals&gt;=0) * (_xlpm.ints&lt;=_xlpm.limit),
    _xlpm.validVals, _xlfn._xlws.FILTER(_xlpm.vals, _xlpm.mask),
    _xlpm.minVal, MIN(_xlpm.validVals),
    IFERROR( _xlfn.XMATCH(_xlpm.minVal, _xlpm.vals), "" )
)</f>
        <v>1</v>
      </c>
      <c r="AJ491" cm="1">
        <f t="array" ref="AJ491">_xlfn.LET(
    _xlpm.vals, CHOOSE({1,2,3,4,5,6}, S491, V491, Y491, AB491, AE491, AH491),
    _xlpm.slopes, CHOOSE({1,2,3,4,5,6}, Q491, T491, W491, Z491, AC491, AF491),
    _xlpm.ints, CHOOSE({1,2,3,4,5,6}, R491, U491, X491, AA491, AD491, AG491),
    _xlpm.limit, -0.00001*_xlpm.slopes + 0.1086*_xlpm.slopes + 63.253,
    _xlpm.valid, (_xlpm.vals &gt;= 0) * (_xlpm.ints &lt;= _xlpm.limit),
    _xlpm.target, MIN(_xlfn._xlws.FILTER(_xlpm.vals, _xlpm.valid)),
    IFERROR(
        _xlfn.XLOOKUP(_xlpm.target, _xlpm.vals, _xlpm.vals),
        CHOOSE({1,2,3,4,5,6}, S$1, V$1, Y$1, AB$1, AE$1, AH$1)
    )
)</f>
        <v>1.1557013902534539</v>
      </c>
    </row>
    <row r="492" spans="9:36" x14ac:dyDescent="0.45">
      <c r="I492">
        <v>490</v>
      </c>
      <c r="J492">
        <v>8.6999999999999993</v>
      </c>
      <c r="K492">
        <f t="shared" si="162"/>
        <v>8.6999999999999993</v>
      </c>
      <c r="L492">
        <f t="shared" si="161"/>
        <v>2.4166666666666664E-3</v>
      </c>
      <c r="M492">
        <v>5.22</v>
      </c>
      <c r="N492">
        <f t="shared" si="163"/>
        <v>5.22</v>
      </c>
      <c r="O492">
        <f t="shared" si="164"/>
        <v>113.05809024845072</v>
      </c>
      <c r="P492">
        <f t="shared" si="165"/>
        <v>361.78588879504235</v>
      </c>
      <c r="Q492">
        <f t="shared" si="166"/>
        <v>1656.9793706812941</v>
      </c>
      <c r="R492">
        <f t="shared" si="167"/>
        <v>30.083252126359351</v>
      </c>
      <c r="S492">
        <f t="shared" si="168"/>
        <v>0.7915256649825867</v>
      </c>
      <c r="T492">
        <f t="shared" si="169"/>
        <v>1070.8862308333253</v>
      </c>
      <c r="U492">
        <f t="shared" si="170"/>
        <v>46.547734709029008</v>
      </c>
      <c r="V492">
        <f t="shared" si="171"/>
        <v>0.72951590456255067</v>
      </c>
      <c r="W492">
        <f t="shared" si="172"/>
        <v>6000</v>
      </c>
      <c r="X492">
        <f t="shared" si="173"/>
        <v>8.3078880293969366</v>
      </c>
      <c r="Y492">
        <f t="shared" si="174"/>
        <v>6.7611438065406455</v>
      </c>
      <c r="Z492">
        <f t="shared" si="175"/>
        <v>6000</v>
      </c>
      <c r="AA492">
        <f t="shared" si="176"/>
        <v>8.3078880293969366</v>
      </c>
      <c r="AB492">
        <f t="shared" si="177"/>
        <v>6.7611438065406455</v>
      </c>
      <c r="AC492">
        <f t="shared" si="178"/>
        <v>6000</v>
      </c>
      <c r="AD492">
        <f t="shared" si="179"/>
        <v>8.3078880293969366</v>
      </c>
      <c r="AE492">
        <f t="shared" si="180"/>
        <v>6.7611438065406455</v>
      </c>
      <c r="AF492">
        <f t="shared" si="181"/>
        <v>6000</v>
      </c>
      <c r="AG492">
        <f t="shared" si="182"/>
        <v>8.3078880293969366</v>
      </c>
      <c r="AH492">
        <f t="shared" si="183"/>
        <v>6.7611438065406455</v>
      </c>
      <c r="AI492" cm="1">
        <f t="array" ref="AI492">_xlfn.LET(
    _xlpm.vals,   _xlfn.HSTACK(S492,V492,Y492,AB492,AE492,AH492),
    _xlpm.ints,   _xlfn.HSTACK(R492,U492,X492,AA492,AD492,AG492),
    _xlpm.slopes, _xlfn.HSTACK(Q492,T492,W492,Z492,AC492,AF492),
    _xlpm.limit,  -0.00001*_xlpm.slopes + 0.1086*_xlpm.slopes + 63.253,
    _xlpm.mask,   (_xlpm.vals&gt;=0) * (_xlpm.ints&lt;=_xlpm.limit),
    _xlpm.validVals, _xlfn._xlws.FILTER(_xlpm.vals, _xlpm.mask),
    _xlpm.minVal, MIN(_xlpm.validVals),
    IFERROR( _xlfn.XMATCH(_xlpm.minVal, _xlpm.vals), "" )
)</f>
        <v>2</v>
      </c>
      <c r="AJ492" cm="1">
        <f t="array" ref="AJ492">_xlfn.LET(
    _xlpm.vals, CHOOSE({1,2,3,4,5,6}, S492, V492, Y492, AB492, AE492, AH492),
    _xlpm.slopes, CHOOSE({1,2,3,4,5,6}, Q492, T492, W492, Z492, AC492, AF492),
    _xlpm.ints, CHOOSE({1,2,3,4,5,6}, R492, U492, X492, AA492, AD492, AG492),
    _xlpm.limit, -0.00001*_xlpm.slopes + 0.1086*_xlpm.slopes + 63.253,
    _xlpm.valid, (_xlpm.vals &gt;= 0) * (_xlpm.ints &lt;= _xlpm.limit),
    _xlpm.target, MIN(_xlfn._xlws.FILTER(_xlpm.vals, _xlpm.valid)),
    IFERROR(
        _xlfn.XLOOKUP(_xlpm.target, _xlpm.vals, _xlpm.vals),
        CHOOSE({1,2,3,4,5,6}, S$1, V$1, Y$1, AB$1, AE$1, AH$1)
    )
)</f>
        <v>0.72951590456255067</v>
      </c>
    </row>
    <row r="493" spans="9:36" x14ac:dyDescent="0.45">
      <c r="I493">
        <v>491</v>
      </c>
      <c r="J493">
        <v>9.5</v>
      </c>
      <c r="K493">
        <f t="shared" si="162"/>
        <v>9.5</v>
      </c>
      <c r="L493">
        <f t="shared" si="161"/>
        <v>2.638888888888889E-3</v>
      </c>
      <c r="M493">
        <v>3.34</v>
      </c>
      <c r="N493">
        <f t="shared" si="163"/>
        <v>3.34</v>
      </c>
      <c r="O493">
        <f t="shared" si="164"/>
        <v>123.45423647819334</v>
      </c>
      <c r="P493">
        <f t="shared" si="165"/>
        <v>395.0535567302187</v>
      </c>
      <c r="Q493">
        <f t="shared" si="166"/>
        <v>1809.3452898244018</v>
      </c>
      <c r="R493">
        <f t="shared" si="167"/>
        <v>17.62773019334039</v>
      </c>
      <c r="S493">
        <f t="shared" si="168"/>
        <v>0.68103922833039299</v>
      </c>
      <c r="T493">
        <f t="shared" si="169"/>
        <v>1169.3585279214474</v>
      </c>
      <c r="U493">
        <f t="shared" si="170"/>
        <v>27.27533928564155</v>
      </c>
      <c r="V493">
        <f t="shared" si="171"/>
        <v>0.57946281927871035</v>
      </c>
      <c r="W493">
        <f t="shared" si="172"/>
        <v>6000</v>
      </c>
      <c r="X493">
        <f t="shared" si="173"/>
        <v>5.3157750992693042</v>
      </c>
      <c r="Y493">
        <f t="shared" si="174"/>
        <v>6.7365513587076817</v>
      </c>
      <c r="Z493">
        <f t="shared" si="175"/>
        <v>6000</v>
      </c>
      <c r="AA493">
        <f t="shared" si="176"/>
        <v>5.3157750992693042</v>
      </c>
      <c r="AB493">
        <f t="shared" si="177"/>
        <v>6.7365513587076817</v>
      </c>
      <c r="AC493">
        <f t="shared" si="178"/>
        <v>6000</v>
      </c>
      <c r="AD493">
        <f t="shared" si="179"/>
        <v>5.3157750992693042</v>
      </c>
      <c r="AE493">
        <f t="shared" si="180"/>
        <v>6.7365513587076817</v>
      </c>
      <c r="AF493">
        <f t="shared" si="181"/>
        <v>6000</v>
      </c>
      <c r="AG493">
        <f t="shared" si="182"/>
        <v>5.3157750992693042</v>
      </c>
      <c r="AH493">
        <f t="shared" si="183"/>
        <v>6.7365513587076817</v>
      </c>
      <c r="AI493" cm="1">
        <f t="array" ref="AI493">_xlfn.LET(
    _xlpm.vals,   _xlfn.HSTACK(S493,V493,Y493,AB493,AE493,AH493),
    _xlpm.ints,   _xlfn.HSTACK(R493,U493,X493,AA493,AD493,AG493),
    _xlpm.slopes, _xlfn.HSTACK(Q493,T493,W493,Z493,AC493,AF493),
    _xlpm.limit,  -0.00001*_xlpm.slopes + 0.1086*_xlpm.slopes + 63.253,
    _xlpm.mask,   (_xlpm.vals&gt;=0) * (_xlpm.ints&lt;=_xlpm.limit),
    _xlpm.validVals, _xlfn._xlws.FILTER(_xlpm.vals, _xlpm.mask),
    _xlpm.minVal, MIN(_xlpm.validVals),
    IFERROR( _xlfn.XMATCH(_xlpm.minVal, _xlpm.vals), "" )
)</f>
        <v>2</v>
      </c>
      <c r="AJ493" cm="1">
        <f t="array" ref="AJ493">_xlfn.LET(
    _xlpm.vals, CHOOSE({1,2,3,4,5,6}, S493, V493, Y493, AB493, AE493, AH493),
    _xlpm.slopes, CHOOSE({1,2,3,4,5,6}, Q493, T493, W493, Z493, AC493, AF493),
    _xlpm.ints, CHOOSE({1,2,3,4,5,6}, R493, U493, X493, AA493, AD493, AG493),
    _xlpm.limit, -0.00001*_xlpm.slopes + 0.1086*_xlpm.slopes + 63.253,
    _xlpm.valid, (_xlpm.vals &gt;= 0) * (_xlpm.ints &lt;= _xlpm.limit),
    _xlpm.target, MIN(_xlfn._xlws.FILTER(_xlpm.vals, _xlpm.valid)),
    IFERROR(
        _xlfn.XLOOKUP(_xlpm.target, _xlpm.vals, _xlpm.vals),
        CHOOSE({1,2,3,4,5,6}, S$1, V$1, Y$1, AB$1, AE$1, AH$1)
    )
)</f>
        <v>0.57946281927871035</v>
      </c>
    </row>
    <row r="494" spans="9:36" x14ac:dyDescent="0.45">
      <c r="I494">
        <v>492</v>
      </c>
      <c r="J494">
        <v>10.8</v>
      </c>
      <c r="K494">
        <f t="shared" si="162"/>
        <v>10.8</v>
      </c>
      <c r="L494">
        <f t="shared" si="161"/>
        <v>3.0000000000000001E-3</v>
      </c>
      <c r="M494">
        <v>4.3099999999999996</v>
      </c>
      <c r="N494">
        <f t="shared" si="163"/>
        <v>4.3099999999999996</v>
      </c>
      <c r="O494">
        <f t="shared" si="164"/>
        <v>140.34797410152504</v>
      </c>
      <c r="P494">
        <f t="shared" si="165"/>
        <v>449.11351712488016</v>
      </c>
      <c r="Q494">
        <f t="shared" si="166"/>
        <v>2056.9399084319512</v>
      </c>
      <c r="R494">
        <f t="shared" si="167"/>
        <v>20.009076645772964</v>
      </c>
      <c r="S494">
        <f t="shared" si="168"/>
        <v>0.80100732430891719</v>
      </c>
      <c r="T494">
        <f t="shared" si="169"/>
        <v>1329.3760106896452</v>
      </c>
      <c r="U494">
        <f t="shared" si="170"/>
        <v>30.95999021541898</v>
      </c>
      <c r="V494">
        <f t="shared" si="171"/>
        <v>0.67789992895631268</v>
      </c>
      <c r="W494">
        <f t="shared" si="172"/>
        <v>6000</v>
      </c>
      <c r="X494">
        <f t="shared" si="173"/>
        <v>6.8595780472606895</v>
      </c>
      <c r="Y494">
        <f t="shared" si="174"/>
        <v>6.7488818216351447</v>
      </c>
      <c r="Z494">
        <f t="shared" si="175"/>
        <v>6000</v>
      </c>
      <c r="AA494">
        <f t="shared" si="176"/>
        <v>6.8595780472606895</v>
      </c>
      <c r="AB494">
        <f t="shared" si="177"/>
        <v>6.7488818216351447</v>
      </c>
      <c r="AC494">
        <f t="shared" si="178"/>
        <v>6000</v>
      </c>
      <c r="AD494">
        <f t="shared" si="179"/>
        <v>6.8595780472606895</v>
      </c>
      <c r="AE494">
        <f t="shared" si="180"/>
        <v>6.7488818216351447</v>
      </c>
      <c r="AF494">
        <f t="shared" si="181"/>
        <v>6000</v>
      </c>
      <c r="AG494">
        <f t="shared" si="182"/>
        <v>6.8595780472606895</v>
      </c>
      <c r="AH494">
        <f t="shared" si="183"/>
        <v>6.7488818216351447</v>
      </c>
      <c r="AI494" cm="1">
        <f t="array" ref="AI494">_xlfn.LET(
    _xlpm.vals,   _xlfn.HSTACK(S494,V494,Y494,AB494,AE494,AH494),
    _xlpm.ints,   _xlfn.HSTACK(R494,U494,X494,AA494,AD494,AG494),
    _xlpm.slopes, _xlfn.HSTACK(Q494,T494,W494,Z494,AC494,AF494),
    _xlpm.limit,  -0.00001*_xlpm.slopes + 0.1086*_xlpm.slopes + 63.253,
    _xlpm.mask,   (_xlpm.vals&gt;=0) * (_xlpm.ints&lt;=_xlpm.limit),
    _xlpm.validVals, _xlfn._xlws.FILTER(_xlpm.vals, _xlpm.mask),
    _xlpm.minVal, MIN(_xlpm.validVals),
    IFERROR( _xlfn.XMATCH(_xlpm.minVal, _xlpm.vals), "" )
)</f>
        <v>2</v>
      </c>
      <c r="AJ494" cm="1">
        <f t="array" ref="AJ494">_xlfn.LET(
    _xlpm.vals, CHOOSE({1,2,3,4,5,6}, S494, V494, Y494, AB494, AE494, AH494),
    _xlpm.slopes, CHOOSE({1,2,3,4,5,6}, Q494, T494, W494, Z494, AC494, AF494),
    _xlpm.ints, CHOOSE({1,2,3,4,5,6}, R494, U494, X494, AA494, AD494, AG494),
    _xlpm.limit, -0.00001*_xlpm.slopes + 0.1086*_xlpm.slopes + 63.253,
    _xlpm.valid, (_xlpm.vals &gt;= 0) * (_xlpm.ints &lt;= _xlpm.limit),
    _xlpm.target, MIN(_xlfn._xlws.FILTER(_xlpm.vals, _xlpm.valid)),
    IFERROR(
        _xlfn.XLOOKUP(_xlpm.target, _xlpm.vals, _xlpm.vals),
        CHOOSE({1,2,3,4,5,6}, S$1, V$1, Y$1, AB$1, AE$1, AH$1)
    )
)</f>
        <v>0.67789992895631268</v>
      </c>
    </row>
    <row r="495" spans="9:36" x14ac:dyDescent="0.45">
      <c r="I495">
        <v>493</v>
      </c>
      <c r="J495">
        <v>12.5</v>
      </c>
      <c r="K495">
        <f t="shared" si="162"/>
        <v>12.5</v>
      </c>
      <c r="L495">
        <f t="shared" si="161"/>
        <v>3.472222222222222E-3</v>
      </c>
      <c r="M495">
        <v>10.199999999999999</v>
      </c>
      <c r="N495">
        <f t="shared" si="163"/>
        <v>10.199999999999999</v>
      </c>
      <c r="O495">
        <f t="shared" si="164"/>
        <v>162.43978483972808</v>
      </c>
      <c r="P495">
        <f t="shared" si="165"/>
        <v>519.80731148712982</v>
      </c>
      <c r="Q495">
        <f t="shared" si="166"/>
        <v>2380.7174866110545</v>
      </c>
      <c r="R495">
        <f t="shared" si="167"/>
        <v>40.913222891848726</v>
      </c>
      <c r="S495">
        <f t="shared" si="168"/>
        <v>1.2973849895793446</v>
      </c>
      <c r="T495">
        <f t="shared" si="169"/>
        <v>1538.6296420019044</v>
      </c>
      <c r="U495">
        <f t="shared" si="170"/>
        <v>63.304919204279436</v>
      </c>
      <c r="V495">
        <f t="shared" si="171"/>
        <v>1.2034359167039492</v>
      </c>
      <c r="W495">
        <f t="shared" si="172"/>
        <v>6000</v>
      </c>
      <c r="X495">
        <f t="shared" si="173"/>
        <v>16.233804195373324</v>
      </c>
      <c r="Y495">
        <f t="shared" si="174"/>
        <v>6.8398685435030453</v>
      </c>
      <c r="Z495">
        <f t="shared" si="175"/>
        <v>6000</v>
      </c>
      <c r="AA495">
        <f t="shared" si="176"/>
        <v>16.233804195373324</v>
      </c>
      <c r="AB495">
        <f t="shared" si="177"/>
        <v>6.8398685435030453</v>
      </c>
      <c r="AC495">
        <f t="shared" si="178"/>
        <v>6000</v>
      </c>
      <c r="AD495">
        <f t="shared" si="179"/>
        <v>16.233804195373324</v>
      </c>
      <c r="AE495">
        <f t="shared" si="180"/>
        <v>6.8398685435030453</v>
      </c>
      <c r="AF495">
        <f t="shared" si="181"/>
        <v>6000</v>
      </c>
      <c r="AG495">
        <f t="shared" si="182"/>
        <v>16.233804195373324</v>
      </c>
      <c r="AH495">
        <f t="shared" si="183"/>
        <v>6.8398685435030453</v>
      </c>
      <c r="AI495" cm="1">
        <f t="array" ref="AI495">_xlfn.LET(
    _xlpm.vals,   _xlfn.HSTACK(S495,V495,Y495,AB495,AE495,AH495),
    _xlpm.ints,   _xlfn.HSTACK(R495,U495,X495,AA495,AD495,AG495),
    _xlpm.slopes, _xlfn.HSTACK(Q495,T495,W495,Z495,AC495,AF495),
    _xlpm.limit,  -0.00001*_xlpm.slopes + 0.1086*_xlpm.slopes + 63.253,
    _xlpm.mask,   (_xlpm.vals&gt;=0) * (_xlpm.ints&lt;=_xlpm.limit),
    _xlpm.validVals, _xlfn._xlws.FILTER(_xlpm.vals, _xlpm.mask),
    _xlpm.minVal, MIN(_xlpm.validVals),
    IFERROR( _xlfn.XMATCH(_xlpm.minVal, _xlpm.vals), "" )
)</f>
        <v>2</v>
      </c>
      <c r="AJ495" cm="1">
        <f t="array" ref="AJ495">_xlfn.LET(
    _xlpm.vals, CHOOSE({1,2,3,4,5,6}, S495, V495, Y495, AB495, AE495, AH495),
    _xlpm.slopes, CHOOSE({1,2,3,4,5,6}, Q495, T495, W495, Z495, AC495, AF495),
    _xlpm.ints, CHOOSE({1,2,3,4,5,6}, R495, U495, X495, AA495, AD495, AG495),
    _xlpm.limit, -0.00001*_xlpm.slopes + 0.1086*_xlpm.slopes + 63.253,
    _xlpm.valid, (_xlpm.vals &gt;= 0) * (_xlpm.ints &lt;= _xlpm.limit),
    _xlpm.target, MIN(_xlfn._xlws.FILTER(_xlpm.vals, _xlpm.valid)),
    IFERROR(
        _xlfn.XLOOKUP(_xlpm.target, _xlpm.vals, _xlpm.vals),
        CHOOSE({1,2,3,4,5,6}, S$1, V$1, Y$1, AB$1, AE$1, AH$1)
    )
)</f>
        <v>1.2034359167039492</v>
      </c>
    </row>
    <row r="496" spans="9:36" x14ac:dyDescent="0.45">
      <c r="I496">
        <v>494</v>
      </c>
      <c r="J496">
        <v>14.7</v>
      </c>
      <c r="K496">
        <f t="shared" si="162"/>
        <v>14.7</v>
      </c>
      <c r="L496">
        <f t="shared" si="161"/>
        <v>4.0833333333333329E-3</v>
      </c>
      <c r="M496">
        <v>19.350000000000001</v>
      </c>
      <c r="N496">
        <f t="shared" si="163"/>
        <v>19.350000000000001</v>
      </c>
      <c r="O496">
        <f t="shared" si="164"/>
        <v>191.0291869715202</v>
      </c>
      <c r="P496">
        <f t="shared" si="165"/>
        <v>611.29339830886465</v>
      </c>
      <c r="Q496">
        <f t="shared" si="166"/>
        <v>2799.7237642546002</v>
      </c>
      <c r="R496">
        <f t="shared" si="167"/>
        <v>65.998971501706748</v>
      </c>
      <c r="S496">
        <f t="shared" si="168"/>
        <v>2.0939116278143346</v>
      </c>
      <c r="T496">
        <f t="shared" si="169"/>
        <v>1809.4284589942395</v>
      </c>
      <c r="U496">
        <f t="shared" si="170"/>
        <v>102.12003022899219</v>
      </c>
      <c r="V496">
        <f t="shared" si="171"/>
        <v>2.0154467829797635</v>
      </c>
      <c r="W496">
        <f t="shared" si="172"/>
        <v>1167.5703907699315</v>
      </c>
      <c r="X496">
        <f t="shared" si="173"/>
        <v>158.25931386273137</v>
      </c>
      <c r="Y496">
        <f t="shared" si="174"/>
        <v>1.7762395076863282</v>
      </c>
      <c r="Z496">
        <f t="shared" si="175"/>
        <v>6000</v>
      </c>
      <c r="AA496">
        <f t="shared" si="176"/>
        <v>30.796481488281749</v>
      </c>
      <c r="AB496">
        <f t="shared" si="177"/>
        <v>7.0330083586689192</v>
      </c>
      <c r="AC496">
        <f t="shared" si="178"/>
        <v>6000</v>
      </c>
      <c r="AD496">
        <f t="shared" si="179"/>
        <v>30.796481488281749</v>
      </c>
      <c r="AE496">
        <f t="shared" si="180"/>
        <v>7.0330083586689192</v>
      </c>
      <c r="AF496">
        <f t="shared" si="181"/>
        <v>6000</v>
      </c>
      <c r="AG496">
        <f t="shared" si="182"/>
        <v>30.796481488281749</v>
      </c>
      <c r="AH496">
        <f t="shared" si="183"/>
        <v>7.0330083586689192</v>
      </c>
      <c r="AI496" cm="1">
        <f t="array" ref="AI496">_xlfn.LET(
    _xlpm.vals,   _xlfn.HSTACK(S496,V496,Y496,AB496,AE496,AH496),
    _xlpm.ints,   _xlfn.HSTACK(R496,U496,X496,AA496,AD496,AG496),
    _xlpm.slopes, _xlfn.HSTACK(Q496,T496,W496,Z496,AC496,AF496),
    _xlpm.limit,  -0.00001*_xlpm.slopes + 0.1086*_xlpm.slopes + 63.253,
    _xlpm.mask,   (_xlpm.vals&gt;=0) * (_xlpm.ints&lt;=_xlpm.limit),
    _xlpm.validVals, _xlfn._xlws.FILTER(_xlpm.vals, _xlpm.mask),
    _xlpm.minVal, MIN(_xlpm.validVals),
    IFERROR( _xlfn.XMATCH(_xlpm.minVal, _xlpm.vals), "" )
)</f>
        <v>3</v>
      </c>
      <c r="AJ496" cm="1">
        <f t="array" ref="AJ496">_xlfn.LET(
    _xlpm.vals, CHOOSE({1,2,3,4,5,6}, S496, V496, Y496, AB496, AE496, AH496),
    _xlpm.slopes, CHOOSE({1,2,3,4,5,6}, Q496, T496, W496, Z496, AC496, AF496),
    _xlpm.ints, CHOOSE({1,2,3,4,5,6}, R496, U496, X496, AA496, AD496, AG496),
    _xlpm.limit, -0.00001*_xlpm.slopes + 0.1086*_xlpm.slopes + 63.253,
    _xlpm.valid, (_xlpm.vals &gt;= 0) * (_xlpm.ints &lt;= _xlpm.limit),
    _xlpm.target, MIN(_xlfn._xlws.FILTER(_xlpm.vals, _xlpm.valid)),
    IFERROR(
        _xlfn.XLOOKUP(_xlpm.target, _xlpm.vals, _xlpm.vals),
        CHOOSE({1,2,3,4,5,6}, S$1, V$1, Y$1, AB$1, AE$1, AH$1)
    )
)</f>
        <v>1.7762395076863282</v>
      </c>
    </row>
    <row r="497" spans="9:36" x14ac:dyDescent="0.45">
      <c r="I497">
        <v>495</v>
      </c>
      <c r="J497">
        <v>16.8</v>
      </c>
      <c r="K497">
        <f t="shared" si="162"/>
        <v>16.8</v>
      </c>
      <c r="L497">
        <f t="shared" si="161"/>
        <v>4.6666666666666671E-3</v>
      </c>
      <c r="M497">
        <v>18.88</v>
      </c>
      <c r="N497">
        <f t="shared" si="163"/>
        <v>18.88</v>
      </c>
      <c r="O497">
        <f t="shared" si="164"/>
        <v>218.31907082459455</v>
      </c>
      <c r="P497">
        <f t="shared" si="165"/>
        <v>698.62102663870257</v>
      </c>
      <c r="Q497">
        <f t="shared" si="166"/>
        <v>3199.6843020052579</v>
      </c>
      <c r="R497">
        <f t="shared" si="167"/>
        <v>56.346408744609569</v>
      </c>
      <c r="S497">
        <f t="shared" si="168"/>
        <v>2.206719021094472</v>
      </c>
      <c r="T497">
        <f t="shared" si="169"/>
        <v>2067.9182388505596</v>
      </c>
      <c r="U497">
        <f t="shared" si="170"/>
        <v>87.184645962943193</v>
      </c>
      <c r="V497">
        <f t="shared" si="171"/>
        <v>1.9742170298484105</v>
      </c>
      <c r="W497">
        <f t="shared" si="172"/>
        <v>1334.3661608799218</v>
      </c>
      <c r="X497">
        <f t="shared" si="173"/>
        <v>135.11337803681249</v>
      </c>
      <c r="Y497">
        <f t="shared" si="174"/>
        <v>1.9001101369437547</v>
      </c>
      <c r="Z497">
        <f t="shared" si="175"/>
        <v>1006.0142783597316</v>
      </c>
      <c r="AA497">
        <f t="shared" si="176"/>
        <v>179.21288336827212</v>
      </c>
      <c r="AB497">
        <f t="shared" si="177"/>
        <v>1.4596748662038372</v>
      </c>
      <c r="AC497">
        <f t="shared" si="178"/>
        <v>6000</v>
      </c>
      <c r="AD497">
        <f t="shared" si="179"/>
        <v>30.048453255749841</v>
      </c>
      <c r="AE497">
        <f t="shared" si="180"/>
        <v>7.0216354386230542</v>
      </c>
      <c r="AF497">
        <f t="shared" si="181"/>
        <v>6000</v>
      </c>
      <c r="AG497">
        <f t="shared" si="182"/>
        <v>30.048453255749841</v>
      </c>
      <c r="AH497">
        <f t="shared" si="183"/>
        <v>7.0216354386230542</v>
      </c>
      <c r="AI497" cm="1">
        <f t="array" ref="AI497">_xlfn.LET(
    _xlpm.vals,   _xlfn.HSTACK(S497,V497,Y497,AB497,AE497,AH497),
    _xlpm.ints,   _xlfn.HSTACK(R497,U497,X497,AA497,AD497,AG497),
    _xlpm.slopes, _xlfn.HSTACK(Q497,T497,W497,Z497,AC497,AF497),
    _xlpm.limit,  -0.00001*_xlpm.slopes + 0.1086*_xlpm.slopes + 63.253,
    _xlpm.mask,   (_xlpm.vals&gt;=0) * (_xlpm.ints&lt;=_xlpm.limit),
    _xlpm.validVals, _xlfn._xlws.FILTER(_xlpm.vals, _xlpm.mask),
    _xlpm.minVal, MIN(_xlpm.validVals),
    IFERROR( _xlfn.XMATCH(_xlpm.minVal, _xlpm.vals), "" )
)</f>
        <v>3</v>
      </c>
      <c r="AJ497" cm="1">
        <f t="array" ref="AJ497">_xlfn.LET(
    _xlpm.vals, CHOOSE({1,2,3,4,5,6}, S497, V497, Y497, AB497, AE497, AH497),
    _xlpm.slopes, CHOOSE({1,2,3,4,5,6}, Q497, T497, W497, Z497, AC497, AF497),
    _xlpm.ints, CHOOSE({1,2,3,4,5,6}, R497, U497, X497, AA497, AD497, AG497),
    _xlpm.limit, -0.00001*_xlpm.slopes + 0.1086*_xlpm.slopes + 63.253,
    _xlpm.valid, (_xlpm.vals &gt;= 0) * (_xlpm.ints &lt;= _xlpm.limit),
    _xlpm.target, MIN(_xlfn._xlws.FILTER(_xlpm.vals, _xlpm.valid)),
    IFERROR(
        _xlfn.XLOOKUP(_xlpm.target, _xlpm.vals, _xlpm.vals),
        CHOOSE({1,2,3,4,5,6}, S$1, V$1, Y$1, AB$1, AE$1, AH$1)
    )
)</f>
        <v>1.9001101369437547</v>
      </c>
    </row>
    <row r="498" spans="9:36" x14ac:dyDescent="0.45">
      <c r="I498">
        <v>496</v>
      </c>
      <c r="J498">
        <v>18</v>
      </c>
      <c r="K498">
        <f t="shared" si="162"/>
        <v>18</v>
      </c>
      <c r="L498">
        <f t="shared" si="161"/>
        <v>5.0000000000000001E-3</v>
      </c>
      <c r="M498">
        <v>8.9700000000000006</v>
      </c>
      <c r="N498">
        <f t="shared" si="163"/>
        <v>8.9700000000000006</v>
      </c>
      <c r="O498">
        <f t="shared" si="164"/>
        <v>233.91329016920844</v>
      </c>
      <c r="P498">
        <f t="shared" si="165"/>
        <v>748.52252854146707</v>
      </c>
      <c r="Q498">
        <f t="shared" si="166"/>
        <v>3428.2331807199193</v>
      </c>
      <c r="R498">
        <f t="shared" si="167"/>
        <v>24.985812182726235</v>
      </c>
      <c r="S498">
        <f t="shared" si="168"/>
        <v>1.7398432136582376</v>
      </c>
      <c r="T498">
        <f t="shared" si="169"/>
        <v>2215.6266844827423</v>
      </c>
      <c r="U498">
        <f t="shared" si="170"/>
        <v>38.660479661110195</v>
      </c>
      <c r="V498">
        <f t="shared" si="171"/>
        <v>1.16938637286896</v>
      </c>
      <c r="W498">
        <f t="shared" si="172"/>
        <v>1429.6780295142021</v>
      </c>
      <c r="X498">
        <f t="shared" si="173"/>
        <v>59.913622930306893</v>
      </c>
      <c r="Y498">
        <f t="shared" si="174"/>
        <v>1.0896748214098053</v>
      </c>
      <c r="Z498">
        <f t="shared" si="175"/>
        <v>1077.8724410997124</v>
      </c>
      <c r="AA498">
        <f t="shared" si="176"/>
        <v>79.468763747837627</v>
      </c>
      <c r="AB498">
        <f t="shared" si="177"/>
        <v>1.0772124287451414</v>
      </c>
      <c r="AC498">
        <f t="shared" si="178"/>
        <v>6000</v>
      </c>
      <c r="AD498">
        <f t="shared" si="179"/>
        <v>14.276198395343012</v>
      </c>
      <c r="AE498">
        <f t="shared" si="180"/>
        <v>6.8186272603646412</v>
      </c>
      <c r="AF498">
        <f t="shared" si="181"/>
        <v>6000</v>
      </c>
      <c r="AG498">
        <f t="shared" si="182"/>
        <v>14.276198395343012</v>
      </c>
      <c r="AH498">
        <f t="shared" si="183"/>
        <v>6.8186272603646412</v>
      </c>
      <c r="AI498" cm="1">
        <f t="array" ref="AI498">_xlfn.LET(
    _xlpm.vals,   _xlfn.HSTACK(S498,V498,Y498,AB498,AE498,AH498),
    _xlpm.ints,   _xlfn.HSTACK(R498,U498,X498,AA498,AD498,AG498),
    _xlpm.slopes, _xlfn.HSTACK(Q498,T498,W498,Z498,AC498,AF498),
    _xlpm.limit,  -0.00001*_xlpm.slopes + 0.1086*_xlpm.slopes + 63.253,
    _xlpm.mask,   (_xlpm.vals&gt;=0) * (_xlpm.ints&lt;=_xlpm.limit),
    _xlpm.validVals, _xlfn._xlws.FILTER(_xlpm.vals, _xlpm.mask),
    _xlpm.minVal, MIN(_xlpm.validVals),
    IFERROR( _xlfn.XMATCH(_xlpm.minVal, _xlpm.vals), "" )
)</f>
        <v>4</v>
      </c>
      <c r="AJ498" cm="1">
        <f t="array" ref="AJ498">_xlfn.LET(
    _xlpm.vals, CHOOSE({1,2,3,4,5,6}, S498, V498, Y498, AB498, AE498, AH498),
    _xlpm.slopes, CHOOSE({1,2,3,4,5,6}, Q498, T498, W498, Z498, AC498, AF498),
    _xlpm.ints, CHOOSE({1,2,3,4,5,6}, R498, U498, X498, AA498, AD498, AG498),
    _xlpm.limit, -0.00001*_xlpm.slopes + 0.1086*_xlpm.slopes + 63.253,
    _xlpm.valid, (_xlpm.vals &gt;= 0) * (_xlpm.ints &lt;= _xlpm.limit),
    _xlpm.target, MIN(_xlfn._xlws.FILTER(_xlpm.vals, _xlpm.valid)),
    IFERROR(
        _xlfn.XLOOKUP(_xlpm.target, _xlpm.vals, _xlpm.vals),
        CHOOSE({1,2,3,4,5,6}, S$1, V$1, Y$1, AB$1, AE$1, AH$1)
    )
)</f>
        <v>1.0772124287451414</v>
      </c>
    </row>
    <row r="499" spans="9:36" x14ac:dyDescent="0.45">
      <c r="I499">
        <v>497</v>
      </c>
      <c r="J499">
        <v>19.100000000000001</v>
      </c>
      <c r="K499">
        <f t="shared" si="162"/>
        <v>19.100000000000001</v>
      </c>
      <c r="L499">
        <f t="shared" si="161"/>
        <v>5.3055555555555555E-3</v>
      </c>
      <c r="M499">
        <v>9.94</v>
      </c>
      <c r="N499">
        <f t="shared" si="163"/>
        <v>9.94</v>
      </c>
      <c r="O499">
        <f t="shared" si="164"/>
        <v>248.20799123510452</v>
      </c>
      <c r="P499">
        <f t="shared" si="165"/>
        <v>794.26557195233454</v>
      </c>
      <c r="Q499">
        <f t="shared" si="166"/>
        <v>3637.7363195416924</v>
      </c>
      <c r="R499">
        <f t="shared" si="167"/>
        <v>26.093152367889346</v>
      </c>
      <c r="S499">
        <f t="shared" si="168"/>
        <v>1.9732937918204374</v>
      </c>
      <c r="T499">
        <f t="shared" si="169"/>
        <v>2351.0260929789101</v>
      </c>
      <c r="U499">
        <f t="shared" si="170"/>
        <v>40.373864136801764</v>
      </c>
      <c r="V499">
        <f t="shared" si="171"/>
        <v>1.2711466966456186</v>
      </c>
      <c r="W499">
        <f t="shared" si="172"/>
        <v>1517.047242428959</v>
      </c>
      <c r="X499">
        <f t="shared" si="173"/>
        <v>62.568920337661368</v>
      </c>
      <c r="Y499">
        <f t="shared" si="174"/>
        <v>1.1795554759957028</v>
      </c>
      <c r="Z499">
        <f t="shared" si="175"/>
        <v>1143.7424236113618</v>
      </c>
      <c r="AA499">
        <f t="shared" si="176"/>
        <v>82.990720725648046</v>
      </c>
      <c r="AB499">
        <f t="shared" si="177"/>
        <v>1.169699927412317</v>
      </c>
      <c r="AC499">
        <f t="shared" si="178"/>
        <v>6000</v>
      </c>
      <c r="AD499">
        <f t="shared" si="179"/>
        <v>15.820001343334397</v>
      </c>
      <c r="AE499">
        <f t="shared" si="180"/>
        <v>6.8352819175604314</v>
      </c>
      <c r="AF499">
        <f t="shared" si="181"/>
        <v>6000</v>
      </c>
      <c r="AG499">
        <f t="shared" si="182"/>
        <v>15.820001343334397</v>
      </c>
      <c r="AH499">
        <f t="shared" si="183"/>
        <v>6.8352819175604314</v>
      </c>
      <c r="AI499" cm="1">
        <f t="array" ref="AI499">_xlfn.LET(
    _xlpm.vals,   _xlfn.HSTACK(S499,V499,Y499,AB499,AE499,AH499),
    _xlpm.ints,   _xlfn.HSTACK(R499,U499,X499,AA499,AD499,AG499),
    _xlpm.slopes, _xlfn.HSTACK(Q499,T499,W499,Z499,AC499,AF499),
    _xlpm.limit,  -0.00001*_xlpm.slopes + 0.1086*_xlpm.slopes + 63.253,
    _xlpm.mask,   (_xlpm.vals&gt;=0) * (_xlpm.ints&lt;=_xlpm.limit),
    _xlpm.validVals, _xlfn._xlws.FILTER(_xlpm.vals, _xlpm.mask),
    _xlpm.minVal, MIN(_xlpm.validVals),
    IFERROR( _xlfn.XMATCH(_xlpm.minVal, _xlpm.vals), "" )
)</f>
        <v>4</v>
      </c>
      <c r="AJ499" cm="1">
        <f t="array" ref="AJ499">_xlfn.LET(
    _xlpm.vals, CHOOSE({1,2,3,4,5,6}, S499, V499, Y499, AB499, AE499, AH499),
    _xlpm.slopes, CHOOSE({1,2,3,4,5,6}, Q499, T499, W499, Z499, AC499, AF499),
    _xlpm.ints, CHOOSE({1,2,3,4,5,6}, R499, U499, X499, AA499, AD499, AG499),
    _xlpm.limit, -0.00001*_xlpm.slopes + 0.1086*_xlpm.slopes + 63.253,
    _xlpm.valid, (_xlpm.vals &gt;= 0) * (_xlpm.ints &lt;= _xlpm.limit),
    _xlpm.target, MIN(_xlfn._xlws.FILTER(_xlpm.vals, _xlpm.valid)),
    IFERROR(
        _xlfn.XLOOKUP(_xlpm.target, _xlpm.vals, _xlpm.vals),
        CHOOSE({1,2,3,4,5,6}, S$1, V$1, Y$1, AB$1, AE$1, AH$1)
    )
)</f>
        <v>1.169699927412317</v>
      </c>
    </row>
    <row r="500" spans="9:36" x14ac:dyDescent="0.45">
      <c r="I500">
        <v>498</v>
      </c>
      <c r="J500">
        <v>20.2</v>
      </c>
      <c r="K500">
        <f t="shared" si="162"/>
        <v>20.2</v>
      </c>
      <c r="L500">
        <f t="shared" si="161"/>
        <v>5.611111111111111E-3</v>
      </c>
      <c r="M500">
        <v>9.69</v>
      </c>
      <c r="N500">
        <f t="shared" si="163"/>
        <v>9.69</v>
      </c>
      <c r="O500">
        <f t="shared" si="164"/>
        <v>262.50269230100059</v>
      </c>
      <c r="P500">
        <f t="shared" si="165"/>
        <v>840.0086153632019</v>
      </c>
      <c r="Q500">
        <f t="shared" si="166"/>
        <v>3847.2394583634646</v>
      </c>
      <c r="R500">
        <f t="shared" si="167"/>
        <v>24.051709002015027</v>
      </c>
      <c r="S500">
        <f t="shared" si="168"/>
        <v>2.1735134630272155</v>
      </c>
      <c r="T500">
        <f t="shared" si="169"/>
        <v>2486.4255014750775</v>
      </c>
      <c r="U500">
        <f t="shared" si="170"/>
        <v>37.215144334198925</v>
      </c>
      <c r="V500">
        <f t="shared" si="171"/>
        <v>1.2882545142730915</v>
      </c>
      <c r="W500">
        <f t="shared" si="172"/>
        <v>1604.4164553437156</v>
      </c>
      <c r="X500">
        <f t="shared" si="173"/>
        <v>57.673731533627659</v>
      </c>
      <c r="Y500">
        <f t="shared" si="174"/>
        <v>1.1599314146839703</v>
      </c>
      <c r="Z500">
        <f t="shared" si="175"/>
        <v>1209.6124061230107</v>
      </c>
      <c r="AA500">
        <f t="shared" si="176"/>
        <v>76.497796686964449</v>
      </c>
      <c r="AB500">
        <f t="shared" si="177"/>
        <v>1.1499466995592384</v>
      </c>
      <c r="AC500">
        <f t="shared" si="178"/>
        <v>6000</v>
      </c>
      <c r="AD500">
        <f t="shared" si="179"/>
        <v>15.422113985604659</v>
      </c>
      <c r="AE500">
        <f t="shared" si="180"/>
        <v>6.8309204071389331</v>
      </c>
      <c r="AF500">
        <f t="shared" si="181"/>
        <v>6000</v>
      </c>
      <c r="AG500">
        <f t="shared" si="182"/>
        <v>15.422113985604659</v>
      </c>
      <c r="AH500">
        <f t="shared" si="183"/>
        <v>6.8309204071389331</v>
      </c>
      <c r="AI500" cm="1">
        <f t="array" ref="AI500">_xlfn.LET(
    _xlpm.vals,   _xlfn.HSTACK(S500,V500,Y500,AB500,AE500,AH500),
    _xlpm.ints,   _xlfn.HSTACK(R500,U500,X500,AA500,AD500,AG500),
    _xlpm.slopes, _xlfn.HSTACK(Q500,T500,W500,Z500,AC500,AF500),
    _xlpm.limit,  -0.00001*_xlpm.slopes + 0.1086*_xlpm.slopes + 63.253,
    _xlpm.mask,   (_xlpm.vals&gt;=0) * (_xlpm.ints&lt;=_xlpm.limit),
    _xlpm.validVals, _xlfn._xlws.FILTER(_xlpm.vals, _xlpm.mask),
    _xlpm.minVal, MIN(_xlpm.validVals),
    IFERROR( _xlfn.XMATCH(_xlpm.minVal, _xlpm.vals), "" )
)</f>
        <v>4</v>
      </c>
      <c r="AJ500" cm="1">
        <f t="array" ref="AJ500">_xlfn.LET(
    _xlpm.vals, CHOOSE({1,2,3,4,5,6}, S500, V500, Y500, AB500, AE500, AH500),
    _xlpm.slopes, CHOOSE({1,2,3,4,5,6}, Q500, T500, W500, Z500, AC500, AF500),
    _xlpm.ints, CHOOSE({1,2,3,4,5,6}, R500, U500, X500, AA500, AD500, AG500),
    _xlpm.limit, -0.00001*_xlpm.slopes + 0.1086*_xlpm.slopes + 63.253,
    _xlpm.valid, (_xlpm.vals &gt;= 0) * (_xlpm.ints &lt;= _xlpm.limit),
    _xlpm.target, MIN(_xlfn._xlws.FILTER(_xlpm.vals, _xlpm.valid)),
    IFERROR(
        _xlfn.XLOOKUP(_xlpm.target, _xlpm.vals, _xlpm.vals),
        CHOOSE({1,2,3,4,5,6}, S$1, V$1, Y$1, AB$1, AE$1, AH$1)
    )
)</f>
        <v>1.1499466995592384</v>
      </c>
    </row>
    <row r="501" spans="9:36" x14ac:dyDescent="0.45">
      <c r="I501">
        <v>499</v>
      </c>
      <c r="J501">
        <v>21.2</v>
      </c>
      <c r="K501">
        <f t="shared" si="162"/>
        <v>21.2</v>
      </c>
      <c r="L501">
        <f t="shared" si="161"/>
        <v>5.8888888888888888E-3</v>
      </c>
      <c r="M501">
        <v>11.4</v>
      </c>
      <c r="N501">
        <f t="shared" si="163"/>
        <v>11.4</v>
      </c>
      <c r="O501">
        <f t="shared" si="164"/>
        <v>275.49787508817877</v>
      </c>
      <c r="P501">
        <f t="shared" si="165"/>
        <v>881.59320028217212</v>
      </c>
      <c r="Q501">
        <f t="shared" si="166"/>
        <v>4037.6968572923483</v>
      </c>
      <c r="R501">
        <f t="shared" si="167"/>
        <v>26.961405207586214</v>
      </c>
      <c r="S501">
        <f t="shared" si="168"/>
        <v>2.4765047567531031</v>
      </c>
      <c r="T501">
        <f t="shared" si="169"/>
        <v>2609.5158728352294</v>
      </c>
      <c r="U501">
        <f t="shared" si="170"/>
        <v>41.717309409035423</v>
      </c>
      <c r="V501">
        <f t="shared" si="171"/>
        <v>1.4471467216850336</v>
      </c>
      <c r="W501">
        <f t="shared" si="172"/>
        <v>1683.8430125389486</v>
      </c>
      <c r="X501">
        <f t="shared" si="173"/>
        <v>64.650908822379506</v>
      </c>
      <c r="Y501">
        <f t="shared" si="174"/>
        <v>1.3137423552786429</v>
      </c>
      <c r="Z501">
        <f t="shared" si="175"/>
        <v>1269.4942084063277</v>
      </c>
      <c r="AA501">
        <f t="shared" si="176"/>
        <v>85.752247118572825</v>
      </c>
      <c r="AB501">
        <f t="shared" si="177"/>
        <v>1.3078440437884387</v>
      </c>
      <c r="AC501">
        <f t="shared" si="178"/>
        <v>6000</v>
      </c>
      <c r="AD501">
        <f t="shared" si="179"/>
        <v>18.143663512476071</v>
      </c>
      <c r="AE501">
        <f t="shared" si="180"/>
        <v>6.8617026750313164</v>
      </c>
      <c r="AF501">
        <f t="shared" si="181"/>
        <v>6000</v>
      </c>
      <c r="AG501">
        <f t="shared" si="182"/>
        <v>18.143663512476071</v>
      </c>
      <c r="AH501">
        <f t="shared" si="183"/>
        <v>6.8617026750313164</v>
      </c>
      <c r="AI501" cm="1">
        <f t="array" ref="AI501">_xlfn.LET(
    _xlpm.vals,   _xlfn.HSTACK(S501,V501,Y501,AB501,AE501,AH501),
    _xlpm.ints,   _xlfn.HSTACK(R501,U501,X501,AA501,AD501,AG501),
    _xlpm.slopes, _xlfn.HSTACK(Q501,T501,W501,Z501,AC501,AF501),
    _xlpm.limit,  -0.00001*_xlpm.slopes + 0.1086*_xlpm.slopes + 63.253,
    _xlpm.mask,   (_xlpm.vals&gt;=0) * (_xlpm.ints&lt;=_xlpm.limit),
    _xlpm.validVals, _xlfn._xlws.FILTER(_xlpm.vals, _xlpm.mask),
    _xlpm.minVal, MIN(_xlpm.validVals),
    IFERROR( _xlfn.XMATCH(_xlpm.minVal, _xlpm.vals), "" )
)</f>
        <v>4</v>
      </c>
      <c r="AJ501" cm="1">
        <f t="array" ref="AJ501">_xlfn.LET(
    _xlpm.vals, CHOOSE({1,2,3,4,5,6}, S501, V501, Y501, AB501, AE501, AH501),
    _xlpm.slopes, CHOOSE({1,2,3,4,5,6}, Q501, T501, W501, Z501, AC501, AF501),
    _xlpm.ints, CHOOSE({1,2,3,4,5,6}, R501, U501, X501, AA501, AD501, AG501),
    _xlpm.limit, -0.00001*_xlpm.slopes + 0.1086*_xlpm.slopes + 63.253,
    _xlpm.valid, (_xlpm.vals &gt;= 0) * (_xlpm.ints &lt;= _xlpm.limit),
    _xlpm.target, MIN(_xlfn._xlws.FILTER(_xlpm.vals, _xlpm.valid)),
    IFERROR(
        _xlfn.XLOOKUP(_xlpm.target, _xlpm.vals, _xlpm.vals),
        CHOOSE({1,2,3,4,5,6}, S$1, V$1, Y$1, AB$1, AE$1, AH$1)
    )
)</f>
        <v>1.3078440437884387</v>
      </c>
    </row>
    <row r="502" spans="9:36" x14ac:dyDescent="0.45">
      <c r="I502">
        <v>500</v>
      </c>
      <c r="J502">
        <v>22</v>
      </c>
      <c r="K502">
        <f t="shared" si="162"/>
        <v>22</v>
      </c>
      <c r="L502">
        <f t="shared" si="161"/>
        <v>6.1111111111111114E-3</v>
      </c>
      <c r="M502">
        <v>9.09</v>
      </c>
      <c r="N502">
        <f t="shared" si="163"/>
        <v>9.09</v>
      </c>
      <c r="O502">
        <f t="shared" si="164"/>
        <v>285.89402131792139</v>
      </c>
      <c r="P502">
        <f t="shared" si="165"/>
        <v>914.86086821734852</v>
      </c>
      <c r="Q502">
        <f t="shared" si="166"/>
        <v>4190.0627764354567</v>
      </c>
      <c r="R502">
        <f t="shared" si="167"/>
        <v>20.716421350652006</v>
      </c>
      <c r="S502">
        <f t="shared" si="168"/>
        <v>2.5721463432344902</v>
      </c>
      <c r="T502">
        <f t="shared" si="169"/>
        <v>2707.9881699233515</v>
      </c>
      <c r="U502">
        <f t="shared" si="170"/>
        <v>32.054462765535881</v>
      </c>
      <c r="V502">
        <f t="shared" si="171"/>
        <v>1.3228864984257371</v>
      </c>
      <c r="W502">
        <f t="shared" si="172"/>
        <v>1747.3842582951356</v>
      </c>
      <c r="X502">
        <f t="shared" si="173"/>
        <v>49.676026065961359</v>
      </c>
      <c r="Y502">
        <f t="shared" si="174"/>
        <v>1.1160413614227802</v>
      </c>
      <c r="Z502">
        <f t="shared" si="175"/>
        <v>1317.3996502329819</v>
      </c>
      <c r="AA502">
        <f t="shared" si="176"/>
        <v>65.889729018045969</v>
      </c>
      <c r="AB502">
        <f t="shared" si="177"/>
        <v>1.0975777157369362</v>
      </c>
      <c r="AC502">
        <f t="shared" si="178"/>
        <v>6000</v>
      </c>
      <c r="AD502">
        <f t="shared" si="179"/>
        <v>14.467184327053287</v>
      </c>
      <c r="AE502">
        <f t="shared" si="180"/>
        <v>6.8206484031546397</v>
      </c>
      <c r="AF502">
        <f t="shared" si="181"/>
        <v>6000</v>
      </c>
      <c r="AG502">
        <f t="shared" si="182"/>
        <v>14.467184327053287</v>
      </c>
      <c r="AH502">
        <f t="shared" si="183"/>
        <v>6.8206484031546397</v>
      </c>
      <c r="AI502" cm="1">
        <f t="array" ref="AI502">_xlfn.LET(
    _xlpm.vals,   _xlfn.HSTACK(S502,V502,Y502,AB502,AE502,AH502),
    _xlpm.ints,   _xlfn.HSTACK(R502,U502,X502,AA502,AD502,AG502),
    _xlpm.slopes, _xlfn.HSTACK(Q502,T502,W502,Z502,AC502,AF502),
    _xlpm.limit,  -0.00001*_xlpm.slopes + 0.1086*_xlpm.slopes + 63.253,
    _xlpm.mask,   (_xlpm.vals&gt;=0) * (_xlpm.ints&lt;=_xlpm.limit),
    _xlpm.validVals, _xlfn._xlws.FILTER(_xlpm.vals, _xlpm.mask),
    _xlpm.minVal, MIN(_xlpm.validVals),
    IFERROR( _xlfn.XMATCH(_xlpm.minVal, _xlpm.vals), "" )
)</f>
        <v>4</v>
      </c>
      <c r="AJ502" cm="1">
        <f t="array" ref="AJ502">_xlfn.LET(
    _xlpm.vals, CHOOSE({1,2,3,4,5,6}, S502, V502, Y502, AB502, AE502, AH502),
    _xlpm.slopes, CHOOSE({1,2,3,4,5,6}, Q502, T502, W502, Z502, AC502, AF502),
    _xlpm.ints, CHOOSE({1,2,3,4,5,6}, R502, U502, X502, AA502, AD502, AG502),
    _xlpm.limit, -0.00001*_xlpm.slopes + 0.1086*_xlpm.slopes + 63.253,
    _xlpm.valid, (_xlpm.vals &gt;= 0) * (_xlpm.ints &lt;= _xlpm.limit),
    _xlpm.target, MIN(_xlfn._xlws.FILTER(_xlpm.vals, _xlpm.valid)),
    IFERROR(
        _xlfn.XLOOKUP(_xlpm.target, _xlpm.vals, _xlpm.vals),
        CHOOSE({1,2,3,4,5,6}, S$1, V$1, Y$1, AB$1, AE$1, AH$1)
    )
)</f>
        <v>1.0975777157369362</v>
      </c>
    </row>
    <row r="503" spans="9:36" x14ac:dyDescent="0.45">
      <c r="I503">
        <v>501</v>
      </c>
      <c r="J503">
        <v>22.8</v>
      </c>
      <c r="K503">
        <f t="shared" si="162"/>
        <v>22.8</v>
      </c>
      <c r="L503">
        <f t="shared" si="161"/>
        <v>6.3333333333333332E-3</v>
      </c>
      <c r="M503">
        <v>6.25</v>
      </c>
      <c r="N503">
        <f t="shared" si="163"/>
        <v>6.25</v>
      </c>
      <c r="O503">
        <f t="shared" si="164"/>
        <v>296.29016754766405</v>
      </c>
      <c r="P503">
        <f t="shared" si="165"/>
        <v>948.12853615252504</v>
      </c>
      <c r="Q503">
        <f t="shared" si="166"/>
        <v>4342.4286955785647</v>
      </c>
      <c r="R503">
        <f t="shared" si="167"/>
        <v>13.744175861823532</v>
      </c>
      <c r="S503">
        <f t="shared" si="168"/>
        <v>2.6849095051537173</v>
      </c>
      <c r="T503">
        <f t="shared" si="169"/>
        <v>2806.4604670114741</v>
      </c>
      <c r="U503">
        <f t="shared" si="170"/>
        <v>21.266326164578306</v>
      </c>
      <c r="V503">
        <f t="shared" si="171"/>
        <v>1.1882416727656668</v>
      </c>
      <c r="W503">
        <f t="shared" si="172"/>
        <v>1810.9255040513228</v>
      </c>
      <c r="X503">
        <f t="shared" si="173"/>
        <v>32.957238454006166</v>
      </c>
      <c r="Y503">
        <f t="shared" si="174"/>
        <v>0.89296067142746305</v>
      </c>
      <c r="Z503">
        <f t="shared" si="175"/>
        <v>1365.3050920596361</v>
      </c>
      <c r="AA503">
        <f t="shared" si="176"/>
        <v>43.714114893855402</v>
      </c>
      <c r="AB503">
        <f t="shared" si="177"/>
        <v>0.84448336902148946</v>
      </c>
      <c r="AC503">
        <f t="shared" si="178"/>
        <v>6000</v>
      </c>
      <c r="AD503">
        <f t="shared" si="179"/>
        <v>9.9471839432434592</v>
      </c>
      <c r="AE503">
        <f t="shared" si="180"/>
        <v>6.7758254598673711</v>
      </c>
      <c r="AF503">
        <f t="shared" si="181"/>
        <v>6000</v>
      </c>
      <c r="AG503">
        <f t="shared" si="182"/>
        <v>9.9471839432434592</v>
      </c>
      <c r="AH503">
        <f t="shared" si="183"/>
        <v>6.7758254598673711</v>
      </c>
      <c r="AI503" cm="1">
        <f t="array" ref="AI503">_xlfn.LET(
    _xlpm.vals,   _xlfn.HSTACK(S503,V503,Y503,AB503,AE503,AH503),
    _xlpm.ints,   _xlfn.HSTACK(R503,U503,X503,AA503,AD503,AG503),
    _xlpm.slopes, _xlfn.HSTACK(Q503,T503,W503,Z503,AC503,AF503),
    _xlpm.limit,  -0.00001*_xlpm.slopes + 0.1086*_xlpm.slopes + 63.253,
    _xlpm.mask,   (_xlpm.vals&gt;=0) * (_xlpm.ints&lt;=_xlpm.limit),
    _xlpm.validVals, _xlfn._xlws.FILTER(_xlpm.vals, _xlpm.mask),
    _xlpm.minVal, MIN(_xlpm.validVals),
    IFERROR( _xlfn.XMATCH(_xlpm.minVal, _xlpm.vals), "" )
)</f>
        <v>4</v>
      </c>
      <c r="AJ503" cm="1">
        <f t="array" ref="AJ503">_xlfn.LET(
    _xlpm.vals, CHOOSE({1,2,3,4,5,6}, S503, V503, Y503, AB503, AE503, AH503),
    _xlpm.slopes, CHOOSE({1,2,3,4,5,6}, Q503, T503, W503, Z503, AC503, AF503),
    _xlpm.ints, CHOOSE({1,2,3,4,5,6}, R503, U503, X503, AA503, AD503, AG503),
    _xlpm.limit, -0.00001*_xlpm.slopes + 0.1086*_xlpm.slopes + 63.253,
    _xlpm.valid, (_xlpm.vals &gt;= 0) * (_xlpm.ints &lt;= _xlpm.limit),
    _xlpm.target, MIN(_xlfn._xlws.FILTER(_xlpm.vals, _xlpm.valid)),
    IFERROR(
        _xlfn.XLOOKUP(_xlpm.target, _xlpm.vals, _xlpm.vals),
        CHOOSE({1,2,3,4,5,6}, S$1, V$1, Y$1, AB$1, AE$1, AH$1)
    )
)</f>
        <v>0.84448336902148946</v>
      </c>
    </row>
    <row r="504" spans="9:36" x14ac:dyDescent="0.45">
      <c r="I504">
        <v>502</v>
      </c>
      <c r="J504">
        <v>23.8</v>
      </c>
      <c r="K504">
        <f t="shared" si="162"/>
        <v>23.8</v>
      </c>
      <c r="L504">
        <f t="shared" si="161"/>
        <v>6.611111111111111E-3</v>
      </c>
      <c r="M504">
        <v>7.28</v>
      </c>
      <c r="N504">
        <f t="shared" si="163"/>
        <v>7.28</v>
      </c>
      <c r="O504">
        <f t="shared" si="164"/>
        <v>309.28535033484224</v>
      </c>
      <c r="P504">
        <f t="shared" si="165"/>
        <v>989.71312107149515</v>
      </c>
      <c r="Q504">
        <f t="shared" si="166"/>
        <v>4532.8860945074475</v>
      </c>
      <c r="R504">
        <f t="shared" si="167"/>
        <v>15.336559907555751</v>
      </c>
      <c r="S504">
        <f t="shared" si="168"/>
        <v>3.0371497394059088</v>
      </c>
      <c r="T504">
        <f t="shared" si="169"/>
        <v>2929.5508383716256</v>
      </c>
      <c r="U504">
        <f t="shared" si="170"/>
        <v>23.730217694799101</v>
      </c>
      <c r="V504">
        <f t="shared" si="171"/>
        <v>1.3126126791434467</v>
      </c>
      <c r="W504">
        <f t="shared" si="172"/>
        <v>1890.3520612465556</v>
      </c>
      <c r="X504">
        <f t="shared" si="173"/>
        <v>36.775625328065622</v>
      </c>
      <c r="Y504">
        <f t="shared" si="174"/>
        <v>0.98437821696806305</v>
      </c>
      <c r="Z504">
        <f t="shared" si="175"/>
        <v>1425.1868943429529</v>
      </c>
      <c r="AA504">
        <f t="shared" si="176"/>
        <v>48.778780817087039</v>
      </c>
      <c r="AB504">
        <f t="shared" si="177"/>
        <v>0.93860371695347133</v>
      </c>
      <c r="AC504">
        <f t="shared" si="178"/>
        <v>6000</v>
      </c>
      <c r="AD504">
        <f t="shared" si="179"/>
        <v>11.586479857089982</v>
      </c>
      <c r="AE504">
        <f t="shared" si="180"/>
        <v>6.7913506329348028</v>
      </c>
      <c r="AF504">
        <f t="shared" si="181"/>
        <v>6000</v>
      </c>
      <c r="AG504">
        <f t="shared" si="182"/>
        <v>11.586479857089982</v>
      </c>
      <c r="AH504">
        <f t="shared" si="183"/>
        <v>6.7913506329348028</v>
      </c>
      <c r="AI504" cm="1">
        <f t="array" ref="AI504">_xlfn.LET(
    _xlpm.vals,   _xlfn.HSTACK(S504,V504,Y504,AB504,AE504,AH504),
    _xlpm.ints,   _xlfn.HSTACK(R504,U504,X504,AA504,AD504,AG504),
    _xlpm.slopes, _xlfn.HSTACK(Q504,T504,W504,Z504,AC504,AF504),
    _xlpm.limit,  -0.00001*_xlpm.slopes + 0.1086*_xlpm.slopes + 63.253,
    _xlpm.mask,   (_xlpm.vals&gt;=0) * (_xlpm.ints&lt;=_xlpm.limit),
    _xlpm.validVals, _xlfn._xlws.FILTER(_xlpm.vals, _xlpm.mask),
    _xlpm.minVal, MIN(_xlpm.validVals),
    IFERROR( _xlfn.XMATCH(_xlpm.minVal, _xlpm.vals), "" )
)</f>
        <v>4</v>
      </c>
      <c r="AJ504" cm="1">
        <f t="array" ref="AJ504">_xlfn.LET(
    _xlpm.vals, CHOOSE({1,2,3,4,5,6}, S504, V504, Y504, AB504, AE504, AH504),
    _xlpm.slopes, CHOOSE({1,2,3,4,5,6}, Q504, T504, W504, Z504, AC504, AF504),
    _xlpm.ints, CHOOSE({1,2,3,4,5,6}, R504, U504, X504, AA504, AD504, AG504),
    _xlpm.limit, -0.00001*_xlpm.slopes + 0.1086*_xlpm.slopes + 63.253,
    _xlpm.valid, (_xlpm.vals &gt;= 0) * (_xlpm.ints &lt;= _xlpm.limit),
    _xlpm.target, MIN(_xlfn._xlws.FILTER(_xlpm.vals, _xlpm.valid)),
    IFERROR(
        _xlfn.XLOOKUP(_xlpm.target, _xlpm.vals, _xlpm.vals),
        CHOOSE({1,2,3,4,5,6}, S$1, V$1, Y$1, AB$1, AE$1, AH$1)
    )
)</f>
        <v>0.93860371695347133</v>
      </c>
    </row>
    <row r="505" spans="9:36" x14ac:dyDescent="0.45">
      <c r="I505">
        <v>503</v>
      </c>
      <c r="J505">
        <v>24.5</v>
      </c>
      <c r="K505">
        <f t="shared" si="162"/>
        <v>24.5</v>
      </c>
      <c r="L505">
        <f t="shared" si="161"/>
        <v>6.8055555555555551E-3</v>
      </c>
      <c r="M505">
        <v>9.27</v>
      </c>
      <c r="N505">
        <f t="shared" si="163"/>
        <v>9.27</v>
      </c>
      <c r="O505">
        <f t="shared" si="164"/>
        <v>318.38197828586698</v>
      </c>
      <c r="P505">
        <f t="shared" si="165"/>
        <v>1018.8223305147744</v>
      </c>
      <c r="Q505">
        <f t="shared" si="166"/>
        <v>4666.2062737576671</v>
      </c>
      <c r="R505">
        <f t="shared" si="167"/>
        <v>18.970867157234778</v>
      </c>
      <c r="S505">
        <f t="shared" si="168"/>
        <v>3.3466667902971801</v>
      </c>
      <c r="T505">
        <f t="shared" si="169"/>
        <v>3015.7140983237323</v>
      </c>
      <c r="U505">
        <f t="shared" si="170"/>
        <v>29.353571479775432</v>
      </c>
      <c r="V505">
        <f t="shared" si="171"/>
        <v>1.4792798498793323</v>
      </c>
      <c r="W505">
        <f t="shared" si="172"/>
        <v>1945.950651283219</v>
      </c>
      <c r="X505">
        <f t="shared" si="173"/>
        <v>45.490351612636275</v>
      </c>
      <c r="Y505">
        <f t="shared" si="174"/>
        <v>1.1499114178749086</v>
      </c>
      <c r="Z505">
        <f t="shared" si="175"/>
        <v>1467.1041559412752</v>
      </c>
      <c r="AA505">
        <f t="shared" si="176"/>
        <v>60.337896930649492</v>
      </c>
      <c r="AB505">
        <f t="shared" si="177"/>
        <v>1.1178845274423823</v>
      </c>
      <c r="AC505">
        <f t="shared" si="178"/>
        <v>6000</v>
      </c>
      <c r="AD505">
        <f t="shared" si="179"/>
        <v>14.753663224618698</v>
      </c>
      <c r="AE505">
        <f t="shared" si="180"/>
        <v>6.8237009353925284</v>
      </c>
      <c r="AF505">
        <f t="shared" si="181"/>
        <v>6000</v>
      </c>
      <c r="AG505">
        <f t="shared" si="182"/>
        <v>14.753663224618698</v>
      </c>
      <c r="AH505">
        <f t="shared" si="183"/>
        <v>6.8237009353925284</v>
      </c>
      <c r="AI505" cm="1">
        <f t="array" ref="AI505">_xlfn.LET(
    _xlpm.vals,   _xlfn.HSTACK(S505,V505,Y505,AB505,AE505,AH505),
    _xlpm.ints,   _xlfn.HSTACK(R505,U505,X505,AA505,AD505,AG505),
    _xlpm.slopes, _xlfn.HSTACK(Q505,T505,W505,Z505,AC505,AF505),
    _xlpm.limit,  -0.00001*_xlpm.slopes + 0.1086*_xlpm.slopes + 63.253,
    _xlpm.mask,   (_xlpm.vals&gt;=0) * (_xlpm.ints&lt;=_xlpm.limit),
    _xlpm.validVals, _xlfn._xlws.FILTER(_xlpm.vals, _xlpm.mask),
    _xlpm.minVal, MIN(_xlpm.validVals),
    IFERROR( _xlfn.XMATCH(_xlpm.minVal, _xlpm.vals), "" )
)</f>
        <v>4</v>
      </c>
      <c r="AJ505" cm="1">
        <f t="array" ref="AJ505">_xlfn.LET(
    _xlpm.vals, CHOOSE({1,2,3,4,5,6}, S505, V505, Y505, AB505, AE505, AH505),
    _xlpm.slopes, CHOOSE({1,2,3,4,5,6}, Q505, T505, W505, Z505, AC505, AF505),
    _xlpm.ints, CHOOSE({1,2,3,4,5,6}, R505, U505, X505, AA505, AD505, AG505),
    _xlpm.limit, -0.00001*_xlpm.slopes + 0.1086*_xlpm.slopes + 63.253,
    _xlpm.valid, (_xlpm.vals &gt;= 0) * (_xlpm.ints &lt;= _xlpm.limit),
    _xlpm.target, MIN(_xlfn._xlws.FILTER(_xlpm.vals, _xlpm.valid)),
    IFERROR(
        _xlfn.XLOOKUP(_xlpm.target, _xlpm.vals, _xlpm.vals),
        CHOOSE({1,2,3,4,5,6}, S$1, V$1, Y$1, AB$1, AE$1, AH$1)
    )
)</f>
        <v>1.1178845274423823</v>
      </c>
    </row>
    <row r="506" spans="9:36" x14ac:dyDescent="0.45">
      <c r="I506">
        <v>504</v>
      </c>
      <c r="J506">
        <v>24.9</v>
      </c>
      <c r="K506">
        <f t="shared" si="162"/>
        <v>24.9</v>
      </c>
      <c r="L506">
        <f t="shared" si="161"/>
        <v>6.9166666666666664E-3</v>
      </c>
      <c r="M506">
        <v>4.17</v>
      </c>
      <c r="N506">
        <f t="shared" si="163"/>
        <v>4.17</v>
      </c>
      <c r="O506">
        <f t="shared" si="164"/>
        <v>323.58005140073828</v>
      </c>
      <c r="P506">
        <f t="shared" si="165"/>
        <v>1035.4561644823625</v>
      </c>
      <c r="Q506">
        <f t="shared" si="166"/>
        <v>4742.3892333292206</v>
      </c>
      <c r="R506">
        <f t="shared" si="167"/>
        <v>8.3967310151886547</v>
      </c>
      <c r="S506">
        <f t="shared" si="168"/>
        <v>3.3266422813364374</v>
      </c>
      <c r="T506">
        <f t="shared" si="169"/>
        <v>3064.9502468677929</v>
      </c>
      <c r="U506">
        <f t="shared" si="170"/>
        <v>12.992239205933799</v>
      </c>
      <c r="V506">
        <f t="shared" si="171"/>
        <v>1.2205824466944684</v>
      </c>
      <c r="W506">
        <f t="shared" si="172"/>
        <v>1977.7212741613123</v>
      </c>
      <c r="X506">
        <f t="shared" si="173"/>
        <v>20.134569659457615</v>
      </c>
      <c r="Y506">
        <f t="shared" si="174"/>
        <v>0.7731361062496902</v>
      </c>
      <c r="Z506">
        <f t="shared" si="175"/>
        <v>1491.056876854602</v>
      </c>
      <c r="AA506">
        <f t="shared" si="176"/>
        <v>26.70626947886392</v>
      </c>
      <c r="AB506">
        <f t="shared" si="177"/>
        <v>0.68767539539757661</v>
      </c>
      <c r="AC506">
        <f t="shared" si="178"/>
        <v>6000</v>
      </c>
      <c r="AD506">
        <f t="shared" si="179"/>
        <v>6.6367611269320355</v>
      </c>
      <c r="AE506">
        <f t="shared" si="180"/>
        <v>6.7470548429561967</v>
      </c>
      <c r="AF506">
        <f t="shared" si="181"/>
        <v>6000</v>
      </c>
      <c r="AG506">
        <f t="shared" si="182"/>
        <v>6.6367611269320355</v>
      </c>
      <c r="AH506">
        <f t="shared" si="183"/>
        <v>6.7470548429561967</v>
      </c>
      <c r="AI506" cm="1">
        <f t="array" ref="AI506">_xlfn.LET(
    _xlpm.vals,   _xlfn.HSTACK(S506,V506,Y506,AB506,AE506,AH506),
    _xlpm.ints,   _xlfn.HSTACK(R506,U506,X506,AA506,AD506,AG506),
    _xlpm.slopes, _xlfn.HSTACK(Q506,T506,W506,Z506,AC506,AF506),
    _xlpm.limit,  -0.00001*_xlpm.slopes + 0.1086*_xlpm.slopes + 63.253,
    _xlpm.mask,   (_xlpm.vals&gt;=0) * (_xlpm.ints&lt;=_xlpm.limit),
    _xlpm.validVals, _xlfn._xlws.FILTER(_xlpm.vals, _xlpm.mask),
    _xlpm.minVal, MIN(_xlpm.validVals),
    IFERROR( _xlfn.XMATCH(_xlpm.minVal, _xlpm.vals), "" )
)</f>
        <v>4</v>
      </c>
      <c r="AJ506" cm="1">
        <f t="array" ref="AJ506">_xlfn.LET(
    _xlpm.vals, CHOOSE({1,2,3,4,5,6}, S506, V506, Y506, AB506, AE506, AH506),
    _xlpm.slopes, CHOOSE({1,2,3,4,5,6}, Q506, T506, W506, Z506, AC506, AF506),
    _xlpm.ints, CHOOSE({1,2,3,4,5,6}, R506, U506, X506, AA506, AD506, AG506),
    _xlpm.limit, -0.00001*_xlpm.slopes + 0.1086*_xlpm.slopes + 63.253,
    _xlpm.valid, (_xlpm.vals &gt;= 0) * (_xlpm.ints &lt;= _xlpm.limit),
    _xlpm.target, MIN(_xlfn._xlws.FILTER(_xlpm.vals, _xlpm.valid)),
    IFERROR(
        _xlfn.XLOOKUP(_xlpm.target, _xlpm.vals, _xlpm.vals),
        CHOOSE({1,2,3,4,5,6}, S$1, V$1, Y$1, AB$1, AE$1, AH$1)
    )
)</f>
        <v>0.68767539539757661</v>
      </c>
    </row>
    <row r="507" spans="9:36" x14ac:dyDescent="0.45">
      <c r="I507">
        <v>505</v>
      </c>
      <c r="J507">
        <v>25.2</v>
      </c>
      <c r="K507">
        <f t="shared" si="162"/>
        <v>25.2</v>
      </c>
      <c r="L507">
        <f t="shared" si="161"/>
        <v>7.0000000000000001E-3</v>
      </c>
      <c r="M507">
        <v>6.71</v>
      </c>
      <c r="N507">
        <f t="shared" si="163"/>
        <v>6.71</v>
      </c>
      <c r="O507">
        <f t="shared" si="164"/>
        <v>327.47860623689172</v>
      </c>
      <c r="P507">
        <f t="shared" si="165"/>
        <v>1047.9315399580535</v>
      </c>
      <c r="Q507">
        <f t="shared" si="166"/>
        <v>4799.5264530078848</v>
      </c>
      <c r="R507">
        <f t="shared" si="167"/>
        <v>13.350437947610535</v>
      </c>
      <c r="S507">
        <f t="shared" si="168"/>
        <v>3.5181346770418216</v>
      </c>
      <c r="T507">
        <f t="shared" si="169"/>
        <v>3101.8773582758381</v>
      </c>
      <c r="U507">
        <f t="shared" si="170"/>
        <v>20.65709655407306</v>
      </c>
      <c r="V507">
        <f t="shared" si="171"/>
        <v>1.3810367206958709</v>
      </c>
      <c r="W507">
        <f t="shared" si="172"/>
        <v>2001.549241319882</v>
      </c>
      <c r="X507">
        <f t="shared" si="173"/>
        <v>32.01309204191427</v>
      </c>
      <c r="Y507">
        <f t="shared" si="174"/>
        <v>0.95916550690802416</v>
      </c>
      <c r="Z507">
        <f t="shared" si="175"/>
        <v>1509.021417539597</v>
      </c>
      <c r="AA507">
        <f t="shared" si="176"/>
        <v>42.4618095833724</v>
      </c>
      <c r="AB507">
        <f t="shared" si="177"/>
        <v>0.89558274068900445</v>
      </c>
      <c r="AC507">
        <f t="shared" si="178"/>
        <v>6000</v>
      </c>
      <c r="AD507">
        <f t="shared" si="179"/>
        <v>10.679296681466177</v>
      </c>
      <c r="AE507">
        <f t="shared" si="180"/>
        <v>6.7826553426757554</v>
      </c>
      <c r="AF507">
        <f t="shared" si="181"/>
        <v>6000</v>
      </c>
      <c r="AG507">
        <f t="shared" si="182"/>
        <v>10.679296681466177</v>
      </c>
      <c r="AH507">
        <f t="shared" si="183"/>
        <v>6.7826553426757554</v>
      </c>
      <c r="AI507" cm="1">
        <f t="array" ref="AI507">_xlfn.LET(
    _xlpm.vals,   _xlfn.HSTACK(S507,V507,Y507,AB507,AE507,AH507),
    _xlpm.ints,   _xlfn.HSTACK(R507,U507,X507,AA507,AD507,AG507),
    _xlpm.slopes, _xlfn.HSTACK(Q507,T507,W507,Z507,AC507,AF507),
    _xlpm.limit,  -0.00001*_xlpm.slopes + 0.1086*_xlpm.slopes + 63.253,
    _xlpm.mask,   (_xlpm.vals&gt;=0) * (_xlpm.ints&lt;=_xlpm.limit),
    _xlpm.validVals, _xlfn._xlws.FILTER(_xlpm.vals, _xlpm.mask),
    _xlpm.minVal, MIN(_xlpm.validVals),
    IFERROR( _xlfn.XMATCH(_xlpm.minVal, _xlpm.vals), "" )
)</f>
        <v>4</v>
      </c>
      <c r="AJ507" cm="1">
        <f t="array" ref="AJ507">_xlfn.LET(
    _xlpm.vals, CHOOSE({1,2,3,4,5,6}, S507, V507, Y507, AB507, AE507, AH507),
    _xlpm.slopes, CHOOSE({1,2,3,4,5,6}, Q507, T507, W507, Z507, AC507, AF507),
    _xlpm.ints, CHOOSE({1,2,3,4,5,6}, R507, U507, X507, AA507, AD507, AG507),
    _xlpm.limit, -0.00001*_xlpm.slopes + 0.1086*_xlpm.slopes + 63.253,
    _xlpm.valid, (_xlpm.vals &gt;= 0) * (_xlpm.ints &lt;= _xlpm.limit),
    _xlpm.target, MIN(_xlfn._xlws.FILTER(_xlpm.vals, _xlpm.valid)),
    IFERROR(
        _xlfn.XLOOKUP(_xlpm.target, _xlpm.vals, _xlpm.vals),
        CHOOSE({1,2,3,4,5,6}, S$1, V$1, Y$1, AB$1, AE$1, AH$1)
    )
)</f>
        <v>0.89558274068900445</v>
      </c>
    </row>
    <row r="508" spans="9:36" x14ac:dyDescent="0.45">
      <c r="I508">
        <v>506</v>
      </c>
      <c r="J508">
        <v>25.2</v>
      </c>
      <c r="K508">
        <f t="shared" si="162"/>
        <v>25.2</v>
      </c>
      <c r="L508">
        <f t="shared" si="161"/>
        <v>7.0000000000000001E-3</v>
      </c>
      <c r="M508">
        <v>4.6900000000000004</v>
      </c>
      <c r="N508">
        <f t="shared" si="163"/>
        <v>4.6900000000000004</v>
      </c>
      <c r="O508">
        <f t="shared" si="164"/>
        <v>327.47860623689172</v>
      </c>
      <c r="P508">
        <f t="shared" si="165"/>
        <v>1047.9315399580535</v>
      </c>
      <c r="Q508">
        <f t="shared" si="166"/>
        <v>4799.5264530078848</v>
      </c>
      <c r="R508">
        <f t="shared" si="167"/>
        <v>9.3313791317873935</v>
      </c>
      <c r="S508">
        <f t="shared" si="168"/>
        <v>3.4571109436789853</v>
      </c>
      <c r="T508">
        <f t="shared" si="169"/>
        <v>3101.8773582758381</v>
      </c>
      <c r="U508">
        <f t="shared" si="170"/>
        <v>14.438417710671036</v>
      </c>
      <c r="V508">
        <f t="shared" si="171"/>
        <v>1.2720783349859013</v>
      </c>
      <c r="W508">
        <f t="shared" si="172"/>
        <v>2001.549241319882</v>
      </c>
      <c r="X508">
        <f t="shared" si="173"/>
        <v>22.375767761039931</v>
      </c>
      <c r="Y508">
        <f t="shared" si="174"/>
        <v>0.81407544789795305</v>
      </c>
      <c r="Z508">
        <f t="shared" si="175"/>
        <v>1509.021417539597</v>
      </c>
      <c r="AA508">
        <f t="shared" si="176"/>
        <v>29.678969738601573</v>
      </c>
      <c r="AB508">
        <f t="shared" si="177"/>
        <v>0.73046872552003483</v>
      </c>
      <c r="AC508">
        <f t="shared" si="178"/>
        <v>6000</v>
      </c>
      <c r="AD508">
        <f t="shared" si="179"/>
        <v>7.4643668310098921</v>
      </c>
      <c r="AE508">
        <f t="shared" si="180"/>
        <v>6.753920865388368</v>
      </c>
      <c r="AF508">
        <f t="shared" si="181"/>
        <v>6000</v>
      </c>
      <c r="AG508">
        <f t="shared" si="182"/>
        <v>7.4643668310098921</v>
      </c>
      <c r="AH508">
        <f t="shared" si="183"/>
        <v>6.753920865388368</v>
      </c>
      <c r="AI508" cm="1">
        <f t="array" ref="AI508">_xlfn.LET(
    _xlpm.vals,   _xlfn.HSTACK(S508,V508,Y508,AB508,AE508,AH508),
    _xlpm.ints,   _xlfn.HSTACK(R508,U508,X508,AA508,AD508,AG508),
    _xlpm.slopes, _xlfn.HSTACK(Q508,T508,W508,Z508,AC508,AF508),
    _xlpm.limit,  -0.00001*_xlpm.slopes + 0.1086*_xlpm.slopes + 63.253,
    _xlpm.mask,   (_xlpm.vals&gt;=0) * (_xlpm.ints&lt;=_xlpm.limit),
    _xlpm.validVals, _xlfn._xlws.FILTER(_xlpm.vals, _xlpm.mask),
    _xlpm.minVal, MIN(_xlpm.validVals),
    IFERROR( _xlfn.XMATCH(_xlpm.minVal, _xlpm.vals), "" )
)</f>
        <v>4</v>
      </c>
      <c r="AJ508" cm="1">
        <f t="array" ref="AJ508">_xlfn.LET(
    _xlpm.vals, CHOOSE({1,2,3,4,5,6}, S508, V508, Y508, AB508, AE508, AH508),
    _xlpm.slopes, CHOOSE({1,2,3,4,5,6}, Q508, T508, W508, Z508, AC508, AF508),
    _xlpm.ints, CHOOSE({1,2,3,4,5,6}, R508, U508, X508, AA508, AD508, AG508),
    _xlpm.limit, -0.00001*_xlpm.slopes + 0.1086*_xlpm.slopes + 63.253,
    _xlpm.valid, (_xlpm.vals &gt;= 0) * (_xlpm.ints &lt;= _xlpm.limit),
    _xlpm.target, MIN(_xlfn._xlws.FILTER(_xlpm.vals, _xlpm.valid)),
    IFERROR(
        _xlfn.XLOOKUP(_xlpm.target, _xlpm.vals, _xlpm.vals),
        CHOOSE({1,2,3,4,5,6}, S$1, V$1, Y$1, AB$1, AE$1, AH$1)
    )
)</f>
        <v>0.73046872552003483</v>
      </c>
    </row>
    <row r="509" spans="9:36" x14ac:dyDescent="0.45">
      <c r="I509">
        <v>507</v>
      </c>
      <c r="J509">
        <v>25</v>
      </c>
      <c r="K509">
        <f t="shared" si="162"/>
        <v>25</v>
      </c>
      <c r="L509">
        <f t="shared" si="161"/>
        <v>6.9444444444444441E-3</v>
      </c>
      <c r="M509">
        <v>0.2</v>
      </c>
      <c r="N509">
        <f t="shared" si="163"/>
        <v>0.2</v>
      </c>
      <c r="O509">
        <f t="shared" si="164"/>
        <v>324.87956967945615</v>
      </c>
      <c r="P509">
        <f t="shared" si="165"/>
        <v>1039.6146229742596</v>
      </c>
      <c r="Q509">
        <f t="shared" si="166"/>
        <v>4761.434973222109</v>
      </c>
      <c r="R509">
        <f t="shared" si="167"/>
        <v>0.40111002835145809</v>
      </c>
      <c r="S509">
        <f t="shared" si="168"/>
        <v>3.2578401009184255</v>
      </c>
      <c r="T509">
        <f t="shared" si="169"/>
        <v>3077.2592840038087</v>
      </c>
      <c r="U509">
        <f t="shared" si="170"/>
        <v>0.62063646278705331</v>
      </c>
      <c r="V509">
        <f t="shared" si="171"/>
        <v>1.0388039221677261</v>
      </c>
      <c r="W509">
        <f t="shared" si="172"/>
        <v>1985.6639298808359</v>
      </c>
      <c r="X509">
        <f t="shared" si="173"/>
        <v>0.9618240470417162</v>
      </c>
      <c r="Y509">
        <f t="shared" si="174"/>
        <v>0.53163769838338015</v>
      </c>
      <c r="Z509">
        <f t="shared" si="175"/>
        <v>1497.0450570829339</v>
      </c>
      <c r="AA509">
        <f t="shared" si="176"/>
        <v>1.2757527290622763</v>
      </c>
      <c r="AB509">
        <f t="shared" si="177"/>
        <v>0.42031568221480237</v>
      </c>
      <c r="AC509">
        <f t="shared" si="178"/>
        <v>6000</v>
      </c>
      <c r="AD509">
        <f t="shared" si="179"/>
        <v>0.31830988618379069</v>
      </c>
      <c r="AE509">
        <f t="shared" si="180"/>
        <v>6.701964007888308</v>
      </c>
      <c r="AF509">
        <f t="shared" si="181"/>
        <v>6000</v>
      </c>
      <c r="AG509">
        <f t="shared" si="182"/>
        <v>0.31830988618379069</v>
      </c>
      <c r="AH509">
        <f t="shared" si="183"/>
        <v>6.701964007888308</v>
      </c>
      <c r="AI509" cm="1">
        <f t="array" ref="AI509">_xlfn.LET(
    _xlpm.vals,   _xlfn.HSTACK(S509,V509,Y509,AB509,AE509,AH509),
    _xlpm.ints,   _xlfn.HSTACK(R509,U509,X509,AA509,AD509,AG509),
    _xlpm.slopes, _xlfn.HSTACK(Q509,T509,W509,Z509,AC509,AF509),
    _xlpm.limit,  -0.00001*_xlpm.slopes + 0.1086*_xlpm.slopes + 63.253,
    _xlpm.mask,   (_xlpm.vals&gt;=0) * (_xlpm.ints&lt;=_xlpm.limit),
    _xlpm.validVals, _xlfn._xlws.FILTER(_xlpm.vals, _xlpm.mask),
    _xlpm.minVal, MIN(_xlpm.validVals),
    IFERROR( _xlfn.XMATCH(_xlpm.minVal, _xlpm.vals), "" )
)</f>
        <v>4</v>
      </c>
      <c r="AJ509" cm="1">
        <f t="array" ref="AJ509">_xlfn.LET(
    _xlpm.vals, CHOOSE({1,2,3,4,5,6}, S509, V509, Y509, AB509, AE509, AH509),
    _xlpm.slopes, CHOOSE({1,2,3,4,5,6}, Q509, T509, W509, Z509, AC509, AF509),
    _xlpm.ints, CHOOSE({1,2,3,4,5,6}, R509, U509, X509, AA509, AD509, AG509),
    _xlpm.limit, -0.00001*_xlpm.slopes + 0.1086*_xlpm.slopes + 63.253,
    _xlpm.valid, (_xlpm.vals &gt;= 0) * (_xlpm.ints &lt;= _xlpm.limit),
    _xlpm.target, MIN(_xlfn._xlws.FILTER(_xlpm.vals, _xlpm.valid)),
    IFERROR(
        _xlfn.XLOOKUP(_xlpm.target, _xlpm.vals, _xlpm.vals),
        CHOOSE({1,2,3,4,5,6}, S$1, V$1, Y$1, AB$1, AE$1, AH$1)
    )
)</f>
        <v>0.42031568221480237</v>
      </c>
    </row>
    <row r="510" spans="9:36" x14ac:dyDescent="0.45">
      <c r="I510">
        <v>508</v>
      </c>
      <c r="J510">
        <v>24.9</v>
      </c>
      <c r="K510">
        <f t="shared" si="162"/>
        <v>24.9</v>
      </c>
      <c r="L510">
        <f t="shared" si="161"/>
        <v>6.9166666666666664E-3</v>
      </c>
      <c r="M510">
        <v>2.89</v>
      </c>
      <c r="N510">
        <f t="shared" si="163"/>
        <v>2.89</v>
      </c>
      <c r="O510">
        <f t="shared" si="164"/>
        <v>323.58005140073828</v>
      </c>
      <c r="P510">
        <f t="shared" si="165"/>
        <v>1035.4561644823625</v>
      </c>
      <c r="Q510">
        <f t="shared" si="166"/>
        <v>4742.3892333292206</v>
      </c>
      <c r="R510">
        <f t="shared" si="167"/>
        <v>5.8193171783921374</v>
      </c>
      <c r="S510">
        <f t="shared" si="168"/>
        <v>3.2899603838832348</v>
      </c>
      <c r="T510">
        <f t="shared" si="169"/>
        <v>3064.9502468677929</v>
      </c>
      <c r="U510">
        <f t="shared" si="170"/>
        <v>9.0042137422418893</v>
      </c>
      <c r="V510">
        <f t="shared" si="171"/>
        <v>1.155827310040842</v>
      </c>
      <c r="W510">
        <f t="shared" si="172"/>
        <v>1977.7212741613123</v>
      </c>
      <c r="X510">
        <f t="shared" si="173"/>
        <v>13.954174176458636</v>
      </c>
      <c r="Y510">
        <f t="shared" si="174"/>
        <v>0.68867756041427675</v>
      </c>
      <c r="Z510">
        <f t="shared" si="175"/>
        <v>1491.056876854602</v>
      </c>
      <c r="AA510">
        <f t="shared" si="176"/>
        <v>18.508661581274996</v>
      </c>
      <c r="AB510">
        <f t="shared" si="177"/>
        <v>0.59269503187489625</v>
      </c>
      <c r="AC510">
        <f t="shared" si="178"/>
        <v>6000</v>
      </c>
      <c r="AD510">
        <f t="shared" si="179"/>
        <v>4.5995778553557756</v>
      </c>
      <c r="AE510">
        <f t="shared" si="180"/>
        <v>6.7310924301938346</v>
      </c>
      <c r="AF510">
        <f t="shared" si="181"/>
        <v>6000</v>
      </c>
      <c r="AG510">
        <f t="shared" si="182"/>
        <v>4.5995778553557756</v>
      </c>
      <c r="AH510">
        <f t="shared" si="183"/>
        <v>6.7310924301938346</v>
      </c>
      <c r="AI510" cm="1">
        <f t="array" ref="AI510">_xlfn.LET(
    _xlpm.vals,   _xlfn.HSTACK(S510,V510,Y510,AB510,AE510,AH510),
    _xlpm.ints,   _xlfn.HSTACK(R510,U510,X510,AA510,AD510,AG510),
    _xlpm.slopes, _xlfn.HSTACK(Q510,T510,W510,Z510,AC510,AF510),
    _xlpm.limit,  -0.00001*_xlpm.slopes + 0.1086*_xlpm.slopes + 63.253,
    _xlpm.mask,   (_xlpm.vals&gt;=0) * (_xlpm.ints&lt;=_xlpm.limit),
    _xlpm.validVals, _xlfn._xlws.FILTER(_xlpm.vals, _xlpm.mask),
    _xlpm.minVal, MIN(_xlpm.validVals),
    IFERROR( _xlfn.XMATCH(_xlpm.minVal, _xlpm.vals), "" )
)</f>
        <v>4</v>
      </c>
      <c r="AJ510" cm="1">
        <f t="array" ref="AJ510">_xlfn.LET(
    _xlpm.vals, CHOOSE({1,2,3,4,5,6}, S510, V510, Y510, AB510, AE510, AH510),
    _xlpm.slopes, CHOOSE({1,2,3,4,5,6}, Q510, T510, W510, Z510, AC510, AF510),
    _xlpm.ints, CHOOSE({1,2,3,4,5,6}, R510, U510, X510, AA510, AD510, AG510),
    _xlpm.limit, -0.00001*_xlpm.slopes + 0.1086*_xlpm.slopes + 63.253,
    _xlpm.valid, (_xlpm.vals &gt;= 0) * (_xlpm.ints &lt;= _xlpm.limit),
    _xlpm.target, MIN(_xlfn._xlws.FILTER(_xlpm.vals, _xlpm.valid)),
    IFERROR(
        _xlfn.XLOOKUP(_xlpm.target, _xlpm.vals, _xlpm.vals),
        CHOOSE({1,2,3,4,5,6}, S$1, V$1, Y$1, AB$1, AE$1, AH$1)
    )
)</f>
        <v>0.59269503187489625</v>
      </c>
    </row>
    <row r="511" spans="9:36" x14ac:dyDescent="0.45">
      <c r="I511">
        <v>509</v>
      </c>
      <c r="J511">
        <v>25</v>
      </c>
      <c r="K511">
        <f t="shared" si="162"/>
        <v>25</v>
      </c>
      <c r="L511">
        <f t="shared" si="161"/>
        <v>6.9444444444444441E-3</v>
      </c>
      <c r="M511">
        <v>3.64</v>
      </c>
      <c r="N511">
        <f t="shared" si="163"/>
        <v>3.64</v>
      </c>
      <c r="O511">
        <f t="shared" si="164"/>
        <v>324.87956967945615</v>
      </c>
      <c r="P511">
        <f t="shared" si="165"/>
        <v>1039.6146229742596</v>
      </c>
      <c r="Q511">
        <f t="shared" si="166"/>
        <v>4761.434973222109</v>
      </c>
      <c r="R511">
        <f t="shared" si="167"/>
        <v>7.3002025159965367</v>
      </c>
      <c r="S511">
        <f t="shared" si="168"/>
        <v>3.3494728742194426</v>
      </c>
      <c r="T511">
        <f t="shared" si="169"/>
        <v>3077.2592840038087</v>
      </c>
      <c r="U511">
        <f t="shared" si="170"/>
        <v>11.29558362272437</v>
      </c>
      <c r="V511">
        <f t="shared" si="171"/>
        <v>1.2016023003322509</v>
      </c>
      <c r="W511">
        <f t="shared" si="172"/>
        <v>1985.6639298808359</v>
      </c>
      <c r="X511">
        <f t="shared" si="173"/>
        <v>17.505197656159233</v>
      </c>
      <c r="Y511">
        <f t="shared" si="174"/>
        <v>0.7393909823436714</v>
      </c>
      <c r="Z511">
        <f t="shared" si="175"/>
        <v>1497.0450570829339</v>
      </c>
      <c r="AA511">
        <f t="shared" si="176"/>
        <v>23.218699668933429</v>
      </c>
      <c r="AB511">
        <f t="shared" si="177"/>
        <v>0.64839386909297814</v>
      </c>
      <c r="AC511">
        <f t="shared" si="178"/>
        <v>6000</v>
      </c>
      <c r="AD511">
        <f t="shared" si="179"/>
        <v>5.7932399285449909</v>
      </c>
      <c r="AE511">
        <f t="shared" si="180"/>
        <v>6.7402828942430286</v>
      </c>
      <c r="AF511">
        <f t="shared" si="181"/>
        <v>6000</v>
      </c>
      <c r="AG511">
        <f t="shared" si="182"/>
        <v>5.7932399285449909</v>
      </c>
      <c r="AH511">
        <f t="shared" si="183"/>
        <v>6.7402828942430286</v>
      </c>
      <c r="AI511" cm="1">
        <f t="array" ref="AI511">_xlfn.LET(
    _xlpm.vals,   _xlfn.HSTACK(S511,V511,Y511,AB511,AE511,AH511),
    _xlpm.ints,   _xlfn.HSTACK(R511,U511,X511,AA511,AD511,AG511),
    _xlpm.slopes, _xlfn.HSTACK(Q511,T511,W511,Z511,AC511,AF511),
    _xlpm.limit,  -0.00001*_xlpm.slopes + 0.1086*_xlpm.slopes + 63.253,
    _xlpm.mask,   (_xlpm.vals&gt;=0) * (_xlpm.ints&lt;=_xlpm.limit),
    _xlpm.validVals, _xlfn._xlws.FILTER(_xlpm.vals, _xlpm.mask),
    _xlpm.minVal, MIN(_xlpm.validVals),
    IFERROR( _xlfn.XMATCH(_xlpm.minVal, _xlpm.vals), "" )
)</f>
        <v>4</v>
      </c>
      <c r="AJ511" cm="1">
        <f t="array" ref="AJ511">_xlfn.LET(
    _xlpm.vals, CHOOSE({1,2,3,4,5,6}, S511, V511, Y511, AB511, AE511, AH511),
    _xlpm.slopes, CHOOSE({1,2,3,4,5,6}, Q511, T511, W511, Z511, AC511, AF511),
    _xlpm.ints, CHOOSE({1,2,3,4,5,6}, R511, U511, X511, AA511, AD511, AG511),
    _xlpm.limit, -0.00001*_xlpm.slopes + 0.1086*_xlpm.slopes + 63.253,
    _xlpm.valid, (_xlpm.vals &gt;= 0) * (_xlpm.ints &lt;= _xlpm.limit),
    _xlpm.target, MIN(_xlfn._xlws.FILTER(_xlpm.vals, _xlpm.valid)),
    IFERROR(
        _xlfn.XLOOKUP(_xlpm.target, _xlpm.vals, _xlpm.vals),
        CHOOSE({1,2,3,4,5,6}, S$1, V$1, Y$1, AB$1, AE$1, AH$1)
    )
)</f>
        <v>0.64839386909297814</v>
      </c>
    </row>
    <row r="512" spans="9:36" x14ac:dyDescent="0.45">
      <c r="I512">
        <v>510</v>
      </c>
      <c r="J512">
        <v>25.1</v>
      </c>
      <c r="K512">
        <f t="shared" si="162"/>
        <v>25.1</v>
      </c>
      <c r="L512">
        <f t="shared" si="161"/>
        <v>6.9722222222222225E-3</v>
      </c>
      <c r="M512">
        <v>4.26</v>
      </c>
      <c r="N512">
        <f t="shared" si="163"/>
        <v>4.26</v>
      </c>
      <c r="O512">
        <f t="shared" si="164"/>
        <v>326.17908795817397</v>
      </c>
      <c r="P512">
        <f t="shared" si="165"/>
        <v>1043.7730814661568</v>
      </c>
      <c r="Q512">
        <f t="shared" si="166"/>
        <v>4780.4807131149983</v>
      </c>
      <c r="R512">
        <f t="shared" si="167"/>
        <v>8.5096051831534414</v>
      </c>
      <c r="S512">
        <f t="shared" si="168"/>
        <v>3.4058306236411293</v>
      </c>
      <c r="T512">
        <f t="shared" si="169"/>
        <v>3089.5683211398241</v>
      </c>
      <c r="U512">
        <f t="shared" si="170"/>
        <v>13.166889100960393</v>
      </c>
      <c r="V512">
        <f t="shared" si="171"/>
        <v>1.2415314885489757</v>
      </c>
      <c r="W512">
        <f t="shared" si="172"/>
        <v>1993.6065856003593</v>
      </c>
      <c r="X512">
        <f t="shared" si="173"/>
        <v>20.405231276881029</v>
      </c>
      <c r="Y512">
        <f t="shared" si="174"/>
        <v>0.78282716553858278</v>
      </c>
      <c r="Z512">
        <f t="shared" si="175"/>
        <v>1503.0332373112658</v>
      </c>
      <c r="AA512">
        <f t="shared" si="176"/>
        <v>27.065272040863032</v>
      </c>
      <c r="AB512">
        <f t="shared" si="177"/>
        <v>0.69624967571599095</v>
      </c>
      <c r="AC512">
        <f t="shared" si="178"/>
        <v>6000</v>
      </c>
      <c r="AD512">
        <f t="shared" si="179"/>
        <v>6.7800005757147419</v>
      </c>
      <c r="AE512">
        <f t="shared" si="180"/>
        <v>6.7482275023601543</v>
      </c>
      <c r="AF512">
        <f t="shared" si="181"/>
        <v>6000</v>
      </c>
      <c r="AG512">
        <f t="shared" si="182"/>
        <v>6.7800005757147419</v>
      </c>
      <c r="AH512">
        <f t="shared" si="183"/>
        <v>6.7482275023601543</v>
      </c>
      <c r="AI512" cm="1">
        <f t="array" ref="AI512">_xlfn.LET(
    _xlpm.vals,   _xlfn.HSTACK(S512,V512,Y512,AB512,AE512,AH512),
    _xlpm.ints,   _xlfn.HSTACK(R512,U512,X512,AA512,AD512,AG512),
    _xlpm.slopes, _xlfn.HSTACK(Q512,T512,W512,Z512,AC512,AF512),
    _xlpm.limit,  -0.00001*_xlpm.slopes + 0.1086*_xlpm.slopes + 63.253,
    _xlpm.mask,   (_xlpm.vals&gt;=0) * (_xlpm.ints&lt;=_xlpm.limit),
    _xlpm.validVals, _xlfn._xlws.FILTER(_xlpm.vals, _xlpm.mask),
    _xlpm.minVal, MIN(_xlpm.validVals),
    IFERROR( _xlfn.XMATCH(_xlpm.minVal, _xlpm.vals), "" )
)</f>
        <v>4</v>
      </c>
      <c r="AJ512" cm="1">
        <f t="array" ref="AJ512">_xlfn.LET(
    _xlpm.vals, CHOOSE({1,2,3,4,5,6}, S512, V512, Y512, AB512, AE512, AH512),
    _xlpm.slopes, CHOOSE({1,2,3,4,5,6}, Q512, T512, W512, Z512, AC512, AF512),
    _xlpm.ints, CHOOSE({1,2,3,4,5,6}, R512, U512, X512, AA512, AD512, AG512),
    _xlpm.limit, -0.00001*_xlpm.slopes + 0.1086*_xlpm.slopes + 63.253,
    _xlpm.valid, (_xlpm.vals &gt;= 0) * (_xlpm.ints &lt;= _xlpm.limit),
    _xlpm.target, MIN(_xlfn._xlws.FILTER(_xlpm.vals, _xlpm.valid)),
    IFERROR(
        _xlfn.XLOOKUP(_xlpm.target, _xlpm.vals, _xlpm.vals),
        CHOOSE({1,2,3,4,5,6}, S$1, V$1, Y$1, AB$1, AE$1, AH$1)
    )
)</f>
        <v>0.69624967571599095</v>
      </c>
    </row>
    <row r="513" spans="9:36" x14ac:dyDescent="0.45">
      <c r="I513">
        <v>511</v>
      </c>
      <c r="J513">
        <v>25.4</v>
      </c>
      <c r="K513">
        <f t="shared" si="162"/>
        <v>25.4</v>
      </c>
      <c r="L513">
        <f t="shared" si="161"/>
        <v>7.0555555555555554E-3</v>
      </c>
      <c r="M513">
        <v>8.2899999999999991</v>
      </c>
      <c r="N513">
        <f t="shared" si="163"/>
        <v>8.2899999999999991</v>
      </c>
      <c r="O513">
        <f t="shared" si="164"/>
        <v>330.0776427943274</v>
      </c>
      <c r="P513">
        <f t="shared" si="165"/>
        <v>1056.2484569418477</v>
      </c>
      <c r="Q513">
        <f t="shared" si="166"/>
        <v>4837.6179327936625</v>
      </c>
      <c r="R513">
        <f t="shared" si="167"/>
        <v>16.364183735401514</v>
      </c>
      <c r="S513">
        <f t="shared" si="168"/>
        <v>3.6455213134882474</v>
      </c>
      <c r="T513">
        <f t="shared" si="169"/>
        <v>3126.4954325478693</v>
      </c>
      <c r="U513">
        <f t="shared" si="170"/>
        <v>25.320257266263148</v>
      </c>
      <c r="V513">
        <f t="shared" si="171"/>
        <v>1.4862647943137235</v>
      </c>
      <c r="W513">
        <f t="shared" si="172"/>
        <v>2017.4345527589292</v>
      </c>
      <c r="X513">
        <f t="shared" si="173"/>
        <v>39.239770423109391</v>
      </c>
      <c r="Y513">
        <f t="shared" si="174"/>
        <v>1.0820200410807825</v>
      </c>
      <c r="Z513">
        <f t="shared" si="175"/>
        <v>1520.9977779962608</v>
      </c>
      <c r="AA513">
        <f t="shared" si="176"/>
        <v>52.047195491763141</v>
      </c>
      <c r="AB513">
        <f t="shared" si="177"/>
        <v>1.0328167038758582</v>
      </c>
      <c r="AC513">
        <f t="shared" si="178"/>
        <v>6000</v>
      </c>
      <c r="AD513">
        <f t="shared" si="179"/>
        <v>13.193944782318123</v>
      </c>
      <c r="AE513">
        <f t="shared" si="180"/>
        <v>6.8073845879583583</v>
      </c>
      <c r="AF513">
        <f t="shared" si="181"/>
        <v>6000</v>
      </c>
      <c r="AG513">
        <f t="shared" si="182"/>
        <v>13.193944782318123</v>
      </c>
      <c r="AH513">
        <f t="shared" si="183"/>
        <v>6.8073845879583583</v>
      </c>
      <c r="AI513" cm="1">
        <f t="array" ref="AI513">_xlfn.LET(
    _xlpm.vals,   _xlfn.HSTACK(S513,V513,Y513,AB513,AE513,AH513),
    _xlpm.ints,   _xlfn.HSTACK(R513,U513,X513,AA513,AD513,AG513),
    _xlpm.slopes, _xlfn.HSTACK(Q513,T513,W513,Z513,AC513,AF513),
    _xlpm.limit,  -0.00001*_xlpm.slopes + 0.1086*_xlpm.slopes + 63.253,
    _xlpm.mask,   (_xlpm.vals&gt;=0) * (_xlpm.ints&lt;=_xlpm.limit),
    _xlpm.validVals, _xlfn._xlws.FILTER(_xlpm.vals, _xlpm.mask),
    _xlpm.minVal, MIN(_xlpm.validVals),
    IFERROR( _xlfn.XMATCH(_xlpm.minVal, _xlpm.vals), "" )
)</f>
        <v>4</v>
      </c>
      <c r="AJ513" cm="1">
        <f t="array" ref="AJ513">_xlfn.LET(
    _xlpm.vals, CHOOSE({1,2,3,4,5,6}, S513, V513, Y513, AB513, AE513, AH513),
    _xlpm.slopes, CHOOSE({1,2,3,4,5,6}, Q513, T513, W513, Z513, AC513, AF513),
    _xlpm.ints, CHOOSE({1,2,3,4,5,6}, R513, U513, X513, AA513, AD513, AG513),
    _xlpm.limit, -0.00001*_xlpm.slopes + 0.1086*_xlpm.slopes + 63.253,
    _xlpm.valid, (_xlpm.vals &gt;= 0) * (_xlpm.ints &lt;= _xlpm.limit),
    _xlpm.target, MIN(_xlfn._xlws.FILTER(_xlpm.vals, _xlpm.valid)),
    IFERROR(
        _xlfn.XLOOKUP(_xlpm.target, _xlpm.vals, _xlpm.vals),
        CHOOSE({1,2,3,4,5,6}, S$1, V$1, Y$1, AB$1, AE$1, AH$1)
    )
)</f>
        <v>1.0328167038758582</v>
      </c>
    </row>
    <row r="514" spans="9:36" x14ac:dyDescent="0.45">
      <c r="I514">
        <v>512</v>
      </c>
      <c r="J514">
        <v>25.7</v>
      </c>
      <c r="K514">
        <f t="shared" si="162"/>
        <v>25.7</v>
      </c>
      <c r="L514">
        <f t="shared" ref="L514:L577" si="184">K514*(1/3600)</f>
        <v>7.1388888888888891E-3</v>
      </c>
      <c r="M514">
        <v>6.47</v>
      </c>
      <c r="N514">
        <f t="shared" si="163"/>
        <v>6.47</v>
      </c>
      <c r="O514">
        <f t="shared" si="164"/>
        <v>333.9761976304809</v>
      </c>
      <c r="P514">
        <f t="shared" si="165"/>
        <v>1068.7238324175389</v>
      </c>
      <c r="Q514">
        <f t="shared" si="166"/>
        <v>4894.7551524723285</v>
      </c>
      <c r="R514">
        <f t="shared" si="167"/>
        <v>12.622479977791505</v>
      </c>
      <c r="S514">
        <f t="shared" si="168"/>
        <v>3.707833043555036</v>
      </c>
      <c r="T514">
        <f t="shared" si="169"/>
        <v>3163.422543955915</v>
      </c>
      <c r="U514">
        <f t="shared" si="170"/>
        <v>19.530729154826048</v>
      </c>
      <c r="V514">
        <f t="shared" si="171"/>
        <v>1.4083810885414823</v>
      </c>
      <c r="W514">
        <f t="shared" si="172"/>
        <v>2041.2625199174993</v>
      </c>
      <c r="X514">
        <f t="shared" si="173"/>
        <v>30.267517433657119</v>
      </c>
      <c r="Y514">
        <f t="shared" si="174"/>
        <v>0.94906175160860073</v>
      </c>
      <c r="Z514">
        <f t="shared" si="175"/>
        <v>1538.962318681256</v>
      </c>
      <c r="AA514">
        <f t="shared" si="176"/>
        <v>40.146498818253541</v>
      </c>
      <c r="AB514">
        <f t="shared" si="177"/>
        <v>0.87810399229377201</v>
      </c>
      <c r="AC514">
        <f t="shared" si="178"/>
        <v>6000</v>
      </c>
      <c r="AD514">
        <f t="shared" si="179"/>
        <v>10.297324818045629</v>
      </c>
      <c r="AE514">
        <f t="shared" si="180"/>
        <v>6.7790709853037328</v>
      </c>
      <c r="AF514">
        <f t="shared" si="181"/>
        <v>6000</v>
      </c>
      <c r="AG514">
        <f t="shared" si="182"/>
        <v>10.297324818045629</v>
      </c>
      <c r="AH514">
        <f t="shared" si="183"/>
        <v>6.7790709853037328</v>
      </c>
      <c r="AI514" cm="1">
        <f t="array" ref="AI514">_xlfn.LET(
    _xlpm.vals,   _xlfn.HSTACK(S514,V514,Y514,AB514,AE514,AH514),
    _xlpm.ints,   _xlfn.HSTACK(R514,U514,X514,AA514,AD514,AG514),
    _xlpm.slopes, _xlfn.HSTACK(Q514,T514,W514,Z514,AC514,AF514),
    _xlpm.limit,  -0.00001*_xlpm.slopes + 0.1086*_xlpm.slopes + 63.253,
    _xlpm.mask,   (_xlpm.vals&gt;=0) * (_xlpm.ints&lt;=_xlpm.limit),
    _xlpm.validVals, _xlfn._xlws.FILTER(_xlpm.vals, _xlpm.mask),
    _xlpm.minVal, MIN(_xlpm.validVals),
    IFERROR( _xlfn.XMATCH(_xlpm.minVal, _xlpm.vals), "" )
)</f>
        <v>4</v>
      </c>
      <c r="AJ514" cm="1">
        <f t="array" ref="AJ514">_xlfn.LET(
    _xlpm.vals, CHOOSE({1,2,3,4,5,6}, S514, V514, Y514, AB514, AE514, AH514),
    _xlpm.slopes, CHOOSE({1,2,3,4,5,6}, Q514, T514, W514, Z514, AC514, AF514),
    _xlpm.ints, CHOOSE({1,2,3,4,5,6}, R514, U514, X514, AA514, AD514, AG514),
    _xlpm.limit, -0.00001*_xlpm.slopes + 0.1086*_xlpm.slopes + 63.253,
    _xlpm.valid, (_xlpm.vals &gt;= 0) * (_xlpm.ints &lt;= _xlpm.limit),
    _xlpm.target, MIN(_xlfn._xlws.FILTER(_xlpm.vals, _xlpm.valid)),
    IFERROR(
        _xlfn.XLOOKUP(_xlpm.target, _xlpm.vals, _xlpm.vals),
        CHOOSE({1,2,3,4,5,6}, S$1, V$1, Y$1, AB$1, AE$1, AH$1)
    )
)</f>
        <v>0.87810399229377201</v>
      </c>
    </row>
    <row r="515" spans="9:36" x14ac:dyDescent="0.45">
      <c r="I515">
        <v>513</v>
      </c>
      <c r="J515">
        <v>25.8</v>
      </c>
      <c r="K515">
        <f t="shared" ref="K515:K578" si="185">IF(J515&lt;0,0,J515)</f>
        <v>25.8</v>
      </c>
      <c r="L515">
        <f t="shared" si="184"/>
        <v>7.1666666666666667E-3</v>
      </c>
      <c r="M515">
        <v>4.93</v>
      </c>
      <c r="N515">
        <f t="shared" ref="N515:N578" si="186">IF(M515&lt;0,0,M515)</f>
        <v>4.93</v>
      </c>
      <c r="O515">
        <f t="shared" ref="O515:O578" si="187">(K515*0.44704*60)/(PI()*$B$2)</f>
        <v>335.27571590919877</v>
      </c>
      <c r="P515">
        <f t="shared" ref="P515:P578" si="188">O515*3.2</f>
        <v>1072.8822909094361</v>
      </c>
      <c r="Q515">
        <f t="shared" ref="Q515:Q578" si="189">IF(4.58*P515&lt;1000,1000,4.58*P515)</f>
        <v>4913.8008923652169</v>
      </c>
      <c r="R515">
        <f t="shared" ref="R515:R578" si="190">(1000*N515*60)/(Q515*2*PI())</f>
        <v>9.5807773244800778</v>
      </c>
      <c r="S515">
        <f t="shared" ref="S515:S578" si="191">(0.072946 + (0.000364279 * Q515) + (-0.00248749 * R515) + (0.00000951906 * Q515 * R515) + (-0.000000165418 * Q515^2) + (0.000045414 * R515^2) + (-0.00000000135106 * Q515^2 * R515) + (0.0000000203184 * Q515 * R515^2) + (0.0000000000481318 * Q515^3) + (-0.00000034778 * R515^3))</f>
        <v>3.7042802806138209</v>
      </c>
      <c r="T515">
        <f t="shared" ref="T515:T578" si="192">IF(2.96*P515&lt;1000,6000,2.96*P515)</f>
        <v>3175.7315810919308</v>
      </c>
      <c r="U515">
        <f t="shared" ref="U515:U578" si="193">(1000*N515*60)/(T515*2*PI())</f>
        <v>14.824310860175252</v>
      </c>
      <c r="V515">
        <f t="shared" ref="V515:V578" si="194">(0.072946 + (0.000364279 * T515) + (-0.00248749 * U515) + (0.00000951906 * T515 * U515) + (-0.000000165418 * T515^2) + (0.000045414 * U515^2) + (-0.00000000135106 * T515^2 * U515) + (0.0000000203184 * T515 * U515^2) + (0.0000000000481318 * T515^3) + (-0.00000034778 * U515^3))</f>
        <v>1.3353812162641006</v>
      </c>
      <c r="W515">
        <f t="shared" ref="W515:W578" si="195">IF(1.91*P515&lt;1000,6000,1.91*P515)</f>
        <v>2049.2051756370229</v>
      </c>
      <c r="X515">
        <f t="shared" ref="X515:X578" si="196">(1000*N515*60)/(W515*2*PI())</f>
        <v>22.973801123622383</v>
      </c>
      <c r="Y515">
        <f t="shared" ref="Y515:Y578" si="197">(0.072946 + (0.000364279 * W515) + (-0.00248749 * X515) + (0.00000951906 * W515 * X515) + (-0.000000165418 * W515^2) + (0.000045414 * X515^2) + (-0.00000000135106 * W515^2 * X515) + (0.0000000203184 * W515 * X515^2) + (0.0000000000481318 * W515^3) + (-0.00000034778 * X515^3))</f>
        <v>0.84135678687011395</v>
      </c>
      <c r="Z515">
        <f t="shared" ref="Z515:Z578" si="198">IF(1.44*P515&lt;1000,6000,1.44*P515)</f>
        <v>1544.9504989095878</v>
      </c>
      <c r="AA515">
        <f t="shared" ref="AA515:AA578" si="199">(1000*N515*60)/(Z515*2*PI())</f>
        <v>30.472194545915805</v>
      </c>
      <c r="AB515">
        <f t="shared" ref="AB515:AB578" si="200">(0.072946 + (0.000364279 * Z515) + (-0.00248749 * AA515) + (0.00000951906 * Z515 * AA515) + (-0.000000165418 * Z515^2) + (0.000045414 * AA515^2) + (-0.00000000135106 * Z515^2 * AA515) + (0.0000000203184 * Z515 * AA515^2) + (0.0000000000481318 * Z515^3) + (-0.00000034778 * AA515^3))</f>
        <v>0.75394768281105928</v>
      </c>
      <c r="AC515">
        <f t="shared" ref="AC515:AC578" si="201">IF(0.74*P515&lt;1000,6000,0.74*P515)</f>
        <v>6000</v>
      </c>
      <c r="AD515">
        <f t="shared" ref="AD515:AD578" si="202">(1000*N515*60)/(AC515*2*PI())</f>
        <v>7.8463386944304405</v>
      </c>
      <c r="AE515">
        <f t="shared" ref="AE515:AE578" si="203">(0.072946 + (0.000364279 * AC515) + (-0.00248749 * AD515) + (0.00000951906 * AC515 * AD515) + (-0.000000165418 * AC515^2) + (0.000045414 * AD515^2) + (-0.00000000135106 * AC515^2 * AD515) + (0.0000000203184 * AC515 * AD515^2) + (0.0000000000481318 * AC515^3) + (-0.00000034778 * AD515^3))</f>
        <v>6.7571635802242414</v>
      </c>
      <c r="AF515">
        <f t="shared" ref="AF515:AF578" si="204">IF(0.68*P515&lt;1000,6000,0.68*P515)</f>
        <v>6000</v>
      </c>
      <c r="AG515">
        <f t="shared" ref="AG515:AG578" si="205">(1000*N515*60)/(AF515*2*PI())</f>
        <v>7.8463386944304405</v>
      </c>
      <c r="AH515">
        <f t="shared" ref="AH515:AH578" si="206">(0.072946 + (0.000364279 * AF515) + (-0.00248749 * AG515) + (0.00000951906 * AF515 * AG515) + (-0.000000165418 * AF515^2) + (0.000045414 * AG515^2) + (-0.00000000135106 * AF515^2 * AG515) + (0.0000000203184 * AF515 * AG515^2) + (0.0000000000481318 * AF515^3) + (-0.00000034778 * AG515^3))</f>
        <v>6.7571635802242414</v>
      </c>
      <c r="AI515" cm="1">
        <f t="array" ref="AI515">_xlfn.LET(
    _xlpm.vals,   _xlfn.HSTACK(S515,V515,Y515,AB515,AE515,AH515),
    _xlpm.ints,   _xlfn.HSTACK(R515,U515,X515,AA515,AD515,AG515),
    _xlpm.slopes, _xlfn.HSTACK(Q515,T515,W515,Z515,AC515,AF515),
    _xlpm.limit,  -0.00001*_xlpm.slopes + 0.1086*_xlpm.slopes + 63.253,
    _xlpm.mask,   (_xlpm.vals&gt;=0) * (_xlpm.ints&lt;=_xlpm.limit),
    _xlpm.validVals, _xlfn._xlws.FILTER(_xlpm.vals, _xlpm.mask),
    _xlpm.minVal, MIN(_xlpm.validVals),
    IFERROR( _xlfn.XMATCH(_xlpm.minVal, _xlpm.vals), "" )
)</f>
        <v>4</v>
      </c>
      <c r="AJ515" cm="1">
        <f t="array" ref="AJ515">_xlfn.LET(
    _xlpm.vals, CHOOSE({1,2,3,4,5,6}, S515, V515, Y515, AB515, AE515, AH515),
    _xlpm.slopes, CHOOSE({1,2,3,4,5,6}, Q515, T515, W515, Z515, AC515, AF515),
    _xlpm.ints, CHOOSE({1,2,3,4,5,6}, R515, U515, X515, AA515, AD515, AG515),
    _xlpm.limit, -0.00001*_xlpm.slopes + 0.1086*_xlpm.slopes + 63.253,
    _xlpm.valid, (_xlpm.vals &gt;= 0) * (_xlpm.ints &lt;= _xlpm.limit),
    _xlpm.target, MIN(_xlfn._xlws.FILTER(_xlpm.vals, _xlpm.valid)),
    IFERROR(
        _xlfn.XLOOKUP(_xlpm.target, _xlpm.vals, _xlpm.vals),
        CHOOSE({1,2,3,4,5,6}, S$1, V$1, Y$1, AB$1, AE$1, AH$1)
    )
)</f>
        <v>0.75394768281105928</v>
      </c>
    </row>
    <row r="516" spans="9:36" x14ac:dyDescent="0.45">
      <c r="I516">
        <v>514</v>
      </c>
      <c r="J516">
        <v>25.6</v>
      </c>
      <c r="K516">
        <f t="shared" si="185"/>
        <v>25.6</v>
      </c>
      <c r="L516">
        <f t="shared" si="184"/>
        <v>7.1111111111111115E-3</v>
      </c>
      <c r="M516">
        <v>2.1</v>
      </c>
      <c r="N516">
        <f t="shared" si="186"/>
        <v>2.1</v>
      </c>
      <c r="O516">
        <f t="shared" si="187"/>
        <v>332.67667935176308</v>
      </c>
      <c r="P516">
        <f t="shared" si="188"/>
        <v>1064.565373925642</v>
      </c>
      <c r="Q516">
        <f t="shared" si="189"/>
        <v>4875.7094125794401</v>
      </c>
      <c r="R516">
        <f t="shared" si="190"/>
        <v>4.1129446266506928</v>
      </c>
      <c r="S516">
        <f t="shared" si="191"/>
        <v>3.5464987833773463</v>
      </c>
      <c r="T516">
        <f t="shared" si="192"/>
        <v>3151.1135068199005</v>
      </c>
      <c r="U516">
        <f t="shared" si="193"/>
        <v>6.3639481047500581</v>
      </c>
      <c r="V516">
        <f t="shared" si="194"/>
        <v>1.1783355696786024</v>
      </c>
      <c r="W516">
        <f t="shared" si="195"/>
        <v>2033.3198641979761</v>
      </c>
      <c r="X516">
        <f t="shared" si="196"/>
        <v>9.8624536073613456</v>
      </c>
      <c r="Y516">
        <f t="shared" si="197"/>
        <v>0.65373136554554179</v>
      </c>
      <c r="Z516">
        <f t="shared" si="198"/>
        <v>1532.9741384529245</v>
      </c>
      <c r="AA516">
        <f t="shared" si="199"/>
        <v>13.081448881986228</v>
      </c>
      <c r="AB516">
        <f t="shared" si="200"/>
        <v>0.54517747027440666</v>
      </c>
      <c r="AC516">
        <f t="shared" si="201"/>
        <v>6000</v>
      </c>
      <c r="AD516">
        <f t="shared" si="202"/>
        <v>3.3422538049298023</v>
      </c>
      <c r="AE516">
        <f t="shared" si="203"/>
        <v>6.7219127284195261</v>
      </c>
      <c r="AF516">
        <f t="shared" si="204"/>
        <v>6000</v>
      </c>
      <c r="AG516">
        <f t="shared" si="205"/>
        <v>3.3422538049298023</v>
      </c>
      <c r="AH516">
        <f t="shared" si="206"/>
        <v>6.7219127284195261</v>
      </c>
      <c r="AI516" cm="1">
        <f t="array" ref="AI516">_xlfn.LET(
    _xlpm.vals,   _xlfn.HSTACK(S516,V516,Y516,AB516,AE516,AH516),
    _xlpm.ints,   _xlfn.HSTACK(R516,U516,X516,AA516,AD516,AG516),
    _xlpm.slopes, _xlfn.HSTACK(Q516,T516,W516,Z516,AC516,AF516),
    _xlpm.limit,  -0.00001*_xlpm.slopes + 0.1086*_xlpm.slopes + 63.253,
    _xlpm.mask,   (_xlpm.vals&gt;=0) * (_xlpm.ints&lt;=_xlpm.limit),
    _xlpm.validVals, _xlfn._xlws.FILTER(_xlpm.vals, _xlpm.mask),
    _xlpm.minVal, MIN(_xlpm.validVals),
    IFERROR( _xlfn.XMATCH(_xlpm.minVal, _xlpm.vals), "" )
)</f>
        <v>4</v>
      </c>
      <c r="AJ516" cm="1">
        <f t="array" ref="AJ516">_xlfn.LET(
    _xlpm.vals, CHOOSE({1,2,3,4,5,6}, S516, V516, Y516, AB516, AE516, AH516),
    _xlpm.slopes, CHOOSE({1,2,3,4,5,6}, Q516, T516, W516, Z516, AC516, AF516),
    _xlpm.ints, CHOOSE({1,2,3,4,5,6}, R516, U516, X516, AA516, AD516, AG516),
    _xlpm.limit, -0.00001*_xlpm.slopes + 0.1086*_xlpm.slopes + 63.253,
    _xlpm.valid, (_xlpm.vals &gt;= 0) * (_xlpm.ints &lt;= _xlpm.limit),
    _xlpm.target, MIN(_xlfn._xlws.FILTER(_xlpm.vals, _xlpm.valid)),
    IFERROR(
        _xlfn.XLOOKUP(_xlpm.target, _xlpm.vals, _xlpm.vals),
        CHOOSE({1,2,3,4,5,6}, S$1, V$1, Y$1, AB$1, AE$1, AH$1)
    )
)</f>
        <v>0.54517747027440666</v>
      </c>
    </row>
    <row r="517" spans="9:36" x14ac:dyDescent="0.45">
      <c r="I517">
        <v>515</v>
      </c>
      <c r="J517">
        <v>25.3</v>
      </c>
      <c r="K517">
        <f t="shared" si="185"/>
        <v>25.3</v>
      </c>
      <c r="L517">
        <f t="shared" si="184"/>
        <v>7.0277777777777778E-3</v>
      </c>
      <c r="M517">
        <v>2.0299999999999998</v>
      </c>
      <c r="N517">
        <f t="shared" si="186"/>
        <v>2.0299999999999998</v>
      </c>
      <c r="O517">
        <f t="shared" si="187"/>
        <v>328.77812451560959</v>
      </c>
      <c r="P517">
        <f t="shared" si="188"/>
        <v>1052.0899984499508</v>
      </c>
      <c r="Q517">
        <f t="shared" si="189"/>
        <v>4818.572192900775</v>
      </c>
      <c r="R517">
        <f t="shared" si="190"/>
        <v>4.0229908970032593</v>
      </c>
      <c r="S517">
        <f t="shared" si="191"/>
        <v>3.4231057863617349</v>
      </c>
      <c r="T517">
        <f t="shared" si="192"/>
        <v>3114.1863954118544</v>
      </c>
      <c r="U517">
        <f t="shared" si="193"/>
        <v>6.224762941984773</v>
      </c>
      <c r="V517">
        <f t="shared" si="194"/>
        <v>1.1484087007873958</v>
      </c>
      <c r="W517">
        <f t="shared" si="195"/>
        <v>2009.491897039406</v>
      </c>
      <c r="X517">
        <f t="shared" si="196"/>
        <v>9.646753040981638</v>
      </c>
      <c r="Y517">
        <f t="shared" si="197"/>
        <v>0.6431727635053256</v>
      </c>
      <c r="Z517">
        <f t="shared" si="198"/>
        <v>1515.0095977679291</v>
      </c>
      <c r="AA517">
        <f t="shared" si="199"/>
        <v>12.795346047413144</v>
      </c>
      <c r="AB517">
        <f t="shared" si="200"/>
        <v>0.53729317390873432</v>
      </c>
      <c r="AC517">
        <f t="shared" si="201"/>
        <v>6000</v>
      </c>
      <c r="AD517">
        <f t="shared" si="202"/>
        <v>3.2308453447654752</v>
      </c>
      <c r="AE517">
        <f t="shared" si="203"/>
        <v>6.7211242596360092</v>
      </c>
      <c r="AF517">
        <f t="shared" si="204"/>
        <v>6000</v>
      </c>
      <c r="AG517">
        <f t="shared" si="205"/>
        <v>3.2308453447654752</v>
      </c>
      <c r="AH517">
        <f t="shared" si="206"/>
        <v>6.7211242596360092</v>
      </c>
      <c r="AI517" cm="1">
        <f t="array" ref="AI517">_xlfn.LET(
    _xlpm.vals,   _xlfn.HSTACK(S517,V517,Y517,AB517,AE517,AH517),
    _xlpm.ints,   _xlfn.HSTACK(R517,U517,X517,AA517,AD517,AG517),
    _xlpm.slopes, _xlfn.HSTACK(Q517,T517,W517,Z517,AC517,AF517),
    _xlpm.limit,  -0.00001*_xlpm.slopes + 0.1086*_xlpm.slopes + 63.253,
    _xlpm.mask,   (_xlpm.vals&gt;=0) * (_xlpm.ints&lt;=_xlpm.limit),
    _xlpm.validVals, _xlfn._xlws.FILTER(_xlpm.vals, _xlpm.mask),
    _xlpm.minVal, MIN(_xlpm.validVals),
    IFERROR( _xlfn.XMATCH(_xlpm.minVal, _xlpm.vals), "" )
)</f>
        <v>4</v>
      </c>
      <c r="AJ517" cm="1">
        <f t="array" ref="AJ517">_xlfn.LET(
    _xlpm.vals, CHOOSE({1,2,3,4,5,6}, S517, V517, Y517, AB517, AE517, AH517),
    _xlpm.slopes, CHOOSE({1,2,3,4,5,6}, Q517, T517, W517, Z517, AC517, AF517),
    _xlpm.ints, CHOOSE({1,2,3,4,5,6}, R517, U517, X517, AA517, AD517, AG517),
    _xlpm.limit, -0.00001*_xlpm.slopes + 0.1086*_xlpm.slopes + 63.253,
    _xlpm.valid, (_xlpm.vals &gt;= 0) * (_xlpm.ints &lt;= _xlpm.limit),
    _xlpm.target, MIN(_xlfn._xlws.FILTER(_xlpm.vals, _xlpm.valid)),
    IFERROR(
        _xlfn.XLOOKUP(_xlpm.target, _xlpm.vals, _xlpm.vals),
        CHOOSE({1,2,3,4,5,6}, S$1, V$1, Y$1, AB$1, AE$1, AH$1)
    )
)</f>
        <v>0.53729317390873432</v>
      </c>
    </row>
    <row r="518" spans="9:36" x14ac:dyDescent="0.45">
      <c r="I518">
        <v>516</v>
      </c>
      <c r="J518">
        <v>24.8</v>
      </c>
      <c r="K518">
        <f t="shared" si="185"/>
        <v>24.8</v>
      </c>
      <c r="L518">
        <f t="shared" si="184"/>
        <v>6.8888888888888888E-3</v>
      </c>
      <c r="M518">
        <v>2.17</v>
      </c>
      <c r="N518">
        <f t="shared" si="186"/>
        <v>2.17</v>
      </c>
      <c r="O518">
        <f t="shared" si="187"/>
        <v>322.28053312202047</v>
      </c>
      <c r="P518">
        <f t="shared" si="188"/>
        <v>1031.2977059904656</v>
      </c>
      <c r="Q518">
        <f t="shared" si="189"/>
        <v>4723.3434934363322</v>
      </c>
      <c r="R518">
        <f t="shared" si="190"/>
        <v>4.3871409350940729</v>
      </c>
      <c r="S518">
        <f t="shared" si="191"/>
        <v>3.2319014224252838</v>
      </c>
      <c r="T518">
        <f t="shared" si="192"/>
        <v>3052.641209731778</v>
      </c>
      <c r="U518">
        <f t="shared" si="193"/>
        <v>6.788211311733396</v>
      </c>
      <c r="V518">
        <f t="shared" si="194"/>
        <v>1.1124146455886623</v>
      </c>
      <c r="W518">
        <f t="shared" si="195"/>
        <v>1969.7786184417891</v>
      </c>
      <c r="X518">
        <f t="shared" si="196"/>
        <v>10.51995051451877</v>
      </c>
      <c r="Y518">
        <f t="shared" si="197"/>
        <v>0.64151867322545875</v>
      </c>
      <c r="Z518">
        <f t="shared" si="198"/>
        <v>1485.0686966262704</v>
      </c>
      <c r="AA518">
        <f t="shared" si="199"/>
        <v>13.953545474118648</v>
      </c>
      <c r="AB518">
        <f t="shared" si="200"/>
        <v>0.54148938807215408</v>
      </c>
      <c r="AC518">
        <f t="shared" si="201"/>
        <v>6000</v>
      </c>
      <c r="AD518">
        <f t="shared" si="202"/>
        <v>3.4536622650941289</v>
      </c>
      <c r="AE518">
        <f t="shared" si="203"/>
        <v>6.7227052642492087</v>
      </c>
      <c r="AF518">
        <f t="shared" si="204"/>
        <v>6000</v>
      </c>
      <c r="AG518">
        <f t="shared" si="205"/>
        <v>3.4536622650941289</v>
      </c>
      <c r="AH518">
        <f t="shared" si="206"/>
        <v>6.7227052642492087</v>
      </c>
      <c r="AI518" cm="1">
        <f t="array" ref="AI518">_xlfn.LET(
    _xlpm.vals,   _xlfn.HSTACK(S518,V518,Y518,AB518,AE518,AH518),
    _xlpm.ints,   _xlfn.HSTACK(R518,U518,X518,AA518,AD518,AG518),
    _xlpm.slopes, _xlfn.HSTACK(Q518,T518,W518,Z518,AC518,AF518),
    _xlpm.limit,  -0.00001*_xlpm.slopes + 0.1086*_xlpm.slopes + 63.253,
    _xlpm.mask,   (_xlpm.vals&gt;=0) * (_xlpm.ints&lt;=_xlpm.limit),
    _xlpm.validVals, _xlfn._xlws.FILTER(_xlpm.vals, _xlpm.mask),
    _xlpm.minVal, MIN(_xlpm.validVals),
    IFERROR( _xlfn.XMATCH(_xlpm.minVal, _xlpm.vals), "" )
)</f>
        <v>4</v>
      </c>
      <c r="AJ518" cm="1">
        <f t="array" ref="AJ518">_xlfn.LET(
    _xlpm.vals, CHOOSE({1,2,3,4,5,6}, S518, V518, Y518, AB518, AE518, AH518),
    _xlpm.slopes, CHOOSE({1,2,3,4,5,6}, Q518, T518, W518, Z518, AC518, AF518),
    _xlpm.ints, CHOOSE({1,2,3,4,5,6}, R518, U518, X518, AA518, AD518, AG518),
    _xlpm.limit, -0.00001*_xlpm.slopes + 0.1086*_xlpm.slopes + 63.253,
    _xlpm.valid, (_xlpm.vals &gt;= 0) * (_xlpm.ints &lt;= _xlpm.limit),
    _xlpm.target, MIN(_xlfn._xlws.FILTER(_xlpm.vals, _xlpm.valid)),
    IFERROR(
        _xlfn.XLOOKUP(_xlpm.target, _xlpm.vals, _xlpm.vals),
        CHOOSE({1,2,3,4,5,6}, S$1, V$1, Y$1, AB$1, AE$1, AH$1)
    )
)</f>
        <v>0.54148938807215408</v>
      </c>
    </row>
    <row r="519" spans="9:36" x14ac:dyDescent="0.45">
      <c r="I519">
        <v>517</v>
      </c>
      <c r="J519">
        <v>24.8</v>
      </c>
      <c r="K519">
        <f t="shared" si="185"/>
        <v>24.8</v>
      </c>
      <c r="L519">
        <f t="shared" si="184"/>
        <v>6.8888888888888888E-3</v>
      </c>
      <c r="M519">
        <v>4.47</v>
      </c>
      <c r="N519">
        <f t="shared" si="186"/>
        <v>4.47</v>
      </c>
      <c r="O519">
        <f t="shared" si="187"/>
        <v>322.28053312202047</v>
      </c>
      <c r="P519">
        <f t="shared" si="188"/>
        <v>1031.2977059904656</v>
      </c>
      <c r="Q519">
        <f t="shared" si="189"/>
        <v>4723.3434934363322</v>
      </c>
      <c r="R519">
        <f t="shared" si="190"/>
        <v>9.0371059815071444</v>
      </c>
      <c r="S519">
        <f t="shared" si="191"/>
        <v>3.2978439070064658</v>
      </c>
      <c r="T519">
        <f t="shared" si="192"/>
        <v>3052.641209731778</v>
      </c>
      <c r="U519">
        <f t="shared" si="193"/>
        <v>13.983089660575244</v>
      </c>
      <c r="V519">
        <f t="shared" si="194"/>
        <v>1.2282189350034634</v>
      </c>
      <c r="W519">
        <f t="shared" si="195"/>
        <v>1969.7786184417891</v>
      </c>
      <c r="X519">
        <f t="shared" si="196"/>
        <v>21.670128479216086</v>
      </c>
      <c r="Y519">
        <f t="shared" si="197"/>
        <v>0.79193378359000688</v>
      </c>
      <c r="Z519">
        <f t="shared" si="198"/>
        <v>1485.0686966262704</v>
      </c>
      <c r="AA519">
        <f t="shared" si="199"/>
        <v>28.743017635626892</v>
      </c>
      <c r="AB519">
        <f t="shared" si="200"/>
        <v>0.71012101476480605</v>
      </c>
      <c r="AC519">
        <f t="shared" si="201"/>
        <v>6000</v>
      </c>
      <c r="AD519">
        <f t="shared" si="202"/>
        <v>7.1142259562077221</v>
      </c>
      <c r="AE519">
        <f t="shared" si="203"/>
        <v>6.7509892699584562</v>
      </c>
      <c r="AF519">
        <f t="shared" si="204"/>
        <v>6000</v>
      </c>
      <c r="AG519">
        <f t="shared" si="205"/>
        <v>7.1142259562077221</v>
      </c>
      <c r="AH519">
        <f t="shared" si="206"/>
        <v>6.7509892699584562</v>
      </c>
      <c r="AI519" cm="1">
        <f t="array" ref="AI519">_xlfn.LET(
    _xlpm.vals,   _xlfn.HSTACK(S519,V519,Y519,AB519,AE519,AH519),
    _xlpm.ints,   _xlfn.HSTACK(R519,U519,X519,AA519,AD519,AG519),
    _xlpm.slopes, _xlfn.HSTACK(Q519,T519,W519,Z519,AC519,AF519),
    _xlpm.limit,  -0.00001*_xlpm.slopes + 0.1086*_xlpm.slopes + 63.253,
    _xlpm.mask,   (_xlpm.vals&gt;=0) * (_xlpm.ints&lt;=_xlpm.limit),
    _xlpm.validVals, _xlfn._xlws.FILTER(_xlpm.vals, _xlpm.mask),
    _xlpm.minVal, MIN(_xlpm.validVals),
    IFERROR( _xlfn.XMATCH(_xlpm.minVal, _xlpm.vals), "" )
)</f>
        <v>4</v>
      </c>
      <c r="AJ519" cm="1">
        <f t="array" ref="AJ519">_xlfn.LET(
    _xlpm.vals, CHOOSE({1,2,3,4,5,6}, S519, V519, Y519, AB519, AE519, AH519),
    _xlpm.slopes, CHOOSE({1,2,3,4,5,6}, Q519, T519, W519, Z519, AC519, AF519),
    _xlpm.ints, CHOOSE({1,2,3,4,5,6}, R519, U519, X519, AA519, AD519, AG519),
    _xlpm.limit, -0.00001*_xlpm.slopes + 0.1086*_xlpm.slopes + 63.253,
    _xlpm.valid, (_xlpm.vals &gt;= 0) * (_xlpm.ints &lt;= _xlpm.limit),
    _xlpm.target, MIN(_xlfn._xlws.FILTER(_xlpm.vals, _xlpm.valid)),
    IFERROR(
        _xlfn.XLOOKUP(_xlpm.target, _xlpm.vals, _xlpm.vals),
        CHOOSE({1,2,3,4,5,6}, S$1, V$1, Y$1, AB$1, AE$1, AH$1)
    )
)</f>
        <v>0.71012101476480605</v>
      </c>
    </row>
    <row r="520" spans="9:36" x14ac:dyDescent="0.45">
      <c r="I520">
        <v>518</v>
      </c>
      <c r="J520">
        <v>24.9</v>
      </c>
      <c r="K520">
        <f t="shared" si="185"/>
        <v>24.9</v>
      </c>
      <c r="L520">
        <f t="shared" si="184"/>
        <v>6.9166666666666664E-3</v>
      </c>
      <c r="M520">
        <v>4.2300000000000004</v>
      </c>
      <c r="N520">
        <f t="shared" si="186"/>
        <v>4.2300000000000004</v>
      </c>
      <c r="O520">
        <f t="shared" si="187"/>
        <v>323.58005140073828</v>
      </c>
      <c r="P520">
        <f t="shared" si="188"/>
        <v>1035.4561644823625</v>
      </c>
      <c r="Q520">
        <f t="shared" si="189"/>
        <v>4742.3892333292206</v>
      </c>
      <c r="R520">
        <f t="shared" si="190"/>
        <v>8.5175472887884922</v>
      </c>
      <c r="S520">
        <f t="shared" si="191"/>
        <v>3.3284053840989882</v>
      </c>
      <c r="T520">
        <f t="shared" si="192"/>
        <v>3064.9502468677929</v>
      </c>
      <c r="U520">
        <f t="shared" si="193"/>
        <v>13.179177899544358</v>
      </c>
      <c r="V520">
        <f t="shared" si="194"/>
        <v>1.2236923431517996</v>
      </c>
      <c r="W520">
        <f t="shared" si="195"/>
        <v>1977.7212741613123</v>
      </c>
      <c r="X520">
        <f t="shared" si="196"/>
        <v>20.424275697723193</v>
      </c>
      <c r="Y520">
        <f t="shared" si="197"/>
        <v>0.77722001167190824</v>
      </c>
      <c r="Z520">
        <f t="shared" si="198"/>
        <v>1491.056876854602</v>
      </c>
      <c r="AA520">
        <f t="shared" si="199"/>
        <v>27.090532349063402</v>
      </c>
      <c r="AB520">
        <f t="shared" si="200"/>
        <v>0.6922943428898326</v>
      </c>
      <c r="AC520">
        <f t="shared" si="201"/>
        <v>6000</v>
      </c>
      <c r="AD520">
        <f t="shared" si="202"/>
        <v>6.7322540927871728</v>
      </c>
      <c r="AE520">
        <f t="shared" si="203"/>
        <v>6.7478358849344131</v>
      </c>
      <c r="AF520">
        <f t="shared" si="204"/>
        <v>6000</v>
      </c>
      <c r="AG520">
        <f t="shared" si="205"/>
        <v>6.7322540927871728</v>
      </c>
      <c r="AH520">
        <f t="shared" si="206"/>
        <v>6.7478358849344131</v>
      </c>
      <c r="AI520" cm="1">
        <f t="array" ref="AI520">_xlfn.LET(
    _xlpm.vals,   _xlfn.HSTACK(S520,V520,Y520,AB520,AE520,AH520),
    _xlpm.ints,   _xlfn.HSTACK(R520,U520,X520,AA520,AD520,AG520),
    _xlpm.slopes, _xlfn.HSTACK(Q520,T520,W520,Z520,AC520,AF520),
    _xlpm.limit,  -0.00001*_xlpm.slopes + 0.1086*_xlpm.slopes + 63.253,
    _xlpm.mask,   (_xlpm.vals&gt;=0) * (_xlpm.ints&lt;=_xlpm.limit),
    _xlpm.validVals, _xlfn._xlws.FILTER(_xlpm.vals, _xlpm.mask),
    _xlpm.minVal, MIN(_xlpm.validVals),
    IFERROR( _xlfn.XMATCH(_xlpm.minVal, _xlpm.vals), "" )
)</f>
        <v>4</v>
      </c>
      <c r="AJ520" cm="1">
        <f t="array" ref="AJ520">_xlfn.LET(
    _xlpm.vals, CHOOSE({1,2,3,4,5,6}, S520, V520, Y520, AB520, AE520, AH520),
    _xlpm.slopes, CHOOSE({1,2,3,4,5,6}, Q520, T520, W520, Z520, AC520, AF520),
    _xlpm.ints, CHOOSE({1,2,3,4,5,6}, R520, U520, X520, AA520, AD520, AG520),
    _xlpm.limit, -0.00001*_xlpm.slopes + 0.1086*_xlpm.slopes + 63.253,
    _xlpm.valid, (_xlpm.vals &gt;= 0) * (_xlpm.ints &lt;= _xlpm.limit),
    _xlpm.target, MIN(_xlfn._xlws.FILTER(_xlpm.vals, _xlpm.valid)),
    IFERROR(
        _xlfn.XLOOKUP(_xlpm.target, _xlpm.vals, _xlpm.vals),
        CHOOSE({1,2,3,4,5,6}, S$1, V$1, Y$1, AB$1, AE$1, AH$1)
    )
)</f>
        <v>0.6922943428898326</v>
      </c>
    </row>
    <row r="521" spans="9:36" x14ac:dyDescent="0.45">
      <c r="I521">
        <v>519</v>
      </c>
      <c r="J521">
        <v>24</v>
      </c>
      <c r="K521">
        <f t="shared" si="185"/>
        <v>24</v>
      </c>
      <c r="L521">
        <f t="shared" si="184"/>
        <v>6.6666666666666662E-3</v>
      </c>
      <c r="M521">
        <v>-1.97</v>
      </c>
      <c r="N521">
        <f t="shared" si="186"/>
        <v>0</v>
      </c>
      <c r="O521">
        <f t="shared" si="187"/>
        <v>311.88438689227792</v>
      </c>
      <c r="P521">
        <f t="shared" si="188"/>
        <v>998.03003805528942</v>
      </c>
      <c r="Q521">
        <f t="shared" si="189"/>
        <v>4570.9775742932252</v>
      </c>
      <c r="R521">
        <f t="shared" si="190"/>
        <v>0</v>
      </c>
      <c r="S521">
        <f t="shared" si="191"/>
        <v>2.8786804464703946</v>
      </c>
      <c r="T521">
        <f t="shared" si="192"/>
        <v>2954.1689126436568</v>
      </c>
      <c r="U521">
        <f t="shared" si="193"/>
        <v>0</v>
      </c>
      <c r="V521">
        <f t="shared" si="194"/>
        <v>0.94636964496406328</v>
      </c>
      <c r="W521">
        <f t="shared" si="195"/>
        <v>1906.2373726856026</v>
      </c>
      <c r="X521">
        <f t="shared" si="196"/>
        <v>0</v>
      </c>
      <c r="Y521">
        <f t="shared" si="197"/>
        <v>0.49966012868162712</v>
      </c>
      <c r="Z521">
        <f t="shared" si="198"/>
        <v>1437.1632547996167</v>
      </c>
      <c r="AA521">
        <f t="shared" si="199"/>
        <v>0</v>
      </c>
      <c r="AB521">
        <f t="shared" si="200"/>
        <v>0.39768681705894715</v>
      </c>
      <c r="AC521">
        <f t="shared" si="201"/>
        <v>6000</v>
      </c>
      <c r="AD521">
        <f t="shared" si="202"/>
        <v>0</v>
      </c>
      <c r="AE521">
        <f t="shared" si="203"/>
        <v>6.7000407999999982</v>
      </c>
      <c r="AF521">
        <f t="shared" si="204"/>
        <v>6000</v>
      </c>
      <c r="AG521">
        <f t="shared" si="205"/>
        <v>0</v>
      </c>
      <c r="AH521">
        <f t="shared" si="206"/>
        <v>6.7000407999999982</v>
      </c>
      <c r="AI521" cm="1">
        <f t="array" ref="AI521">_xlfn.LET(
    _xlpm.vals,   _xlfn.HSTACK(S521,V521,Y521,AB521,AE521,AH521),
    _xlpm.ints,   _xlfn.HSTACK(R521,U521,X521,AA521,AD521,AG521),
    _xlpm.slopes, _xlfn.HSTACK(Q521,T521,W521,Z521,AC521,AF521),
    _xlpm.limit,  -0.00001*_xlpm.slopes + 0.1086*_xlpm.slopes + 63.253,
    _xlpm.mask,   (_xlpm.vals&gt;=0) * (_xlpm.ints&lt;=_xlpm.limit),
    _xlpm.validVals, _xlfn._xlws.FILTER(_xlpm.vals, _xlpm.mask),
    _xlpm.minVal, MIN(_xlpm.validVals),
    IFERROR( _xlfn.XMATCH(_xlpm.minVal, _xlpm.vals), "" )
)</f>
        <v>4</v>
      </c>
      <c r="AJ521" cm="1">
        <f t="array" ref="AJ521">_xlfn.LET(
    _xlpm.vals, CHOOSE({1,2,3,4,5,6}, S521, V521, Y521, AB521, AE521, AH521),
    _xlpm.slopes, CHOOSE({1,2,3,4,5,6}, Q521, T521, W521, Z521, AC521, AF521),
    _xlpm.ints, CHOOSE({1,2,3,4,5,6}, R521, U521, X521, AA521, AD521, AG521),
    _xlpm.limit, -0.00001*_xlpm.slopes + 0.1086*_xlpm.slopes + 63.253,
    _xlpm.valid, (_xlpm.vals &gt;= 0) * (_xlpm.ints &lt;= _xlpm.limit),
    _xlpm.target, MIN(_xlfn._xlws.FILTER(_xlpm.vals, _xlpm.valid)),
    IFERROR(
        _xlfn.XLOOKUP(_xlpm.target, _xlpm.vals, _xlpm.vals),
        CHOOSE({1,2,3,4,5,6}, S$1, V$1, Y$1, AB$1, AE$1, AH$1)
    )
)</f>
        <v>0.39768681705894715</v>
      </c>
    </row>
    <row r="522" spans="9:36" x14ac:dyDescent="0.45">
      <c r="I522">
        <v>520</v>
      </c>
      <c r="J522">
        <v>22.1</v>
      </c>
      <c r="K522">
        <f t="shared" si="185"/>
        <v>22.1</v>
      </c>
      <c r="L522">
        <f t="shared" si="184"/>
        <v>6.138888888888889E-3</v>
      </c>
      <c r="M522">
        <v>-1.5</v>
      </c>
      <c r="N522">
        <f t="shared" si="186"/>
        <v>0</v>
      </c>
      <c r="O522">
        <f t="shared" si="187"/>
        <v>287.19353959663925</v>
      </c>
      <c r="P522">
        <f t="shared" si="188"/>
        <v>919.01932670924566</v>
      </c>
      <c r="Q522">
        <f t="shared" si="189"/>
        <v>4209.1085163283451</v>
      </c>
      <c r="R522">
        <f t="shared" si="190"/>
        <v>0</v>
      </c>
      <c r="S522">
        <f t="shared" si="191"/>
        <v>2.2648319811016728</v>
      </c>
      <c r="T522">
        <f t="shared" si="192"/>
        <v>2720.2972070593673</v>
      </c>
      <c r="U522">
        <f t="shared" si="193"/>
        <v>0</v>
      </c>
      <c r="V522">
        <f t="shared" si="194"/>
        <v>0.80870209189155917</v>
      </c>
      <c r="W522">
        <f t="shared" si="195"/>
        <v>1755.3269140146592</v>
      </c>
      <c r="X522">
        <f t="shared" si="196"/>
        <v>0</v>
      </c>
      <c r="Y522">
        <f t="shared" si="197"/>
        <v>0.46301249068607941</v>
      </c>
      <c r="Z522">
        <f t="shared" si="198"/>
        <v>1323.3878304613138</v>
      </c>
      <c r="AA522">
        <f t="shared" si="199"/>
        <v>0</v>
      </c>
      <c r="AB522">
        <f t="shared" si="200"/>
        <v>0.37687884516814046</v>
      </c>
      <c r="AC522">
        <f t="shared" si="201"/>
        <v>6000</v>
      </c>
      <c r="AD522">
        <f t="shared" si="202"/>
        <v>0</v>
      </c>
      <c r="AE522">
        <f t="shared" si="203"/>
        <v>6.7000407999999982</v>
      </c>
      <c r="AF522">
        <f t="shared" si="204"/>
        <v>6000</v>
      </c>
      <c r="AG522">
        <f t="shared" si="205"/>
        <v>0</v>
      </c>
      <c r="AH522">
        <f t="shared" si="206"/>
        <v>6.7000407999999982</v>
      </c>
      <c r="AI522" cm="1">
        <f t="array" ref="AI522">_xlfn.LET(
    _xlpm.vals,   _xlfn.HSTACK(S522,V522,Y522,AB522,AE522,AH522),
    _xlpm.ints,   _xlfn.HSTACK(R522,U522,X522,AA522,AD522,AG522),
    _xlpm.slopes, _xlfn.HSTACK(Q522,T522,W522,Z522,AC522,AF522),
    _xlpm.limit,  -0.00001*_xlpm.slopes + 0.1086*_xlpm.slopes + 63.253,
    _xlpm.mask,   (_xlpm.vals&gt;=0) * (_xlpm.ints&lt;=_xlpm.limit),
    _xlpm.validVals, _xlfn._xlws.FILTER(_xlpm.vals, _xlpm.mask),
    _xlpm.minVal, MIN(_xlpm.validVals),
    IFERROR( _xlfn.XMATCH(_xlpm.minVal, _xlpm.vals), "" )
)</f>
        <v>4</v>
      </c>
      <c r="AJ522" cm="1">
        <f t="array" ref="AJ522">_xlfn.LET(
    _xlpm.vals, CHOOSE({1,2,3,4,5,6}, S522, V522, Y522, AB522, AE522, AH522),
    _xlpm.slopes, CHOOSE({1,2,3,4,5,6}, Q522, T522, W522, Z522, AC522, AF522),
    _xlpm.ints, CHOOSE({1,2,3,4,5,6}, R522, U522, X522, AA522, AD522, AG522),
    _xlpm.limit, -0.00001*_xlpm.slopes + 0.1086*_xlpm.slopes + 63.253,
    _xlpm.valid, (_xlpm.vals &gt;= 0) * (_xlpm.ints &lt;= _xlpm.limit),
    _xlpm.target, MIN(_xlfn._xlws.FILTER(_xlpm.vals, _xlpm.valid)),
    IFERROR(
        _xlfn.XLOOKUP(_xlpm.target, _xlpm.vals, _xlpm.vals),
        CHOOSE({1,2,3,4,5,6}, S$1, V$1, Y$1, AB$1, AE$1, AH$1)
    )
)</f>
        <v>0.37687884516814046</v>
      </c>
    </row>
    <row r="523" spans="9:36" x14ac:dyDescent="0.45">
      <c r="I523">
        <v>521</v>
      </c>
      <c r="J523">
        <v>18.899999999999999</v>
      </c>
      <c r="K523">
        <f t="shared" si="185"/>
        <v>18.899999999999999</v>
      </c>
      <c r="L523">
        <f t="shared" si="184"/>
        <v>5.2499999999999995E-3</v>
      </c>
      <c r="M523">
        <v>-1.08</v>
      </c>
      <c r="N523">
        <f t="shared" si="186"/>
        <v>0</v>
      </c>
      <c r="O523">
        <f t="shared" si="187"/>
        <v>245.60895467766881</v>
      </c>
      <c r="P523">
        <f t="shared" si="188"/>
        <v>785.94865496854027</v>
      </c>
      <c r="Q523">
        <f t="shared" si="189"/>
        <v>3599.6448397559143</v>
      </c>
      <c r="R523">
        <f t="shared" si="190"/>
        <v>0</v>
      </c>
      <c r="S523">
        <f t="shared" si="191"/>
        <v>1.4857994131124139</v>
      </c>
      <c r="T523">
        <f t="shared" si="192"/>
        <v>2326.4080187068794</v>
      </c>
      <c r="U523">
        <f t="shared" si="193"/>
        <v>0</v>
      </c>
      <c r="V523">
        <f t="shared" si="194"/>
        <v>0.63116045705257195</v>
      </c>
      <c r="W523">
        <f t="shared" si="195"/>
        <v>1501.1619309899118</v>
      </c>
      <c r="X523">
        <f t="shared" si="196"/>
        <v>0</v>
      </c>
      <c r="Y523">
        <f t="shared" si="197"/>
        <v>0.409843047676412</v>
      </c>
      <c r="Z523">
        <f t="shared" si="198"/>
        <v>1131.766063154698</v>
      </c>
      <c r="AA523">
        <f t="shared" si="199"/>
        <v>0</v>
      </c>
      <c r="AB523">
        <f t="shared" si="200"/>
        <v>0.34311697932439078</v>
      </c>
      <c r="AC523">
        <f t="shared" si="201"/>
        <v>6000</v>
      </c>
      <c r="AD523">
        <f t="shared" si="202"/>
        <v>0</v>
      </c>
      <c r="AE523">
        <f t="shared" si="203"/>
        <v>6.7000407999999982</v>
      </c>
      <c r="AF523">
        <f t="shared" si="204"/>
        <v>6000</v>
      </c>
      <c r="AG523">
        <f t="shared" si="205"/>
        <v>0</v>
      </c>
      <c r="AH523">
        <f t="shared" si="206"/>
        <v>6.7000407999999982</v>
      </c>
      <c r="AI523" cm="1">
        <f t="array" ref="AI523">_xlfn.LET(
    _xlpm.vals,   _xlfn.HSTACK(S523,V523,Y523,AB523,AE523,AH523),
    _xlpm.ints,   _xlfn.HSTACK(R523,U523,X523,AA523,AD523,AG523),
    _xlpm.slopes, _xlfn.HSTACK(Q523,T523,W523,Z523,AC523,AF523),
    _xlpm.limit,  -0.00001*_xlpm.slopes + 0.1086*_xlpm.slopes + 63.253,
    _xlpm.mask,   (_xlpm.vals&gt;=0) * (_xlpm.ints&lt;=_xlpm.limit),
    _xlpm.validVals, _xlfn._xlws.FILTER(_xlpm.vals, _xlpm.mask),
    _xlpm.minVal, MIN(_xlpm.validVals),
    IFERROR( _xlfn.XMATCH(_xlpm.minVal, _xlpm.vals), "" )
)</f>
        <v>4</v>
      </c>
      <c r="AJ523" cm="1">
        <f t="array" ref="AJ523">_xlfn.LET(
    _xlpm.vals, CHOOSE({1,2,3,4,5,6}, S523, V523, Y523, AB523, AE523, AH523),
    _xlpm.slopes, CHOOSE({1,2,3,4,5,6}, Q523, T523, W523, Z523, AC523, AF523),
    _xlpm.ints, CHOOSE({1,2,3,4,5,6}, R523, U523, X523, AA523, AD523, AG523),
    _xlpm.limit, -0.00001*_xlpm.slopes + 0.1086*_xlpm.slopes + 63.253,
    _xlpm.valid, (_xlpm.vals &gt;= 0) * (_xlpm.ints &lt;= _xlpm.limit),
    _xlpm.target, MIN(_xlfn._xlws.FILTER(_xlpm.vals, _xlpm.valid)),
    IFERROR(
        _xlfn.XLOOKUP(_xlpm.target, _xlpm.vals, _xlpm.vals),
        CHOOSE({1,2,3,4,5,6}, S$1, V$1, Y$1, AB$1, AE$1, AH$1)
    )
)</f>
        <v>0.34311697932439078</v>
      </c>
    </row>
    <row r="524" spans="9:36" x14ac:dyDescent="0.45">
      <c r="I524">
        <v>522</v>
      </c>
      <c r="J524">
        <v>15.7</v>
      </c>
      <c r="K524">
        <f t="shared" si="185"/>
        <v>15.7</v>
      </c>
      <c r="L524">
        <f t="shared" si="184"/>
        <v>4.3611111111111107E-3</v>
      </c>
      <c r="M524">
        <v>-0.73</v>
      </c>
      <c r="N524">
        <f t="shared" si="186"/>
        <v>0</v>
      </c>
      <c r="O524">
        <f t="shared" si="187"/>
        <v>204.02436975869844</v>
      </c>
      <c r="P524">
        <f t="shared" si="188"/>
        <v>652.8779832278351</v>
      </c>
      <c r="Q524">
        <f t="shared" si="189"/>
        <v>2990.1811631834848</v>
      </c>
      <c r="R524">
        <f t="shared" si="190"/>
        <v>0</v>
      </c>
      <c r="S524">
        <f t="shared" si="191"/>
        <v>0.97001369405789983</v>
      </c>
      <c r="T524">
        <f t="shared" si="192"/>
        <v>1932.5188303543919</v>
      </c>
      <c r="U524">
        <f t="shared" si="193"/>
        <v>0</v>
      </c>
      <c r="V524">
        <f t="shared" si="194"/>
        <v>0.50652595888903695</v>
      </c>
      <c r="W524">
        <f t="shared" si="195"/>
        <v>1246.996947965165</v>
      </c>
      <c r="X524">
        <f t="shared" si="196"/>
        <v>0</v>
      </c>
      <c r="Y524">
        <f t="shared" si="197"/>
        <v>0.36330708786456595</v>
      </c>
      <c r="Z524">
        <f t="shared" si="198"/>
        <v>6000</v>
      </c>
      <c r="AA524">
        <f t="shared" si="199"/>
        <v>0</v>
      </c>
      <c r="AB524">
        <f t="shared" si="200"/>
        <v>6.7000407999999982</v>
      </c>
      <c r="AC524">
        <f t="shared" si="201"/>
        <v>6000</v>
      </c>
      <c r="AD524">
        <f t="shared" si="202"/>
        <v>0</v>
      </c>
      <c r="AE524">
        <f t="shared" si="203"/>
        <v>6.7000407999999982</v>
      </c>
      <c r="AF524">
        <f t="shared" si="204"/>
        <v>6000</v>
      </c>
      <c r="AG524">
        <f t="shared" si="205"/>
        <v>0</v>
      </c>
      <c r="AH524">
        <f t="shared" si="206"/>
        <v>6.7000407999999982</v>
      </c>
      <c r="AI524" cm="1">
        <f t="array" ref="AI524">_xlfn.LET(
    _xlpm.vals,   _xlfn.HSTACK(S524,V524,Y524,AB524,AE524,AH524),
    _xlpm.ints,   _xlfn.HSTACK(R524,U524,X524,AA524,AD524,AG524),
    _xlpm.slopes, _xlfn.HSTACK(Q524,T524,W524,Z524,AC524,AF524),
    _xlpm.limit,  -0.00001*_xlpm.slopes + 0.1086*_xlpm.slopes + 63.253,
    _xlpm.mask,   (_xlpm.vals&gt;=0) * (_xlpm.ints&lt;=_xlpm.limit),
    _xlpm.validVals, _xlfn._xlws.FILTER(_xlpm.vals, _xlpm.mask),
    _xlpm.minVal, MIN(_xlpm.validVals),
    IFERROR( _xlfn.XMATCH(_xlpm.minVal, _xlpm.vals), "" )
)</f>
        <v>3</v>
      </c>
      <c r="AJ524" cm="1">
        <f t="array" ref="AJ524">_xlfn.LET(
    _xlpm.vals, CHOOSE({1,2,3,4,5,6}, S524, V524, Y524, AB524, AE524, AH524),
    _xlpm.slopes, CHOOSE({1,2,3,4,5,6}, Q524, T524, W524, Z524, AC524, AF524),
    _xlpm.ints, CHOOSE({1,2,3,4,5,6}, R524, U524, X524, AA524, AD524, AG524),
    _xlpm.limit, -0.00001*_xlpm.slopes + 0.1086*_xlpm.slopes + 63.253,
    _xlpm.valid, (_xlpm.vals &gt;= 0) * (_xlpm.ints &lt;= _xlpm.limit),
    _xlpm.target, MIN(_xlfn._xlws.FILTER(_xlpm.vals, _xlpm.valid)),
    IFERROR(
        _xlfn.XLOOKUP(_xlpm.target, _xlpm.vals, _xlpm.vals),
        CHOOSE({1,2,3,4,5,6}, S$1, V$1, Y$1, AB$1, AE$1, AH$1)
    )
)</f>
        <v>0.36330708786456595</v>
      </c>
    </row>
    <row r="525" spans="9:36" x14ac:dyDescent="0.45">
      <c r="I525">
        <v>523</v>
      </c>
      <c r="J525">
        <v>12.2</v>
      </c>
      <c r="K525">
        <f t="shared" si="185"/>
        <v>12.2</v>
      </c>
      <c r="L525">
        <f t="shared" si="184"/>
        <v>3.3888888888888888E-3</v>
      </c>
      <c r="M525">
        <v>-0.84</v>
      </c>
      <c r="N525">
        <f t="shared" si="186"/>
        <v>0</v>
      </c>
      <c r="O525">
        <f t="shared" si="187"/>
        <v>158.54123000357455</v>
      </c>
      <c r="P525">
        <f t="shared" si="188"/>
        <v>507.33193601143859</v>
      </c>
      <c r="Q525">
        <f t="shared" si="189"/>
        <v>2323.5802669323889</v>
      </c>
      <c r="R525">
        <f t="shared" si="190"/>
        <v>0</v>
      </c>
      <c r="S525">
        <f t="shared" si="191"/>
        <v>0.63009826643266986</v>
      </c>
      <c r="T525">
        <f t="shared" si="192"/>
        <v>1501.7025305938582</v>
      </c>
      <c r="U525">
        <f t="shared" si="193"/>
        <v>0</v>
      </c>
      <c r="V525">
        <f t="shared" si="194"/>
        <v>0.40994741666783585</v>
      </c>
      <c r="W525">
        <f t="shared" si="195"/>
        <v>6000</v>
      </c>
      <c r="X525">
        <f t="shared" si="196"/>
        <v>0</v>
      </c>
      <c r="Y525">
        <f t="shared" si="197"/>
        <v>6.7000407999999982</v>
      </c>
      <c r="Z525">
        <f t="shared" si="198"/>
        <v>6000</v>
      </c>
      <c r="AA525">
        <f t="shared" si="199"/>
        <v>0</v>
      </c>
      <c r="AB525">
        <f t="shared" si="200"/>
        <v>6.7000407999999982</v>
      </c>
      <c r="AC525">
        <f t="shared" si="201"/>
        <v>6000</v>
      </c>
      <c r="AD525">
        <f t="shared" si="202"/>
        <v>0</v>
      </c>
      <c r="AE525">
        <f t="shared" si="203"/>
        <v>6.7000407999999982</v>
      </c>
      <c r="AF525">
        <f t="shared" si="204"/>
        <v>6000</v>
      </c>
      <c r="AG525">
        <f t="shared" si="205"/>
        <v>0</v>
      </c>
      <c r="AH525">
        <f t="shared" si="206"/>
        <v>6.7000407999999982</v>
      </c>
      <c r="AI525" cm="1">
        <f t="array" ref="AI525">_xlfn.LET(
    _xlpm.vals,   _xlfn.HSTACK(S525,V525,Y525,AB525,AE525,AH525),
    _xlpm.ints,   _xlfn.HSTACK(R525,U525,X525,AA525,AD525,AG525),
    _xlpm.slopes, _xlfn.HSTACK(Q525,T525,W525,Z525,AC525,AF525),
    _xlpm.limit,  -0.00001*_xlpm.slopes + 0.1086*_xlpm.slopes + 63.253,
    _xlpm.mask,   (_xlpm.vals&gt;=0) * (_xlpm.ints&lt;=_xlpm.limit),
    _xlpm.validVals, _xlfn._xlws.FILTER(_xlpm.vals, _xlpm.mask),
    _xlpm.minVal, MIN(_xlpm.validVals),
    IFERROR( _xlfn.XMATCH(_xlpm.minVal, _xlpm.vals), "" )
)</f>
        <v>2</v>
      </c>
      <c r="AJ525" cm="1">
        <f t="array" ref="AJ525">_xlfn.LET(
    _xlpm.vals, CHOOSE({1,2,3,4,5,6}, S525, V525, Y525, AB525, AE525, AH525),
    _xlpm.slopes, CHOOSE({1,2,3,4,5,6}, Q525, T525, W525, Z525, AC525, AF525),
    _xlpm.ints, CHOOSE({1,2,3,4,5,6}, R525, U525, X525, AA525, AD525, AG525),
    _xlpm.limit, -0.00001*_xlpm.slopes + 0.1086*_xlpm.slopes + 63.253,
    _xlpm.valid, (_xlpm.vals &gt;= 0) * (_xlpm.ints &lt;= _xlpm.limit),
    _xlpm.target, MIN(_xlfn._xlws.FILTER(_xlpm.vals, _xlpm.valid)),
    IFERROR(
        _xlfn.XLOOKUP(_xlpm.target, _xlpm.vals, _xlpm.vals),
        CHOOSE({1,2,3,4,5,6}, S$1, V$1, Y$1, AB$1, AE$1, AH$1)
    )
)</f>
        <v>0.40994741666783585</v>
      </c>
    </row>
    <row r="526" spans="9:36" x14ac:dyDescent="0.45">
      <c r="I526">
        <v>524</v>
      </c>
      <c r="J526">
        <v>9</v>
      </c>
      <c r="K526">
        <f t="shared" si="185"/>
        <v>9</v>
      </c>
      <c r="L526">
        <f t="shared" si="184"/>
        <v>2.5000000000000001E-3</v>
      </c>
      <c r="M526">
        <v>-1.07</v>
      </c>
      <c r="N526">
        <f t="shared" si="186"/>
        <v>0</v>
      </c>
      <c r="O526">
        <f t="shared" si="187"/>
        <v>116.95664508460422</v>
      </c>
      <c r="P526">
        <f t="shared" si="188"/>
        <v>374.26126427073353</v>
      </c>
      <c r="Q526">
        <f t="shared" si="189"/>
        <v>1714.1165903599597</v>
      </c>
      <c r="R526">
        <f t="shared" si="190"/>
        <v>0</v>
      </c>
      <c r="S526">
        <f t="shared" si="191"/>
        <v>0.45374370093394006</v>
      </c>
      <c r="T526">
        <f t="shared" si="192"/>
        <v>1107.8133422413712</v>
      </c>
      <c r="U526">
        <f t="shared" si="193"/>
        <v>0</v>
      </c>
      <c r="V526">
        <f t="shared" si="194"/>
        <v>0.33892810990964078</v>
      </c>
      <c r="W526">
        <f t="shared" si="195"/>
        <v>6000</v>
      </c>
      <c r="X526">
        <f t="shared" si="196"/>
        <v>0</v>
      </c>
      <c r="Y526">
        <f t="shared" si="197"/>
        <v>6.7000407999999982</v>
      </c>
      <c r="Z526">
        <f t="shared" si="198"/>
        <v>6000</v>
      </c>
      <c r="AA526">
        <f t="shared" si="199"/>
        <v>0</v>
      </c>
      <c r="AB526">
        <f t="shared" si="200"/>
        <v>6.7000407999999982</v>
      </c>
      <c r="AC526">
        <f t="shared" si="201"/>
        <v>6000</v>
      </c>
      <c r="AD526">
        <f t="shared" si="202"/>
        <v>0</v>
      </c>
      <c r="AE526">
        <f t="shared" si="203"/>
        <v>6.7000407999999982</v>
      </c>
      <c r="AF526">
        <f t="shared" si="204"/>
        <v>6000</v>
      </c>
      <c r="AG526">
        <f t="shared" si="205"/>
        <v>0</v>
      </c>
      <c r="AH526">
        <f t="shared" si="206"/>
        <v>6.7000407999999982</v>
      </c>
      <c r="AI526" cm="1">
        <f t="array" ref="AI526">_xlfn.LET(
    _xlpm.vals,   _xlfn.HSTACK(S526,V526,Y526,AB526,AE526,AH526),
    _xlpm.ints,   _xlfn.HSTACK(R526,U526,X526,AA526,AD526,AG526),
    _xlpm.slopes, _xlfn.HSTACK(Q526,T526,W526,Z526,AC526,AF526),
    _xlpm.limit,  -0.00001*_xlpm.slopes + 0.1086*_xlpm.slopes + 63.253,
    _xlpm.mask,   (_xlpm.vals&gt;=0) * (_xlpm.ints&lt;=_xlpm.limit),
    _xlpm.validVals, _xlfn._xlws.FILTER(_xlpm.vals, _xlpm.mask),
    _xlpm.minVal, MIN(_xlpm.validVals),
    IFERROR( _xlfn.XMATCH(_xlpm.minVal, _xlpm.vals), "" )
)</f>
        <v>2</v>
      </c>
      <c r="AJ526" cm="1">
        <f t="array" ref="AJ526">_xlfn.LET(
    _xlpm.vals, CHOOSE({1,2,3,4,5,6}, S526, V526, Y526, AB526, AE526, AH526),
    _xlpm.slopes, CHOOSE({1,2,3,4,5,6}, Q526, T526, W526, Z526, AC526, AF526),
    _xlpm.ints, CHOOSE({1,2,3,4,5,6}, R526, U526, X526, AA526, AD526, AG526),
    _xlpm.limit, -0.00001*_xlpm.slopes + 0.1086*_xlpm.slopes + 63.253,
    _xlpm.valid, (_xlpm.vals &gt;= 0) * (_xlpm.ints &lt;= _xlpm.limit),
    _xlpm.target, MIN(_xlfn._xlws.FILTER(_xlpm.vals, _xlpm.valid)),
    IFERROR(
        _xlfn.XLOOKUP(_xlpm.target, _xlpm.vals, _xlpm.vals),
        CHOOSE({1,2,3,4,5,6}, S$1, V$1, Y$1, AB$1, AE$1, AH$1)
    )
)</f>
        <v>0.33892810990964078</v>
      </c>
    </row>
    <row r="527" spans="9:36" x14ac:dyDescent="0.45">
      <c r="I527">
        <v>525</v>
      </c>
      <c r="J527">
        <v>5.8</v>
      </c>
      <c r="K527">
        <f t="shared" si="185"/>
        <v>5.8</v>
      </c>
      <c r="L527">
        <f t="shared" si="184"/>
        <v>1.6111111111111111E-3</v>
      </c>
      <c r="M527">
        <v>-0.18</v>
      </c>
      <c r="N527">
        <f t="shared" si="186"/>
        <v>0</v>
      </c>
      <c r="O527">
        <f t="shared" si="187"/>
        <v>75.372060165633826</v>
      </c>
      <c r="P527">
        <f t="shared" si="188"/>
        <v>241.19059253002825</v>
      </c>
      <c r="Q527">
        <f t="shared" si="189"/>
        <v>1104.6529137875293</v>
      </c>
      <c r="R527">
        <f t="shared" si="190"/>
        <v>0</v>
      </c>
      <c r="S527">
        <f t="shared" si="191"/>
        <v>0.33837503019554627</v>
      </c>
      <c r="T527">
        <f t="shared" si="192"/>
        <v>6000</v>
      </c>
      <c r="U527">
        <f t="shared" si="193"/>
        <v>0</v>
      </c>
      <c r="V527">
        <f t="shared" si="194"/>
        <v>6.7000407999999982</v>
      </c>
      <c r="W527">
        <f t="shared" si="195"/>
        <v>6000</v>
      </c>
      <c r="X527">
        <f t="shared" si="196"/>
        <v>0</v>
      </c>
      <c r="Y527">
        <f t="shared" si="197"/>
        <v>6.7000407999999982</v>
      </c>
      <c r="Z527">
        <f t="shared" si="198"/>
        <v>6000</v>
      </c>
      <c r="AA527">
        <f t="shared" si="199"/>
        <v>0</v>
      </c>
      <c r="AB527">
        <f t="shared" si="200"/>
        <v>6.7000407999999982</v>
      </c>
      <c r="AC527">
        <f t="shared" si="201"/>
        <v>6000</v>
      </c>
      <c r="AD527">
        <f t="shared" si="202"/>
        <v>0</v>
      </c>
      <c r="AE527">
        <f t="shared" si="203"/>
        <v>6.7000407999999982</v>
      </c>
      <c r="AF527">
        <f t="shared" si="204"/>
        <v>6000</v>
      </c>
      <c r="AG527">
        <f t="shared" si="205"/>
        <v>0</v>
      </c>
      <c r="AH527">
        <f t="shared" si="206"/>
        <v>6.7000407999999982</v>
      </c>
      <c r="AI527" cm="1">
        <f t="array" ref="AI527">_xlfn.LET(
    _xlpm.vals,   _xlfn.HSTACK(S527,V527,Y527,AB527,AE527,AH527),
    _xlpm.ints,   _xlfn.HSTACK(R527,U527,X527,AA527,AD527,AG527),
    _xlpm.slopes, _xlfn.HSTACK(Q527,T527,W527,Z527,AC527,AF527),
    _xlpm.limit,  -0.00001*_xlpm.slopes + 0.1086*_xlpm.slopes + 63.253,
    _xlpm.mask,   (_xlpm.vals&gt;=0) * (_xlpm.ints&lt;=_xlpm.limit),
    _xlpm.validVals, _xlfn._xlws.FILTER(_xlpm.vals, _xlpm.mask),
    _xlpm.minVal, MIN(_xlpm.validVals),
    IFERROR( _xlfn.XMATCH(_xlpm.minVal, _xlpm.vals), "" )
)</f>
        <v>1</v>
      </c>
      <c r="AJ527" cm="1">
        <f t="array" ref="AJ527">_xlfn.LET(
    _xlpm.vals, CHOOSE({1,2,3,4,5,6}, S527, V527, Y527, AB527, AE527, AH527),
    _xlpm.slopes, CHOOSE({1,2,3,4,5,6}, Q527, T527, W527, Z527, AC527, AF527),
    _xlpm.ints, CHOOSE({1,2,3,4,5,6}, R527, U527, X527, AA527, AD527, AG527),
    _xlpm.limit, -0.00001*_xlpm.slopes + 0.1086*_xlpm.slopes + 63.253,
    _xlpm.valid, (_xlpm.vals &gt;= 0) * (_xlpm.ints &lt;= _xlpm.limit),
    _xlpm.target, MIN(_xlfn._xlws.FILTER(_xlpm.vals, _xlpm.valid)),
    IFERROR(
        _xlfn.XLOOKUP(_xlpm.target, _xlpm.vals, _xlpm.vals),
        CHOOSE({1,2,3,4,5,6}, S$1, V$1, Y$1, AB$1, AE$1, AH$1)
    )
)</f>
        <v>0.33837503019554627</v>
      </c>
    </row>
    <row r="528" spans="9:36" x14ac:dyDescent="0.45">
      <c r="I528">
        <v>526</v>
      </c>
      <c r="J528">
        <v>2.5</v>
      </c>
      <c r="K528">
        <f t="shared" si="185"/>
        <v>2.5</v>
      </c>
      <c r="L528">
        <f t="shared" si="184"/>
        <v>6.9444444444444447E-4</v>
      </c>
      <c r="M528">
        <v>1.38</v>
      </c>
      <c r="N528">
        <f t="shared" si="186"/>
        <v>1.38</v>
      </c>
      <c r="O528">
        <f t="shared" si="187"/>
        <v>32.487956967945614</v>
      </c>
      <c r="P528">
        <f t="shared" si="188"/>
        <v>103.96146229742597</v>
      </c>
      <c r="Q528">
        <f t="shared" si="189"/>
        <v>1000</v>
      </c>
      <c r="R528">
        <f t="shared" si="190"/>
        <v>13.178029288008934</v>
      </c>
      <c r="S528">
        <f t="shared" si="191"/>
        <v>0.40541595027799171</v>
      </c>
      <c r="T528">
        <f t="shared" si="192"/>
        <v>6000</v>
      </c>
      <c r="U528">
        <f t="shared" si="193"/>
        <v>2.1963382146681556</v>
      </c>
      <c r="V528">
        <f t="shared" si="194"/>
        <v>6.7139975043615712</v>
      </c>
      <c r="W528">
        <f t="shared" si="195"/>
        <v>6000</v>
      </c>
      <c r="X528">
        <f t="shared" si="196"/>
        <v>2.1963382146681556</v>
      </c>
      <c r="Y528">
        <f t="shared" si="197"/>
        <v>6.7139975043615712</v>
      </c>
      <c r="Z528">
        <f t="shared" si="198"/>
        <v>6000</v>
      </c>
      <c r="AA528">
        <f t="shared" si="199"/>
        <v>2.1963382146681556</v>
      </c>
      <c r="AB528">
        <f t="shared" si="200"/>
        <v>6.7139975043615712</v>
      </c>
      <c r="AC528">
        <f t="shared" si="201"/>
        <v>6000</v>
      </c>
      <c r="AD528">
        <f t="shared" si="202"/>
        <v>2.1963382146681556</v>
      </c>
      <c r="AE528">
        <f t="shared" si="203"/>
        <v>6.7139975043615712</v>
      </c>
      <c r="AF528">
        <f t="shared" si="204"/>
        <v>6000</v>
      </c>
      <c r="AG528">
        <f t="shared" si="205"/>
        <v>2.1963382146681556</v>
      </c>
      <c r="AH528">
        <f t="shared" si="206"/>
        <v>6.7139975043615712</v>
      </c>
      <c r="AI528" cm="1">
        <f t="array" ref="AI528">_xlfn.LET(
    _xlpm.vals,   _xlfn.HSTACK(S528,V528,Y528,AB528,AE528,AH528),
    _xlpm.ints,   _xlfn.HSTACK(R528,U528,X528,AA528,AD528,AG528),
    _xlpm.slopes, _xlfn.HSTACK(Q528,T528,W528,Z528,AC528,AF528),
    _xlpm.limit,  -0.00001*_xlpm.slopes + 0.1086*_xlpm.slopes + 63.253,
    _xlpm.mask,   (_xlpm.vals&gt;=0) * (_xlpm.ints&lt;=_xlpm.limit),
    _xlpm.validVals, _xlfn._xlws.FILTER(_xlpm.vals, _xlpm.mask),
    _xlpm.minVal, MIN(_xlpm.validVals),
    IFERROR( _xlfn.XMATCH(_xlpm.minVal, _xlpm.vals), "" )
)</f>
        <v>1</v>
      </c>
      <c r="AJ528" cm="1">
        <f t="array" ref="AJ528">_xlfn.LET(
    _xlpm.vals, CHOOSE({1,2,3,4,5,6}, S528, V528, Y528, AB528, AE528, AH528),
    _xlpm.slopes, CHOOSE({1,2,3,4,5,6}, Q528, T528, W528, Z528, AC528, AF528),
    _xlpm.ints, CHOOSE({1,2,3,4,5,6}, R528, U528, X528, AA528, AD528, AG528),
    _xlpm.limit, -0.00001*_xlpm.slopes + 0.1086*_xlpm.slopes + 63.253,
    _xlpm.valid, (_xlpm.vals &gt;= 0) * (_xlpm.ints &lt;= _xlpm.limit),
    _xlpm.target, MIN(_xlfn._xlws.FILTER(_xlpm.vals, _xlpm.valid)),
    IFERROR(
        _xlfn.XLOOKUP(_xlpm.target, _xlpm.vals, _xlpm.vals),
        CHOOSE({1,2,3,4,5,6}, S$1, V$1, Y$1, AB$1, AE$1, AH$1)
    )
)</f>
        <v>0.40541595027799171</v>
      </c>
    </row>
    <row r="529" spans="9:36" x14ac:dyDescent="0.45">
      <c r="I529">
        <v>527</v>
      </c>
      <c r="J529">
        <v>0</v>
      </c>
      <c r="K529">
        <f t="shared" si="185"/>
        <v>0</v>
      </c>
      <c r="L529">
        <f t="shared" si="184"/>
        <v>0</v>
      </c>
      <c r="M529">
        <v>1</v>
      </c>
      <c r="N529">
        <f t="shared" si="186"/>
        <v>1</v>
      </c>
      <c r="O529">
        <f t="shared" si="187"/>
        <v>0</v>
      </c>
      <c r="P529">
        <f t="shared" si="188"/>
        <v>0</v>
      </c>
      <c r="Q529">
        <f t="shared" si="189"/>
        <v>1000</v>
      </c>
      <c r="R529">
        <f t="shared" si="190"/>
        <v>9.5492965855137211</v>
      </c>
      <c r="S529">
        <f t="shared" si="191"/>
        <v>0.37987490701804322</v>
      </c>
      <c r="T529">
        <f t="shared" si="192"/>
        <v>6000</v>
      </c>
      <c r="U529">
        <f t="shared" si="193"/>
        <v>1.5915494309189535</v>
      </c>
      <c r="V529">
        <f t="shared" si="194"/>
        <v>6.7099945635941127</v>
      </c>
      <c r="W529">
        <f t="shared" si="195"/>
        <v>6000</v>
      </c>
      <c r="X529">
        <f t="shared" si="196"/>
        <v>1.5915494309189535</v>
      </c>
      <c r="Y529">
        <f t="shared" si="197"/>
        <v>6.7099945635941127</v>
      </c>
      <c r="Z529">
        <f t="shared" si="198"/>
        <v>6000</v>
      </c>
      <c r="AA529">
        <f t="shared" si="199"/>
        <v>1.5915494309189535</v>
      </c>
      <c r="AB529">
        <f t="shared" si="200"/>
        <v>6.7099945635941127</v>
      </c>
      <c r="AC529">
        <f t="shared" si="201"/>
        <v>6000</v>
      </c>
      <c r="AD529">
        <f t="shared" si="202"/>
        <v>1.5915494309189535</v>
      </c>
      <c r="AE529">
        <f t="shared" si="203"/>
        <v>6.7099945635941127</v>
      </c>
      <c r="AF529">
        <f t="shared" si="204"/>
        <v>6000</v>
      </c>
      <c r="AG529">
        <f t="shared" si="205"/>
        <v>1.5915494309189535</v>
      </c>
      <c r="AH529">
        <f t="shared" si="206"/>
        <v>6.7099945635941127</v>
      </c>
      <c r="AI529" cm="1">
        <f t="array" ref="AI529">_xlfn.LET(
    _xlpm.vals,   _xlfn.HSTACK(S529,V529,Y529,AB529,AE529,AH529),
    _xlpm.ints,   _xlfn.HSTACK(R529,U529,X529,AA529,AD529,AG529),
    _xlpm.slopes, _xlfn.HSTACK(Q529,T529,W529,Z529,AC529,AF529),
    _xlpm.limit,  -0.00001*_xlpm.slopes + 0.1086*_xlpm.slopes + 63.253,
    _xlpm.mask,   (_xlpm.vals&gt;=0) * (_xlpm.ints&lt;=_xlpm.limit),
    _xlpm.validVals, _xlfn._xlws.FILTER(_xlpm.vals, _xlpm.mask),
    _xlpm.minVal, MIN(_xlpm.validVals),
    IFERROR( _xlfn.XMATCH(_xlpm.minVal, _xlpm.vals), "" )
)</f>
        <v>1</v>
      </c>
      <c r="AJ529" cm="1">
        <f t="array" ref="AJ529">_xlfn.LET(
    _xlpm.vals, CHOOSE({1,2,3,4,5,6}, S529, V529, Y529, AB529, AE529, AH529),
    _xlpm.slopes, CHOOSE({1,2,3,4,5,6}, Q529, T529, W529, Z529, AC529, AF529),
    _xlpm.ints, CHOOSE({1,2,3,4,5,6}, R529, U529, X529, AA529, AD529, AG529),
    _xlpm.limit, -0.00001*_xlpm.slopes + 0.1086*_xlpm.slopes + 63.253,
    _xlpm.valid, (_xlpm.vals &gt;= 0) * (_xlpm.ints &lt;= _xlpm.limit),
    _xlpm.target, MIN(_xlfn._xlws.FILTER(_xlpm.vals, _xlpm.valid)),
    IFERROR(
        _xlfn.XLOOKUP(_xlpm.target, _xlpm.vals, _xlpm.vals),
        CHOOSE({1,2,3,4,5,6}, S$1, V$1, Y$1, AB$1, AE$1, AH$1)
    )
)</f>
        <v>0.37987490701804322</v>
      </c>
    </row>
    <row r="530" spans="9:36" x14ac:dyDescent="0.45">
      <c r="I530">
        <v>528</v>
      </c>
      <c r="J530">
        <v>0</v>
      </c>
      <c r="K530">
        <f t="shared" si="185"/>
        <v>0</v>
      </c>
      <c r="L530">
        <f t="shared" si="184"/>
        <v>0</v>
      </c>
      <c r="M530">
        <v>0.71</v>
      </c>
      <c r="N530">
        <f t="shared" si="186"/>
        <v>0.71</v>
      </c>
      <c r="O530">
        <f t="shared" si="187"/>
        <v>0</v>
      </c>
      <c r="P530">
        <f t="shared" si="188"/>
        <v>0</v>
      </c>
      <c r="Q530">
        <f t="shared" si="189"/>
        <v>1000</v>
      </c>
      <c r="R530">
        <f t="shared" si="190"/>
        <v>6.7800005757147419</v>
      </c>
      <c r="S530">
        <f t="shared" si="191"/>
        <v>0.36136588369682382</v>
      </c>
      <c r="T530">
        <f t="shared" si="192"/>
        <v>6000</v>
      </c>
      <c r="U530">
        <f t="shared" si="193"/>
        <v>1.130000095952457</v>
      </c>
      <c r="V530">
        <f t="shared" si="194"/>
        <v>6.7070211976264291</v>
      </c>
      <c r="W530">
        <f t="shared" si="195"/>
        <v>6000</v>
      </c>
      <c r="X530">
        <f t="shared" si="196"/>
        <v>1.130000095952457</v>
      </c>
      <c r="Y530">
        <f t="shared" si="197"/>
        <v>6.7070211976264291</v>
      </c>
      <c r="Z530">
        <f t="shared" si="198"/>
        <v>6000</v>
      </c>
      <c r="AA530">
        <f t="shared" si="199"/>
        <v>1.130000095952457</v>
      </c>
      <c r="AB530">
        <f t="shared" si="200"/>
        <v>6.7070211976264291</v>
      </c>
      <c r="AC530">
        <f t="shared" si="201"/>
        <v>6000</v>
      </c>
      <c r="AD530">
        <f t="shared" si="202"/>
        <v>1.130000095952457</v>
      </c>
      <c r="AE530">
        <f t="shared" si="203"/>
        <v>6.7070211976264291</v>
      </c>
      <c r="AF530">
        <f t="shared" si="204"/>
        <v>6000</v>
      </c>
      <c r="AG530">
        <f t="shared" si="205"/>
        <v>1.130000095952457</v>
      </c>
      <c r="AH530">
        <f t="shared" si="206"/>
        <v>6.7070211976264291</v>
      </c>
      <c r="AI530" cm="1">
        <f t="array" ref="AI530">_xlfn.LET(
    _xlpm.vals,   _xlfn.HSTACK(S530,V530,Y530,AB530,AE530,AH530),
    _xlpm.ints,   _xlfn.HSTACK(R530,U530,X530,AA530,AD530,AG530),
    _xlpm.slopes, _xlfn.HSTACK(Q530,T530,W530,Z530,AC530,AF530),
    _xlpm.limit,  -0.00001*_xlpm.slopes + 0.1086*_xlpm.slopes + 63.253,
    _xlpm.mask,   (_xlpm.vals&gt;=0) * (_xlpm.ints&lt;=_xlpm.limit),
    _xlpm.validVals, _xlfn._xlws.FILTER(_xlpm.vals, _xlpm.mask),
    _xlpm.minVal, MIN(_xlpm.validVals),
    IFERROR( _xlfn.XMATCH(_xlpm.minVal, _xlpm.vals), "" )
)</f>
        <v>1</v>
      </c>
      <c r="AJ530" cm="1">
        <f t="array" ref="AJ530">_xlfn.LET(
    _xlpm.vals, CHOOSE({1,2,3,4,5,6}, S530, V530, Y530, AB530, AE530, AH530),
    _xlpm.slopes, CHOOSE({1,2,3,4,5,6}, Q530, T530, W530, Z530, AC530, AF530),
    _xlpm.ints, CHOOSE({1,2,3,4,5,6}, R530, U530, X530, AA530, AD530, AG530),
    _xlpm.limit, -0.00001*_xlpm.slopes + 0.1086*_xlpm.slopes + 63.253,
    _xlpm.valid, (_xlpm.vals &gt;= 0) * (_xlpm.ints &lt;= _xlpm.limit),
    _xlpm.target, MIN(_xlfn._xlws.FILTER(_xlpm.vals, _xlpm.valid)),
    IFERROR(
        _xlfn.XLOOKUP(_xlpm.target, _xlpm.vals, _xlpm.vals),
        CHOOSE({1,2,3,4,5,6}, S$1, V$1, Y$1, AB$1, AE$1, AH$1)
    )
)</f>
        <v>0.36136588369682382</v>
      </c>
    </row>
    <row r="531" spans="9:36" x14ac:dyDescent="0.45">
      <c r="I531">
        <v>529</v>
      </c>
      <c r="J531">
        <v>0</v>
      </c>
      <c r="K531">
        <f t="shared" si="185"/>
        <v>0</v>
      </c>
      <c r="L531">
        <f t="shared" si="184"/>
        <v>0</v>
      </c>
      <c r="M531">
        <v>0.94</v>
      </c>
      <c r="N531">
        <f t="shared" si="186"/>
        <v>0.94</v>
      </c>
      <c r="O531">
        <f t="shared" si="187"/>
        <v>0</v>
      </c>
      <c r="P531">
        <f t="shared" si="188"/>
        <v>0</v>
      </c>
      <c r="Q531">
        <f t="shared" si="189"/>
        <v>1000</v>
      </c>
      <c r="R531">
        <f t="shared" si="190"/>
        <v>8.9763387903828971</v>
      </c>
      <c r="S531">
        <f t="shared" si="191"/>
        <v>0.37597381066607521</v>
      </c>
      <c r="T531">
        <f t="shared" si="192"/>
        <v>6000</v>
      </c>
      <c r="U531">
        <f t="shared" si="193"/>
        <v>1.4960564650638162</v>
      </c>
      <c r="V531">
        <f t="shared" si="194"/>
        <v>6.7093735867418705</v>
      </c>
      <c r="W531">
        <f t="shared" si="195"/>
        <v>6000</v>
      </c>
      <c r="X531">
        <f t="shared" si="196"/>
        <v>1.4960564650638162</v>
      </c>
      <c r="Y531">
        <f t="shared" si="197"/>
        <v>6.7093735867418705</v>
      </c>
      <c r="Z531">
        <f t="shared" si="198"/>
        <v>6000</v>
      </c>
      <c r="AA531">
        <f t="shared" si="199"/>
        <v>1.4960564650638162</v>
      </c>
      <c r="AB531">
        <f t="shared" si="200"/>
        <v>6.7093735867418705</v>
      </c>
      <c r="AC531">
        <f t="shared" si="201"/>
        <v>6000</v>
      </c>
      <c r="AD531">
        <f t="shared" si="202"/>
        <v>1.4960564650638162</v>
      </c>
      <c r="AE531">
        <f t="shared" si="203"/>
        <v>6.7093735867418705</v>
      </c>
      <c r="AF531">
        <f t="shared" si="204"/>
        <v>6000</v>
      </c>
      <c r="AG531">
        <f t="shared" si="205"/>
        <v>1.4960564650638162</v>
      </c>
      <c r="AH531">
        <f t="shared" si="206"/>
        <v>6.7093735867418705</v>
      </c>
      <c r="AI531" cm="1">
        <f t="array" ref="AI531">_xlfn.LET(
    _xlpm.vals,   _xlfn.HSTACK(S531,V531,Y531,AB531,AE531,AH531),
    _xlpm.ints,   _xlfn.HSTACK(R531,U531,X531,AA531,AD531,AG531),
    _xlpm.slopes, _xlfn.HSTACK(Q531,T531,W531,Z531,AC531,AF531),
    _xlpm.limit,  -0.00001*_xlpm.slopes + 0.1086*_xlpm.slopes + 63.253,
    _xlpm.mask,   (_xlpm.vals&gt;=0) * (_xlpm.ints&lt;=_xlpm.limit),
    _xlpm.validVals, _xlfn._xlws.FILTER(_xlpm.vals, _xlpm.mask),
    _xlpm.minVal, MIN(_xlpm.validVals),
    IFERROR( _xlfn.XMATCH(_xlpm.minVal, _xlpm.vals), "" )
)</f>
        <v>1</v>
      </c>
      <c r="AJ531" cm="1">
        <f t="array" ref="AJ531">_xlfn.LET(
    _xlpm.vals, CHOOSE({1,2,3,4,5,6}, S531, V531, Y531, AB531, AE531, AH531),
    _xlpm.slopes, CHOOSE({1,2,3,4,5,6}, Q531, T531, W531, Z531, AC531, AF531),
    _xlpm.ints, CHOOSE({1,2,3,4,5,6}, R531, U531, X531, AA531, AD531, AG531),
    _xlpm.limit, -0.00001*_xlpm.slopes + 0.1086*_xlpm.slopes + 63.253,
    _xlpm.valid, (_xlpm.vals &gt;= 0) * (_xlpm.ints &lt;= _xlpm.limit),
    _xlpm.target, MIN(_xlfn._xlws.FILTER(_xlpm.vals, _xlpm.valid)),
    IFERROR(
        _xlfn.XLOOKUP(_xlpm.target, _xlpm.vals, _xlpm.vals),
        CHOOSE({1,2,3,4,5,6}, S$1, V$1, Y$1, AB$1, AE$1, AH$1)
    )
)</f>
        <v>0.37597381066607521</v>
      </c>
    </row>
    <row r="532" spans="9:36" x14ac:dyDescent="0.45">
      <c r="I532">
        <v>530</v>
      </c>
      <c r="J532">
        <v>0</v>
      </c>
      <c r="K532">
        <f t="shared" si="185"/>
        <v>0</v>
      </c>
      <c r="L532">
        <f t="shared" si="184"/>
        <v>0</v>
      </c>
      <c r="M532">
        <v>1.17</v>
      </c>
      <c r="N532">
        <f t="shared" si="186"/>
        <v>1.17</v>
      </c>
      <c r="O532">
        <f t="shared" si="187"/>
        <v>0</v>
      </c>
      <c r="P532">
        <f t="shared" si="188"/>
        <v>0</v>
      </c>
      <c r="Q532">
        <f t="shared" si="189"/>
        <v>1000</v>
      </c>
      <c r="R532">
        <f t="shared" si="190"/>
        <v>11.172677005051053</v>
      </c>
      <c r="S532">
        <f t="shared" si="191"/>
        <v>0.39112555561049189</v>
      </c>
      <c r="T532">
        <f t="shared" si="192"/>
        <v>6000</v>
      </c>
      <c r="U532">
        <f t="shared" si="193"/>
        <v>1.8621128341751756</v>
      </c>
      <c r="V532">
        <f t="shared" si="194"/>
        <v>6.7117703995699003</v>
      </c>
      <c r="W532">
        <f t="shared" si="195"/>
        <v>6000</v>
      </c>
      <c r="X532">
        <f t="shared" si="196"/>
        <v>1.8621128341751756</v>
      </c>
      <c r="Y532">
        <f t="shared" si="197"/>
        <v>6.7117703995699003</v>
      </c>
      <c r="Z532">
        <f t="shared" si="198"/>
        <v>6000</v>
      </c>
      <c r="AA532">
        <f t="shared" si="199"/>
        <v>1.8621128341751756</v>
      </c>
      <c r="AB532">
        <f t="shared" si="200"/>
        <v>6.7117703995699003</v>
      </c>
      <c r="AC532">
        <f t="shared" si="201"/>
        <v>6000</v>
      </c>
      <c r="AD532">
        <f t="shared" si="202"/>
        <v>1.8621128341751756</v>
      </c>
      <c r="AE532">
        <f t="shared" si="203"/>
        <v>6.7117703995699003</v>
      </c>
      <c r="AF532">
        <f t="shared" si="204"/>
        <v>6000</v>
      </c>
      <c r="AG532">
        <f t="shared" si="205"/>
        <v>1.8621128341751756</v>
      </c>
      <c r="AH532">
        <f t="shared" si="206"/>
        <v>6.7117703995699003</v>
      </c>
      <c r="AI532" cm="1">
        <f t="array" ref="AI532">_xlfn.LET(
    _xlpm.vals,   _xlfn.HSTACK(S532,V532,Y532,AB532,AE532,AH532),
    _xlpm.ints,   _xlfn.HSTACK(R532,U532,X532,AA532,AD532,AG532),
    _xlpm.slopes, _xlfn.HSTACK(Q532,T532,W532,Z532,AC532,AF532),
    _xlpm.limit,  -0.00001*_xlpm.slopes + 0.1086*_xlpm.slopes + 63.253,
    _xlpm.mask,   (_xlpm.vals&gt;=0) * (_xlpm.ints&lt;=_xlpm.limit),
    _xlpm.validVals, _xlfn._xlws.FILTER(_xlpm.vals, _xlpm.mask),
    _xlpm.minVal, MIN(_xlpm.validVals),
    IFERROR( _xlfn.XMATCH(_xlpm.minVal, _xlpm.vals), "" )
)</f>
        <v>1</v>
      </c>
      <c r="AJ532" cm="1">
        <f t="array" ref="AJ532">_xlfn.LET(
    _xlpm.vals, CHOOSE({1,2,3,4,5,6}, S532, V532, Y532, AB532, AE532, AH532),
    _xlpm.slopes, CHOOSE({1,2,3,4,5,6}, Q532, T532, W532, Z532, AC532, AF532),
    _xlpm.ints, CHOOSE({1,2,3,4,5,6}, R532, U532, X532, AA532, AD532, AG532),
    _xlpm.limit, -0.00001*_xlpm.slopes + 0.1086*_xlpm.slopes + 63.253,
    _xlpm.valid, (_xlpm.vals &gt;= 0) * (_xlpm.ints &lt;= _xlpm.limit),
    _xlpm.target, MIN(_xlfn._xlws.FILTER(_xlpm.vals, _xlpm.valid)),
    IFERROR(
        _xlfn.XLOOKUP(_xlpm.target, _xlpm.vals, _xlpm.vals),
        CHOOSE({1,2,3,4,5,6}, S$1, V$1, Y$1, AB$1, AE$1, AH$1)
    )
)</f>
        <v>0.39112555561049189</v>
      </c>
    </row>
    <row r="533" spans="9:36" x14ac:dyDescent="0.45">
      <c r="I533">
        <v>531</v>
      </c>
      <c r="J533">
        <v>0</v>
      </c>
      <c r="K533">
        <f t="shared" si="185"/>
        <v>0</v>
      </c>
      <c r="L533">
        <f t="shared" si="184"/>
        <v>0</v>
      </c>
      <c r="M533">
        <v>0.44</v>
      </c>
      <c r="N533">
        <f t="shared" si="186"/>
        <v>0.44</v>
      </c>
      <c r="O533">
        <f t="shared" si="187"/>
        <v>0</v>
      </c>
      <c r="P533">
        <f t="shared" si="188"/>
        <v>0</v>
      </c>
      <c r="Q533">
        <f t="shared" si="189"/>
        <v>1000</v>
      </c>
      <c r="R533">
        <f t="shared" si="190"/>
        <v>4.2016904976260374</v>
      </c>
      <c r="S533">
        <f t="shared" si="191"/>
        <v>0.34494120057447636</v>
      </c>
      <c r="T533">
        <f t="shared" si="192"/>
        <v>6000</v>
      </c>
      <c r="U533">
        <f t="shared" si="193"/>
        <v>0.70028174960433953</v>
      </c>
      <c r="V533">
        <f t="shared" si="194"/>
        <v>6.7043165198543333</v>
      </c>
      <c r="W533">
        <f t="shared" si="195"/>
        <v>6000</v>
      </c>
      <c r="X533">
        <f t="shared" si="196"/>
        <v>0.70028174960433953</v>
      </c>
      <c r="Y533">
        <f t="shared" si="197"/>
        <v>6.7043165198543333</v>
      </c>
      <c r="Z533">
        <f t="shared" si="198"/>
        <v>6000</v>
      </c>
      <c r="AA533">
        <f t="shared" si="199"/>
        <v>0.70028174960433953</v>
      </c>
      <c r="AB533">
        <f t="shared" si="200"/>
        <v>6.7043165198543333</v>
      </c>
      <c r="AC533">
        <f t="shared" si="201"/>
        <v>6000</v>
      </c>
      <c r="AD533">
        <f t="shared" si="202"/>
        <v>0.70028174960433953</v>
      </c>
      <c r="AE533">
        <f t="shared" si="203"/>
        <v>6.7043165198543333</v>
      </c>
      <c r="AF533">
        <f t="shared" si="204"/>
        <v>6000</v>
      </c>
      <c r="AG533">
        <f t="shared" si="205"/>
        <v>0.70028174960433953</v>
      </c>
      <c r="AH533">
        <f t="shared" si="206"/>
        <v>6.7043165198543333</v>
      </c>
      <c r="AI533" cm="1">
        <f t="array" ref="AI533">_xlfn.LET(
    _xlpm.vals,   _xlfn.HSTACK(S533,V533,Y533,AB533,AE533,AH533),
    _xlpm.ints,   _xlfn.HSTACK(R533,U533,X533,AA533,AD533,AG533),
    _xlpm.slopes, _xlfn.HSTACK(Q533,T533,W533,Z533,AC533,AF533),
    _xlpm.limit,  -0.00001*_xlpm.slopes + 0.1086*_xlpm.slopes + 63.253,
    _xlpm.mask,   (_xlpm.vals&gt;=0) * (_xlpm.ints&lt;=_xlpm.limit),
    _xlpm.validVals, _xlfn._xlws.FILTER(_xlpm.vals, _xlpm.mask),
    _xlpm.minVal, MIN(_xlpm.validVals),
    IFERROR( _xlfn.XMATCH(_xlpm.minVal, _xlpm.vals), "" )
)</f>
        <v>1</v>
      </c>
      <c r="AJ533" cm="1">
        <f t="array" ref="AJ533">_xlfn.LET(
    _xlpm.vals, CHOOSE({1,2,3,4,5,6}, S533, V533, Y533, AB533, AE533, AH533),
    _xlpm.slopes, CHOOSE({1,2,3,4,5,6}, Q533, T533, W533, Z533, AC533, AF533),
    _xlpm.ints, CHOOSE({1,2,3,4,5,6}, R533, U533, X533, AA533, AD533, AG533),
    _xlpm.limit, -0.00001*_xlpm.slopes + 0.1086*_xlpm.slopes + 63.253,
    _xlpm.valid, (_xlpm.vals &gt;= 0) * (_xlpm.ints &lt;= _xlpm.limit),
    _xlpm.target, MIN(_xlfn._xlws.FILTER(_xlpm.vals, _xlpm.valid)),
    IFERROR(
        _xlfn.XLOOKUP(_xlpm.target, _xlpm.vals, _xlpm.vals),
        CHOOSE({1,2,3,4,5,6}, S$1, V$1, Y$1, AB$1, AE$1, AH$1)
    )
)</f>
        <v>0.34494120057447636</v>
      </c>
    </row>
    <row r="534" spans="9:36" x14ac:dyDescent="0.45">
      <c r="I534">
        <v>532</v>
      </c>
      <c r="J534">
        <v>0</v>
      </c>
      <c r="K534">
        <f t="shared" si="185"/>
        <v>0</v>
      </c>
      <c r="L534">
        <f t="shared" si="184"/>
        <v>0</v>
      </c>
      <c r="M534">
        <v>1.03</v>
      </c>
      <c r="N534">
        <f t="shared" si="186"/>
        <v>1.03</v>
      </c>
      <c r="O534">
        <f t="shared" si="187"/>
        <v>0</v>
      </c>
      <c r="P534">
        <f t="shared" si="188"/>
        <v>0</v>
      </c>
      <c r="Q534">
        <f t="shared" si="189"/>
        <v>1000</v>
      </c>
      <c r="R534">
        <f t="shared" si="190"/>
        <v>9.8357754830791322</v>
      </c>
      <c r="S534">
        <f t="shared" si="191"/>
        <v>0.3818392106947559</v>
      </c>
      <c r="T534">
        <f t="shared" si="192"/>
        <v>6000</v>
      </c>
      <c r="U534">
        <f t="shared" si="193"/>
        <v>1.639295913846522</v>
      </c>
      <c r="V534">
        <f t="shared" si="194"/>
        <v>6.7103061851388288</v>
      </c>
      <c r="W534">
        <f t="shared" si="195"/>
        <v>6000</v>
      </c>
      <c r="X534">
        <f t="shared" si="196"/>
        <v>1.639295913846522</v>
      </c>
      <c r="Y534">
        <f t="shared" si="197"/>
        <v>6.7103061851388288</v>
      </c>
      <c r="Z534">
        <f t="shared" si="198"/>
        <v>6000</v>
      </c>
      <c r="AA534">
        <f t="shared" si="199"/>
        <v>1.639295913846522</v>
      </c>
      <c r="AB534">
        <f t="shared" si="200"/>
        <v>6.7103061851388288</v>
      </c>
      <c r="AC534">
        <f t="shared" si="201"/>
        <v>6000</v>
      </c>
      <c r="AD534">
        <f t="shared" si="202"/>
        <v>1.639295913846522</v>
      </c>
      <c r="AE534">
        <f t="shared" si="203"/>
        <v>6.7103061851388288</v>
      </c>
      <c r="AF534">
        <f t="shared" si="204"/>
        <v>6000</v>
      </c>
      <c r="AG534">
        <f t="shared" si="205"/>
        <v>1.639295913846522</v>
      </c>
      <c r="AH534">
        <f t="shared" si="206"/>
        <v>6.7103061851388288</v>
      </c>
      <c r="AI534" cm="1">
        <f t="array" ref="AI534">_xlfn.LET(
    _xlpm.vals,   _xlfn.HSTACK(S534,V534,Y534,AB534,AE534,AH534),
    _xlpm.ints,   _xlfn.HSTACK(R534,U534,X534,AA534,AD534,AG534),
    _xlpm.slopes, _xlfn.HSTACK(Q534,T534,W534,Z534,AC534,AF534),
    _xlpm.limit,  -0.00001*_xlpm.slopes + 0.1086*_xlpm.slopes + 63.253,
    _xlpm.mask,   (_xlpm.vals&gt;=0) * (_xlpm.ints&lt;=_xlpm.limit),
    _xlpm.validVals, _xlfn._xlws.FILTER(_xlpm.vals, _xlpm.mask),
    _xlpm.minVal, MIN(_xlpm.validVals),
    IFERROR( _xlfn.XMATCH(_xlpm.minVal, _xlpm.vals), "" )
)</f>
        <v>1</v>
      </c>
      <c r="AJ534" cm="1">
        <f t="array" ref="AJ534">_xlfn.LET(
    _xlpm.vals, CHOOSE({1,2,3,4,5,6}, S534, V534, Y534, AB534, AE534, AH534),
    _xlpm.slopes, CHOOSE({1,2,3,4,5,6}, Q534, T534, W534, Z534, AC534, AF534),
    _xlpm.ints, CHOOSE({1,2,3,4,5,6}, R534, U534, X534, AA534, AD534, AG534),
    _xlpm.limit, -0.00001*_xlpm.slopes + 0.1086*_xlpm.slopes + 63.253,
    _xlpm.valid, (_xlpm.vals &gt;= 0) * (_xlpm.ints &lt;= _xlpm.limit),
    _xlpm.target, MIN(_xlfn._xlws.FILTER(_xlpm.vals, _xlpm.valid)),
    IFERROR(
        _xlfn.XLOOKUP(_xlpm.target, _xlpm.vals, _xlpm.vals),
        CHOOSE({1,2,3,4,5,6}, S$1, V$1, Y$1, AB$1, AE$1, AH$1)
    )
)</f>
        <v>0.3818392106947559</v>
      </c>
    </row>
    <row r="535" spans="9:36" x14ac:dyDescent="0.45">
      <c r="I535">
        <v>533</v>
      </c>
      <c r="J535">
        <v>0</v>
      </c>
      <c r="K535">
        <f t="shared" si="185"/>
        <v>0</v>
      </c>
      <c r="L535">
        <f t="shared" si="184"/>
        <v>0</v>
      </c>
      <c r="M535">
        <v>0.31</v>
      </c>
      <c r="N535">
        <f t="shared" si="186"/>
        <v>0.31</v>
      </c>
      <c r="O535">
        <f t="shared" si="187"/>
        <v>0</v>
      </c>
      <c r="P535">
        <f t="shared" si="188"/>
        <v>0</v>
      </c>
      <c r="Q535">
        <f t="shared" si="189"/>
        <v>1000</v>
      </c>
      <c r="R535">
        <f t="shared" si="190"/>
        <v>2.9602819415092534</v>
      </c>
      <c r="S535">
        <f t="shared" si="191"/>
        <v>0.33732171986522552</v>
      </c>
      <c r="T535">
        <f t="shared" si="192"/>
        <v>6000</v>
      </c>
      <c r="U535">
        <f t="shared" si="193"/>
        <v>0.49338032358487555</v>
      </c>
      <c r="V535">
        <f t="shared" si="194"/>
        <v>6.7030362007078299</v>
      </c>
      <c r="W535">
        <f t="shared" si="195"/>
        <v>6000</v>
      </c>
      <c r="X535">
        <f t="shared" si="196"/>
        <v>0.49338032358487555</v>
      </c>
      <c r="Y535">
        <f t="shared" si="197"/>
        <v>6.7030362007078299</v>
      </c>
      <c r="Z535">
        <f t="shared" si="198"/>
        <v>6000</v>
      </c>
      <c r="AA535">
        <f t="shared" si="199"/>
        <v>0.49338032358487555</v>
      </c>
      <c r="AB535">
        <f t="shared" si="200"/>
        <v>6.7030362007078299</v>
      </c>
      <c r="AC535">
        <f t="shared" si="201"/>
        <v>6000</v>
      </c>
      <c r="AD535">
        <f t="shared" si="202"/>
        <v>0.49338032358487555</v>
      </c>
      <c r="AE535">
        <f t="shared" si="203"/>
        <v>6.7030362007078299</v>
      </c>
      <c r="AF535">
        <f t="shared" si="204"/>
        <v>6000</v>
      </c>
      <c r="AG535">
        <f t="shared" si="205"/>
        <v>0.49338032358487555</v>
      </c>
      <c r="AH535">
        <f t="shared" si="206"/>
        <v>6.7030362007078299</v>
      </c>
      <c r="AI535" cm="1">
        <f t="array" ref="AI535">_xlfn.LET(
    _xlpm.vals,   _xlfn.HSTACK(S535,V535,Y535,AB535,AE535,AH535),
    _xlpm.ints,   _xlfn.HSTACK(R535,U535,X535,AA535,AD535,AG535),
    _xlpm.slopes, _xlfn.HSTACK(Q535,T535,W535,Z535,AC535,AF535),
    _xlpm.limit,  -0.00001*_xlpm.slopes + 0.1086*_xlpm.slopes + 63.253,
    _xlpm.mask,   (_xlpm.vals&gt;=0) * (_xlpm.ints&lt;=_xlpm.limit),
    _xlpm.validVals, _xlfn._xlws.FILTER(_xlpm.vals, _xlpm.mask),
    _xlpm.minVal, MIN(_xlpm.validVals),
    IFERROR( _xlfn.XMATCH(_xlpm.minVal, _xlpm.vals), "" )
)</f>
        <v>1</v>
      </c>
      <c r="AJ535" cm="1">
        <f t="array" ref="AJ535">_xlfn.LET(
    _xlpm.vals, CHOOSE({1,2,3,4,5,6}, S535, V535, Y535, AB535, AE535, AH535),
    _xlpm.slopes, CHOOSE({1,2,3,4,5,6}, Q535, T535, W535, Z535, AC535, AF535),
    _xlpm.ints, CHOOSE({1,2,3,4,5,6}, R535, U535, X535, AA535, AD535, AG535),
    _xlpm.limit, -0.00001*_xlpm.slopes + 0.1086*_xlpm.slopes + 63.253,
    _xlpm.valid, (_xlpm.vals &gt;= 0) * (_xlpm.ints &lt;= _xlpm.limit),
    _xlpm.target, MIN(_xlfn._xlws.FILTER(_xlpm.vals, _xlpm.valid)),
    IFERROR(
        _xlfn.XLOOKUP(_xlpm.target, _xlpm.vals, _xlpm.vals),
        CHOOSE({1,2,3,4,5,6}, S$1, V$1, Y$1, AB$1, AE$1, AH$1)
    )
)</f>
        <v>0.33732171986522552</v>
      </c>
    </row>
    <row r="536" spans="9:36" x14ac:dyDescent="0.45">
      <c r="I536">
        <v>534</v>
      </c>
      <c r="J536">
        <v>0</v>
      </c>
      <c r="K536">
        <f t="shared" si="185"/>
        <v>0</v>
      </c>
      <c r="L536">
        <f t="shared" si="184"/>
        <v>0</v>
      </c>
      <c r="M536">
        <v>0.83</v>
      </c>
      <c r="N536">
        <f t="shared" si="186"/>
        <v>0.83</v>
      </c>
      <c r="O536">
        <f t="shared" si="187"/>
        <v>0</v>
      </c>
      <c r="P536">
        <f t="shared" si="188"/>
        <v>0</v>
      </c>
      <c r="Q536">
        <f t="shared" si="189"/>
        <v>1000</v>
      </c>
      <c r="R536">
        <f t="shared" si="190"/>
        <v>7.9259161659763882</v>
      </c>
      <c r="S536">
        <f t="shared" si="191"/>
        <v>0.36891820290256278</v>
      </c>
      <c r="T536">
        <f t="shared" si="192"/>
        <v>6000</v>
      </c>
      <c r="U536">
        <f t="shared" si="193"/>
        <v>1.3209860276627314</v>
      </c>
      <c r="V536">
        <f t="shared" si="194"/>
        <v>6.7082429823185636</v>
      </c>
      <c r="W536">
        <f t="shared" si="195"/>
        <v>6000</v>
      </c>
      <c r="X536">
        <f t="shared" si="196"/>
        <v>1.3209860276627314</v>
      </c>
      <c r="Y536">
        <f t="shared" si="197"/>
        <v>6.7082429823185636</v>
      </c>
      <c r="Z536">
        <f t="shared" si="198"/>
        <v>6000</v>
      </c>
      <c r="AA536">
        <f t="shared" si="199"/>
        <v>1.3209860276627314</v>
      </c>
      <c r="AB536">
        <f t="shared" si="200"/>
        <v>6.7082429823185636</v>
      </c>
      <c r="AC536">
        <f t="shared" si="201"/>
        <v>6000</v>
      </c>
      <c r="AD536">
        <f t="shared" si="202"/>
        <v>1.3209860276627314</v>
      </c>
      <c r="AE536">
        <f t="shared" si="203"/>
        <v>6.7082429823185636</v>
      </c>
      <c r="AF536">
        <f t="shared" si="204"/>
        <v>6000</v>
      </c>
      <c r="AG536">
        <f t="shared" si="205"/>
        <v>1.3209860276627314</v>
      </c>
      <c r="AH536">
        <f t="shared" si="206"/>
        <v>6.7082429823185636</v>
      </c>
      <c r="AI536" cm="1">
        <f t="array" ref="AI536">_xlfn.LET(
    _xlpm.vals,   _xlfn.HSTACK(S536,V536,Y536,AB536,AE536,AH536),
    _xlpm.ints,   _xlfn.HSTACK(R536,U536,X536,AA536,AD536,AG536),
    _xlpm.slopes, _xlfn.HSTACK(Q536,T536,W536,Z536,AC536,AF536),
    _xlpm.limit,  -0.00001*_xlpm.slopes + 0.1086*_xlpm.slopes + 63.253,
    _xlpm.mask,   (_xlpm.vals&gt;=0) * (_xlpm.ints&lt;=_xlpm.limit),
    _xlpm.validVals, _xlfn._xlws.FILTER(_xlpm.vals, _xlpm.mask),
    _xlpm.minVal, MIN(_xlpm.validVals),
    IFERROR( _xlfn.XMATCH(_xlpm.minVal, _xlpm.vals), "" )
)</f>
        <v>1</v>
      </c>
      <c r="AJ536" cm="1">
        <f t="array" ref="AJ536">_xlfn.LET(
    _xlpm.vals, CHOOSE({1,2,3,4,5,6}, S536, V536, Y536, AB536, AE536, AH536),
    _xlpm.slopes, CHOOSE({1,2,3,4,5,6}, Q536, T536, W536, Z536, AC536, AF536),
    _xlpm.ints, CHOOSE({1,2,3,4,5,6}, R536, U536, X536, AA536, AD536, AG536),
    _xlpm.limit, -0.00001*_xlpm.slopes + 0.1086*_xlpm.slopes + 63.253,
    _xlpm.valid, (_xlpm.vals &gt;= 0) * (_xlpm.ints &lt;= _xlpm.limit),
    _xlpm.target, MIN(_xlfn._xlws.FILTER(_xlpm.vals, _xlpm.valid)),
    IFERROR(
        _xlfn.XLOOKUP(_xlpm.target, _xlpm.vals, _xlpm.vals),
        CHOOSE({1,2,3,4,5,6}, S$1, V$1, Y$1, AB$1, AE$1, AH$1)
    )
)</f>
        <v>0.36891820290256278</v>
      </c>
    </row>
    <row r="537" spans="9:36" x14ac:dyDescent="0.45">
      <c r="I537">
        <v>535</v>
      </c>
      <c r="J537">
        <v>0</v>
      </c>
      <c r="K537">
        <f t="shared" si="185"/>
        <v>0</v>
      </c>
      <c r="L537">
        <f t="shared" si="184"/>
        <v>0</v>
      </c>
      <c r="M537">
        <v>0.86</v>
      </c>
      <c r="N537">
        <f t="shared" si="186"/>
        <v>0.86</v>
      </c>
      <c r="O537">
        <f t="shared" si="187"/>
        <v>0</v>
      </c>
      <c r="P537">
        <f t="shared" si="188"/>
        <v>0</v>
      </c>
      <c r="Q537">
        <f t="shared" si="189"/>
        <v>1000</v>
      </c>
      <c r="R537">
        <f t="shared" si="190"/>
        <v>8.2123950635418002</v>
      </c>
      <c r="S537">
        <f t="shared" si="191"/>
        <v>0.37082998533300382</v>
      </c>
      <c r="T537">
        <f t="shared" si="192"/>
        <v>6000</v>
      </c>
      <c r="U537">
        <f t="shared" si="193"/>
        <v>1.3687325105902999</v>
      </c>
      <c r="V537">
        <f t="shared" si="194"/>
        <v>6.7085503206188601</v>
      </c>
      <c r="W537">
        <f t="shared" si="195"/>
        <v>6000</v>
      </c>
      <c r="X537">
        <f t="shared" si="196"/>
        <v>1.3687325105902999</v>
      </c>
      <c r="Y537">
        <f t="shared" si="197"/>
        <v>6.7085503206188601</v>
      </c>
      <c r="Z537">
        <f t="shared" si="198"/>
        <v>6000</v>
      </c>
      <c r="AA537">
        <f t="shared" si="199"/>
        <v>1.3687325105902999</v>
      </c>
      <c r="AB537">
        <f t="shared" si="200"/>
        <v>6.7085503206188601</v>
      </c>
      <c r="AC537">
        <f t="shared" si="201"/>
        <v>6000</v>
      </c>
      <c r="AD537">
        <f t="shared" si="202"/>
        <v>1.3687325105902999</v>
      </c>
      <c r="AE537">
        <f t="shared" si="203"/>
        <v>6.7085503206188601</v>
      </c>
      <c r="AF537">
        <f t="shared" si="204"/>
        <v>6000</v>
      </c>
      <c r="AG537">
        <f t="shared" si="205"/>
        <v>1.3687325105902999</v>
      </c>
      <c r="AH537">
        <f t="shared" si="206"/>
        <v>6.7085503206188601</v>
      </c>
      <c r="AI537" cm="1">
        <f t="array" ref="AI537">_xlfn.LET(
    _xlpm.vals,   _xlfn.HSTACK(S537,V537,Y537,AB537,AE537,AH537),
    _xlpm.ints,   _xlfn.HSTACK(R537,U537,X537,AA537,AD537,AG537),
    _xlpm.slopes, _xlfn.HSTACK(Q537,T537,W537,Z537,AC537,AF537),
    _xlpm.limit,  -0.00001*_xlpm.slopes + 0.1086*_xlpm.slopes + 63.253,
    _xlpm.mask,   (_xlpm.vals&gt;=0) * (_xlpm.ints&lt;=_xlpm.limit),
    _xlpm.validVals, _xlfn._xlws.FILTER(_xlpm.vals, _xlpm.mask),
    _xlpm.minVal, MIN(_xlpm.validVals),
    IFERROR( _xlfn.XMATCH(_xlpm.minVal, _xlpm.vals), "" )
)</f>
        <v>1</v>
      </c>
      <c r="AJ537" cm="1">
        <f t="array" ref="AJ537">_xlfn.LET(
    _xlpm.vals, CHOOSE({1,2,3,4,5,6}, S537, V537, Y537, AB537, AE537, AH537),
    _xlpm.slopes, CHOOSE({1,2,3,4,5,6}, Q537, T537, W537, Z537, AC537, AF537),
    _xlpm.ints, CHOOSE({1,2,3,4,5,6}, R537, U537, X537, AA537, AD537, AG537),
    _xlpm.limit, -0.00001*_xlpm.slopes + 0.1086*_xlpm.slopes + 63.253,
    _xlpm.valid, (_xlpm.vals &gt;= 0) * (_xlpm.ints &lt;= _xlpm.limit),
    _xlpm.target, MIN(_xlfn._xlws.FILTER(_xlpm.vals, _xlpm.valid)),
    IFERROR(
        _xlfn.XLOOKUP(_xlpm.target, _xlpm.vals, _xlpm.vals),
        CHOOSE({1,2,3,4,5,6}, S$1, V$1, Y$1, AB$1, AE$1, AH$1)
    )
)</f>
        <v>0.37082998533300382</v>
      </c>
    </row>
    <row r="538" spans="9:36" x14ac:dyDescent="0.45">
      <c r="I538">
        <v>536</v>
      </c>
      <c r="J538">
        <v>0</v>
      </c>
      <c r="K538">
        <f t="shared" si="185"/>
        <v>0</v>
      </c>
      <c r="L538">
        <f t="shared" si="184"/>
        <v>0</v>
      </c>
      <c r="M538">
        <v>0.69</v>
      </c>
      <c r="N538">
        <f t="shared" si="186"/>
        <v>0.69</v>
      </c>
      <c r="O538">
        <f t="shared" si="187"/>
        <v>0</v>
      </c>
      <c r="P538">
        <f t="shared" si="188"/>
        <v>0</v>
      </c>
      <c r="Q538">
        <f t="shared" si="189"/>
        <v>1000</v>
      </c>
      <c r="R538">
        <f t="shared" si="190"/>
        <v>6.5890146440044672</v>
      </c>
      <c r="S538">
        <f t="shared" si="191"/>
        <v>0.36012205628536287</v>
      </c>
      <c r="T538">
        <f t="shared" si="192"/>
        <v>6000</v>
      </c>
      <c r="U538">
        <f t="shared" si="193"/>
        <v>1.0981691073340778</v>
      </c>
      <c r="V538">
        <f t="shared" si="194"/>
        <v>6.7068187448354131</v>
      </c>
      <c r="W538">
        <f t="shared" si="195"/>
        <v>6000</v>
      </c>
      <c r="X538">
        <f t="shared" si="196"/>
        <v>1.0981691073340778</v>
      </c>
      <c r="Y538">
        <f t="shared" si="197"/>
        <v>6.7068187448354131</v>
      </c>
      <c r="Z538">
        <f t="shared" si="198"/>
        <v>6000</v>
      </c>
      <c r="AA538">
        <f t="shared" si="199"/>
        <v>1.0981691073340778</v>
      </c>
      <c r="AB538">
        <f t="shared" si="200"/>
        <v>6.7068187448354131</v>
      </c>
      <c r="AC538">
        <f t="shared" si="201"/>
        <v>6000</v>
      </c>
      <c r="AD538">
        <f t="shared" si="202"/>
        <v>1.0981691073340778</v>
      </c>
      <c r="AE538">
        <f t="shared" si="203"/>
        <v>6.7068187448354131</v>
      </c>
      <c r="AF538">
        <f t="shared" si="204"/>
        <v>6000</v>
      </c>
      <c r="AG538">
        <f t="shared" si="205"/>
        <v>1.0981691073340778</v>
      </c>
      <c r="AH538">
        <f t="shared" si="206"/>
        <v>6.7068187448354131</v>
      </c>
      <c r="AI538" cm="1">
        <f t="array" ref="AI538">_xlfn.LET(
    _xlpm.vals,   _xlfn.HSTACK(S538,V538,Y538,AB538,AE538,AH538),
    _xlpm.ints,   _xlfn.HSTACK(R538,U538,X538,AA538,AD538,AG538),
    _xlpm.slopes, _xlfn.HSTACK(Q538,T538,W538,Z538,AC538,AF538),
    _xlpm.limit,  -0.00001*_xlpm.slopes + 0.1086*_xlpm.slopes + 63.253,
    _xlpm.mask,   (_xlpm.vals&gt;=0) * (_xlpm.ints&lt;=_xlpm.limit),
    _xlpm.validVals, _xlfn._xlws.FILTER(_xlpm.vals, _xlpm.mask),
    _xlpm.minVal, MIN(_xlpm.validVals),
    IFERROR( _xlfn.XMATCH(_xlpm.minVal, _xlpm.vals), "" )
)</f>
        <v>1</v>
      </c>
      <c r="AJ538" cm="1">
        <f t="array" ref="AJ538">_xlfn.LET(
    _xlpm.vals, CHOOSE({1,2,3,4,5,6}, S538, V538, Y538, AB538, AE538, AH538),
    _xlpm.slopes, CHOOSE({1,2,3,4,5,6}, Q538, T538, W538, Z538, AC538, AF538),
    _xlpm.ints, CHOOSE({1,2,3,4,5,6}, R538, U538, X538, AA538, AD538, AG538),
    _xlpm.limit, -0.00001*_xlpm.slopes + 0.1086*_xlpm.slopes + 63.253,
    _xlpm.valid, (_xlpm.vals &gt;= 0) * (_xlpm.ints &lt;= _xlpm.limit),
    _xlpm.target, MIN(_xlfn._xlws.FILTER(_xlpm.vals, _xlpm.valid)),
    IFERROR(
        _xlfn.XLOOKUP(_xlpm.target, _xlpm.vals, _xlpm.vals),
        CHOOSE({1,2,3,4,5,6}, S$1, V$1, Y$1, AB$1, AE$1, AH$1)
    )
)</f>
        <v>0.36012205628536287</v>
      </c>
    </row>
    <row r="539" spans="9:36" x14ac:dyDescent="0.45">
      <c r="I539">
        <v>537</v>
      </c>
      <c r="J539">
        <v>0</v>
      </c>
      <c r="K539">
        <f t="shared" si="185"/>
        <v>0</v>
      </c>
      <c r="L539">
        <f t="shared" si="184"/>
        <v>0</v>
      </c>
      <c r="M539">
        <v>0.43</v>
      </c>
      <c r="N539">
        <f t="shared" si="186"/>
        <v>0.43</v>
      </c>
      <c r="O539">
        <f t="shared" si="187"/>
        <v>0</v>
      </c>
      <c r="P539">
        <f t="shared" si="188"/>
        <v>0</v>
      </c>
      <c r="Q539">
        <f t="shared" si="189"/>
        <v>1000</v>
      </c>
      <c r="R539">
        <f t="shared" si="190"/>
        <v>4.1061975317709001</v>
      </c>
      <c r="S539">
        <f t="shared" si="191"/>
        <v>0.3443483226093097</v>
      </c>
      <c r="T539">
        <f t="shared" si="192"/>
        <v>6000</v>
      </c>
      <c r="U539">
        <f t="shared" si="193"/>
        <v>0.68436625529514994</v>
      </c>
      <c r="V539">
        <f t="shared" si="194"/>
        <v>6.7042175271462616</v>
      </c>
      <c r="W539">
        <f t="shared" si="195"/>
        <v>6000</v>
      </c>
      <c r="X539">
        <f t="shared" si="196"/>
        <v>0.68436625529514994</v>
      </c>
      <c r="Y539">
        <f t="shared" si="197"/>
        <v>6.7042175271462616</v>
      </c>
      <c r="Z539">
        <f t="shared" si="198"/>
        <v>6000</v>
      </c>
      <c r="AA539">
        <f t="shared" si="199"/>
        <v>0.68436625529514994</v>
      </c>
      <c r="AB539">
        <f t="shared" si="200"/>
        <v>6.7042175271462616</v>
      </c>
      <c r="AC539">
        <f t="shared" si="201"/>
        <v>6000</v>
      </c>
      <c r="AD539">
        <f t="shared" si="202"/>
        <v>0.68436625529514994</v>
      </c>
      <c r="AE539">
        <f t="shared" si="203"/>
        <v>6.7042175271462616</v>
      </c>
      <c r="AF539">
        <f t="shared" si="204"/>
        <v>6000</v>
      </c>
      <c r="AG539">
        <f t="shared" si="205"/>
        <v>0.68436625529514994</v>
      </c>
      <c r="AH539">
        <f t="shared" si="206"/>
        <v>6.7042175271462616</v>
      </c>
      <c r="AI539" cm="1">
        <f t="array" ref="AI539">_xlfn.LET(
    _xlpm.vals,   _xlfn.HSTACK(S539,V539,Y539,AB539,AE539,AH539),
    _xlpm.ints,   _xlfn.HSTACK(R539,U539,X539,AA539,AD539,AG539),
    _xlpm.slopes, _xlfn.HSTACK(Q539,T539,W539,Z539,AC539,AF539),
    _xlpm.limit,  -0.00001*_xlpm.slopes + 0.1086*_xlpm.slopes + 63.253,
    _xlpm.mask,   (_xlpm.vals&gt;=0) * (_xlpm.ints&lt;=_xlpm.limit),
    _xlpm.validVals, _xlfn._xlws.FILTER(_xlpm.vals, _xlpm.mask),
    _xlpm.minVal, MIN(_xlpm.validVals),
    IFERROR( _xlfn.XMATCH(_xlpm.minVal, _xlpm.vals), "" )
)</f>
        <v>1</v>
      </c>
      <c r="AJ539" cm="1">
        <f t="array" ref="AJ539">_xlfn.LET(
    _xlpm.vals, CHOOSE({1,2,3,4,5,6}, S539, V539, Y539, AB539, AE539, AH539),
    _xlpm.slopes, CHOOSE({1,2,3,4,5,6}, Q539, T539, W539, Z539, AC539, AF539),
    _xlpm.ints, CHOOSE({1,2,3,4,5,6}, R539, U539, X539, AA539, AD539, AG539),
    _xlpm.limit, -0.00001*_xlpm.slopes + 0.1086*_xlpm.slopes + 63.253,
    _xlpm.valid, (_xlpm.vals &gt;= 0) * (_xlpm.ints &lt;= _xlpm.limit),
    _xlpm.target, MIN(_xlfn._xlws.FILTER(_xlpm.vals, _xlpm.valid)),
    IFERROR(
        _xlfn.XLOOKUP(_xlpm.target, _xlpm.vals, _xlpm.vals),
        CHOOSE({1,2,3,4,5,6}, S$1, V$1, Y$1, AB$1, AE$1, AH$1)
    )
)</f>
        <v>0.3443483226093097</v>
      </c>
    </row>
    <row r="540" spans="9:36" x14ac:dyDescent="0.45">
      <c r="I540">
        <v>538</v>
      </c>
      <c r="J540">
        <v>0</v>
      </c>
      <c r="K540">
        <f t="shared" si="185"/>
        <v>0</v>
      </c>
      <c r="L540">
        <f t="shared" si="184"/>
        <v>0</v>
      </c>
      <c r="M540">
        <v>0.78</v>
      </c>
      <c r="N540">
        <f t="shared" si="186"/>
        <v>0.78</v>
      </c>
      <c r="O540">
        <f t="shared" si="187"/>
        <v>0</v>
      </c>
      <c r="P540">
        <f t="shared" si="188"/>
        <v>0</v>
      </c>
      <c r="Q540">
        <f t="shared" si="189"/>
        <v>1000</v>
      </c>
      <c r="R540">
        <f t="shared" si="190"/>
        <v>7.4484513367007024</v>
      </c>
      <c r="S540">
        <f t="shared" si="191"/>
        <v>0.36575288305911274</v>
      </c>
      <c r="T540">
        <f t="shared" si="192"/>
        <v>6000</v>
      </c>
      <c r="U540">
        <f t="shared" si="193"/>
        <v>1.2414085561167836</v>
      </c>
      <c r="V540">
        <f t="shared" si="194"/>
        <v>6.7077324333163943</v>
      </c>
      <c r="W540">
        <f t="shared" si="195"/>
        <v>6000</v>
      </c>
      <c r="X540">
        <f t="shared" si="196"/>
        <v>1.2414085561167836</v>
      </c>
      <c r="Y540">
        <f t="shared" si="197"/>
        <v>6.7077324333163943</v>
      </c>
      <c r="Z540">
        <f t="shared" si="198"/>
        <v>6000</v>
      </c>
      <c r="AA540">
        <f t="shared" si="199"/>
        <v>1.2414085561167836</v>
      </c>
      <c r="AB540">
        <f t="shared" si="200"/>
        <v>6.7077324333163943</v>
      </c>
      <c r="AC540">
        <f t="shared" si="201"/>
        <v>6000</v>
      </c>
      <c r="AD540">
        <f t="shared" si="202"/>
        <v>1.2414085561167836</v>
      </c>
      <c r="AE540">
        <f t="shared" si="203"/>
        <v>6.7077324333163943</v>
      </c>
      <c r="AF540">
        <f t="shared" si="204"/>
        <v>6000</v>
      </c>
      <c r="AG540">
        <f t="shared" si="205"/>
        <v>1.2414085561167836</v>
      </c>
      <c r="AH540">
        <f t="shared" si="206"/>
        <v>6.7077324333163943</v>
      </c>
      <c r="AI540" cm="1">
        <f t="array" ref="AI540">_xlfn.LET(
    _xlpm.vals,   _xlfn.HSTACK(S540,V540,Y540,AB540,AE540,AH540),
    _xlpm.ints,   _xlfn.HSTACK(R540,U540,X540,AA540,AD540,AG540),
    _xlpm.slopes, _xlfn.HSTACK(Q540,T540,W540,Z540,AC540,AF540),
    _xlpm.limit,  -0.00001*_xlpm.slopes + 0.1086*_xlpm.slopes + 63.253,
    _xlpm.mask,   (_xlpm.vals&gt;=0) * (_xlpm.ints&lt;=_xlpm.limit),
    _xlpm.validVals, _xlfn._xlws.FILTER(_xlpm.vals, _xlpm.mask),
    _xlpm.minVal, MIN(_xlpm.validVals),
    IFERROR( _xlfn.XMATCH(_xlpm.minVal, _xlpm.vals), "" )
)</f>
        <v>1</v>
      </c>
      <c r="AJ540" cm="1">
        <f t="array" ref="AJ540">_xlfn.LET(
    _xlpm.vals, CHOOSE({1,2,3,4,5,6}, S540, V540, Y540, AB540, AE540, AH540),
    _xlpm.slopes, CHOOSE({1,2,3,4,5,6}, Q540, T540, W540, Z540, AC540, AF540),
    _xlpm.ints, CHOOSE({1,2,3,4,5,6}, R540, U540, X540, AA540, AD540, AG540),
    _xlpm.limit, -0.00001*_xlpm.slopes + 0.1086*_xlpm.slopes + 63.253,
    _xlpm.valid, (_xlpm.vals &gt;= 0) * (_xlpm.ints &lt;= _xlpm.limit),
    _xlpm.target, MIN(_xlfn._xlws.FILTER(_xlpm.vals, _xlpm.valid)),
    IFERROR(
        _xlfn.XLOOKUP(_xlpm.target, _xlpm.vals, _xlpm.vals),
        CHOOSE({1,2,3,4,5,6}, S$1, V$1, Y$1, AB$1, AE$1, AH$1)
    )
)</f>
        <v>0.36575288305911274</v>
      </c>
    </row>
    <row r="541" spans="9:36" x14ac:dyDescent="0.45">
      <c r="I541">
        <v>539</v>
      </c>
      <c r="J541">
        <v>0</v>
      </c>
      <c r="K541">
        <f t="shared" si="185"/>
        <v>0</v>
      </c>
      <c r="L541">
        <f t="shared" si="184"/>
        <v>0</v>
      </c>
      <c r="M541">
        <v>0.84</v>
      </c>
      <c r="N541">
        <f t="shared" si="186"/>
        <v>0.84</v>
      </c>
      <c r="O541">
        <f t="shared" si="187"/>
        <v>0</v>
      </c>
      <c r="P541">
        <f t="shared" si="188"/>
        <v>0</v>
      </c>
      <c r="Q541">
        <f t="shared" si="189"/>
        <v>1000</v>
      </c>
      <c r="R541">
        <f t="shared" si="190"/>
        <v>8.0214091318315255</v>
      </c>
      <c r="S541">
        <f t="shared" si="191"/>
        <v>0.36955441813647172</v>
      </c>
      <c r="T541">
        <f t="shared" si="192"/>
        <v>6000</v>
      </c>
      <c r="U541">
        <f t="shared" si="193"/>
        <v>1.3369015219719209</v>
      </c>
      <c r="V541">
        <f t="shared" si="194"/>
        <v>6.7083453443605716</v>
      </c>
      <c r="W541">
        <f t="shared" si="195"/>
        <v>6000</v>
      </c>
      <c r="X541">
        <f t="shared" si="196"/>
        <v>1.3369015219719209</v>
      </c>
      <c r="Y541">
        <f t="shared" si="197"/>
        <v>6.7083453443605716</v>
      </c>
      <c r="Z541">
        <f t="shared" si="198"/>
        <v>6000</v>
      </c>
      <c r="AA541">
        <f t="shared" si="199"/>
        <v>1.3369015219719209</v>
      </c>
      <c r="AB541">
        <f t="shared" si="200"/>
        <v>6.7083453443605716</v>
      </c>
      <c r="AC541">
        <f t="shared" si="201"/>
        <v>6000</v>
      </c>
      <c r="AD541">
        <f t="shared" si="202"/>
        <v>1.3369015219719209</v>
      </c>
      <c r="AE541">
        <f t="shared" si="203"/>
        <v>6.7083453443605716</v>
      </c>
      <c r="AF541">
        <f t="shared" si="204"/>
        <v>6000</v>
      </c>
      <c r="AG541">
        <f t="shared" si="205"/>
        <v>1.3369015219719209</v>
      </c>
      <c r="AH541">
        <f t="shared" si="206"/>
        <v>6.7083453443605716</v>
      </c>
      <c r="AI541" cm="1">
        <f t="array" ref="AI541">_xlfn.LET(
    _xlpm.vals,   _xlfn.HSTACK(S541,V541,Y541,AB541,AE541,AH541),
    _xlpm.ints,   _xlfn.HSTACK(R541,U541,X541,AA541,AD541,AG541),
    _xlpm.slopes, _xlfn.HSTACK(Q541,T541,W541,Z541,AC541,AF541),
    _xlpm.limit,  -0.00001*_xlpm.slopes + 0.1086*_xlpm.slopes + 63.253,
    _xlpm.mask,   (_xlpm.vals&gt;=0) * (_xlpm.ints&lt;=_xlpm.limit),
    _xlpm.validVals, _xlfn._xlws.FILTER(_xlpm.vals, _xlpm.mask),
    _xlpm.minVal, MIN(_xlpm.validVals),
    IFERROR( _xlfn.XMATCH(_xlpm.minVal, _xlpm.vals), "" )
)</f>
        <v>1</v>
      </c>
      <c r="AJ541" cm="1">
        <f t="array" ref="AJ541">_xlfn.LET(
    _xlpm.vals, CHOOSE({1,2,3,4,5,6}, S541, V541, Y541, AB541, AE541, AH541),
    _xlpm.slopes, CHOOSE({1,2,3,4,5,6}, Q541, T541, W541, Z541, AC541, AF541),
    _xlpm.ints, CHOOSE({1,2,3,4,5,6}, R541, U541, X541, AA541, AD541, AG541),
    _xlpm.limit, -0.00001*_xlpm.slopes + 0.1086*_xlpm.slopes + 63.253,
    _xlpm.valid, (_xlpm.vals &gt;= 0) * (_xlpm.ints &lt;= _xlpm.limit),
    _xlpm.target, MIN(_xlfn._xlws.FILTER(_xlpm.vals, _xlpm.valid)),
    IFERROR(
        _xlfn.XLOOKUP(_xlpm.target, _xlpm.vals, _xlpm.vals),
        CHOOSE({1,2,3,4,5,6}, S$1, V$1, Y$1, AB$1, AE$1, AH$1)
    )
)</f>
        <v>0.36955441813647172</v>
      </c>
    </row>
    <row r="542" spans="9:36" x14ac:dyDescent="0.45">
      <c r="I542">
        <v>540</v>
      </c>
      <c r="J542">
        <v>0</v>
      </c>
      <c r="K542">
        <f t="shared" si="185"/>
        <v>0</v>
      </c>
      <c r="L542">
        <f t="shared" si="184"/>
        <v>0</v>
      </c>
      <c r="M542">
        <v>0.36</v>
      </c>
      <c r="N542">
        <f t="shared" si="186"/>
        <v>0.36</v>
      </c>
      <c r="O542">
        <f t="shared" si="187"/>
        <v>0</v>
      </c>
      <c r="P542">
        <f t="shared" si="188"/>
        <v>0</v>
      </c>
      <c r="Q542">
        <f t="shared" si="189"/>
        <v>1000</v>
      </c>
      <c r="R542">
        <f t="shared" si="190"/>
        <v>3.4377467707849396</v>
      </c>
      <c r="S542">
        <f t="shared" si="191"/>
        <v>0.34022965769099051</v>
      </c>
      <c r="T542">
        <f t="shared" si="192"/>
        <v>6000</v>
      </c>
      <c r="U542">
        <f t="shared" si="193"/>
        <v>0.57295779513082323</v>
      </c>
      <c r="V542">
        <f t="shared" si="194"/>
        <v>6.7035269420232897</v>
      </c>
      <c r="W542">
        <f t="shared" si="195"/>
        <v>6000</v>
      </c>
      <c r="X542">
        <f t="shared" si="196"/>
        <v>0.57295779513082323</v>
      </c>
      <c r="Y542">
        <f t="shared" si="197"/>
        <v>6.7035269420232897</v>
      </c>
      <c r="Z542">
        <f t="shared" si="198"/>
        <v>6000</v>
      </c>
      <c r="AA542">
        <f t="shared" si="199"/>
        <v>0.57295779513082323</v>
      </c>
      <c r="AB542">
        <f t="shared" si="200"/>
        <v>6.7035269420232897</v>
      </c>
      <c r="AC542">
        <f t="shared" si="201"/>
        <v>6000</v>
      </c>
      <c r="AD542">
        <f t="shared" si="202"/>
        <v>0.57295779513082323</v>
      </c>
      <c r="AE542">
        <f t="shared" si="203"/>
        <v>6.7035269420232897</v>
      </c>
      <c r="AF542">
        <f t="shared" si="204"/>
        <v>6000</v>
      </c>
      <c r="AG542">
        <f t="shared" si="205"/>
        <v>0.57295779513082323</v>
      </c>
      <c r="AH542">
        <f t="shared" si="206"/>
        <v>6.7035269420232897</v>
      </c>
      <c r="AI542" cm="1">
        <f t="array" ref="AI542">_xlfn.LET(
    _xlpm.vals,   _xlfn.HSTACK(S542,V542,Y542,AB542,AE542,AH542),
    _xlpm.ints,   _xlfn.HSTACK(R542,U542,X542,AA542,AD542,AG542),
    _xlpm.slopes, _xlfn.HSTACK(Q542,T542,W542,Z542,AC542,AF542),
    _xlpm.limit,  -0.00001*_xlpm.slopes + 0.1086*_xlpm.slopes + 63.253,
    _xlpm.mask,   (_xlpm.vals&gt;=0) * (_xlpm.ints&lt;=_xlpm.limit),
    _xlpm.validVals, _xlfn._xlws.FILTER(_xlpm.vals, _xlpm.mask),
    _xlpm.minVal, MIN(_xlpm.validVals),
    IFERROR( _xlfn.XMATCH(_xlpm.minVal, _xlpm.vals), "" )
)</f>
        <v>1</v>
      </c>
      <c r="AJ542" cm="1">
        <f t="array" ref="AJ542">_xlfn.LET(
    _xlpm.vals, CHOOSE({1,2,3,4,5,6}, S542, V542, Y542, AB542, AE542, AH542),
    _xlpm.slopes, CHOOSE({1,2,3,4,5,6}, Q542, T542, W542, Z542, AC542, AF542),
    _xlpm.ints, CHOOSE({1,2,3,4,5,6}, R542, U542, X542, AA542, AD542, AG542),
    _xlpm.limit, -0.00001*_xlpm.slopes + 0.1086*_xlpm.slopes + 63.253,
    _xlpm.valid, (_xlpm.vals &gt;= 0) * (_xlpm.ints &lt;= _xlpm.limit),
    _xlpm.target, MIN(_xlfn._xlws.FILTER(_xlpm.vals, _xlpm.valid)),
    IFERROR(
        _xlfn.XLOOKUP(_xlpm.target, _xlpm.vals, _xlpm.vals),
        CHOOSE({1,2,3,4,5,6}, S$1, V$1, Y$1, AB$1, AE$1, AH$1)
    )
)</f>
        <v>0.34022965769099051</v>
      </c>
    </row>
    <row r="543" spans="9:36" x14ac:dyDescent="0.45">
      <c r="I543">
        <v>541</v>
      </c>
      <c r="J543">
        <v>0</v>
      </c>
      <c r="K543">
        <f t="shared" si="185"/>
        <v>0</v>
      </c>
      <c r="L543">
        <f t="shared" si="184"/>
        <v>0</v>
      </c>
      <c r="M543">
        <v>0.42</v>
      </c>
      <c r="N543">
        <f t="shared" si="186"/>
        <v>0.42</v>
      </c>
      <c r="O543">
        <f t="shared" si="187"/>
        <v>0</v>
      </c>
      <c r="P543">
        <f t="shared" si="188"/>
        <v>0</v>
      </c>
      <c r="Q543">
        <f t="shared" si="189"/>
        <v>1000</v>
      </c>
      <c r="R543">
        <f t="shared" si="190"/>
        <v>4.0107045659157627</v>
      </c>
      <c r="S543">
        <f t="shared" si="191"/>
        <v>0.3437565653256543</v>
      </c>
      <c r="T543">
        <f t="shared" si="192"/>
        <v>6000</v>
      </c>
      <c r="U543">
        <f t="shared" si="193"/>
        <v>0.66845076098596046</v>
      </c>
      <c r="V543">
        <f t="shared" si="194"/>
        <v>6.7041186188439923</v>
      </c>
      <c r="W543">
        <f t="shared" si="195"/>
        <v>6000</v>
      </c>
      <c r="X543">
        <f t="shared" si="196"/>
        <v>0.66845076098596046</v>
      </c>
      <c r="Y543">
        <f t="shared" si="197"/>
        <v>6.7041186188439923</v>
      </c>
      <c r="Z543">
        <f t="shared" si="198"/>
        <v>6000</v>
      </c>
      <c r="AA543">
        <f t="shared" si="199"/>
        <v>0.66845076098596046</v>
      </c>
      <c r="AB543">
        <f t="shared" si="200"/>
        <v>6.7041186188439923</v>
      </c>
      <c r="AC543">
        <f t="shared" si="201"/>
        <v>6000</v>
      </c>
      <c r="AD543">
        <f t="shared" si="202"/>
        <v>0.66845076098596046</v>
      </c>
      <c r="AE543">
        <f t="shared" si="203"/>
        <v>6.7041186188439923</v>
      </c>
      <c r="AF543">
        <f t="shared" si="204"/>
        <v>6000</v>
      </c>
      <c r="AG543">
        <f t="shared" si="205"/>
        <v>0.66845076098596046</v>
      </c>
      <c r="AH543">
        <f t="shared" si="206"/>
        <v>6.7041186188439923</v>
      </c>
      <c r="AI543" cm="1">
        <f t="array" ref="AI543">_xlfn.LET(
    _xlpm.vals,   _xlfn.HSTACK(S543,V543,Y543,AB543,AE543,AH543),
    _xlpm.ints,   _xlfn.HSTACK(R543,U543,X543,AA543,AD543,AG543),
    _xlpm.slopes, _xlfn.HSTACK(Q543,T543,W543,Z543,AC543,AF543),
    _xlpm.limit,  -0.00001*_xlpm.slopes + 0.1086*_xlpm.slopes + 63.253,
    _xlpm.mask,   (_xlpm.vals&gt;=0) * (_xlpm.ints&lt;=_xlpm.limit),
    _xlpm.validVals, _xlfn._xlws.FILTER(_xlpm.vals, _xlpm.mask),
    _xlpm.minVal, MIN(_xlpm.validVals),
    IFERROR( _xlfn.XMATCH(_xlpm.minVal, _xlpm.vals), "" )
)</f>
        <v>1</v>
      </c>
      <c r="AJ543" cm="1">
        <f t="array" ref="AJ543">_xlfn.LET(
    _xlpm.vals, CHOOSE({1,2,3,4,5,6}, S543, V543, Y543, AB543, AE543, AH543),
    _xlpm.slopes, CHOOSE({1,2,3,4,5,6}, Q543, T543, W543, Z543, AC543, AF543),
    _xlpm.ints, CHOOSE({1,2,3,4,5,6}, R543, U543, X543, AA543, AD543, AG543),
    _xlpm.limit, -0.00001*_xlpm.slopes + 0.1086*_xlpm.slopes + 63.253,
    _xlpm.valid, (_xlpm.vals &gt;= 0) * (_xlpm.ints &lt;= _xlpm.limit),
    _xlpm.target, MIN(_xlfn._xlws.FILTER(_xlpm.vals, _xlpm.valid)),
    IFERROR(
        _xlfn.XLOOKUP(_xlpm.target, _xlpm.vals, _xlpm.vals),
        CHOOSE({1,2,3,4,5,6}, S$1, V$1, Y$1, AB$1, AE$1, AH$1)
    )
)</f>
        <v>0.3437565653256543</v>
      </c>
    </row>
    <row r="544" spans="9:36" x14ac:dyDescent="0.45">
      <c r="I544">
        <v>542</v>
      </c>
      <c r="J544">
        <v>0</v>
      </c>
      <c r="K544">
        <f t="shared" si="185"/>
        <v>0</v>
      </c>
      <c r="L544">
        <f t="shared" si="184"/>
        <v>0</v>
      </c>
      <c r="M544">
        <v>0.37</v>
      </c>
      <c r="N544">
        <f t="shared" si="186"/>
        <v>0.37</v>
      </c>
      <c r="O544">
        <f t="shared" si="187"/>
        <v>0</v>
      </c>
      <c r="P544">
        <f t="shared" si="188"/>
        <v>0</v>
      </c>
      <c r="Q544">
        <f t="shared" si="189"/>
        <v>1000</v>
      </c>
      <c r="R544">
        <f t="shared" si="190"/>
        <v>3.533239736640077</v>
      </c>
      <c r="S544">
        <f t="shared" si="191"/>
        <v>0.34081465272725381</v>
      </c>
      <c r="T544">
        <f t="shared" si="192"/>
        <v>6000</v>
      </c>
      <c r="U544">
        <f t="shared" si="193"/>
        <v>0.58887328944001283</v>
      </c>
      <c r="V544">
        <f t="shared" si="194"/>
        <v>6.7036253437140934</v>
      </c>
      <c r="W544">
        <f t="shared" si="195"/>
        <v>6000</v>
      </c>
      <c r="X544">
        <f t="shared" si="196"/>
        <v>0.58887328944001283</v>
      </c>
      <c r="Y544">
        <f t="shared" si="197"/>
        <v>6.7036253437140934</v>
      </c>
      <c r="Z544">
        <f t="shared" si="198"/>
        <v>6000</v>
      </c>
      <c r="AA544">
        <f t="shared" si="199"/>
        <v>0.58887328944001283</v>
      </c>
      <c r="AB544">
        <f t="shared" si="200"/>
        <v>6.7036253437140934</v>
      </c>
      <c r="AC544">
        <f t="shared" si="201"/>
        <v>6000</v>
      </c>
      <c r="AD544">
        <f t="shared" si="202"/>
        <v>0.58887328944001283</v>
      </c>
      <c r="AE544">
        <f t="shared" si="203"/>
        <v>6.7036253437140934</v>
      </c>
      <c r="AF544">
        <f t="shared" si="204"/>
        <v>6000</v>
      </c>
      <c r="AG544">
        <f t="shared" si="205"/>
        <v>0.58887328944001283</v>
      </c>
      <c r="AH544">
        <f t="shared" si="206"/>
        <v>6.7036253437140934</v>
      </c>
      <c r="AI544" cm="1">
        <f t="array" ref="AI544">_xlfn.LET(
    _xlpm.vals,   _xlfn.HSTACK(S544,V544,Y544,AB544,AE544,AH544),
    _xlpm.ints,   _xlfn.HSTACK(R544,U544,X544,AA544,AD544,AG544),
    _xlpm.slopes, _xlfn.HSTACK(Q544,T544,W544,Z544,AC544,AF544),
    _xlpm.limit,  -0.00001*_xlpm.slopes + 0.1086*_xlpm.slopes + 63.253,
    _xlpm.mask,   (_xlpm.vals&gt;=0) * (_xlpm.ints&lt;=_xlpm.limit),
    _xlpm.validVals, _xlfn._xlws.FILTER(_xlpm.vals, _xlpm.mask),
    _xlpm.minVal, MIN(_xlpm.validVals),
    IFERROR( _xlfn.XMATCH(_xlpm.minVal, _xlpm.vals), "" )
)</f>
        <v>1</v>
      </c>
      <c r="AJ544" cm="1">
        <f t="array" ref="AJ544">_xlfn.LET(
    _xlpm.vals, CHOOSE({1,2,3,4,5,6}, S544, V544, Y544, AB544, AE544, AH544),
    _xlpm.slopes, CHOOSE({1,2,3,4,5,6}, Q544, T544, W544, Z544, AC544, AF544),
    _xlpm.ints, CHOOSE({1,2,3,4,5,6}, R544, U544, X544, AA544, AD544, AG544),
    _xlpm.limit, -0.00001*_xlpm.slopes + 0.1086*_xlpm.slopes + 63.253,
    _xlpm.valid, (_xlpm.vals &gt;= 0) * (_xlpm.ints &lt;= _xlpm.limit),
    _xlpm.target, MIN(_xlfn._xlws.FILTER(_xlpm.vals, _xlpm.valid)),
    IFERROR(
        _xlfn.XLOOKUP(_xlpm.target, _xlpm.vals, _xlpm.vals),
        CHOOSE({1,2,3,4,5,6}, S$1, V$1, Y$1, AB$1, AE$1, AH$1)
    )
)</f>
        <v>0.34081465272725381</v>
      </c>
    </row>
    <row r="545" spans="9:36" x14ac:dyDescent="0.45">
      <c r="I545">
        <v>543</v>
      </c>
      <c r="J545">
        <v>0.6</v>
      </c>
      <c r="K545">
        <f t="shared" si="185"/>
        <v>0.6</v>
      </c>
      <c r="L545">
        <f t="shared" si="184"/>
        <v>1.6666666666666666E-4</v>
      </c>
      <c r="M545">
        <v>0.59</v>
      </c>
      <c r="N545">
        <f t="shared" si="186"/>
        <v>0.59</v>
      </c>
      <c r="O545">
        <f t="shared" si="187"/>
        <v>7.797109672306946</v>
      </c>
      <c r="P545">
        <f t="shared" si="188"/>
        <v>24.950750951382229</v>
      </c>
      <c r="Q545">
        <f t="shared" si="189"/>
        <v>1000</v>
      </c>
      <c r="R545">
        <f t="shared" si="190"/>
        <v>5.6340849854530957</v>
      </c>
      <c r="S545">
        <f t="shared" si="191"/>
        <v>0.3539676162304512</v>
      </c>
      <c r="T545">
        <f t="shared" si="192"/>
        <v>6000</v>
      </c>
      <c r="U545">
        <f t="shared" si="193"/>
        <v>0.93901416424218254</v>
      </c>
      <c r="V545">
        <f t="shared" si="194"/>
        <v>6.7058115334511479</v>
      </c>
      <c r="W545">
        <f t="shared" si="195"/>
        <v>6000</v>
      </c>
      <c r="X545">
        <f t="shared" si="196"/>
        <v>0.93901416424218254</v>
      </c>
      <c r="Y545">
        <f t="shared" si="197"/>
        <v>6.7058115334511479</v>
      </c>
      <c r="Z545">
        <f t="shared" si="198"/>
        <v>6000</v>
      </c>
      <c r="AA545">
        <f t="shared" si="199"/>
        <v>0.93901416424218254</v>
      </c>
      <c r="AB545">
        <f t="shared" si="200"/>
        <v>6.7058115334511479</v>
      </c>
      <c r="AC545">
        <f t="shared" si="201"/>
        <v>6000</v>
      </c>
      <c r="AD545">
        <f t="shared" si="202"/>
        <v>0.93901416424218254</v>
      </c>
      <c r="AE545">
        <f t="shared" si="203"/>
        <v>6.7058115334511479</v>
      </c>
      <c r="AF545">
        <f t="shared" si="204"/>
        <v>6000</v>
      </c>
      <c r="AG545">
        <f t="shared" si="205"/>
        <v>0.93901416424218254</v>
      </c>
      <c r="AH545">
        <f t="shared" si="206"/>
        <v>6.7058115334511479</v>
      </c>
      <c r="AI545" cm="1">
        <f t="array" ref="AI545">_xlfn.LET(
    _xlpm.vals,   _xlfn.HSTACK(S545,V545,Y545,AB545,AE545,AH545),
    _xlpm.ints,   _xlfn.HSTACK(R545,U545,X545,AA545,AD545,AG545),
    _xlpm.slopes, _xlfn.HSTACK(Q545,T545,W545,Z545,AC545,AF545),
    _xlpm.limit,  -0.00001*_xlpm.slopes + 0.1086*_xlpm.slopes + 63.253,
    _xlpm.mask,   (_xlpm.vals&gt;=0) * (_xlpm.ints&lt;=_xlpm.limit),
    _xlpm.validVals, _xlfn._xlws.FILTER(_xlpm.vals, _xlpm.mask),
    _xlpm.minVal, MIN(_xlpm.validVals),
    IFERROR( _xlfn.XMATCH(_xlpm.minVal, _xlpm.vals), "" )
)</f>
        <v>1</v>
      </c>
      <c r="AJ545" cm="1">
        <f t="array" ref="AJ545">_xlfn.LET(
    _xlpm.vals, CHOOSE({1,2,3,4,5,6}, S545, V545, Y545, AB545, AE545, AH545),
    _xlpm.slopes, CHOOSE({1,2,3,4,5,6}, Q545, T545, W545, Z545, AC545, AF545),
    _xlpm.ints, CHOOSE({1,2,3,4,5,6}, R545, U545, X545, AA545, AD545, AG545),
    _xlpm.limit, -0.00001*_xlpm.slopes + 0.1086*_xlpm.slopes + 63.253,
    _xlpm.valid, (_xlpm.vals &gt;= 0) * (_xlpm.ints &lt;= _xlpm.limit),
    _xlpm.target, MIN(_xlfn._xlws.FILTER(_xlpm.vals, _xlpm.valid)),
    IFERROR(
        _xlfn.XLOOKUP(_xlpm.target, _xlpm.vals, _xlpm.vals),
        CHOOSE({1,2,3,4,5,6}, S$1, V$1, Y$1, AB$1, AE$1, AH$1)
    )
)</f>
        <v>0.3539676162304512</v>
      </c>
    </row>
    <row r="546" spans="9:36" x14ac:dyDescent="0.45">
      <c r="I546">
        <v>544</v>
      </c>
      <c r="J546">
        <v>3.5</v>
      </c>
      <c r="K546">
        <f t="shared" si="185"/>
        <v>3.5</v>
      </c>
      <c r="L546">
        <f t="shared" si="184"/>
        <v>9.7222222222222219E-4</v>
      </c>
      <c r="M546">
        <v>6.35</v>
      </c>
      <c r="N546">
        <f t="shared" si="186"/>
        <v>6.35</v>
      </c>
      <c r="O546">
        <f t="shared" si="187"/>
        <v>45.483139755123858</v>
      </c>
      <c r="P546">
        <f t="shared" si="188"/>
        <v>145.54604721639635</v>
      </c>
      <c r="Q546">
        <f t="shared" si="189"/>
        <v>1000</v>
      </c>
      <c r="R546">
        <f t="shared" si="190"/>
        <v>60.638033318012127</v>
      </c>
      <c r="S546">
        <f t="shared" si="191"/>
        <v>0.82854736620520575</v>
      </c>
      <c r="T546">
        <f t="shared" si="192"/>
        <v>6000</v>
      </c>
      <c r="U546">
        <f t="shared" si="193"/>
        <v>10.106338886335354</v>
      </c>
      <c r="V546">
        <f t="shared" si="194"/>
        <v>6.7772959334964309</v>
      </c>
      <c r="W546">
        <f t="shared" si="195"/>
        <v>6000</v>
      </c>
      <c r="X546">
        <f t="shared" si="196"/>
        <v>10.106338886335354</v>
      </c>
      <c r="Y546">
        <f t="shared" si="197"/>
        <v>6.7772959334964309</v>
      </c>
      <c r="Z546">
        <f t="shared" si="198"/>
        <v>6000</v>
      </c>
      <c r="AA546">
        <f t="shared" si="199"/>
        <v>10.106338886335354</v>
      </c>
      <c r="AB546">
        <f t="shared" si="200"/>
        <v>6.7772959334964309</v>
      </c>
      <c r="AC546">
        <f t="shared" si="201"/>
        <v>6000</v>
      </c>
      <c r="AD546">
        <f t="shared" si="202"/>
        <v>10.106338886335354</v>
      </c>
      <c r="AE546">
        <f t="shared" si="203"/>
        <v>6.7772959334964309</v>
      </c>
      <c r="AF546">
        <f t="shared" si="204"/>
        <v>6000</v>
      </c>
      <c r="AG546">
        <f t="shared" si="205"/>
        <v>10.106338886335354</v>
      </c>
      <c r="AH546">
        <f t="shared" si="206"/>
        <v>6.7772959334964309</v>
      </c>
      <c r="AI546" cm="1">
        <f t="array" ref="AI546">_xlfn.LET(
    _xlpm.vals,   _xlfn.HSTACK(S546,V546,Y546,AB546,AE546,AH546),
    _xlpm.ints,   _xlfn.HSTACK(R546,U546,X546,AA546,AD546,AG546),
    _xlpm.slopes, _xlfn.HSTACK(Q546,T546,W546,Z546,AC546,AF546),
    _xlpm.limit,  -0.00001*_xlpm.slopes + 0.1086*_xlpm.slopes + 63.253,
    _xlpm.mask,   (_xlpm.vals&gt;=0) * (_xlpm.ints&lt;=_xlpm.limit),
    _xlpm.validVals, _xlfn._xlws.FILTER(_xlpm.vals, _xlpm.mask),
    _xlpm.minVal, MIN(_xlpm.validVals),
    IFERROR( _xlfn.XMATCH(_xlpm.minVal, _xlpm.vals), "" )
)</f>
        <v>1</v>
      </c>
      <c r="AJ546" cm="1">
        <f t="array" ref="AJ546">_xlfn.LET(
    _xlpm.vals, CHOOSE({1,2,3,4,5,6}, S546, V546, Y546, AB546, AE546, AH546),
    _xlpm.slopes, CHOOSE({1,2,3,4,5,6}, Q546, T546, W546, Z546, AC546, AF546),
    _xlpm.ints, CHOOSE({1,2,3,4,5,6}, R546, U546, X546, AA546, AD546, AG546),
    _xlpm.limit, -0.00001*_xlpm.slopes + 0.1086*_xlpm.slopes + 63.253,
    _xlpm.valid, (_xlpm.vals &gt;= 0) * (_xlpm.ints &lt;= _xlpm.limit),
    _xlpm.target, MIN(_xlfn._xlws.FILTER(_xlpm.vals, _xlpm.valid)),
    IFERROR(
        _xlfn.XLOOKUP(_xlpm.target, _xlpm.vals, _xlpm.vals),
        CHOOSE({1,2,3,4,5,6}, S$1, V$1, Y$1, AB$1, AE$1, AH$1)
    )
)</f>
        <v>0.82854736620520575</v>
      </c>
    </row>
    <row r="547" spans="9:36" x14ac:dyDescent="0.45">
      <c r="I547">
        <v>545</v>
      </c>
      <c r="J547">
        <v>6.8</v>
      </c>
      <c r="K547">
        <f t="shared" si="185"/>
        <v>6.8</v>
      </c>
      <c r="L547">
        <f t="shared" si="184"/>
        <v>1.8888888888888887E-3</v>
      </c>
      <c r="M547">
        <v>9.1</v>
      </c>
      <c r="N547">
        <f t="shared" si="186"/>
        <v>9.1</v>
      </c>
      <c r="O547">
        <f t="shared" si="187"/>
        <v>88.367242952812063</v>
      </c>
      <c r="P547">
        <f t="shared" si="188"/>
        <v>282.77517744899859</v>
      </c>
      <c r="Q547">
        <f t="shared" si="189"/>
        <v>1295.1103127164135</v>
      </c>
      <c r="R547">
        <f t="shared" si="190"/>
        <v>67.097449595556412</v>
      </c>
      <c r="S547">
        <f t="shared" si="191"/>
        <v>1.0979334072695015</v>
      </c>
      <c r="T547">
        <f t="shared" si="192"/>
        <v>6000</v>
      </c>
      <c r="U547">
        <f t="shared" si="193"/>
        <v>14.483099821362476</v>
      </c>
      <c r="V547">
        <f t="shared" si="194"/>
        <v>6.8208173332056754</v>
      </c>
      <c r="W547">
        <f t="shared" si="195"/>
        <v>6000</v>
      </c>
      <c r="X547">
        <f t="shared" si="196"/>
        <v>14.483099821362476</v>
      </c>
      <c r="Y547">
        <f t="shared" si="197"/>
        <v>6.8208173332056754</v>
      </c>
      <c r="Z547">
        <f t="shared" si="198"/>
        <v>6000</v>
      </c>
      <c r="AA547">
        <f t="shared" si="199"/>
        <v>14.483099821362476</v>
      </c>
      <c r="AB547">
        <f t="shared" si="200"/>
        <v>6.8208173332056754</v>
      </c>
      <c r="AC547">
        <f t="shared" si="201"/>
        <v>6000</v>
      </c>
      <c r="AD547">
        <f t="shared" si="202"/>
        <v>14.483099821362476</v>
      </c>
      <c r="AE547">
        <f t="shared" si="203"/>
        <v>6.8208173332056754</v>
      </c>
      <c r="AF547">
        <f t="shared" si="204"/>
        <v>6000</v>
      </c>
      <c r="AG547">
        <f t="shared" si="205"/>
        <v>14.483099821362476</v>
      </c>
      <c r="AH547">
        <f t="shared" si="206"/>
        <v>6.8208173332056754</v>
      </c>
      <c r="AI547" cm="1">
        <f t="array" ref="AI547">_xlfn.LET(
    _xlpm.vals,   _xlfn.HSTACK(S547,V547,Y547,AB547,AE547,AH547),
    _xlpm.ints,   _xlfn.HSTACK(R547,U547,X547,AA547,AD547,AG547),
    _xlpm.slopes, _xlfn.HSTACK(Q547,T547,W547,Z547,AC547,AF547),
    _xlpm.limit,  -0.00001*_xlpm.slopes + 0.1086*_xlpm.slopes + 63.253,
    _xlpm.mask,   (_xlpm.vals&gt;=0) * (_xlpm.ints&lt;=_xlpm.limit),
    _xlpm.validVals, _xlfn._xlws.FILTER(_xlpm.vals, _xlpm.mask),
    _xlpm.minVal, MIN(_xlpm.validVals),
    IFERROR( _xlfn.XMATCH(_xlpm.minVal, _xlpm.vals), "" )
)</f>
        <v>1</v>
      </c>
      <c r="AJ547" cm="1">
        <f t="array" ref="AJ547">_xlfn.LET(
    _xlpm.vals, CHOOSE({1,2,3,4,5,6}, S547, V547, Y547, AB547, AE547, AH547),
    _xlpm.slopes, CHOOSE({1,2,3,4,5,6}, Q547, T547, W547, Z547, AC547, AF547),
    _xlpm.ints, CHOOSE({1,2,3,4,5,6}, R547, U547, X547, AA547, AD547, AG547),
    _xlpm.limit, -0.00001*_xlpm.slopes + 0.1086*_xlpm.slopes + 63.253,
    _xlpm.valid, (_xlpm.vals &gt;= 0) * (_xlpm.ints &lt;= _xlpm.limit),
    _xlpm.target, MIN(_xlfn._xlws.FILTER(_xlpm.vals, _xlpm.valid)),
    IFERROR(
        _xlfn.XLOOKUP(_xlpm.target, _xlpm.vals, _xlpm.vals),
        CHOOSE({1,2,3,4,5,6}, S$1, V$1, Y$1, AB$1, AE$1, AH$1)
    )
)</f>
        <v>1.0979334072695015</v>
      </c>
    </row>
    <row r="548" spans="9:36" x14ac:dyDescent="0.45">
      <c r="I548">
        <v>546</v>
      </c>
      <c r="J548">
        <v>10</v>
      </c>
      <c r="K548">
        <f t="shared" si="185"/>
        <v>10</v>
      </c>
      <c r="L548">
        <f t="shared" si="184"/>
        <v>2.7777777777777779E-3</v>
      </c>
      <c r="M548">
        <v>19.010000000000002</v>
      </c>
      <c r="N548">
        <f t="shared" si="186"/>
        <v>19.010000000000002</v>
      </c>
      <c r="O548">
        <f t="shared" si="187"/>
        <v>129.95182787178246</v>
      </c>
      <c r="P548">
        <f t="shared" si="188"/>
        <v>415.84584918970387</v>
      </c>
      <c r="Q548">
        <f t="shared" si="189"/>
        <v>1904.5739892888437</v>
      </c>
      <c r="R548">
        <f t="shared" si="190"/>
        <v>95.313770487015219</v>
      </c>
      <c r="S548">
        <f t="shared" si="191"/>
        <v>1.9860270137393634</v>
      </c>
      <c r="T548">
        <f t="shared" si="192"/>
        <v>1230.9037136015234</v>
      </c>
      <c r="U548">
        <f t="shared" si="193"/>
        <v>147.47873946977356</v>
      </c>
      <c r="V548">
        <f t="shared" si="194"/>
        <v>1.8359055155689405</v>
      </c>
      <c r="W548">
        <f t="shared" si="195"/>
        <v>6000</v>
      </c>
      <c r="X548">
        <f t="shared" si="196"/>
        <v>30.255354681769305</v>
      </c>
      <c r="Y548">
        <f t="shared" si="197"/>
        <v>7.0247659534978579</v>
      </c>
      <c r="Z548">
        <f t="shared" si="198"/>
        <v>6000</v>
      </c>
      <c r="AA548">
        <f t="shared" si="199"/>
        <v>30.255354681769305</v>
      </c>
      <c r="AB548">
        <f t="shared" si="200"/>
        <v>7.0247659534978579</v>
      </c>
      <c r="AC548">
        <f t="shared" si="201"/>
        <v>6000</v>
      </c>
      <c r="AD548">
        <f t="shared" si="202"/>
        <v>30.255354681769305</v>
      </c>
      <c r="AE548">
        <f t="shared" si="203"/>
        <v>7.0247659534978579</v>
      </c>
      <c r="AF548">
        <f t="shared" si="204"/>
        <v>6000</v>
      </c>
      <c r="AG548">
        <f t="shared" si="205"/>
        <v>30.255354681769305</v>
      </c>
      <c r="AH548">
        <f t="shared" si="206"/>
        <v>7.0247659534978579</v>
      </c>
      <c r="AI548" cm="1">
        <f t="array" ref="AI548">_xlfn.LET(
    _xlpm.vals,   _xlfn.HSTACK(S548,V548,Y548,AB548,AE548,AH548),
    _xlpm.ints,   _xlfn.HSTACK(R548,U548,X548,AA548,AD548,AG548),
    _xlpm.slopes, _xlfn.HSTACK(Q548,T548,W548,Z548,AC548,AF548),
    _xlpm.limit,  -0.00001*_xlpm.slopes + 0.1086*_xlpm.slopes + 63.253,
    _xlpm.mask,   (_xlpm.vals&gt;=0) * (_xlpm.ints&lt;=_xlpm.limit),
    _xlpm.validVals, _xlfn._xlws.FILTER(_xlpm.vals, _xlpm.mask),
    _xlpm.minVal, MIN(_xlpm.validVals),
    IFERROR( _xlfn.XMATCH(_xlpm.minVal, _xlpm.vals), "" )
)</f>
        <v>2</v>
      </c>
      <c r="AJ548" cm="1">
        <f t="array" ref="AJ548">_xlfn.LET(
    _xlpm.vals, CHOOSE({1,2,3,4,5,6}, S548, V548, Y548, AB548, AE548, AH548),
    _xlpm.slopes, CHOOSE({1,2,3,4,5,6}, Q548, T548, W548, Z548, AC548, AF548),
    _xlpm.ints, CHOOSE({1,2,3,4,5,6}, R548, U548, X548, AA548, AD548, AG548),
    _xlpm.limit, -0.00001*_xlpm.slopes + 0.1086*_xlpm.slopes + 63.253,
    _xlpm.valid, (_xlpm.vals &gt;= 0) * (_xlpm.ints &lt;= _xlpm.limit),
    _xlpm.target, MIN(_xlfn._xlws.FILTER(_xlpm.vals, _xlpm.valid)),
    IFERROR(
        _xlfn.XLOOKUP(_xlpm.target, _xlpm.vals, _xlpm.vals),
        CHOOSE({1,2,3,4,5,6}, S$1, V$1, Y$1, AB$1, AE$1, AH$1)
    )
)</f>
        <v>1.8359055155689405</v>
      </c>
    </row>
    <row r="549" spans="9:36" x14ac:dyDescent="0.45">
      <c r="I549">
        <v>547</v>
      </c>
      <c r="J549">
        <v>13.2</v>
      </c>
      <c r="K549">
        <f t="shared" si="185"/>
        <v>13.2</v>
      </c>
      <c r="L549">
        <f t="shared" si="184"/>
        <v>3.6666666666666666E-3</v>
      </c>
      <c r="M549">
        <v>14.51</v>
      </c>
      <c r="N549">
        <f t="shared" si="186"/>
        <v>14.51</v>
      </c>
      <c r="O549">
        <f t="shared" si="187"/>
        <v>171.53641279075285</v>
      </c>
      <c r="P549">
        <f t="shared" si="188"/>
        <v>548.91652093040909</v>
      </c>
      <c r="Q549">
        <f t="shared" si="189"/>
        <v>2514.0376658612736</v>
      </c>
      <c r="R549">
        <f t="shared" si="190"/>
        <v>55.114644994125534</v>
      </c>
      <c r="S549">
        <f t="shared" si="191"/>
        <v>1.6541731270216609</v>
      </c>
      <c r="T549">
        <f t="shared" si="192"/>
        <v>1624.7929019540109</v>
      </c>
      <c r="U549">
        <f t="shared" si="193"/>
        <v>85.278741240910463</v>
      </c>
      <c r="V549">
        <f t="shared" si="194"/>
        <v>1.5919213246734776</v>
      </c>
      <c r="W549">
        <f t="shared" si="195"/>
        <v>1048.4305549770813</v>
      </c>
      <c r="X549">
        <f t="shared" si="196"/>
        <v>132.15972464559945</v>
      </c>
      <c r="Y549">
        <f t="shared" si="197"/>
        <v>1.4849479057741892</v>
      </c>
      <c r="Z549">
        <f t="shared" si="198"/>
        <v>6000</v>
      </c>
      <c r="AA549">
        <f t="shared" si="199"/>
        <v>23.093382242634014</v>
      </c>
      <c r="AB549">
        <f t="shared" si="200"/>
        <v>6.9232920027855762</v>
      </c>
      <c r="AC549">
        <f t="shared" si="201"/>
        <v>6000</v>
      </c>
      <c r="AD549">
        <f t="shared" si="202"/>
        <v>23.093382242634014</v>
      </c>
      <c r="AE549">
        <f t="shared" si="203"/>
        <v>6.9232920027855762</v>
      </c>
      <c r="AF549">
        <f t="shared" si="204"/>
        <v>6000</v>
      </c>
      <c r="AG549">
        <f t="shared" si="205"/>
        <v>23.093382242634014</v>
      </c>
      <c r="AH549">
        <f t="shared" si="206"/>
        <v>6.9232920027855762</v>
      </c>
      <c r="AI549" cm="1">
        <f t="array" ref="AI549">_xlfn.LET(
    _xlpm.vals,   _xlfn.HSTACK(S549,V549,Y549,AB549,AE549,AH549),
    _xlpm.ints,   _xlfn.HSTACK(R549,U549,X549,AA549,AD549,AG549),
    _xlpm.slopes, _xlfn.HSTACK(Q549,T549,W549,Z549,AC549,AF549),
    _xlpm.limit,  -0.00001*_xlpm.slopes + 0.1086*_xlpm.slopes + 63.253,
    _xlpm.mask,   (_xlpm.vals&gt;=0) * (_xlpm.ints&lt;=_xlpm.limit),
    _xlpm.validVals, _xlfn._xlws.FILTER(_xlpm.vals, _xlpm.mask),
    _xlpm.minVal, MIN(_xlpm.validVals),
    IFERROR( _xlfn.XMATCH(_xlpm.minVal, _xlpm.vals), "" )
)</f>
        <v>3</v>
      </c>
      <c r="AJ549" cm="1">
        <f t="array" ref="AJ549">_xlfn.LET(
    _xlpm.vals, CHOOSE({1,2,3,4,5,6}, S549, V549, Y549, AB549, AE549, AH549),
    _xlpm.slopes, CHOOSE({1,2,3,4,5,6}, Q549, T549, W549, Z549, AC549, AF549),
    _xlpm.ints, CHOOSE({1,2,3,4,5,6}, R549, U549, X549, AA549, AD549, AG549),
    _xlpm.limit, -0.00001*_xlpm.slopes + 0.1086*_xlpm.slopes + 63.253,
    _xlpm.valid, (_xlpm.vals &gt;= 0) * (_xlpm.ints &lt;= _xlpm.limit),
    _xlpm.target, MIN(_xlfn._xlws.FILTER(_xlpm.vals, _xlpm.valid)),
    IFERROR(
        _xlfn.XLOOKUP(_xlpm.target, _xlpm.vals, _xlpm.vals),
        CHOOSE({1,2,3,4,5,6}, S$1, V$1, Y$1, AB$1, AE$1, AH$1)
    )
)</f>
        <v>1.4849479057741892</v>
      </c>
    </row>
    <row r="550" spans="9:36" x14ac:dyDescent="0.45">
      <c r="I550">
        <v>548</v>
      </c>
      <c r="J550">
        <v>14.4</v>
      </c>
      <c r="K550">
        <f t="shared" si="185"/>
        <v>14.4</v>
      </c>
      <c r="L550">
        <f t="shared" si="184"/>
        <v>4.0000000000000001E-3</v>
      </c>
      <c r="M550">
        <v>8.82</v>
      </c>
      <c r="N550">
        <f t="shared" si="186"/>
        <v>8.82</v>
      </c>
      <c r="O550">
        <f t="shared" si="187"/>
        <v>187.13063213536674</v>
      </c>
      <c r="P550">
        <f t="shared" si="188"/>
        <v>598.81802283317359</v>
      </c>
      <c r="Q550">
        <f t="shared" si="189"/>
        <v>2742.586544575935</v>
      </c>
      <c r="R550">
        <f t="shared" si="190"/>
        <v>30.709986545658502</v>
      </c>
      <c r="S550">
        <f t="shared" si="191"/>
        <v>1.319267612115107</v>
      </c>
      <c r="T550">
        <f t="shared" si="192"/>
        <v>1772.5013475861938</v>
      </c>
      <c r="U550">
        <f t="shared" si="193"/>
        <v>47.517479182133769</v>
      </c>
      <c r="V550">
        <f t="shared" si="194"/>
        <v>1.0953508626507631</v>
      </c>
      <c r="W550">
        <f t="shared" si="195"/>
        <v>1143.7424236113616</v>
      </c>
      <c r="X550">
        <f t="shared" si="196"/>
        <v>73.639653601631395</v>
      </c>
      <c r="Y550">
        <f t="shared" si="197"/>
        <v>1.0670351360572419</v>
      </c>
      <c r="Z550">
        <f t="shared" si="198"/>
        <v>6000</v>
      </c>
      <c r="AA550">
        <f t="shared" si="199"/>
        <v>14.03746598070517</v>
      </c>
      <c r="AB550">
        <f t="shared" si="200"/>
        <v>6.8161164709692619</v>
      </c>
      <c r="AC550">
        <f t="shared" si="201"/>
        <v>6000</v>
      </c>
      <c r="AD550">
        <f t="shared" si="202"/>
        <v>14.03746598070517</v>
      </c>
      <c r="AE550">
        <f t="shared" si="203"/>
        <v>6.8161164709692619</v>
      </c>
      <c r="AF550">
        <f t="shared" si="204"/>
        <v>6000</v>
      </c>
      <c r="AG550">
        <f t="shared" si="205"/>
        <v>14.03746598070517</v>
      </c>
      <c r="AH550">
        <f t="shared" si="206"/>
        <v>6.8161164709692619</v>
      </c>
      <c r="AI550" cm="1">
        <f t="array" ref="AI550">_xlfn.LET(
    _xlpm.vals,   _xlfn.HSTACK(S550,V550,Y550,AB550,AE550,AH550),
    _xlpm.ints,   _xlfn.HSTACK(R550,U550,X550,AA550,AD550,AG550),
    _xlpm.slopes, _xlfn.HSTACK(Q550,T550,W550,Z550,AC550,AF550),
    _xlpm.limit,  -0.00001*_xlpm.slopes + 0.1086*_xlpm.slopes + 63.253,
    _xlpm.mask,   (_xlpm.vals&gt;=0) * (_xlpm.ints&lt;=_xlpm.limit),
    _xlpm.validVals, _xlfn._xlws.FILTER(_xlpm.vals, _xlpm.mask),
    _xlpm.minVal, MIN(_xlpm.validVals),
    IFERROR( _xlfn.XMATCH(_xlpm.minVal, _xlpm.vals), "" )
)</f>
        <v>3</v>
      </c>
      <c r="AJ550" cm="1">
        <f t="array" ref="AJ550">_xlfn.LET(
    _xlpm.vals, CHOOSE({1,2,3,4,5,6}, S550, V550, Y550, AB550, AE550, AH550),
    _xlpm.slopes, CHOOSE({1,2,3,4,5,6}, Q550, T550, W550, Z550, AC550, AF550),
    _xlpm.ints, CHOOSE({1,2,3,4,5,6}, R550, U550, X550, AA550, AD550, AG550),
    _xlpm.limit, -0.00001*_xlpm.slopes + 0.1086*_xlpm.slopes + 63.253,
    _xlpm.valid, (_xlpm.vals &gt;= 0) * (_xlpm.ints &lt;= _xlpm.limit),
    _xlpm.target, MIN(_xlfn._xlws.FILTER(_xlpm.vals, _xlpm.valid)),
    IFERROR(
        _xlfn.XLOOKUP(_xlpm.target, _xlpm.vals, _xlpm.vals),
        CHOOSE({1,2,3,4,5,6}, S$1, V$1, Y$1, AB$1, AE$1, AH$1)
    )
)</f>
        <v>1.0670351360572419</v>
      </c>
    </row>
    <row r="551" spans="9:36" x14ac:dyDescent="0.45">
      <c r="I551">
        <v>549</v>
      </c>
      <c r="J551">
        <v>15.8</v>
      </c>
      <c r="K551">
        <f t="shared" si="185"/>
        <v>15.8</v>
      </c>
      <c r="L551">
        <f t="shared" si="184"/>
        <v>4.3888888888888892E-3</v>
      </c>
      <c r="M551">
        <v>16.510000000000002</v>
      </c>
      <c r="N551">
        <f t="shared" si="186"/>
        <v>16.510000000000002</v>
      </c>
      <c r="O551">
        <f t="shared" si="187"/>
        <v>205.32388803741628</v>
      </c>
      <c r="P551">
        <f t="shared" si="188"/>
        <v>657.03644171973212</v>
      </c>
      <c r="Q551">
        <f t="shared" si="189"/>
        <v>3009.2269030763732</v>
      </c>
      <c r="R551">
        <f t="shared" si="190"/>
        <v>52.391824114577304</v>
      </c>
      <c r="S551">
        <f t="shared" si="191"/>
        <v>1.954725105862313</v>
      </c>
      <c r="T551">
        <f t="shared" si="192"/>
        <v>1944.827867490407</v>
      </c>
      <c r="U551">
        <f t="shared" si="193"/>
        <v>81.065727852960833</v>
      </c>
      <c r="V551">
        <f t="shared" si="194"/>
        <v>1.767502469933977</v>
      </c>
      <c r="W551">
        <f t="shared" si="195"/>
        <v>1254.9396036846883</v>
      </c>
      <c r="X551">
        <f t="shared" si="196"/>
        <v>125.6306567773634</v>
      </c>
      <c r="Y551">
        <f t="shared" si="197"/>
        <v>1.7152803799605114</v>
      </c>
      <c r="Z551">
        <f t="shared" si="198"/>
        <v>6000</v>
      </c>
      <c r="AA551">
        <f t="shared" si="199"/>
        <v>26.276481104471923</v>
      </c>
      <c r="AB551">
        <f t="shared" si="200"/>
        <v>6.9666230721688356</v>
      </c>
      <c r="AC551">
        <f t="shared" si="201"/>
        <v>6000</v>
      </c>
      <c r="AD551">
        <f t="shared" si="202"/>
        <v>26.276481104471923</v>
      </c>
      <c r="AE551">
        <f t="shared" si="203"/>
        <v>6.9666230721688356</v>
      </c>
      <c r="AF551">
        <f t="shared" si="204"/>
        <v>6000</v>
      </c>
      <c r="AG551">
        <f t="shared" si="205"/>
        <v>26.276481104471923</v>
      </c>
      <c r="AH551">
        <f t="shared" si="206"/>
        <v>6.9666230721688356</v>
      </c>
      <c r="AI551" cm="1">
        <f t="array" ref="AI551">_xlfn.LET(
    _xlpm.vals,   _xlfn.HSTACK(S551,V551,Y551,AB551,AE551,AH551),
    _xlpm.ints,   _xlfn.HSTACK(R551,U551,X551,AA551,AD551,AG551),
    _xlpm.slopes, _xlfn.HSTACK(Q551,T551,W551,Z551,AC551,AF551),
    _xlpm.limit,  -0.00001*_xlpm.slopes + 0.1086*_xlpm.slopes + 63.253,
    _xlpm.mask,   (_xlpm.vals&gt;=0) * (_xlpm.ints&lt;=_xlpm.limit),
    _xlpm.validVals, _xlfn._xlws.FILTER(_xlpm.vals, _xlpm.mask),
    _xlpm.minVal, MIN(_xlpm.validVals),
    IFERROR( _xlfn.XMATCH(_xlpm.minVal, _xlpm.vals), "" )
)</f>
        <v>3</v>
      </c>
      <c r="AJ551" cm="1">
        <f t="array" ref="AJ551">_xlfn.LET(
    _xlpm.vals, CHOOSE({1,2,3,4,5,6}, S551, V551, Y551, AB551, AE551, AH551),
    _xlpm.slopes, CHOOSE({1,2,3,4,5,6}, Q551, T551, W551, Z551, AC551, AF551),
    _xlpm.ints, CHOOSE({1,2,3,4,5,6}, R551, U551, X551, AA551, AD551, AG551),
    _xlpm.limit, -0.00001*_xlpm.slopes + 0.1086*_xlpm.slopes + 63.253,
    _xlpm.valid, (_xlpm.vals &gt;= 0) * (_xlpm.ints &lt;= _xlpm.limit),
    _xlpm.target, MIN(_xlfn._xlws.FILTER(_xlpm.vals, _xlpm.valid)),
    IFERROR(
        _xlfn.XLOOKUP(_xlpm.target, _xlpm.vals, _xlpm.vals),
        CHOOSE({1,2,3,4,5,6}, S$1, V$1, Y$1, AB$1, AE$1, AH$1)
    )
)</f>
        <v>1.7152803799605114</v>
      </c>
    </row>
    <row r="552" spans="9:36" x14ac:dyDescent="0.45">
      <c r="I552">
        <v>550</v>
      </c>
      <c r="J552">
        <v>16.899999999999999</v>
      </c>
      <c r="K552">
        <f t="shared" si="185"/>
        <v>16.899999999999999</v>
      </c>
      <c r="L552">
        <f t="shared" si="184"/>
        <v>4.6944444444444438E-3</v>
      </c>
      <c r="M552">
        <v>9.6</v>
      </c>
      <c r="N552">
        <f t="shared" si="186"/>
        <v>9.6</v>
      </c>
      <c r="O552">
        <f t="shared" si="187"/>
        <v>219.61858910331233</v>
      </c>
      <c r="P552">
        <f t="shared" si="188"/>
        <v>702.77948513059948</v>
      </c>
      <c r="Q552">
        <f t="shared" si="189"/>
        <v>3218.7300418981458</v>
      </c>
      <c r="R552">
        <f t="shared" si="190"/>
        <v>28.481185445073947</v>
      </c>
      <c r="S552">
        <f t="shared" si="191"/>
        <v>1.6217258385092617</v>
      </c>
      <c r="T552">
        <f t="shared" si="192"/>
        <v>2080.2272759865746</v>
      </c>
      <c r="U552">
        <f t="shared" si="193"/>
        <v>44.06886126298604</v>
      </c>
      <c r="V552">
        <f t="shared" si="194"/>
        <v>1.194074984855537</v>
      </c>
      <c r="W552">
        <f t="shared" si="195"/>
        <v>1342.308816599445</v>
      </c>
      <c r="X552">
        <f t="shared" si="196"/>
        <v>68.2951986065124</v>
      </c>
      <c r="Y552">
        <f t="shared" si="197"/>
        <v>1.1450364599478213</v>
      </c>
      <c r="Z552">
        <f t="shared" si="198"/>
        <v>1012.0024585880632</v>
      </c>
      <c r="AA552">
        <f t="shared" si="199"/>
        <v>90.58599259613797</v>
      </c>
      <c r="AB552">
        <f t="shared" si="200"/>
        <v>1.1269124564467972</v>
      </c>
      <c r="AC552">
        <f t="shared" si="201"/>
        <v>6000</v>
      </c>
      <c r="AD552">
        <f t="shared" si="202"/>
        <v>15.278874536821952</v>
      </c>
      <c r="AE552">
        <f t="shared" si="203"/>
        <v>6.8293619787683646</v>
      </c>
      <c r="AF552">
        <f t="shared" si="204"/>
        <v>6000</v>
      </c>
      <c r="AG552">
        <f t="shared" si="205"/>
        <v>15.278874536821952</v>
      </c>
      <c r="AH552">
        <f t="shared" si="206"/>
        <v>6.8293619787683646</v>
      </c>
      <c r="AI552" cm="1">
        <f t="array" ref="AI552">_xlfn.LET(
    _xlpm.vals,   _xlfn.HSTACK(S552,V552,Y552,AB552,AE552,AH552),
    _xlpm.ints,   _xlfn.HSTACK(R552,U552,X552,AA552,AD552,AG552),
    _xlpm.slopes, _xlfn.HSTACK(Q552,T552,W552,Z552,AC552,AF552),
    _xlpm.limit,  -0.00001*_xlpm.slopes + 0.1086*_xlpm.slopes + 63.253,
    _xlpm.mask,   (_xlpm.vals&gt;=0) * (_xlpm.ints&lt;=_xlpm.limit),
    _xlpm.validVals, _xlfn._xlws.FILTER(_xlpm.vals, _xlpm.mask),
    _xlpm.minVal, MIN(_xlpm.validVals),
    IFERROR( _xlfn.XMATCH(_xlpm.minVal, _xlpm.vals), "" )
)</f>
        <v>4</v>
      </c>
      <c r="AJ552" cm="1">
        <f t="array" ref="AJ552">_xlfn.LET(
    _xlpm.vals, CHOOSE({1,2,3,4,5,6}, S552, V552, Y552, AB552, AE552, AH552),
    _xlpm.slopes, CHOOSE({1,2,3,4,5,6}, Q552, T552, W552, Z552, AC552, AF552),
    _xlpm.ints, CHOOSE({1,2,3,4,5,6}, R552, U552, X552, AA552, AD552, AG552),
    _xlpm.limit, -0.00001*_xlpm.slopes + 0.1086*_xlpm.slopes + 63.253,
    _xlpm.valid, (_xlpm.vals &gt;= 0) * (_xlpm.ints &lt;= _xlpm.limit),
    _xlpm.target, MIN(_xlfn._xlws.FILTER(_xlpm.vals, _xlpm.valid)),
    IFERROR(
        _xlfn.XLOOKUP(_xlpm.target, _xlpm.vals, _xlpm.vals),
        CHOOSE({1,2,3,4,5,6}, S$1, V$1, Y$1, AB$1, AE$1, AH$1)
    )
)</f>
        <v>1.1269124564467972</v>
      </c>
    </row>
    <row r="553" spans="9:36" x14ac:dyDescent="0.45">
      <c r="I553">
        <v>551</v>
      </c>
      <c r="J553">
        <v>17.2</v>
      </c>
      <c r="K553">
        <f t="shared" si="185"/>
        <v>17.2</v>
      </c>
      <c r="L553">
        <f t="shared" si="184"/>
        <v>4.7777777777777775E-3</v>
      </c>
      <c r="M553">
        <v>6.7</v>
      </c>
      <c r="N553">
        <f t="shared" si="186"/>
        <v>6.7</v>
      </c>
      <c r="O553">
        <f t="shared" si="187"/>
        <v>223.51714393946583</v>
      </c>
      <c r="P553">
        <f t="shared" si="188"/>
        <v>715.25486060629066</v>
      </c>
      <c r="Q553">
        <f t="shared" si="189"/>
        <v>3275.8672615768114</v>
      </c>
      <c r="R553">
        <f t="shared" si="190"/>
        <v>19.530793531648026</v>
      </c>
      <c r="S553">
        <f t="shared" si="191"/>
        <v>1.5005673230362098</v>
      </c>
      <c r="T553">
        <f t="shared" si="192"/>
        <v>2117.1543873946202</v>
      </c>
      <c r="U553">
        <f t="shared" si="193"/>
        <v>30.21994404559053</v>
      </c>
      <c r="V553">
        <f t="shared" si="194"/>
        <v>0.9814946681930079</v>
      </c>
      <c r="W553">
        <f t="shared" si="195"/>
        <v>1366.1367837580151</v>
      </c>
      <c r="X553">
        <f t="shared" si="196"/>
        <v>46.833002290548684</v>
      </c>
      <c r="Y553">
        <f t="shared" si="197"/>
        <v>0.88380695300217504</v>
      </c>
      <c r="Z553">
        <f t="shared" si="198"/>
        <v>1029.9669992730585</v>
      </c>
      <c r="AA553">
        <f t="shared" si="199"/>
        <v>62.118773871491648</v>
      </c>
      <c r="AB553">
        <f t="shared" si="200"/>
        <v>0.86336218685842148</v>
      </c>
      <c r="AC553">
        <f t="shared" si="201"/>
        <v>6000</v>
      </c>
      <c r="AD553">
        <f t="shared" si="202"/>
        <v>10.663381187156988</v>
      </c>
      <c r="AE553">
        <f t="shared" si="203"/>
        <v>6.7825050837328673</v>
      </c>
      <c r="AF553">
        <f t="shared" si="204"/>
        <v>6000</v>
      </c>
      <c r="AG553">
        <f t="shared" si="205"/>
        <v>10.663381187156988</v>
      </c>
      <c r="AH553">
        <f t="shared" si="206"/>
        <v>6.7825050837328673</v>
      </c>
      <c r="AI553" cm="1">
        <f t="array" ref="AI553">_xlfn.LET(
    _xlpm.vals,   _xlfn.HSTACK(S553,V553,Y553,AB553,AE553,AH553),
    _xlpm.ints,   _xlfn.HSTACK(R553,U553,X553,AA553,AD553,AG553),
    _xlpm.slopes, _xlfn.HSTACK(Q553,T553,W553,Z553,AC553,AF553),
    _xlpm.limit,  -0.00001*_xlpm.slopes + 0.1086*_xlpm.slopes + 63.253,
    _xlpm.mask,   (_xlpm.vals&gt;=0) * (_xlpm.ints&lt;=_xlpm.limit),
    _xlpm.validVals, _xlfn._xlws.FILTER(_xlpm.vals, _xlpm.mask),
    _xlpm.minVal, MIN(_xlpm.validVals),
    IFERROR( _xlfn.XMATCH(_xlpm.minVal, _xlpm.vals), "" )
)</f>
        <v>4</v>
      </c>
      <c r="AJ553" cm="1">
        <f t="array" ref="AJ553">_xlfn.LET(
    _xlpm.vals, CHOOSE({1,2,3,4,5,6}, S553, V553, Y553, AB553, AE553, AH553),
    _xlpm.slopes, CHOOSE({1,2,3,4,5,6}, Q553, T553, W553, Z553, AC553, AF553),
    _xlpm.ints, CHOOSE({1,2,3,4,5,6}, R553, U553, X553, AA553, AD553, AG553),
    _xlpm.limit, -0.00001*_xlpm.slopes + 0.1086*_xlpm.slopes + 63.253,
    _xlpm.valid, (_xlpm.vals &gt;= 0) * (_xlpm.ints &lt;= _xlpm.limit),
    _xlpm.target, MIN(_xlfn._xlws.FILTER(_xlpm.vals, _xlpm.valid)),
    IFERROR(
        _xlfn.XLOOKUP(_xlpm.target, _xlpm.vals, _xlpm.vals),
        CHOOSE({1,2,3,4,5,6}, S$1, V$1, Y$1, AB$1, AE$1, AH$1)
    )
)</f>
        <v>0.86336218685842148</v>
      </c>
    </row>
    <row r="554" spans="9:36" x14ac:dyDescent="0.45">
      <c r="I554">
        <v>552</v>
      </c>
      <c r="J554">
        <v>17.2</v>
      </c>
      <c r="K554">
        <f t="shared" si="185"/>
        <v>17.2</v>
      </c>
      <c r="L554">
        <f t="shared" si="184"/>
        <v>4.7777777777777775E-3</v>
      </c>
      <c r="M554">
        <v>0.83</v>
      </c>
      <c r="N554">
        <f t="shared" si="186"/>
        <v>0.83</v>
      </c>
      <c r="O554">
        <f t="shared" si="187"/>
        <v>223.51714393946583</v>
      </c>
      <c r="P554">
        <f t="shared" si="188"/>
        <v>715.25486060629066</v>
      </c>
      <c r="Q554">
        <f t="shared" si="189"/>
        <v>3275.8672615768114</v>
      </c>
      <c r="R554">
        <f t="shared" si="190"/>
        <v>2.4194863628758005</v>
      </c>
      <c r="S554">
        <f t="shared" si="191"/>
        <v>1.218165972442619</v>
      </c>
      <c r="T554">
        <f t="shared" si="192"/>
        <v>2117.1543873946202</v>
      </c>
      <c r="U554">
        <f t="shared" si="193"/>
        <v>3.7436647101253944</v>
      </c>
      <c r="V554">
        <f t="shared" si="194"/>
        <v>0.6041671780764295</v>
      </c>
      <c r="W554">
        <f t="shared" si="195"/>
        <v>1366.1367837580151</v>
      </c>
      <c r="X554">
        <f t="shared" si="196"/>
        <v>5.8017002837545384</v>
      </c>
      <c r="Y554">
        <f t="shared" si="197"/>
        <v>0.43337771978909867</v>
      </c>
      <c r="Z554">
        <f t="shared" si="198"/>
        <v>1029.9669992730585</v>
      </c>
      <c r="AA554">
        <f t="shared" si="199"/>
        <v>7.6953107930355324</v>
      </c>
      <c r="AB554">
        <f t="shared" si="200"/>
        <v>0.37429657820748741</v>
      </c>
      <c r="AC554">
        <f t="shared" si="201"/>
        <v>6000</v>
      </c>
      <c r="AD554">
        <f t="shared" si="202"/>
        <v>1.3209860276627314</v>
      </c>
      <c r="AE554">
        <f t="shared" si="203"/>
        <v>6.7082429823185636</v>
      </c>
      <c r="AF554">
        <f t="shared" si="204"/>
        <v>6000</v>
      </c>
      <c r="AG554">
        <f t="shared" si="205"/>
        <v>1.3209860276627314</v>
      </c>
      <c r="AH554">
        <f t="shared" si="206"/>
        <v>6.7082429823185636</v>
      </c>
      <c r="AI554" cm="1">
        <f t="array" ref="AI554">_xlfn.LET(
    _xlpm.vals,   _xlfn.HSTACK(S554,V554,Y554,AB554,AE554,AH554),
    _xlpm.ints,   _xlfn.HSTACK(R554,U554,X554,AA554,AD554,AG554),
    _xlpm.slopes, _xlfn.HSTACK(Q554,T554,W554,Z554,AC554,AF554),
    _xlpm.limit,  -0.00001*_xlpm.slopes + 0.1086*_xlpm.slopes + 63.253,
    _xlpm.mask,   (_xlpm.vals&gt;=0) * (_xlpm.ints&lt;=_xlpm.limit),
    _xlpm.validVals, _xlfn._xlws.FILTER(_xlpm.vals, _xlpm.mask),
    _xlpm.minVal, MIN(_xlpm.validVals),
    IFERROR( _xlfn.XMATCH(_xlpm.minVal, _xlpm.vals), "" )
)</f>
        <v>4</v>
      </c>
      <c r="AJ554" cm="1">
        <f t="array" ref="AJ554">_xlfn.LET(
    _xlpm.vals, CHOOSE({1,2,3,4,5,6}, S554, V554, Y554, AB554, AE554, AH554),
    _xlpm.slopes, CHOOSE({1,2,3,4,5,6}, Q554, T554, W554, Z554, AC554, AF554),
    _xlpm.ints, CHOOSE({1,2,3,4,5,6}, R554, U554, X554, AA554, AD554, AG554),
    _xlpm.limit, -0.00001*_xlpm.slopes + 0.1086*_xlpm.slopes + 63.253,
    _xlpm.valid, (_xlpm.vals &gt;= 0) * (_xlpm.ints &lt;= _xlpm.limit),
    _xlpm.target, MIN(_xlfn._xlws.FILTER(_xlpm.vals, _xlpm.valid)),
    IFERROR(
        _xlfn.XLOOKUP(_xlpm.target, _xlpm.vals, _xlpm.vals),
        CHOOSE({1,2,3,4,5,6}, S$1, V$1, Y$1, AB$1, AE$1, AH$1)
    )
)</f>
        <v>0.37429657820748741</v>
      </c>
    </row>
    <row r="555" spans="9:36" x14ac:dyDescent="0.45">
      <c r="I555">
        <v>553</v>
      </c>
      <c r="J555">
        <v>17.600000000000001</v>
      </c>
      <c r="K555">
        <f t="shared" si="185"/>
        <v>17.600000000000001</v>
      </c>
      <c r="L555">
        <f t="shared" si="184"/>
        <v>4.8888888888888897E-3</v>
      </c>
      <c r="M555">
        <v>6.91</v>
      </c>
      <c r="N555">
        <f t="shared" si="186"/>
        <v>6.91</v>
      </c>
      <c r="O555">
        <f t="shared" si="187"/>
        <v>228.71521705433713</v>
      </c>
      <c r="P555">
        <f t="shared" si="188"/>
        <v>731.88869457387887</v>
      </c>
      <c r="Q555">
        <f t="shared" si="189"/>
        <v>3352.0502211483654</v>
      </c>
      <c r="R555">
        <f t="shared" si="190"/>
        <v>19.6851583516234</v>
      </c>
      <c r="S555">
        <f t="shared" si="191"/>
        <v>1.5698635676040336</v>
      </c>
      <c r="T555">
        <f t="shared" si="192"/>
        <v>2166.3905359386813</v>
      </c>
      <c r="U555">
        <f t="shared" si="193"/>
        <v>30.458792314336211</v>
      </c>
      <c r="V555">
        <f t="shared" si="194"/>
        <v>1.0075065240862779</v>
      </c>
      <c r="W555">
        <f t="shared" si="195"/>
        <v>1397.9074066361086</v>
      </c>
      <c r="X555">
        <f t="shared" si="196"/>
        <v>47.203154581379678</v>
      </c>
      <c r="Y555">
        <f t="shared" si="197"/>
        <v>0.9043826834296691</v>
      </c>
      <c r="Z555">
        <f t="shared" si="198"/>
        <v>1053.9197201863856</v>
      </c>
      <c r="AA555">
        <f t="shared" si="199"/>
        <v>62.609739757246651</v>
      </c>
      <c r="AB555">
        <f t="shared" si="200"/>
        <v>0.88450583204316091</v>
      </c>
      <c r="AC555">
        <f t="shared" si="201"/>
        <v>6000</v>
      </c>
      <c r="AD555">
        <f t="shared" si="202"/>
        <v>10.997606567649969</v>
      </c>
      <c r="AE555">
        <f t="shared" si="203"/>
        <v>6.7856771261454369</v>
      </c>
      <c r="AF555">
        <f t="shared" si="204"/>
        <v>6000</v>
      </c>
      <c r="AG555">
        <f t="shared" si="205"/>
        <v>10.997606567649969</v>
      </c>
      <c r="AH555">
        <f t="shared" si="206"/>
        <v>6.7856771261454369</v>
      </c>
      <c r="AI555" cm="1">
        <f t="array" ref="AI555">_xlfn.LET(
    _xlpm.vals,   _xlfn.HSTACK(S555,V555,Y555,AB555,AE555,AH555),
    _xlpm.ints,   _xlfn.HSTACK(R555,U555,X555,AA555,AD555,AG555),
    _xlpm.slopes, _xlfn.HSTACK(Q555,T555,W555,Z555,AC555,AF555),
    _xlpm.limit,  -0.00001*_xlpm.slopes + 0.1086*_xlpm.slopes + 63.253,
    _xlpm.mask,   (_xlpm.vals&gt;=0) * (_xlpm.ints&lt;=_xlpm.limit),
    _xlpm.validVals, _xlfn._xlws.FILTER(_xlpm.vals, _xlpm.mask),
    _xlpm.minVal, MIN(_xlpm.validVals),
    IFERROR( _xlfn.XMATCH(_xlpm.minVal, _xlpm.vals), "" )
)</f>
        <v>4</v>
      </c>
      <c r="AJ555" cm="1">
        <f t="array" ref="AJ555">_xlfn.LET(
    _xlpm.vals, CHOOSE({1,2,3,4,5,6}, S555, V555, Y555, AB555, AE555, AH555),
    _xlpm.slopes, CHOOSE({1,2,3,4,5,6}, Q555, T555, W555, Z555, AC555, AF555),
    _xlpm.ints, CHOOSE({1,2,3,4,5,6}, R555, U555, X555, AA555, AD555, AG555),
    _xlpm.limit, -0.00001*_xlpm.slopes + 0.1086*_xlpm.slopes + 63.253,
    _xlpm.valid, (_xlpm.vals &gt;= 0) * (_xlpm.ints &lt;= _xlpm.limit),
    _xlpm.target, MIN(_xlfn._xlws.FILTER(_xlpm.vals, _xlpm.valid)),
    IFERROR(
        _xlfn.XLOOKUP(_xlpm.target, _xlpm.vals, _xlpm.vals),
        CHOOSE({1,2,3,4,5,6}, S$1, V$1, Y$1, AB$1, AE$1, AH$1)
    )
)</f>
        <v>0.88450583204316091</v>
      </c>
    </row>
    <row r="556" spans="9:36" x14ac:dyDescent="0.45">
      <c r="I556">
        <v>554</v>
      </c>
      <c r="J556">
        <v>17.7</v>
      </c>
      <c r="K556">
        <f t="shared" si="185"/>
        <v>17.7</v>
      </c>
      <c r="L556">
        <f t="shared" si="184"/>
        <v>4.9166666666666664E-3</v>
      </c>
      <c r="M556">
        <v>5.1100000000000003</v>
      </c>
      <c r="N556">
        <f t="shared" si="186"/>
        <v>5.1100000000000003</v>
      </c>
      <c r="O556">
        <f t="shared" si="187"/>
        <v>230.01473533305492</v>
      </c>
      <c r="P556">
        <f t="shared" si="188"/>
        <v>736.04715306577577</v>
      </c>
      <c r="Q556">
        <f t="shared" si="189"/>
        <v>3371.0959610412533</v>
      </c>
      <c r="R556">
        <f t="shared" si="190"/>
        <v>14.475086475112645</v>
      </c>
      <c r="S556">
        <f t="shared" si="191"/>
        <v>1.4941003563766611</v>
      </c>
      <c r="T556">
        <f t="shared" si="192"/>
        <v>2178.6995730746962</v>
      </c>
      <c r="U556">
        <f t="shared" si="193"/>
        <v>22.397262181086461</v>
      </c>
      <c r="V556">
        <f t="shared" si="194"/>
        <v>0.88540203630516601</v>
      </c>
      <c r="W556">
        <f t="shared" si="195"/>
        <v>1405.8500623556317</v>
      </c>
      <c r="X556">
        <f t="shared" si="196"/>
        <v>34.709893223044986</v>
      </c>
      <c r="Y556">
        <f t="shared" si="197"/>
        <v>0.75192966572477871</v>
      </c>
      <c r="Z556">
        <f t="shared" si="198"/>
        <v>1059.907900414717</v>
      </c>
      <c r="AA556">
        <f t="shared" si="199"/>
        <v>46.038816705566617</v>
      </c>
      <c r="AB556">
        <f t="shared" si="200"/>
        <v>0.71859739966980052</v>
      </c>
      <c r="AC556">
        <f t="shared" si="201"/>
        <v>6000</v>
      </c>
      <c r="AD556">
        <f t="shared" si="202"/>
        <v>8.1328175919958525</v>
      </c>
      <c r="AE556">
        <f t="shared" si="203"/>
        <v>6.7596260971665423</v>
      </c>
      <c r="AF556">
        <f t="shared" si="204"/>
        <v>6000</v>
      </c>
      <c r="AG556">
        <f t="shared" si="205"/>
        <v>8.1328175919958525</v>
      </c>
      <c r="AH556">
        <f t="shared" si="206"/>
        <v>6.7596260971665423</v>
      </c>
      <c r="AI556" cm="1">
        <f t="array" ref="AI556">_xlfn.LET(
    _xlpm.vals,   _xlfn.HSTACK(S556,V556,Y556,AB556,AE556,AH556),
    _xlpm.ints,   _xlfn.HSTACK(R556,U556,X556,AA556,AD556,AG556),
    _xlpm.slopes, _xlfn.HSTACK(Q556,T556,W556,Z556,AC556,AF556),
    _xlpm.limit,  -0.00001*_xlpm.slopes + 0.1086*_xlpm.slopes + 63.253,
    _xlpm.mask,   (_xlpm.vals&gt;=0) * (_xlpm.ints&lt;=_xlpm.limit),
    _xlpm.validVals, _xlfn._xlws.FILTER(_xlpm.vals, _xlpm.mask),
    _xlpm.minVal, MIN(_xlpm.validVals),
    IFERROR( _xlfn.XMATCH(_xlpm.minVal, _xlpm.vals), "" )
)</f>
        <v>4</v>
      </c>
      <c r="AJ556" cm="1">
        <f t="array" ref="AJ556">_xlfn.LET(
    _xlpm.vals, CHOOSE({1,2,3,4,5,6}, S556, V556, Y556, AB556, AE556, AH556),
    _xlpm.slopes, CHOOSE({1,2,3,4,5,6}, Q556, T556, W556, Z556, AC556, AF556),
    _xlpm.ints, CHOOSE({1,2,3,4,5,6}, R556, U556, X556, AA556, AD556, AG556),
    _xlpm.limit, -0.00001*_xlpm.slopes + 0.1086*_xlpm.slopes + 63.253,
    _xlpm.valid, (_xlpm.vals &gt;= 0) * (_xlpm.ints &lt;= _xlpm.limit),
    _xlpm.target, MIN(_xlfn._xlws.FILTER(_xlpm.vals, _xlpm.valid)),
    IFERROR(
        _xlfn.XLOOKUP(_xlpm.target, _xlpm.vals, _xlpm.vals),
        CHOOSE({1,2,3,4,5,6}, S$1, V$1, Y$1, AB$1, AE$1, AH$1)
    )
)</f>
        <v>0.71859739966980052</v>
      </c>
    </row>
    <row r="557" spans="9:36" x14ac:dyDescent="0.45">
      <c r="I557">
        <v>555</v>
      </c>
      <c r="J557">
        <v>17.7</v>
      </c>
      <c r="K557">
        <f t="shared" si="185"/>
        <v>17.7</v>
      </c>
      <c r="L557">
        <f t="shared" si="184"/>
        <v>4.9166666666666664E-3</v>
      </c>
      <c r="M557">
        <v>2.56</v>
      </c>
      <c r="N557">
        <f t="shared" si="186"/>
        <v>2.56</v>
      </c>
      <c r="O557">
        <f t="shared" si="187"/>
        <v>230.01473533305492</v>
      </c>
      <c r="P557">
        <f t="shared" si="188"/>
        <v>736.04715306577577</v>
      </c>
      <c r="Q557">
        <f t="shared" si="189"/>
        <v>3371.0959610412533</v>
      </c>
      <c r="R557">
        <f t="shared" si="190"/>
        <v>7.2517067272579983</v>
      </c>
      <c r="S557">
        <f t="shared" si="191"/>
        <v>1.3742243355206363</v>
      </c>
      <c r="T557">
        <f t="shared" si="192"/>
        <v>2178.6995730746962</v>
      </c>
      <c r="U557">
        <f t="shared" si="193"/>
        <v>11.220546219878932</v>
      </c>
      <c r="V557">
        <f t="shared" si="194"/>
        <v>0.72280519871637594</v>
      </c>
      <c r="W557">
        <f t="shared" si="195"/>
        <v>1405.8500623556317</v>
      </c>
      <c r="X557">
        <f t="shared" si="196"/>
        <v>17.38890932504798</v>
      </c>
      <c r="Y557">
        <f t="shared" si="197"/>
        <v>0.55542728022479559</v>
      </c>
      <c r="Z557">
        <f t="shared" si="198"/>
        <v>1059.907900414717</v>
      </c>
      <c r="AA557">
        <f t="shared" si="199"/>
        <v>23.064456118640027</v>
      </c>
      <c r="AB557">
        <f t="shared" si="200"/>
        <v>0.50220094533963011</v>
      </c>
      <c r="AC557">
        <f t="shared" si="201"/>
        <v>6000</v>
      </c>
      <c r="AD557">
        <f t="shared" si="202"/>
        <v>4.0743665431525207</v>
      </c>
      <c r="AE557">
        <f t="shared" si="203"/>
        <v>6.7271951395495826</v>
      </c>
      <c r="AF557">
        <f t="shared" si="204"/>
        <v>6000</v>
      </c>
      <c r="AG557">
        <f t="shared" si="205"/>
        <v>4.0743665431525207</v>
      </c>
      <c r="AH557">
        <f t="shared" si="206"/>
        <v>6.7271951395495826</v>
      </c>
      <c r="AI557" cm="1">
        <f t="array" ref="AI557">_xlfn.LET(
    _xlpm.vals,   _xlfn.HSTACK(S557,V557,Y557,AB557,AE557,AH557),
    _xlpm.ints,   _xlfn.HSTACK(R557,U557,X557,AA557,AD557,AG557),
    _xlpm.slopes, _xlfn.HSTACK(Q557,T557,W557,Z557,AC557,AF557),
    _xlpm.limit,  -0.00001*_xlpm.slopes + 0.1086*_xlpm.slopes + 63.253,
    _xlpm.mask,   (_xlpm.vals&gt;=0) * (_xlpm.ints&lt;=_xlpm.limit),
    _xlpm.validVals, _xlfn._xlws.FILTER(_xlpm.vals, _xlpm.mask),
    _xlpm.minVal, MIN(_xlpm.validVals),
    IFERROR( _xlfn.XMATCH(_xlpm.minVal, _xlpm.vals), "" )
)</f>
        <v>4</v>
      </c>
      <c r="AJ557" cm="1">
        <f t="array" ref="AJ557">_xlfn.LET(
    _xlpm.vals, CHOOSE({1,2,3,4,5,6}, S557, V557, Y557, AB557, AE557, AH557),
    _xlpm.slopes, CHOOSE({1,2,3,4,5,6}, Q557, T557, W557, Z557, AC557, AF557),
    _xlpm.ints, CHOOSE({1,2,3,4,5,6}, R557, U557, X557, AA557, AD557, AG557),
    _xlpm.limit, -0.00001*_xlpm.slopes + 0.1086*_xlpm.slopes + 63.253,
    _xlpm.valid, (_xlpm.vals &gt;= 0) * (_xlpm.ints &lt;= _xlpm.limit),
    _xlpm.target, MIN(_xlfn._xlws.FILTER(_xlpm.vals, _xlpm.valid)),
    IFERROR(
        _xlfn.XLOOKUP(_xlpm.target, _xlpm.vals, _xlpm.vals),
        CHOOSE({1,2,3,4,5,6}, S$1, V$1, Y$1, AB$1, AE$1, AH$1)
    )
)</f>
        <v>0.50220094533963011</v>
      </c>
    </row>
    <row r="558" spans="9:36" x14ac:dyDescent="0.45">
      <c r="I558">
        <v>556</v>
      </c>
      <c r="J558">
        <v>17.5</v>
      </c>
      <c r="K558">
        <f t="shared" si="185"/>
        <v>17.5</v>
      </c>
      <c r="L558">
        <f t="shared" si="184"/>
        <v>4.8611111111111112E-3</v>
      </c>
      <c r="M558">
        <v>0.35</v>
      </c>
      <c r="N558">
        <f t="shared" si="186"/>
        <v>0.35</v>
      </c>
      <c r="O558">
        <f t="shared" si="187"/>
        <v>227.41569877561929</v>
      </c>
      <c r="P558">
        <f t="shared" si="188"/>
        <v>727.73023608198173</v>
      </c>
      <c r="Q558">
        <f t="shared" si="189"/>
        <v>3333.0044812554765</v>
      </c>
      <c r="R558">
        <f t="shared" si="190"/>
        <v>1.0027750708786449</v>
      </c>
      <c r="S558">
        <f t="shared" si="191"/>
        <v>1.2459897691821866</v>
      </c>
      <c r="T558">
        <f t="shared" si="192"/>
        <v>2154.0814988026659</v>
      </c>
      <c r="U558">
        <f t="shared" si="193"/>
        <v>1.5515911569676335</v>
      </c>
      <c r="V558">
        <f t="shared" si="194"/>
        <v>0.58960536328103175</v>
      </c>
      <c r="W558">
        <f t="shared" si="195"/>
        <v>1389.964750916585</v>
      </c>
      <c r="X558">
        <f t="shared" si="196"/>
        <v>2.4045601176042908</v>
      </c>
      <c r="Y558">
        <f t="shared" si="197"/>
        <v>0.40892523105297413</v>
      </c>
      <c r="Z558">
        <f t="shared" si="198"/>
        <v>1047.9315399580537</v>
      </c>
      <c r="AA558">
        <f t="shared" si="199"/>
        <v>3.1893818226556911</v>
      </c>
      <c r="AB558">
        <f t="shared" si="200"/>
        <v>0.34823666919411927</v>
      </c>
      <c r="AC558">
        <f t="shared" si="201"/>
        <v>6000</v>
      </c>
      <c r="AD558">
        <f t="shared" si="202"/>
        <v>0.55704230082163375</v>
      </c>
      <c r="AE558">
        <f t="shared" si="203"/>
        <v>6.7034286247971728</v>
      </c>
      <c r="AF558">
        <f t="shared" si="204"/>
        <v>6000</v>
      </c>
      <c r="AG558">
        <f t="shared" si="205"/>
        <v>0.55704230082163375</v>
      </c>
      <c r="AH558">
        <f t="shared" si="206"/>
        <v>6.7034286247971728</v>
      </c>
      <c r="AI558" cm="1">
        <f t="array" ref="AI558">_xlfn.LET(
    _xlpm.vals,   _xlfn.HSTACK(S558,V558,Y558,AB558,AE558,AH558),
    _xlpm.ints,   _xlfn.HSTACK(R558,U558,X558,AA558,AD558,AG558),
    _xlpm.slopes, _xlfn.HSTACK(Q558,T558,W558,Z558,AC558,AF558),
    _xlpm.limit,  -0.00001*_xlpm.slopes + 0.1086*_xlpm.slopes + 63.253,
    _xlpm.mask,   (_xlpm.vals&gt;=0) * (_xlpm.ints&lt;=_xlpm.limit),
    _xlpm.validVals, _xlfn._xlws.FILTER(_xlpm.vals, _xlpm.mask),
    _xlpm.minVal, MIN(_xlpm.validVals),
    IFERROR( _xlfn.XMATCH(_xlpm.minVal, _xlpm.vals), "" )
)</f>
        <v>4</v>
      </c>
      <c r="AJ558" cm="1">
        <f t="array" ref="AJ558">_xlfn.LET(
    _xlpm.vals, CHOOSE({1,2,3,4,5,6}, S558, V558, Y558, AB558, AE558, AH558),
    _xlpm.slopes, CHOOSE({1,2,3,4,5,6}, Q558, T558, W558, Z558, AC558, AF558),
    _xlpm.ints, CHOOSE({1,2,3,4,5,6}, R558, U558, X558, AA558, AD558, AG558),
    _xlpm.limit, -0.00001*_xlpm.slopes + 0.1086*_xlpm.slopes + 63.253,
    _xlpm.valid, (_xlpm.vals &gt;= 0) * (_xlpm.ints &lt;= _xlpm.limit),
    _xlpm.target, MIN(_xlfn._xlws.FILTER(_xlpm.vals, _xlpm.valid)),
    IFERROR(
        _xlfn.XLOOKUP(_xlpm.target, _xlpm.vals, _xlpm.vals),
        CHOOSE({1,2,3,4,5,6}, S$1, V$1, Y$1, AB$1, AE$1, AH$1)
    )
)</f>
        <v>0.34823666919411927</v>
      </c>
    </row>
    <row r="559" spans="9:36" x14ac:dyDescent="0.45">
      <c r="I559">
        <v>557</v>
      </c>
      <c r="J559">
        <v>17.2</v>
      </c>
      <c r="K559">
        <f t="shared" si="185"/>
        <v>17.2</v>
      </c>
      <c r="L559">
        <f t="shared" si="184"/>
        <v>4.7777777777777775E-3</v>
      </c>
      <c r="M559">
        <v>-0.26</v>
      </c>
      <c r="N559">
        <f t="shared" si="186"/>
        <v>0</v>
      </c>
      <c r="O559">
        <f t="shared" si="187"/>
        <v>223.51714393946583</v>
      </c>
      <c r="P559">
        <f t="shared" si="188"/>
        <v>715.25486060629066</v>
      </c>
      <c r="Q559">
        <f t="shared" si="189"/>
        <v>3275.8672615768114</v>
      </c>
      <c r="R559">
        <f t="shared" si="190"/>
        <v>0</v>
      </c>
      <c r="S559">
        <f t="shared" si="191"/>
        <v>1.1831658450192712</v>
      </c>
      <c r="T559">
        <f t="shared" si="192"/>
        <v>2117.1543873946202</v>
      </c>
      <c r="U559">
        <f t="shared" si="193"/>
        <v>0</v>
      </c>
      <c r="V559">
        <f t="shared" si="194"/>
        <v>0.55948242811980942</v>
      </c>
      <c r="W559">
        <f t="shared" si="195"/>
        <v>1366.1367837580151</v>
      </c>
      <c r="X559">
        <f t="shared" si="196"/>
        <v>0</v>
      </c>
      <c r="Y559">
        <f t="shared" si="197"/>
        <v>0.38459621873422722</v>
      </c>
      <c r="Z559">
        <f t="shared" si="198"/>
        <v>1029.9669992730585</v>
      </c>
      <c r="AA559">
        <f t="shared" si="199"/>
        <v>0</v>
      </c>
      <c r="AB559">
        <f t="shared" si="200"/>
        <v>0.3252504997409702</v>
      </c>
      <c r="AC559">
        <f t="shared" si="201"/>
        <v>6000</v>
      </c>
      <c r="AD559">
        <f t="shared" si="202"/>
        <v>0</v>
      </c>
      <c r="AE559">
        <f t="shared" si="203"/>
        <v>6.7000407999999982</v>
      </c>
      <c r="AF559">
        <f t="shared" si="204"/>
        <v>6000</v>
      </c>
      <c r="AG559">
        <f t="shared" si="205"/>
        <v>0</v>
      </c>
      <c r="AH559">
        <f t="shared" si="206"/>
        <v>6.7000407999999982</v>
      </c>
      <c r="AI559" cm="1">
        <f t="array" ref="AI559">_xlfn.LET(
    _xlpm.vals,   _xlfn.HSTACK(S559,V559,Y559,AB559,AE559,AH559),
    _xlpm.ints,   _xlfn.HSTACK(R559,U559,X559,AA559,AD559,AG559),
    _xlpm.slopes, _xlfn.HSTACK(Q559,T559,W559,Z559,AC559,AF559),
    _xlpm.limit,  -0.00001*_xlpm.slopes + 0.1086*_xlpm.slopes + 63.253,
    _xlpm.mask,   (_xlpm.vals&gt;=0) * (_xlpm.ints&lt;=_xlpm.limit),
    _xlpm.validVals, _xlfn._xlws.FILTER(_xlpm.vals, _xlpm.mask),
    _xlpm.minVal, MIN(_xlpm.validVals),
    IFERROR( _xlfn.XMATCH(_xlpm.minVal, _xlpm.vals), "" )
)</f>
        <v>4</v>
      </c>
      <c r="AJ559" cm="1">
        <f t="array" ref="AJ559">_xlfn.LET(
    _xlpm.vals, CHOOSE({1,2,3,4,5,6}, S559, V559, Y559, AB559, AE559, AH559),
    _xlpm.slopes, CHOOSE({1,2,3,4,5,6}, Q559, T559, W559, Z559, AC559, AF559),
    _xlpm.ints, CHOOSE({1,2,3,4,5,6}, R559, U559, X559, AA559, AD559, AG559),
    _xlpm.limit, -0.00001*_xlpm.slopes + 0.1086*_xlpm.slopes + 63.253,
    _xlpm.valid, (_xlpm.vals &gt;= 0) * (_xlpm.ints &lt;= _xlpm.limit),
    _xlpm.target, MIN(_xlfn._xlws.FILTER(_xlpm.vals, _xlpm.valid)),
    IFERROR(
        _xlfn.XLOOKUP(_xlpm.target, _xlpm.vals, _xlpm.vals),
        CHOOSE({1,2,3,4,5,6}, S$1, V$1, Y$1, AB$1, AE$1, AH$1)
    )
)</f>
        <v>0.3252504997409702</v>
      </c>
    </row>
    <row r="560" spans="9:36" x14ac:dyDescent="0.45">
      <c r="I560">
        <v>558</v>
      </c>
      <c r="J560">
        <v>17.2</v>
      </c>
      <c r="K560">
        <f t="shared" si="185"/>
        <v>17.2</v>
      </c>
      <c r="L560">
        <f t="shared" si="184"/>
        <v>4.7777777777777775E-3</v>
      </c>
      <c r="M560">
        <v>1.24</v>
      </c>
      <c r="N560">
        <f t="shared" si="186"/>
        <v>1.24</v>
      </c>
      <c r="O560">
        <f t="shared" si="187"/>
        <v>223.51714393946583</v>
      </c>
      <c r="P560">
        <f t="shared" si="188"/>
        <v>715.25486060629066</v>
      </c>
      <c r="Q560">
        <f t="shared" si="189"/>
        <v>3275.8672615768114</v>
      </c>
      <c r="R560">
        <f t="shared" si="190"/>
        <v>3.6146543252602319</v>
      </c>
      <c r="S560">
        <f t="shared" si="191"/>
        <v>1.235929868669928</v>
      </c>
      <c r="T560">
        <f t="shared" si="192"/>
        <v>2117.1543873946202</v>
      </c>
      <c r="U560">
        <f t="shared" si="193"/>
        <v>5.5929448681391429</v>
      </c>
      <c r="V560">
        <f t="shared" si="194"/>
        <v>0.62712142035088092</v>
      </c>
      <c r="W560">
        <f t="shared" si="195"/>
        <v>1366.1367837580151</v>
      </c>
      <c r="X560">
        <f t="shared" si="196"/>
        <v>8.6676004239224422</v>
      </c>
      <c r="Y560">
        <f t="shared" si="197"/>
        <v>0.45916722554615352</v>
      </c>
      <c r="Z560">
        <f t="shared" si="198"/>
        <v>1029.9669992730585</v>
      </c>
      <c r="AA560">
        <f t="shared" si="199"/>
        <v>11.49660889561935</v>
      </c>
      <c r="AB560">
        <f t="shared" si="200"/>
        <v>0.40113171618634968</v>
      </c>
      <c r="AC560">
        <f t="shared" si="201"/>
        <v>6000</v>
      </c>
      <c r="AD560">
        <f t="shared" si="202"/>
        <v>1.9735212943395022</v>
      </c>
      <c r="AE560">
        <f t="shared" si="203"/>
        <v>6.7125086662998772</v>
      </c>
      <c r="AF560">
        <f t="shared" si="204"/>
        <v>6000</v>
      </c>
      <c r="AG560">
        <f t="shared" si="205"/>
        <v>1.9735212943395022</v>
      </c>
      <c r="AH560">
        <f t="shared" si="206"/>
        <v>6.7125086662998772</v>
      </c>
      <c r="AI560" cm="1">
        <f t="array" ref="AI560">_xlfn.LET(
    _xlpm.vals,   _xlfn.HSTACK(S560,V560,Y560,AB560,AE560,AH560),
    _xlpm.ints,   _xlfn.HSTACK(R560,U560,X560,AA560,AD560,AG560),
    _xlpm.slopes, _xlfn.HSTACK(Q560,T560,W560,Z560,AC560,AF560),
    _xlpm.limit,  -0.00001*_xlpm.slopes + 0.1086*_xlpm.slopes + 63.253,
    _xlpm.mask,   (_xlpm.vals&gt;=0) * (_xlpm.ints&lt;=_xlpm.limit),
    _xlpm.validVals, _xlfn._xlws.FILTER(_xlpm.vals, _xlpm.mask),
    _xlpm.minVal, MIN(_xlpm.validVals),
    IFERROR( _xlfn.XMATCH(_xlpm.minVal, _xlpm.vals), "" )
)</f>
        <v>4</v>
      </c>
      <c r="AJ560" cm="1">
        <f t="array" ref="AJ560">_xlfn.LET(
    _xlpm.vals, CHOOSE({1,2,3,4,5,6}, S560, V560, Y560, AB560, AE560, AH560),
    _xlpm.slopes, CHOOSE({1,2,3,4,5,6}, Q560, T560, W560, Z560, AC560, AF560),
    _xlpm.ints, CHOOSE({1,2,3,4,5,6}, R560, U560, X560, AA560, AD560, AG560),
    _xlpm.limit, -0.00001*_xlpm.slopes + 0.1086*_xlpm.slopes + 63.253,
    _xlpm.valid, (_xlpm.vals &gt;= 0) * (_xlpm.ints &lt;= _xlpm.limit),
    _xlpm.target, MIN(_xlfn._xlws.FILTER(_xlpm.vals, _xlpm.valid)),
    IFERROR(
        _xlfn.XLOOKUP(_xlpm.target, _xlpm.vals, _xlpm.vals),
        CHOOSE({1,2,3,4,5,6}, S$1, V$1, Y$1, AB$1, AE$1, AH$1)
    )
)</f>
        <v>0.40113171618634968</v>
      </c>
    </row>
    <row r="561" spans="9:36" x14ac:dyDescent="0.45">
      <c r="I561">
        <v>559</v>
      </c>
      <c r="J561">
        <v>17</v>
      </c>
      <c r="K561">
        <f t="shared" si="185"/>
        <v>17</v>
      </c>
      <c r="L561">
        <f t="shared" si="184"/>
        <v>4.7222222222222223E-3</v>
      </c>
      <c r="M561">
        <v>1.27</v>
      </c>
      <c r="N561">
        <f t="shared" si="186"/>
        <v>1.27</v>
      </c>
      <c r="O561">
        <f t="shared" si="187"/>
        <v>220.91810738203017</v>
      </c>
      <c r="P561">
        <f t="shared" si="188"/>
        <v>706.93794362249662</v>
      </c>
      <c r="Q561">
        <f t="shared" si="189"/>
        <v>3237.7757817910347</v>
      </c>
      <c r="R561">
        <f t="shared" si="190"/>
        <v>3.7456598235761152</v>
      </c>
      <c r="S561">
        <f t="shared" si="191"/>
        <v>1.2066080908355734</v>
      </c>
      <c r="T561">
        <f t="shared" si="192"/>
        <v>2092.5363131225899</v>
      </c>
      <c r="U561">
        <f t="shared" si="193"/>
        <v>5.7956493216143947</v>
      </c>
      <c r="V561">
        <f t="shared" si="194"/>
        <v>0.62153478371642179</v>
      </c>
      <c r="W561">
        <f t="shared" si="195"/>
        <v>1350.2514723189686</v>
      </c>
      <c r="X561">
        <f t="shared" si="196"/>
        <v>8.981739262816026</v>
      </c>
      <c r="Y561">
        <f t="shared" si="197"/>
        <v>0.45831833671041106</v>
      </c>
      <c r="Z561">
        <f t="shared" si="198"/>
        <v>1017.9906388163951</v>
      </c>
      <c r="AA561">
        <f t="shared" si="199"/>
        <v>11.913279161096256</v>
      </c>
      <c r="AB561">
        <f t="shared" si="200"/>
        <v>0.40105405423618207</v>
      </c>
      <c r="AC561">
        <f t="shared" si="201"/>
        <v>6000</v>
      </c>
      <c r="AD561">
        <f t="shared" si="202"/>
        <v>2.0212677772670711</v>
      </c>
      <c r="AE561">
        <f t="shared" si="203"/>
        <v>6.7128263223612938</v>
      </c>
      <c r="AF561">
        <f t="shared" si="204"/>
        <v>6000</v>
      </c>
      <c r="AG561">
        <f t="shared" si="205"/>
        <v>2.0212677772670711</v>
      </c>
      <c r="AH561">
        <f t="shared" si="206"/>
        <v>6.7128263223612938</v>
      </c>
      <c r="AI561" cm="1">
        <f t="array" ref="AI561">_xlfn.LET(
    _xlpm.vals,   _xlfn.HSTACK(S561,V561,Y561,AB561,AE561,AH561),
    _xlpm.ints,   _xlfn.HSTACK(R561,U561,X561,AA561,AD561,AG561),
    _xlpm.slopes, _xlfn.HSTACK(Q561,T561,W561,Z561,AC561,AF561),
    _xlpm.limit,  -0.00001*_xlpm.slopes + 0.1086*_xlpm.slopes + 63.253,
    _xlpm.mask,   (_xlpm.vals&gt;=0) * (_xlpm.ints&lt;=_xlpm.limit),
    _xlpm.validVals, _xlfn._xlws.FILTER(_xlpm.vals, _xlpm.mask),
    _xlpm.minVal, MIN(_xlpm.validVals),
    IFERROR( _xlfn.XMATCH(_xlpm.minVal, _xlpm.vals), "" )
)</f>
        <v>4</v>
      </c>
      <c r="AJ561" cm="1">
        <f t="array" ref="AJ561">_xlfn.LET(
    _xlpm.vals, CHOOSE({1,2,3,4,5,6}, S561, V561, Y561, AB561, AE561, AH561),
    _xlpm.slopes, CHOOSE({1,2,3,4,5,6}, Q561, T561, W561, Z561, AC561, AF561),
    _xlpm.ints, CHOOSE({1,2,3,4,5,6}, R561, U561, X561, AA561, AD561, AG561),
    _xlpm.limit, -0.00001*_xlpm.slopes + 0.1086*_xlpm.slopes + 63.253,
    _xlpm.valid, (_xlpm.vals &gt;= 0) * (_xlpm.ints &lt;= _xlpm.limit),
    _xlpm.target, MIN(_xlfn._xlws.FILTER(_xlpm.vals, _xlpm.valid)),
    IFERROR(
        _xlfn.XLOOKUP(_xlpm.target, _xlpm.vals, _xlpm.vals),
        CHOOSE({1,2,3,4,5,6}, S$1, V$1, Y$1, AB$1, AE$1, AH$1)
    )
)</f>
        <v>0.40105405423618207</v>
      </c>
    </row>
    <row r="562" spans="9:36" x14ac:dyDescent="0.45">
      <c r="I562">
        <v>560</v>
      </c>
      <c r="J562">
        <v>17.2</v>
      </c>
      <c r="K562">
        <f t="shared" si="185"/>
        <v>17.2</v>
      </c>
      <c r="L562">
        <f t="shared" si="184"/>
        <v>4.7777777777777775E-3</v>
      </c>
      <c r="M562">
        <v>0.97</v>
      </c>
      <c r="N562">
        <f t="shared" si="186"/>
        <v>0.97</v>
      </c>
      <c r="O562">
        <f t="shared" si="187"/>
        <v>223.51714393946583</v>
      </c>
      <c r="P562">
        <f t="shared" si="188"/>
        <v>715.25486060629066</v>
      </c>
      <c r="Q562">
        <f t="shared" si="189"/>
        <v>3275.8672615768114</v>
      </c>
      <c r="R562">
        <f t="shared" si="190"/>
        <v>2.8275924963729233</v>
      </c>
      <c r="S562">
        <f t="shared" si="191"/>
        <v>1.2241967163330616</v>
      </c>
      <c r="T562">
        <f t="shared" si="192"/>
        <v>2117.1543873946202</v>
      </c>
      <c r="U562">
        <f t="shared" si="193"/>
        <v>4.3751262274959428</v>
      </c>
      <c r="V562">
        <f t="shared" si="194"/>
        <v>0.61194087507514028</v>
      </c>
      <c r="W562">
        <f t="shared" si="195"/>
        <v>1366.1367837580151</v>
      </c>
      <c r="X562">
        <f t="shared" si="196"/>
        <v>6.7803003316167496</v>
      </c>
      <c r="Y562">
        <f t="shared" si="197"/>
        <v>0.44206239979692535</v>
      </c>
      <c r="Z562">
        <f t="shared" si="198"/>
        <v>1029.9669992730585</v>
      </c>
      <c r="AA562">
        <f t="shared" si="199"/>
        <v>8.9933150231861045</v>
      </c>
      <c r="AB562">
        <f t="shared" si="200"/>
        <v>0.38327608460398149</v>
      </c>
      <c r="AC562">
        <f t="shared" si="201"/>
        <v>6000</v>
      </c>
      <c r="AD562">
        <f t="shared" si="202"/>
        <v>1.5438029479913848</v>
      </c>
      <c r="AE562">
        <f t="shared" si="203"/>
        <v>6.7096836973860823</v>
      </c>
      <c r="AF562">
        <f t="shared" si="204"/>
        <v>6000</v>
      </c>
      <c r="AG562">
        <f t="shared" si="205"/>
        <v>1.5438029479913848</v>
      </c>
      <c r="AH562">
        <f t="shared" si="206"/>
        <v>6.7096836973860823</v>
      </c>
      <c r="AI562" cm="1">
        <f t="array" ref="AI562">_xlfn.LET(
    _xlpm.vals,   _xlfn.HSTACK(S562,V562,Y562,AB562,AE562,AH562),
    _xlpm.ints,   _xlfn.HSTACK(R562,U562,X562,AA562,AD562,AG562),
    _xlpm.slopes, _xlfn.HSTACK(Q562,T562,W562,Z562,AC562,AF562),
    _xlpm.limit,  -0.00001*_xlpm.slopes + 0.1086*_xlpm.slopes + 63.253,
    _xlpm.mask,   (_xlpm.vals&gt;=0) * (_xlpm.ints&lt;=_xlpm.limit),
    _xlpm.validVals, _xlfn._xlws.FILTER(_xlpm.vals, _xlpm.mask),
    _xlpm.minVal, MIN(_xlpm.validVals),
    IFERROR( _xlfn.XMATCH(_xlpm.minVal, _xlpm.vals), "" )
)</f>
        <v>4</v>
      </c>
      <c r="AJ562" cm="1">
        <f t="array" ref="AJ562">_xlfn.LET(
    _xlpm.vals, CHOOSE({1,2,3,4,5,6}, S562, V562, Y562, AB562, AE562, AH562),
    _xlpm.slopes, CHOOSE({1,2,3,4,5,6}, Q562, T562, W562, Z562, AC562, AF562),
    _xlpm.ints, CHOOSE({1,2,3,4,5,6}, R562, U562, X562, AA562, AD562, AG562),
    _xlpm.limit, -0.00001*_xlpm.slopes + 0.1086*_xlpm.slopes + 63.253,
    _xlpm.valid, (_xlpm.vals &gt;= 0) * (_xlpm.ints &lt;= _xlpm.limit),
    _xlpm.target, MIN(_xlfn._xlws.FILTER(_xlpm.vals, _xlpm.valid)),
    IFERROR(
        _xlfn.XLOOKUP(_xlpm.target, _xlpm.vals, _xlpm.vals),
        CHOOSE({1,2,3,4,5,6}, S$1, V$1, Y$1, AB$1, AE$1, AH$1)
    )
)</f>
        <v>0.38327608460398149</v>
      </c>
    </row>
    <row r="563" spans="9:36" x14ac:dyDescent="0.45">
      <c r="I563">
        <v>561</v>
      </c>
      <c r="J563">
        <v>17.399999999999999</v>
      </c>
      <c r="K563">
        <f t="shared" si="185"/>
        <v>17.399999999999999</v>
      </c>
      <c r="L563">
        <f t="shared" si="184"/>
        <v>4.8333333333333327E-3</v>
      </c>
      <c r="M563">
        <v>3.16</v>
      </c>
      <c r="N563">
        <f t="shared" si="186"/>
        <v>3.16</v>
      </c>
      <c r="O563">
        <f t="shared" si="187"/>
        <v>226.11618049690145</v>
      </c>
      <c r="P563">
        <f t="shared" si="188"/>
        <v>723.57177759008471</v>
      </c>
      <c r="Q563">
        <f t="shared" si="189"/>
        <v>3313.9587413625882</v>
      </c>
      <c r="R563">
        <f t="shared" si="190"/>
        <v>9.1056586895876972</v>
      </c>
      <c r="S563">
        <f t="shared" si="191"/>
        <v>1.3538056720063061</v>
      </c>
      <c r="T563">
        <f t="shared" si="192"/>
        <v>2141.7724616666505</v>
      </c>
      <c r="U563">
        <f t="shared" si="193"/>
        <v>14.089161080510696</v>
      </c>
      <c r="V563">
        <f t="shared" si="194"/>
        <v>0.74878677762709112</v>
      </c>
      <c r="W563">
        <f t="shared" si="195"/>
        <v>1382.0220951970618</v>
      </c>
      <c r="X563">
        <f t="shared" si="196"/>
        <v>21.834511412728613</v>
      </c>
      <c r="Y563">
        <f t="shared" si="197"/>
        <v>0.59549823743035468</v>
      </c>
      <c r="Z563">
        <f t="shared" si="198"/>
        <v>1041.943359729722</v>
      </c>
      <c r="AA563">
        <f t="shared" si="199"/>
        <v>28.961053332160869</v>
      </c>
      <c r="AB563">
        <f t="shared" si="200"/>
        <v>0.54748940557723669</v>
      </c>
      <c r="AC563">
        <f t="shared" si="201"/>
        <v>6000</v>
      </c>
      <c r="AD563">
        <f t="shared" si="202"/>
        <v>5.0292962017038931</v>
      </c>
      <c r="AE563">
        <f t="shared" si="203"/>
        <v>6.7343478286253662</v>
      </c>
      <c r="AF563">
        <f t="shared" si="204"/>
        <v>6000</v>
      </c>
      <c r="AG563">
        <f t="shared" si="205"/>
        <v>5.0292962017038931</v>
      </c>
      <c r="AH563">
        <f t="shared" si="206"/>
        <v>6.7343478286253662</v>
      </c>
      <c r="AI563" cm="1">
        <f t="array" ref="AI563">_xlfn.LET(
    _xlpm.vals,   _xlfn.HSTACK(S563,V563,Y563,AB563,AE563,AH563),
    _xlpm.ints,   _xlfn.HSTACK(R563,U563,X563,AA563,AD563,AG563),
    _xlpm.slopes, _xlfn.HSTACK(Q563,T563,W563,Z563,AC563,AF563),
    _xlpm.limit,  -0.00001*_xlpm.slopes + 0.1086*_xlpm.slopes + 63.253,
    _xlpm.mask,   (_xlpm.vals&gt;=0) * (_xlpm.ints&lt;=_xlpm.limit),
    _xlpm.validVals, _xlfn._xlws.FILTER(_xlpm.vals, _xlpm.mask),
    _xlpm.minVal, MIN(_xlpm.validVals),
    IFERROR( _xlfn.XMATCH(_xlpm.minVal, _xlpm.vals), "" )
)</f>
        <v>4</v>
      </c>
      <c r="AJ563" cm="1">
        <f t="array" ref="AJ563">_xlfn.LET(
    _xlpm.vals, CHOOSE({1,2,3,4,5,6}, S563, V563, Y563, AB563, AE563, AH563),
    _xlpm.slopes, CHOOSE({1,2,3,4,5,6}, Q563, T563, W563, Z563, AC563, AF563),
    _xlpm.ints, CHOOSE({1,2,3,4,5,6}, R563, U563, X563, AA563, AD563, AG563),
    _xlpm.limit, -0.00001*_xlpm.slopes + 0.1086*_xlpm.slopes + 63.253,
    _xlpm.valid, (_xlpm.vals &gt;= 0) * (_xlpm.ints &lt;= _xlpm.limit),
    _xlpm.target, MIN(_xlfn._xlws.FILTER(_xlpm.vals, _xlpm.valid)),
    IFERROR(
        _xlfn.XLOOKUP(_xlpm.target, _xlpm.vals, _xlpm.vals),
        CHOOSE({1,2,3,4,5,6}, S$1, V$1, Y$1, AB$1, AE$1, AH$1)
    )
)</f>
        <v>0.54748940557723669</v>
      </c>
    </row>
    <row r="564" spans="9:36" x14ac:dyDescent="0.45">
      <c r="I564">
        <v>562</v>
      </c>
      <c r="J564">
        <v>17.2</v>
      </c>
      <c r="K564">
        <f t="shared" si="185"/>
        <v>17.2</v>
      </c>
      <c r="L564">
        <f t="shared" si="184"/>
        <v>4.7777777777777775E-3</v>
      </c>
      <c r="M564">
        <v>-0.08</v>
      </c>
      <c r="N564">
        <f t="shared" si="186"/>
        <v>0</v>
      </c>
      <c r="O564">
        <f t="shared" si="187"/>
        <v>223.51714393946583</v>
      </c>
      <c r="P564">
        <f t="shared" si="188"/>
        <v>715.25486060629066</v>
      </c>
      <c r="Q564">
        <f t="shared" si="189"/>
        <v>3275.8672615768114</v>
      </c>
      <c r="R564">
        <f t="shared" si="190"/>
        <v>0</v>
      </c>
      <c r="S564">
        <f t="shared" si="191"/>
        <v>1.1831658450192712</v>
      </c>
      <c r="T564">
        <f t="shared" si="192"/>
        <v>2117.1543873946202</v>
      </c>
      <c r="U564">
        <f t="shared" si="193"/>
        <v>0</v>
      </c>
      <c r="V564">
        <f t="shared" si="194"/>
        <v>0.55948242811980942</v>
      </c>
      <c r="W564">
        <f t="shared" si="195"/>
        <v>1366.1367837580151</v>
      </c>
      <c r="X564">
        <f t="shared" si="196"/>
        <v>0</v>
      </c>
      <c r="Y564">
        <f t="shared" si="197"/>
        <v>0.38459621873422722</v>
      </c>
      <c r="Z564">
        <f t="shared" si="198"/>
        <v>1029.9669992730585</v>
      </c>
      <c r="AA564">
        <f t="shared" si="199"/>
        <v>0</v>
      </c>
      <c r="AB564">
        <f t="shared" si="200"/>
        <v>0.3252504997409702</v>
      </c>
      <c r="AC564">
        <f t="shared" si="201"/>
        <v>6000</v>
      </c>
      <c r="AD564">
        <f t="shared" si="202"/>
        <v>0</v>
      </c>
      <c r="AE564">
        <f t="shared" si="203"/>
        <v>6.7000407999999982</v>
      </c>
      <c r="AF564">
        <f t="shared" si="204"/>
        <v>6000</v>
      </c>
      <c r="AG564">
        <f t="shared" si="205"/>
        <v>0</v>
      </c>
      <c r="AH564">
        <f t="shared" si="206"/>
        <v>6.7000407999999982</v>
      </c>
      <c r="AI564" cm="1">
        <f t="array" ref="AI564">_xlfn.LET(
    _xlpm.vals,   _xlfn.HSTACK(S564,V564,Y564,AB564,AE564,AH564),
    _xlpm.ints,   _xlfn.HSTACK(R564,U564,X564,AA564,AD564,AG564),
    _xlpm.slopes, _xlfn.HSTACK(Q564,T564,W564,Z564,AC564,AF564),
    _xlpm.limit,  -0.00001*_xlpm.slopes + 0.1086*_xlpm.slopes + 63.253,
    _xlpm.mask,   (_xlpm.vals&gt;=0) * (_xlpm.ints&lt;=_xlpm.limit),
    _xlpm.validVals, _xlfn._xlws.FILTER(_xlpm.vals, _xlpm.mask),
    _xlpm.minVal, MIN(_xlpm.validVals),
    IFERROR( _xlfn.XMATCH(_xlpm.minVal, _xlpm.vals), "" )
)</f>
        <v>4</v>
      </c>
      <c r="AJ564" cm="1">
        <f t="array" ref="AJ564">_xlfn.LET(
    _xlpm.vals, CHOOSE({1,2,3,4,5,6}, S564, V564, Y564, AB564, AE564, AH564),
    _xlpm.slopes, CHOOSE({1,2,3,4,5,6}, Q564, T564, W564, Z564, AC564, AF564),
    _xlpm.ints, CHOOSE({1,2,3,4,5,6}, R564, U564, X564, AA564, AD564, AG564),
    _xlpm.limit, -0.00001*_xlpm.slopes + 0.1086*_xlpm.slopes + 63.253,
    _xlpm.valid, (_xlpm.vals &gt;= 0) * (_xlpm.ints &lt;= _xlpm.limit),
    _xlpm.target, MIN(_xlfn._xlws.FILTER(_xlpm.vals, _xlpm.valid)),
    IFERROR(
        _xlfn.XLOOKUP(_xlpm.target, _xlpm.vals, _xlpm.vals),
        CHOOSE({1,2,3,4,5,6}, S$1, V$1, Y$1, AB$1, AE$1, AH$1)
    )
)</f>
        <v>0.3252504997409702</v>
      </c>
    </row>
    <row r="565" spans="9:36" x14ac:dyDescent="0.45">
      <c r="I565">
        <v>563</v>
      </c>
      <c r="J565">
        <v>17</v>
      </c>
      <c r="K565">
        <f t="shared" si="185"/>
        <v>17</v>
      </c>
      <c r="L565">
        <f t="shared" si="184"/>
        <v>4.7222222222222223E-3</v>
      </c>
      <c r="M565">
        <v>0.94</v>
      </c>
      <c r="N565">
        <f t="shared" si="186"/>
        <v>0.94</v>
      </c>
      <c r="O565">
        <f t="shared" si="187"/>
        <v>220.91810738203017</v>
      </c>
      <c r="P565">
        <f t="shared" si="188"/>
        <v>706.93794362249662</v>
      </c>
      <c r="Q565">
        <f t="shared" si="189"/>
        <v>3237.7757817910347</v>
      </c>
      <c r="R565">
        <f t="shared" si="190"/>
        <v>2.7723781371350773</v>
      </c>
      <c r="S565">
        <f t="shared" si="191"/>
        <v>1.1921224326939026</v>
      </c>
      <c r="T565">
        <f t="shared" si="192"/>
        <v>2092.5363131225899</v>
      </c>
      <c r="U565">
        <f t="shared" si="193"/>
        <v>4.2896931986752218</v>
      </c>
      <c r="V565">
        <f t="shared" si="194"/>
        <v>0.6028975563370611</v>
      </c>
      <c r="W565">
        <f t="shared" si="195"/>
        <v>1350.2514723189686</v>
      </c>
      <c r="X565">
        <f t="shared" si="196"/>
        <v>6.6479015016118614</v>
      </c>
      <c r="Y565">
        <f t="shared" si="197"/>
        <v>0.43736789149741639</v>
      </c>
      <c r="Z565">
        <f t="shared" si="198"/>
        <v>1017.9906388163951</v>
      </c>
      <c r="AA565">
        <f t="shared" si="199"/>
        <v>8.8177026861657328</v>
      </c>
      <c r="AB565">
        <f t="shared" si="200"/>
        <v>0.37919911135999002</v>
      </c>
      <c r="AC565">
        <f t="shared" si="201"/>
        <v>6000</v>
      </c>
      <c r="AD565">
        <f t="shared" si="202"/>
        <v>1.4960564650638162</v>
      </c>
      <c r="AE565">
        <f t="shared" si="203"/>
        <v>6.7093735867418705</v>
      </c>
      <c r="AF565">
        <f t="shared" si="204"/>
        <v>6000</v>
      </c>
      <c r="AG565">
        <f t="shared" si="205"/>
        <v>1.4960564650638162</v>
      </c>
      <c r="AH565">
        <f t="shared" si="206"/>
        <v>6.7093735867418705</v>
      </c>
      <c r="AI565" cm="1">
        <f t="array" ref="AI565">_xlfn.LET(
    _xlpm.vals,   _xlfn.HSTACK(S565,V565,Y565,AB565,AE565,AH565),
    _xlpm.ints,   _xlfn.HSTACK(R565,U565,X565,AA565,AD565,AG565),
    _xlpm.slopes, _xlfn.HSTACK(Q565,T565,W565,Z565,AC565,AF565),
    _xlpm.limit,  -0.00001*_xlpm.slopes + 0.1086*_xlpm.slopes + 63.253,
    _xlpm.mask,   (_xlpm.vals&gt;=0) * (_xlpm.ints&lt;=_xlpm.limit),
    _xlpm.validVals, _xlfn._xlws.FILTER(_xlpm.vals, _xlpm.mask),
    _xlpm.minVal, MIN(_xlpm.validVals),
    IFERROR( _xlfn.XMATCH(_xlpm.minVal, _xlpm.vals), "" )
)</f>
        <v>4</v>
      </c>
      <c r="AJ565" cm="1">
        <f t="array" ref="AJ565">_xlfn.LET(
    _xlpm.vals, CHOOSE({1,2,3,4,5,6}, S565, V565, Y565, AB565, AE565, AH565),
    _xlpm.slopes, CHOOSE({1,2,3,4,5,6}, Q565, T565, W565, Z565, AC565, AF565),
    _xlpm.ints, CHOOSE({1,2,3,4,5,6}, R565, U565, X565, AA565, AD565, AG565),
    _xlpm.limit, -0.00001*_xlpm.slopes + 0.1086*_xlpm.slopes + 63.253,
    _xlpm.valid, (_xlpm.vals &gt;= 0) * (_xlpm.ints &lt;= _xlpm.limit),
    _xlpm.target, MIN(_xlfn._xlws.FILTER(_xlpm.vals, _xlpm.valid)),
    IFERROR(
        _xlfn.XLOOKUP(_xlpm.target, _xlpm.vals, _xlpm.vals),
        CHOOSE({1,2,3,4,5,6}, S$1, V$1, Y$1, AB$1, AE$1, AH$1)
    )
)</f>
        <v>0.37919911135999002</v>
      </c>
    </row>
    <row r="566" spans="9:36" x14ac:dyDescent="0.45">
      <c r="I566">
        <v>564</v>
      </c>
      <c r="J566">
        <v>16.8</v>
      </c>
      <c r="K566">
        <f t="shared" si="185"/>
        <v>16.8</v>
      </c>
      <c r="L566">
        <f t="shared" si="184"/>
        <v>4.6666666666666671E-3</v>
      </c>
      <c r="M566">
        <v>0.55000000000000004</v>
      </c>
      <c r="N566">
        <f t="shared" si="186"/>
        <v>0.55000000000000004</v>
      </c>
      <c r="O566">
        <f t="shared" si="187"/>
        <v>218.31907082459455</v>
      </c>
      <c r="P566">
        <f t="shared" si="188"/>
        <v>698.62102663870257</v>
      </c>
      <c r="Q566">
        <f t="shared" si="189"/>
        <v>3199.6843020052579</v>
      </c>
      <c r="R566">
        <f t="shared" si="190"/>
        <v>1.641447288640639</v>
      </c>
      <c r="S566">
        <f t="shared" si="191"/>
        <v>1.1451971394766962</v>
      </c>
      <c r="T566">
        <f t="shared" si="192"/>
        <v>2067.9182388505596</v>
      </c>
      <c r="U566">
        <f t="shared" si="193"/>
        <v>2.5398069533696375</v>
      </c>
      <c r="V566">
        <f t="shared" si="194"/>
        <v>0.57406243891104036</v>
      </c>
      <c r="W566">
        <f t="shared" si="195"/>
        <v>1334.3661608799218</v>
      </c>
      <c r="X566">
        <f t="shared" si="196"/>
        <v>3.9360359067927373</v>
      </c>
      <c r="Y566">
        <f t="shared" si="197"/>
        <v>0.41068905283421087</v>
      </c>
      <c r="Z566">
        <f t="shared" si="198"/>
        <v>1006.0142783597316</v>
      </c>
      <c r="AA566">
        <f t="shared" si="199"/>
        <v>5.220714293037588</v>
      </c>
      <c r="AB566">
        <f t="shared" si="200"/>
        <v>0.35262316448908504</v>
      </c>
      <c r="AC566">
        <f t="shared" si="201"/>
        <v>6000</v>
      </c>
      <c r="AD566">
        <f t="shared" si="202"/>
        <v>0.87535218700542439</v>
      </c>
      <c r="AE566">
        <f t="shared" si="203"/>
        <v>6.7054110080200608</v>
      </c>
      <c r="AF566">
        <f t="shared" si="204"/>
        <v>6000</v>
      </c>
      <c r="AG566">
        <f t="shared" si="205"/>
        <v>0.87535218700542439</v>
      </c>
      <c r="AH566">
        <f t="shared" si="206"/>
        <v>6.7054110080200608</v>
      </c>
      <c r="AI566" cm="1">
        <f t="array" ref="AI566">_xlfn.LET(
    _xlpm.vals,   _xlfn.HSTACK(S566,V566,Y566,AB566,AE566,AH566),
    _xlpm.ints,   _xlfn.HSTACK(R566,U566,X566,AA566,AD566,AG566),
    _xlpm.slopes, _xlfn.HSTACK(Q566,T566,W566,Z566,AC566,AF566),
    _xlpm.limit,  -0.00001*_xlpm.slopes + 0.1086*_xlpm.slopes + 63.253,
    _xlpm.mask,   (_xlpm.vals&gt;=0) * (_xlpm.ints&lt;=_xlpm.limit),
    _xlpm.validVals, _xlfn._xlws.FILTER(_xlpm.vals, _xlpm.mask),
    _xlpm.minVal, MIN(_xlpm.validVals),
    IFERROR( _xlfn.XMATCH(_xlpm.minVal, _xlpm.vals), "" )
)</f>
        <v>4</v>
      </c>
      <c r="AJ566" cm="1">
        <f t="array" ref="AJ566">_xlfn.LET(
    _xlpm.vals, CHOOSE({1,2,3,4,5,6}, S566, V566, Y566, AB566, AE566, AH566),
    _xlpm.slopes, CHOOSE({1,2,3,4,5,6}, Q566, T566, W566, Z566, AC566, AF566),
    _xlpm.ints, CHOOSE({1,2,3,4,5,6}, R566, U566, X566, AA566, AD566, AG566),
    _xlpm.limit, -0.00001*_xlpm.slopes + 0.1086*_xlpm.slopes + 63.253,
    _xlpm.valid, (_xlpm.vals &gt;= 0) * (_xlpm.ints &lt;= _xlpm.limit),
    _xlpm.target, MIN(_xlfn._xlws.FILTER(_xlpm.vals, _xlpm.valid)),
    IFERROR(
        _xlfn.XLOOKUP(_xlpm.target, _xlpm.vals, _xlpm.vals),
        CHOOSE({1,2,3,4,5,6}, S$1, V$1, Y$1, AB$1, AE$1, AH$1)
    )
)</f>
        <v>0.35262316448908504</v>
      </c>
    </row>
    <row r="567" spans="9:36" x14ac:dyDescent="0.45">
      <c r="I567">
        <v>565</v>
      </c>
      <c r="J567">
        <v>16.7</v>
      </c>
      <c r="K567">
        <f t="shared" si="185"/>
        <v>16.7</v>
      </c>
      <c r="L567">
        <f t="shared" si="184"/>
        <v>4.6388888888888886E-3</v>
      </c>
      <c r="M567">
        <v>2.3199999999999998</v>
      </c>
      <c r="N567">
        <f t="shared" si="186"/>
        <v>2.3199999999999998</v>
      </c>
      <c r="O567">
        <f t="shared" si="187"/>
        <v>217.01955254587668</v>
      </c>
      <c r="P567">
        <f t="shared" si="188"/>
        <v>694.46256814680544</v>
      </c>
      <c r="Q567">
        <f t="shared" si="189"/>
        <v>3180.6385621123691</v>
      </c>
      <c r="R567">
        <f t="shared" si="190"/>
        <v>6.9653837258636431</v>
      </c>
      <c r="S567">
        <f t="shared" si="191"/>
        <v>1.2104498245253166</v>
      </c>
      <c r="T567">
        <f t="shared" si="192"/>
        <v>2055.6092017145443</v>
      </c>
      <c r="U567">
        <f t="shared" si="193"/>
        <v>10.777519413667392</v>
      </c>
      <c r="V567">
        <f t="shared" si="194"/>
        <v>0.67309988945949617</v>
      </c>
      <c r="W567">
        <f t="shared" si="195"/>
        <v>1326.4235051603982</v>
      </c>
      <c r="X567">
        <f t="shared" si="196"/>
        <v>16.702333751023819</v>
      </c>
      <c r="Y567">
        <f t="shared" si="197"/>
        <v>0.52563003835968147</v>
      </c>
      <c r="Z567">
        <f t="shared" si="198"/>
        <v>1000.0260981313997</v>
      </c>
      <c r="AA567">
        <f t="shared" si="199"/>
        <v>22.153789905871864</v>
      </c>
      <c r="AB567">
        <f t="shared" si="200"/>
        <v>0.47427193341208967</v>
      </c>
      <c r="AC567">
        <f t="shared" si="201"/>
        <v>6000</v>
      </c>
      <c r="AD567">
        <f t="shared" si="202"/>
        <v>3.6923946797319718</v>
      </c>
      <c r="AE567">
        <f t="shared" si="203"/>
        <v>6.7244172370506199</v>
      </c>
      <c r="AF567">
        <f t="shared" si="204"/>
        <v>6000</v>
      </c>
      <c r="AG567">
        <f t="shared" si="205"/>
        <v>3.6923946797319718</v>
      </c>
      <c r="AH567">
        <f t="shared" si="206"/>
        <v>6.7244172370506199</v>
      </c>
      <c r="AI567" cm="1">
        <f t="array" ref="AI567">_xlfn.LET(
    _xlpm.vals,   _xlfn.HSTACK(S567,V567,Y567,AB567,AE567,AH567),
    _xlpm.ints,   _xlfn.HSTACK(R567,U567,X567,AA567,AD567,AG567),
    _xlpm.slopes, _xlfn.HSTACK(Q567,T567,W567,Z567,AC567,AF567),
    _xlpm.limit,  -0.00001*_xlpm.slopes + 0.1086*_xlpm.slopes + 63.253,
    _xlpm.mask,   (_xlpm.vals&gt;=0) * (_xlpm.ints&lt;=_xlpm.limit),
    _xlpm.validVals, _xlfn._xlws.FILTER(_xlpm.vals, _xlpm.mask),
    _xlpm.minVal, MIN(_xlpm.validVals),
    IFERROR( _xlfn.XMATCH(_xlpm.minVal, _xlpm.vals), "" )
)</f>
        <v>4</v>
      </c>
      <c r="AJ567" cm="1">
        <f t="array" ref="AJ567">_xlfn.LET(
    _xlpm.vals, CHOOSE({1,2,3,4,5,6}, S567, V567, Y567, AB567, AE567, AH567),
    _xlpm.slopes, CHOOSE({1,2,3,4,5,6}, Q567, T567, W567, Z567, AC567, AF567),
    _xlpm.ints, CHOOSE({1,2,3,4,5,6}, R567, U567, X567, AA567, AD567, AG567),
    _xlpm.limit, -0.00001*_xlpm.slopes + 0.1086*_xlpm.slopes + 63.253,
    _xlpm.valid, (_xlpm.vals &gt;= 0) * (_xlpm.ints &lt;= _xlpm.limit),
    _xlpm.target, MIN(_xlfn._xlws.FILTER(_xlpm.vals, _xlpm.valid)),
    IFERROR(
        _xlfn.XLOOKUP(_xlpm.target, _xlpm.vals, _xlpm.vals),
        CHOOSE({1,2,3,4,5,6}, S$1, V$1, Y$1, AB$1, AE$1, AH$1)
    )
)</f>
        <v>0.47427193341208967</v>
      </c>
    </row>
    <row r="568" spans="9:36" x14ac:dyDescent="0.45">
      <c r="I568">
        <v>566</v>
      </c>
      <c r="J568">
        <v>16.7</v>
      </c>
      <c r="K568">
        <f t="shared" si="185"/>
        <v>16.7</v>
      </c>
      <c r="L568">
        <f t="shared" si="184"/>
        <v>4.6388888888888886E-3</v>
      </c>
      <c r="M568">
        <v>3.17</v>
      </c>
      <c r="N568">
        <f t="shared" si="186"/>
        <v>3.17</v>
      </c>
      <c r="O568">
        <f t="shared" si="187"/>
        <v>217.01955254587668</v>
      </c>
      <c r="P568">
        <f t="shared" si="188"/>
        <v>694.46256814680544</v>
      </c>
      <c r="Q568">
        <f t="shared" si="189"/>
        <v>3180.6385621123691</v>
      </c>
      <c r="R568">
        <f t="shared" si="190"/>
        <v>9.5173562116326504</v>
      </c>
      <c r="S568">
        <f t="shared" si="191"/>
        <v>1.2509332308959342</v>
      </c>
      <c r="T568">
        <f t="shared" si="192"/>
        <v>2055.6092017145443</v>
      </c>
      <c r="U568">
        <f t="shared" si="193"/>
        <v>14.726179543674842</v>
      </c>
      <c r="V568">
        <f t="shared" si="194"/>
        <v>0.72610453572599609</v>
      </c>
      <c r="W568">
        <f t="shared" si="195"/>
        <v>1326.4235051603982</v>
      </c>
      <c r="X568">
        <f t="shared" si="196"/>
        <v>22.821723271873061</v>
      </c>
      <c r="Y568">
        <f t="shared" si="197"/>
        <v>0.58811629971264312</v>
      </c>
      <c r="Z568">
        <f t="shared" si="198"/>
        <v>1000.0260981313997</v>
      </c>
      <c r="AA568">
        <f t="shared" si="199"/>
        <v>30.270480173109402</v>
      </c>
      <c r="AB568">
        <f t="shared" si="200"/>
        <v>0.54248546614012227</v>
      </c>
      <c r="AC568">
        <f t="shared" si="201"/>
        <v>6000</v>
      </c>
      <c r="AD568">
        <f t="shared" si="202"/>
        <v>5.0452116960130828</v>
      </c>
      <c r="AE568">
        <f t="shared" si="203"/>
        <v>6.7344695494876357</v>
      </c>
      <c r="AF568">
        <f t="shared" si="204"/>
        <v>6000</v>
      </c>
      <c r="AG568">
        <f t="shared" si="205"/>
        <v>5.0452116960130828</v>
      </c>
      <c r="AH568">
        <f t="shared" si="206"/>
        <v>6.7344695494876357</v>
      </c>
      <c r="AI568" cm="1">
        <f t="array" ref="AI568">_xlfn.LET(
    _xlpm.vals,   _xlfn.HSTACK(S568,V568,Y568,AB568,AE568,AH568),
    _xlpm.ints,   _xlfn.HSTACK(R568,U568,X568,AA568,AD568,AG568),
    _xlpm.slopes, _xlfn.HSTACK(Q568,T568,W568,Z568,AC568,AF568),
    _xlpm.limit,  -0.00001*_xlpm.slopes + 0.1086*_xlpm.slopes + 63.253,
    _xlpm.mask,   (_xlpm.vals&gt;=0) * (_xlpm.ints&lt;=_xlpm.limit),
    _xlpm.validVals, _xlfn._xlws.FILTER(_xlpm.vals, _xlpm.mask),
    _xlpm.minVal, MIN(_xlpm.validVals),
    IFERROR( _xlfn.XMATCH(_xlpm.minVal, _xlpm.vals), "" )
)</f>
        <v>4</v>
      </c>
      <c r="AJ568" cm="1">
        <f t="array" ref="AJ568">_xlfn.LET(
    _xlpm.vals, CHOOSE({1,2,3,4,5,6}, S568, V568, Y568, AB568, AE568, AH568),
    _xlpm.slopes, CHOOSE({1,2,3,4,5,6}, Q568, T568, W568, Z568, AC568, AF568),
    _xlpm.ints, CHOOSE({1,2,3,4,5,6}, R568, U568, X568, AA568, AD568, AG568),
    _xlpm.limit, -0.00001*_xlpm.slopes + 0.1086*_xlpm.slopes + 63.253,
    _xlpm.valid, (_xlpm.vals &gt;= 0) * (_xlpm.ints &lt;= _xlpm.limit),
    _xlpm.target, MIN(_xlfn._xlws.FILTER(_xlpm.vals, _xlpm.valid)),
    IFERROR(
        _xlfn.XLOOKUP(_xlpm.target, _xlpm.vals, _xlpm.vals),
        CHOOSE({1,2,3,4,5,6}, S$1, V$1, Y$1, AB$1, AE$1, AH$1)
    )
)</f>
        <v>0.54248546614012227</v>
      </c>
    </row>
    <row r="569" spans="9:36" x14ac:dyDescent="0.45">
      <c r="I569">
        <v>567</v>
      </c>
      <c r="J569">
        <v>17.100000000000001</v>
      </c>
      <c r="K569">
        <f t="shared" si="185"/>
        <v>17.100000000000001</v>
      </c>
      <c r="L569">
        <f t="shared" si="184"/>
        <v>4.7500000000000007E-3</v>
      </c>
      <c r="M569">
        <v>3.57</v>
      </c>
      <c r="N569">
        <f t="shared" si="186"/>
        <v>3.57</v>
      </c>
      <c r="O569">
        <f t="shared" si="187"/>
        <v>222.21762566074801</v>
      </c>
      <c r="P569">
        <f t="shared" si="188"/>
        <v>711.09640211439364</v>
      </c>
      <c r="Q569">
        <f t="shared" si="189"/>
        <v>3256.821521683923</v>
      </c>
      <c r="R569">
        <f t="shared" si="190"/>
        <v>10.467564336364804</v>
      </c>
      <c r="S569">
        <f t="shared" si="191"/>
        <v>1.3277661707874107</v>
      </c>
      <c r="T569">
        <f t="shared" si="192"/>
        <v>2104.8453502586053</v>
      </c>
      <c r="U569">
        <f t="shared" si="193"/>
        <v>16.196434006942837</v>
      </c>
      <c r="V569">
        <f t="shared" si="194"/>
        <v>0.76460765249053619</v>
      </c>
      <c r="W569">
        <f t="shared" si="195"/>
        <v>1358.1941280384917</v>
      </c>
      <c r="X569">
        <f t="shared" si="196"/>
        <v>25.100232806571103</v>
      </c>
      <c r="Y569">
        <f t="shared" si="197"/>
        <v>0.6231731915463008</v>
      </c>
      <c r="Z569">
        <f t="shared" si="198"/>
        <v>1023.9788190447268</v>
      </c>
      <c r="AA569">
        <f t="shared" si="199"/>
        <v>33.292669903160281</v>
      </c>
      <c r="AB569">
        <f t="shared" si="200"/>
        <v>0.57929158659271285</v>
      </c>
      <c r="AC569">
        <f t="shared" si="201"/>
        <v>6000</v>
      </c>
      <c r="AD569">
        <f t="shared" si="202"/>
        <v>5.6818314683806639</v>
      </c>
      <c r="AE569">
        <f t="shared" si="203"/>
        <v>6.7394056169778676</v>
      </c>
      <c r="AF569">
        <f t="shared" si="204"/>
        <v>6000</v>
      </c>
      <c r="AG569">
        <f t="shared" si="205"/>
        <v>5.6818314683806639</v>
      </c>
      <c r="AH569">
        <f t="shared" si="206"/>
        <v>6.7394056169778676</v>
      </c>
      <c r="AI569" cm="1">
        <f t="array" ref="AI569">_xlfn.LET(
    _xlpm.vals,   _xlfn.HSTACK(S569,V569,Y569,AB569,AE569,AH569),
    _xlpm.ints,   _xlfn.HSTACK(R569,U569,X569,AA569,AD569,AG569),
    _xlpm.slopes, _xlfn.HSTACK(Q569,T569,W569,Z569,AC569,AF569),
    _xlpm.limit,  -0.00001*_xlpm.slopes + 0.1086*_xlpm.slopes + 63.253,
    _xlpm.mask,   (_xlpm.vals&gt;=0) * (_xlpm.ints&lt;=_xlpm.limit),
    _xlpm.validVals, _xlfn._xlws.FILTER(_xlpm.vals, _xlpm.mask),
    _xlpm.minVal, MIN(_xlpm.validVals),
    IFERROR( _xlfn.XMATCH(_xlpm.minVal, _xlpm.vals), "" )
)</f>
        <v>4</v>
      </c>
      <c r="AJ569" cm="1">
        <f t="array" ref="AJ569">_xlfn.LET(
    _xlpm.vals, CHOOSE({1,2,3,4,5,6}, S569, V569, Y569, AB569, AE569, AH569),
    _xlpm.slopes, CHOOSE({1,2,3,4,5,6}, Q569, T569, W569, Z569, AC569, AF569),
    _xlpm.ints, CHOOSE({1,2,3,4,5,6}, R569, U569, X569, AA569, AD569, AG569),
    _xlpm.limit, -0.00001*_xlpm.slopes + 0.1086*_xlpm.slopes + 63.253,
    _xlpm.valid, (_xlpm.vals &gt;= 0) * (_xlpm.ints &lt;= _xlpm.limit),
    _xlpm.target, MIN(_xlfn._xlws.FILTER(_xlpm.vals, _xlpm.valid)),
    IFERROR(
        _xlfn.XLOOKUP(_xlpm.target, _xlpm.vals, _xlpm.vals),
        CHOOSE({1,2,3,4,5,6}, S$1, V$1, Y$1, AB$1, AE$1, AH$1)
    )
)</f>
        <v>0.57929158659271285</v>
      </c>
    </row>
    <row r="570" spans="9:36" x14ac:dyDescent="0.45">
      <c r="I570">
        <v>568</v>
      </c>
      <c r="J570">
        <v>17.7</v>
      </c>
      <c r="K570">
        <f t="shared" si="185"/>
        <v>17.7</v>
      </c>
      <c r="L570">
        <f t="shared" si="184"/>
        <v>4.9166666666666664E-3</v>
      </c>
      <c r="M570">
        <v>6.89</v>
      </c>
      <c r="N570">
        <f t="shared" si="186"/>
        <v>6.89</v>
      </c>
      <c r="O570">
        <f t="shared" si="187"/>
        <v>230.01473533305492</v>
      </c>
      <c r="P570">
        <f t="shared" si="188"/>
        <v>736.04715306577577</v>
      </c>
      <c r="Q570">
        <f t="shared" si="189"/>
        <v>3371.0959610412533</v>
      </c>
      <c r="R570">
        <f t="shared" si="190"/>
        <v>19.517288808909221</v>
      </c>
      <c r="S570">
        <f t="shared" si="191"/>
        <v>1.583936197116989</v>
      </c>
      <c r="T570">
        <f t="shared" si="192"/>
        <v>2178.6995730746962</v>
      </c>
      <c r="U570">
        <f t="shared" si="193"/>
        <v>30.19904822459603</v>
      </c>
      <c r="V570">
        <f t="shared" si="194"/>
        <v>1.0088936182983759</v>
      </c>
      <c r="W570">
        <f t="shared" si="195"/>
        <v>1405.8500623556317</v>
      </c>
      <c r="X570">
        <f t="shared" si="196"/>
        <v>46.800619238117413</v>
      </c>
      <c r="Y570">
        <f t="shared" si="197"/>
        <v>0.90317224110275851</v>
      </c>
      <c r="Z570">
        <f t="shared" si="198"/>
        <v>1059.907900414717</v>
      </c>
      <c r="AA570">
        <f t="shared" si="199"/>
        <v>62.075821350558513</v>
      </c>
      <c r="AB570">
        <f t="shared" si="200"/>
        <v>0.88299405510234019</v>
      </c>
      <c r="AC570">
        <f t="shared" si="201"/>
        <v>6000</v>
      </c>
      <c r="AD570">
        <f t="shared" si="202"/>
        <v>10.96577557903159</v>
      </c>
      <c r="AE570">
        <f t="shared" si="203"/>
        <v>6.785373525505026</v>
      </c>
      <c r="AF570">
        <f t="shared" si="204"/>
        <v>6000</v>
      </c>
      <c r="AG570">
        <f t="shared" si="205"/>
        <v>10.96577557903159</v>
      </c>
      <c r="AH570">
        <f t="shared" si="206"/>
        <v>6.785373525505026</v>
      </c>
      <c r="AI570" cm="1">
        <f t="array" ref="AI570">_xlfn.LET(
    _xlpm.vals,   _xlfn.HSTACK(S570,V570,Y570,AB570,AE570,AH570),
    _xlpm.ints,   _xlfn.HSTACK(R570,U570,X570,AA570,AD570,AG570),
    _xlpm.slopes, _xlfn.HSTACK(Q570,T570,W570,Z570,AC570,AF570),
    _xlpm.limit,  -0.00001*_xlpm.slopes + 0.1086*_xlpm.slopes + 63.253,
    _xlpm.mask,   (_xlpm.vals&gt;=0) * (_xlpm.ints&lt;=_xlpm.limit),
    _xlpm.validVals, _xlfn._xlws.FILTER(_xlpm.vals, _xlpm.mask),
    _xlpm.minVal, MIN(_xlpm.validVals),
    IFERROR( _xlfn.XMATCH(_xlpm.minVal, _xlpm.vals), "" )
)</f>
        <v>4</v>
      </c>
      <c r="AJ570" cm="1">
        <f t="array" ref="AJ570">_xlfn.LET(
    _xlpm.vals, CHOOSE({1,2,3,4,5,6}, S570, V570, Y570, AB570, AE570, AH570),
    _xlpm.slopes, CHOOSE({1,2,3,4,5,6}, Q570, T570, W570, Z570, AC570, AF570),
    _xlpm.ints, CHOOSE({1,2,3,4,5,6}, R570, U570, X570, AA570, AD570, AG570),
    _xlpm.limit, -0.00001*_xlpm.slopes + 0.1086*_xlpm.slopes + 63.253,
    _xlpm.valid, (_xlpm.vals &gt;= 0) * (_xlpm.ints &lt;= _xlpm.limit),
    _xlpm.target, MIN(_xlfn._xlws.FILTER(_xlpm.vals, _xlpm.valid)),
    IFERROR(
        _xlfn.XLOOKUP(_xlpm.target, _xlpm.vals, _xlpm.vals),
        CHOOSE({1,2,3,4,5,6}, S$1, V$1, Y$1, AB$1, AE$1, AH$1)
    )
)</f>
        <v>0.88299405510234019</v>
      </c>
    </row>
    <row r="571" spans="9:36" x14ac:dyDescent="0.45">
      <c r="I571">
        <v>569</v>
      </c>
      <c r="J571">
        <v>18.399999999999999</v>
      </c>
      <c r="K571">
        <f t="shared" si="185"/>
        <v>18.399999999999999</v>
      </c>
      <c r="L571">
        <f t="shared" si="184"/>
        <v>5.1111111111111105E-3</v>
      </c>
      <c r="M571">
        <v>5.19</v>
      </c>
      <c r="N571">
        <f t="shared" si="186"/>
        <v>5.19</v>
      </c>
      <c r="O571">
        <f t="shared" si="187"/>
        <v>239.11136328407972</v>
      </c>
      <c r="P571">
        <f t="shared" si="188"/>
        <v>765.15636250905516</v>
      </c>
      <c r="Q571">
        <f t="shared" si="189"/>
        <v>3504.4161402914729</v>
      </c>
      <c r="R571">
        <f t="shared" si="190"/>
        <v>14.142398418098281</v>
      </c>
      <c r="S571">
        <f t="shared" si="191"/>
        <v>1.6137959682174581</v>
      </c>
      <c r="T571">
        <f t="shared" si="192"/>
        <v>2264.8628330268034</v>
      </c>
      <c r="U571">
        <f t="shared" si="193"/>
        <v>21.882494849625044</v>
      </c>
      <c r="V571">
        <f t="shared" si="194"/>
        <v>0.91447054917744852</v>
      </c>
      <c r="W571">
        <f t="shared" si="195"/>
        <v>1461.4486523922953</v>
      </c>
      <c r="X571">
        <f t="shared" si="196"/>
        <v>33.912138615125727</v>
      </c>
      <c r="Y571">
        <f t="shared" si="197"/>
        <v>0.76462704448087782</v>
      </c>
      <c r="Z571">
        <f t="shared" si="198"/>
        <v>1101.8251620130393</v>
      </c>
      <c r="AA571">
        <f t="shared" si="199"/>
        <v>44.980683857562596</v>
      </c>
      <c r="AB571">
        <f t="shared" si="200"/>
        <v>0.7295150829991115</v>
      </c>
      <c r="AC571">
        <f t="shared" si="201"/>
        <v>6000</v>
      </c>
      <c r="AD571">
        <f t="shared" si="202"/>
        <v>8.2601415464693684</v>
      </c>
      <c r="AE571">
        <f t="shared" si="203"/>
        <v>6.7607289208156169</v>
      </c>
      <c r="AF571">
        <f t="shared" si="204"/>
        <v>6000</v>
      </c>
      <c r="AG571">
        <f t="shared" si="205"/>
        <v>8.2601415464693684</v>
      </c>
      <c r="AH571">
        <f t="shared" si="206"/>
        <v>6.7607289208156169</v>
      </c>
      <c r="AI571" cm="1">
        <f t="array" ref="AI571">_xlfn.LET(
    _xlpm.vals,   _xlfn.HSTACK(S571,V571,Y571,AB571,AE571,AH571),
    _xlpm.ints,   _xlfn.HSTACK(R571,U571,X571,AA571,AD571,AG571),
    _xlpm.slopes, _xlfn.HSTACK(Q571,T571,W571,Z571,AC571,AF571),
    _xlpm.limit,  -0.00001*_xlpm.slopes + 0.1086*_xlpm.slopes + 63.253,
    _xlpm.mask,   (_xlpm.vals&gt;=0) * (_xlpm.ints&lt;=_xlpm.limit),
    _xlpm.validVals, _xlfn._xlws.FILTER(_xlpm.vals, _xlpm.mask),
    _xlpm.minVal, MIN(_xlpm.validVals),
    IFERROR( _xlfn.XMATCH(_xlpm.minVal, _xlpm.vals), "" )
)</f>
        <v>4</v>
      </c>
      <c r="AJ571" cm="1">
        <f t="array" ref="AJ571">_xlfn.LET(
    _xlpm.vals, CHOOSE({1,2,3,4,5,6}, S571, V571, Y571, AB571, AE571, AH571),
    _xlpm.slopes, CHOOSE({1,2,3,4,5,6}, Q571, T571, W571, Z571, AC571, AF571),
    _xlpm.ints, CHOOSE({1,2,3,4,5,6}, R571, U571, X571, AA571, AD571, AG571),
    _xlpm.limit, -0.00001*_xlpm.slopes + 0.1086*_xlpm.slopes + 63.253,
    _xlpm.valid, (_xlpm.vals &gt;= 0) * (_xlpm.ints &lt;= _xlpm.limit),
    _xlpm.target, MIN(_xlfn._xlws.FILTER(_xlpm.vals, _xlpm.valid)),
    IFERROR(
        _xlfn.XLOOKUP(_xlpm.target, _xlpm.vals, _xlpm.vals),
        CHOOSE({1,2,3,4,5,6}, S$1, V$1, Y$1, AB$1, AE$1, AH$1)
    )
)</f>
        <v>0.7295150829991115</v>
      </c>
    </row>
    <row r="572" spans="9:36" x14ac:dyDescent="0.45">
      <c r="I572">
        <v>570</v>
      </c>
      <c r="J572">
        <v>19.2</v>
      </c>
      <c r="K572">
        <f t="shared" si="185"/>
        <v>19.2</v>
      </c>
      <c r="L572">
        <f t="shared" si="184"/>
        <v>5.3333333333333332E-3</v>
      </c>
      <c r="M572">
        <v>6.28</v>
      </c>
      <c r="N572">
        <f t="shared" si="186"/>
        <v>6.28</v>
      </c>
      <c r="O572">
        <f t="shared" si="187"/>
        <v>249.50750951382227</v>
      </c>
      <c r="P572">
        <f t="shared" si="188"/>
        <v>798.42403044423133</v>
      </c>
      <c r="Q572">
        <f t="shared" si="189"/>
        <v>3656.7820594345794</v>
      </c>
      <c r="R572">
        <f t="shared" si="190"/>
        <v>16.399550638327845</v>
      </c>
      <c r="S572">
        <f t="shared" si="191"/>
        <v>1.8110796119534149</v>
      </c>
      <c r="T572">
        <f t="shared" si="192"/>
        <v>2363.3351301149246</v>
      </c>
      <c r="U572">
        <f t="shared" si="193"/>
        <v>25.37498037957484</v>
      </c>
      <c r="V572">
        <f t="shared" si="194"/>
        <v>1.0160132393261778</v>
      </c>
      <c r="W572">
        <f t="shared" si="195"/>
        <v>1524.9898981484819</v>
      </c>
      <c r="X572">
        <f t="shared" si="196"/>
        <v>39.324576923320166</v>
      </c>
      <c r="Y572">
        <f t="shared" si="197"/>
        <v>0.86094484606552779</v>
      </c>
      <c r="Z572">
        <f t="shared" si="198"/>
        <v>1149.730603839693</v>
      </c>
      <c r="AA572">
        <f t="shared" si="199"/>
        <v>52.159681891348285</v>
      </c>
      <c r="AB572">
        <f t="shared" si="200"/>
        <v>0.83196833858557684</v>
      </c>
      <c r="AC572">
        <f t="shared" si="201"/>
        <v>6000</v>
      </c>
      <c r="AD572">
        <f t="shared" si="202"/>
        <v>9.9949304261710274</v>
      </c>
      <c r="AE572">
        <f t="shared" si="203"/>
        <v>6.7762657674856799</v>
      </c>
      <c r="AF572">
        <f t="shared" si="204"/>
        <v>6000</v>
      </c>
      <c r="AG572">
        <f t="shared" si="205"/>
        <v>9.9949304261710274</v>
      </c>
      <c r="AH572">
        <f t="shared" si="206"/>
        <v>6.7762657674856799</v>
      </c>
      <c r="AI572" cm="1">
        <f t="array" ref="AI572">_xlfn.LET(
    _xlpm.vals,   _xlfn.HSTACK(S572,V572,Y572,AB572,AE572,AH572),
    _xlpm.ints,   _xlfn.HSTACK(R572,U572,X572,AA572,AD572,AG572),
    _xlpm.slopes, _xlfn.HSTACK(Q572,T572,W572,Z572,AC572,AF572),
    _xlpm.limit,  -0.00001*_xlpm.slopes + 0.1086*_xlpm.slopes + 63.253,
    _xlpm.mask,   (_xlpm.vals&gt;=0) * (_xlpm.ints&lt;=_xlpm.limit),
    _xlpm.validVals, _xlfn._xlws.FILTER(_xlpm.vals, _xlpm.mask),
    _xlpm.minVal, MIN(_xlpm.validVals),
    IFERROR( _xlfn.XMATCH(_xlpm.minVal, _xlpm.vals), "" )
)</f>
        <v>4</v>
      </c>
      <c r="AJ572" cm="1">
        <f t="array" ref="AJ572">_xlfn.LET(
    _xlpm.vals, CHOOSE({1,2,3,4,5,6}, S572, V572, Y572, AB572, AE572, AH572),
    _xlpm.slopes, CHOOSE({1,2,3,4,5,6}, Q572, T572, W572, Z572, AC572, AF572),
    _xlpm.ints, CHOOSE({1,2,3,4,5,6}, R572, U572, X572, AA572, AD572, AG572),
    _xlpm.limit, -0.00001*_xlpm.slopes + 0.1086*_xlpm.slopes + 63.253,
    _xlpm.valid, (_xlpm.vals &gt;= 0) * (_xlpm.ints &lt;= _xlpm.limit),
    _xlpm.target, MIN(_xlfn._xlws.FILTER(_xlpm.vals, _xlpm.valid)),
    IFERROR(
        _xlfn.XLOOKUP(_xlpm.target, _xlpm.vals, _xlpm.vals),
        CHOOSE({1,2,3,4,5,6}, S$1, V$1, Y$1, AB$1, AE$1, AH$1)
    )
)</f>
        <v>0.83196833858557684</v>
      </c>
    </row>
    <row r="573" spans="9:36" x14ac:dyDescent="0.45">
      <c r="I573">
        <v>571</v>
      </c>
      <c r="J573">
        <v>19.8</v>
      </c>
      <c r="K573">
        <f t="shared" si="185"/>
        <v>19.8</v>
      </c>
      <c r="L573">
        <f t="shared" si="184"/>
        <v>5.5000000000000005E-3</v>
      </c>
      <c r="M573">
        <v>9.32</v>
      </c>
      <c r="N573">
        <f t="shared" si="186"/>
        <v>9.32</v>
      </c>
      <c r="O573">
        <f t="shared" si="187"/>
        <v>257.30461918612929</v>
      </c>
      <c r="P573">
        <f t="shared" si="188"/>
        <v>823.37478139561381</v>
      </c>
      <c r="Q573">
        <f t="shared" si="189"/>
        <v>3771.0564987919115</v>
      </c>
      <c r="R573">
        <f t="shared" si="190"/>
        <v>23.600665809568106</v>
      </c>
      <c r="S573">
        <f t="shared" si="191"/>
        <v>2.0739131830215451</v>
      </c>
      <c r="T573">
        <f t="shared" si="192"/>
        <v>2437.1893529310169</v>
      </c>
      <c r="U573">
        <f t="shared" si="193"/>
        <v>36.51724642156146</v>
      </c>
      <c r="V573">
        <f t="shared" si="194"/>
        <v>1.2479425951594958</v>
      </c>
      <c r="W573">
        <f t="shared" si="195"/>
        <v>1572.6458324656223</v>
      </c>
      <c r="X573">
        <f t="shared" si="196"/>
        <v>56.592172464828238</v>
      </c>
      <c r="Y573">
        <f t="shared" si="197"/>
        <v>1.1259893221820152</v>
      </c>
      <c r="Z573">
        <f t="shared" si="198"/>
        <v>1185.6596852096839</v>
      </c>
      <c r="AA573">
        <f t="shared" si="199"/>
        <v>75.063228755431908</v>
      </c>
      <c r="AB573">
        <f t="shared" si="200"/>
        <v>1.1149760357998202</v>
      </c>
      <c r="AC573">
        <f t="shared" si="201"/>
        <v>6000</v>
      </c>
      <c r="AD573">
        <f t="shared" si="202"/>
        <v>14.833240696164646</v>
      </c>
      <c r="AE573">
        <f t="shared" si="203"/>
        <v>6.824553288845121</v>
      </c>
      <c r="AF573">
        <f t="shared" si="204"/>
        <v>6000</v>
      </c>
      <c r="AG573">
        <f t="shared" si="205"/>
        <v>14.833240696164646</v>
      </c>
      <c r="AH573">
        <f t="shared" si="206"/>
        <v>6.824553288845121</v>
      </c>
      <c r="AI573" cm="1">
        <f t="array" ref="AI573">_xlfn.LET(
    _xlpm.vals,   _xlfn.HSTACK(S573,V573,Y573,AB573,AE573,AH573),
    _xlpm.ints,   _xlfn.HSTACK(R573,U573,X573,AA573,AD573,AG573),
    _xlpm.slopes, _xlfn.HSTACK(Q573,T573,W573,Z573,AC573,AF573),
    _xlpm.limit,  -0.00001*_xlpm.slopes + 0.1086*_xlpm.slopes + 63.253,
    _xlpm.mask,   (_xlpm.vals&gt;=0) * (_xlpm.ints&lt;=_xlpm.limit),
    _xlpm.validVals, _xlfn._xlws.FILTER(_xlpm.vals, _xlpm.mask),
    _xlpm.minVal, MIN(_xlpm.validVals),
    IFERROR( _xlfn.XMATCH(_xlpm.minVal, _xlpm.vals), "" )
)</f>
        <v>4</v>
      </c>
      <c r="AJ573" cm="1">
        <f t="array" ref="AJ573">_xlfn.LET(
    _xlpm.vals, CHOOSE({1,2,3,4,5,6}, S573, V573, Y573, AB573, AE573, AH573),
    _xlpm.slopes, CHOOSE({1,2,3,4,5,6}, Q573, T573, W573, Z573, AC573, AF573),
    _xlpm.ints, CHOOSE({1,2,3,4,5,6}, R573, U573, X573, AA573, AD573, AG573),
    _xlpm.limit, -0.00001*_xlpm.slopes + 0.1086*_xlpm.slopes + 63.253,
    _xlpm.valid, (_xlpm.vals &gt;= 0) * (_xlpm.ints &lt;= _xlpm.limit),
    _xlpm.target, MIN(_xlfn._xlws.FILTER(_xlpm.vals, _xlpm.valid)),
    IFERROR(
        _xlfn.XLOOKUP(_xlpm.target, _xlpm.vals, _xlpm.vals),
        CHOOSE({1,2,3,4,5,6}, S$1, V$1, Y$1, AB$1, AE$1, AH$1)
    )
)</f>
        <v>1.1149760357998202</v>
      </c>
    </row>
    <row r="574" spans="9:36" x14ac:dyDescent="0.45">
      <c r="I574">
        <v>572</v>
      </c>
      <c r="J574">
        <v>20.6</v>
      </c>
      <c r="K574">
        <f t="shared" si="185"/>
        <v>20.6</v>
      </c>
      <c r="L574">
        <f t="shared" si="184"/>
        <v>5.7222222222222223E-3</v>
      </c>
      <c r="M574">
        <v>7.58</v>
      </c>
      <c r="N574">
        <f t="shared" si="186"/>
        <v>7.58</v>
      </c>
      <c r="O574">
        <f t="shared" si="187"/>
        <v>267.7007654158719</v>
      </c>
      <c r="P574">
        <f t="shared" si="188"/>
        <v>856.6424493307901</v>
      </c>
      <c r="Q574">
        <f t="shared" si="189"/>
        <v>3923.4224179350185</v>
      </c>
      <c r="R574">
        <f t="shared" si="190"/>
        <v>18.449114168107108</v>
      </c>
      <c r="S574">
        <f t="shared" si="191"/>
        <v>2.1625780425879815</v>
      </c>
      <c r="T574">
        <f t="shared" si="192"/>
        <v>2535.6616500191385</v>
      </c>
      <c r="U574">
        <f t="shared" si="193"/>
        <v>28.546264489841406</v>
      </c>
      <c r="V574">
        <f t="shared" si="194"/>
        <v>1.1587128782910998</v>
      </c>
      <c r="W574">
        <f t="shared" si="195"/>
        <v>1636.1870782218091</v>
      </c>
      <c r="X574">
        <f t="shared" si="196"/>
        <v>44.239237115146892</v>
      </c>
      <c r="Y574">
        <f t="shared" si="197"/>
        <v>0.97976403505473808</v>
      </c>
      <c r="Z574">
        <f t="shared" si="198"/>
        <v>1233.5651270363378</v>
      </c>
      <c r="AA574">
        <f t="shared" si="199"/>
        <v>58.678432562451775</v>
      </c>
      <c r="AB574">
        <f t="shared" si="200"/>
        <v>0.95577043480187529</v>
      </c>
      <c r="AC574">
        <f t="shared" si="201"/>
        <v>6000</v>
      </c>
      <c r="AD574">
        <f t="shared" si="202"/>
        <v>12.063944686365668</v>
      </c>
      <c r="AE574">
        <f t="shared" si="203"/>
        <v>6.7960298298743202</v>
      </c>
      <c r="AF574">
        <f t="shared" si="204"/>
        <v>6000</v>
      </c>
      <c r="AG574">
        <f t="shared" si="205"/>
        <v>12.063944686365668</v>
      </c>
      <c r="AH574">
        <f t="shared" si="206"/>
        <v>6.7960298298743202</v>
      </c>
      <c r="AI574" cm="1">
        <f t="array" ref="AI574">_xlfn.LET(
    _xlpm.vals,   _xlfn.HSTACK(S574,V574,Y574,AB574,AE574,AH574),
    _xlpm.ints,   _xlfn.HSTACK(R574,U574,X574,AA574,AD574,AG574),
    _xlpm.slopes, _xlfn.HSTACK(Q574,T574,W574,Z574,AC574,AF574),
    _xlpm.limit,  -0.00001*_xlpm.slopes + 0.1086*_xlpm.slopes + 63.253,
    _xlpm.mask,   (_xlpm.vals&gt;=0) * (_xlpm.ints&lt;=_xlpm.limit),
    _xlpm.validVals, _xlfn._xlws.FILTER(_xlpm.vals, _xlpm.mask),
    _xlpm.minVal, MIN(_xlpm.validVals),
    IFERROR( _xlfn.XMATCH(_xlpm.minVal, _xlpm.vals), "" )
)</f>
        <v>4</v>
      </c>
      <c r="AJ574" cm="1">
        <f t="array" ref="AJ574">_xlfn.LET(
    _xlpm.vals, CHOOSE({1,2,3,4,5,6}, S574, V574, Y574, AB574, AE574, AH574),
    _xlpm.slopes, CHOOSE({1,2,3,4,5,6}, Q574, T574, W574, Z574, AC574, AF574),
    _xlpm.ints, CHOOSE({1,2,3,4,5,6}, R574, U574, X574, AA574, AD574, AG574),
    _xlpm.limit, -0.00001*_xlpm.slopes + 0.1086*_xlpm.slopes + 63.253,
    _xlpm.valid, (_xlpm.vals &gt;= 0) * (_xlpm.ints &lt;= _xlpm.limit),
    _xlpm.target, MIN(_xlfn._xlws.FILTER(_xlpm.vals, _xlpm.valid)),
    IFERROR(
        _xlfn.XLOOKUP(_xlpm.target, _xlpm.vals, _xlpm.vals),
        CHOOSE({1,2,3,4,5,6}, S$1, V$1, Y$1, AB$1, AE$1, AH$1)
    )
)</f>
        <v>0.95577043480187529</v>
      </c>
    </row>
    <row r="575" spans="9:36" x14ac:dyDescent="0.45">
      <c r="I575">
        <v>573</v>
      </c>
      <c r="J575">
        <v>20.8</v>
      </c>
      <c r="K575">
        <f t="shared" si="185"/>
        <v>20.8</v>
      </c>
      <c r="L575">
        <f t="shared" si="184"/>
        <v>5.7777777777777784E-3</v>
      </c>
      <c r="M575">
        <v>3.52</v>
      </c>
      <c r="N575">
        <f t="shared" si="186"/>
        <v>3.52</v>
      </c>
      <c r="O575">
        <f t="shared" si="187"/>
        <v>270.29980197330752</v>
      </c>
      <c r="P575">
        <f t="shared" si="188"/>
        <v>864.95936631458414</v>
      </c>
      <c r="Q575">
        <f t="shared" si="189"/>
        <v>3961.5138977207953</v>
      </c>
      <c r="R575">
        <f t="shared" si="190"/>
        <v>8.4850198305116127</v>
      </c>
      <c r="S575">
        <f t="shared" si="191"/>
        <v>2.040219355554584</v>
      </c>
      <c r="T575">
        <f t="shared" si="192"/>
        <v>2560.2797242911693</v>
      </c>
      <c r="U575">
        <f t="shared" si="193"/>
        <v>13.128848251264587</v>
      </c>
      <c r="V575">
        <f t="shared" si="194"/>
        <v>0.91611065782027212</v>
      </c>
      <c r="W575">
        <f t="shared" si="195"/>
        <v>1652.0723896608556</v>
      </c>
      <c r="X575">
        <f t="shared" si="196"/>
        <v>20.34627791819015</v>
      </c>
      <c r="Y575">
        <f t="shared" si="197"/>
        <v>0.66440629111745619</v>
      </c>
      <c r="Z575">
        <f t="shared" si="198"/>
        <v>1245.5414874930011</v>
      </c>
      <c r="AA575">
        <f t="shared" si="199"/>
        <v>26.987076960932765</v>
      </c>
      <c r="AB575">
        <f t="shared" si="200"/>
        <v>0.60399579985533725</v>
      </c>
      <c r="AC575">
        <f t="shared" si="201"/>
        <v>6000</v>
      </c>
      <c r="AD575">
        <f t="shared" si="202"/>
        <v>5.6022539968347163</v>
      </c>
      <c r="AE575">
        <f t="shared" si="203"/>
        <v>6.7387814431215451</v>
      </c>
      <c r="AF575">
        <f t="shared" si="204"/>
        <v>6000</v>
      </c>
      <c r="AG575">
        <f t="shared" si="205"/>
        <v>5.6022539968347163</v>
      </c>
      <c r="AH575">
        <f t="shared" si="206"/>
        <v>6.7387814431215451</v>
      </c>
      <c r="AI575" cm="1">
        <f t="array" ref="AI575">_xlfn.LET(
    _xlpm.vals,   _xlfn.HSTACK(S575,V575,Y575,AB575,AE575,AH575),
    _xlpm.ints,   _xlfn.HSTACK(R575,U575,X575,AA575,AD575,AG575),
    _xlpm.slopes, _xlfn.HSTACK(Q575,T575,W575,Z575,AC575,AF575),
    _xlpm.limit,  -0.00001*_xlpm.slopes + 0.1086*_xlpm.slopes + 63.253,
    _xlpm.mask,   (_xlpm.vals&gt;=0) * (_xlpm.ints&lt;=_xlpm.limit),
    _xlpm.validVals, _xlfn._xlws.FILTER(_xlpm.vals, _xlpm.mask),
    _xlpm.minVal, MIN(_xlpm.validVals),
    IFERROR( _xlfn.XMATCH(_xlpm.minVal, _xlpm.vals), "" )
)</f>
        <v>4</v>
      </c>
      <c r="AJ575" cm="1">
        <f t="array" ref="AJ575">_xlfn.LET(
    _xlpm.vals, CHOOSE({1,2,3,4,5,6}, S575, V575, Y575, AB575, AE575, AH575),
    _xlpm.slopes, CHOOSE({1,2,3,4,5,6}, Q575, T575, W575, Z575, AC575, AF575),
    _xlpm.ints, CHOOSE({1,2,3,4,5,6}, R575, U575, X575, AA575, AD575, AG575),
    _xlpm.limit, -0.00001*_xlpm.slopes + 0.1086*_xlpm.slopes + 63.253,
    _xlpm.valid, (_xlpm.vals &gt;= 0) * (_xlpm.ints &lt;= _xlpm.limit),
    _xlpm.target, MIN(_xlfn._xlws.FILTER(_xlpm.vals, _xlpm.valid)),
    IFERROR(
        _xlfn.XLOOKUP(_xlpm.target, _xlpm.vals, _xlpm.vals),
        CHOOSE({1,2,3,4,5,6}, S$1, V$1, Y$1, AB$1, AE$1, AH$1)
    )
)</f>
        <v>0.60399579985533725</v>
      </c>
    </row>
    <row r="576" spans="9:36" x14ac:dyDescent="0.45">
      <c r="I576">
        <v>574</v>
      </c>
      <c r="J576">
        <v>21.2</v>
      </c>
      <c r="K576">
        <f t="shared" si="185"/>
        <v>21.2</v>
      </c>
      <c r="L576">
        <f t="shared" si="184"/>
        <v>5.8888888888888888E-3</v>
      </c>
      <c r="M576">
        <v>5.41</v>
      </c>
      <c r="N576">
        <f t="shared" si="186"/>
        <v>5.41</v>
      </c>
      <c r="O576">
        <f t="shared" si="187"/>
        <v>275.49787508817877</v>
      </c>
      <c r="P576">
        <f t="shared" si="188"/>
        <v>881.59320028217212</v>
      </c>
      <c r="Q576">
        <f t="shared" si="189"/>
        <v>4037.6968572923483</v>
      </c>
      <c r="R576">
        <f t="shared" si="190"/>
        <v>12.794842295880827</v>
      </c>
      <c r="S576">
        <f t="shared" si="191"/>
        <v>2.2135928539338452</v>
      </c>
      <c r="T576">
        <f t="shared" si="192"/>
        <v>2609.5158728352294</v>
      </c>
      <c r="U576">
        <f t="shared" si="193"/>
        <v>19.797424903761549</v>
      </c>
      <c r="V576">
        <f t="shared" si="194"/>
        <v>1.048666690180863</v>
      </c>
      <c r="W576">
        <f t="shared" si="195"/>
        <v>1683.8430125389486</v>
      </c>
      <c r="X576">
        <f t="shared" si="196"/>
        <v>30.680826028866068</v>
      </c>
      <c r="Y576">
        <f t="shared" si="197"/>
        <v>0.80994705502544984</v>
      </c>
      <c r="Z576">
        <f t="shared" si="198"/>
        <v>1269.4942084063277</v>
      </c>
      <c r="AA576">
        <f t="shared" si="199"/>
        <v>40.694706746620966</v>
      </c>
      <c r="AB576">
        <f t="shared" si="200"/>
        <v>0.76370227549006364</v>
      </c>
      <c r="AC576">
        <f t="shared" si="201"/>
        <v>6000</v>
      </c>
      <c r="AD576">
        <f t="shared" si="202"/>
        <v>8.6102824212715383</v>
      </c>
      <c r="AE576">
        <f t="shared" si="203"/>
        <v>6.7637882054013279</v>
      </c>
      <c r="AF576">
        <f t="shared" si="204"/>
        <v>6000</v>
      </c>
      <c r="AG576">
        <f t="shared" si="205"/>
        <v>8.6102824212715383</v>
      </c>
      <c r="AH576">
        <f t="shared" si="206"/>
        <v>6.7637882054013279</v>
      </c>
      <c r="AI576" cm="1">
        <f t="array" ref="AI576">_xlfn.LET(
    _xlpm.vals,   _xlfn.HSTACK(S576,V576,Y576,AB576,AE576,AH576),
    _xlpm.ints,   _xlfn.HSTACK(R576,U576,X576,AA576,AD576,AG576),
    _xlpm.slopes, _xlfn.HSTACK(Q576,T576,W576,Z576,AC576,AF576),
    _xlpm.limit,  -0.00001*_xlpm.slopes + 0.1086*_xlpm.slopes + 63.253,
    _xlpm.mask,   (_xlpm.vals&gt;=0) * (_xlpm.ints&lt;=_xlpm.limit),
    _xlpm.validVals, _xlfn._xlws.FILTER(_xlpm.vals, _xlpm.mask),
    _xlpm.minVal, MIN(_xlpm.validVals),
    IFERROR( _xlfn.XMATCH(_xlpm.minVal, _xlpm.vals), "" )
)</f>
        <v>4</v>
      </c>
      <c r="AJ576" cm="1">
        <f t="array" ref="AJ576">_xlfn.LET(
    _xlpm.vals, CHOOSE({1,2,3,4,5,6}, S576, V576, Y576, AB576, AE576, AH576),
    _xlpm.slopes, CHOOSE({1,2,3,4,5,6}, Q576, T576, W576, Z576, AC576, AF576),
    _xlpm.ints, CHOOSE({1,2,3,4,5,6}, R576, U576, X576, AA576, AD576, AG576),
    _xlpm.limit, -0.00001*_xlpm.slopes + 0.1086*_xlpm.slopes + 63.253,
    _xlpm.valid, (_xlpm.vals &gt;= 0) * (_xlpm.ints &lt;= _xlpm.limit),
    _xlpm.target, MIN(_xlfn._xlws.FILTER(_xlpm.vals, _xlpm.valid)),
    IFERROR(
        _xlfn.XLOOKUP(_xlpm.target, _xlpm.vals, _xlpm.vals),
        CHOOSE({1,2,3,4,5,6}, S$1, V$1, Y$1, AB$1, AE$1, AH$1)
    )
)</f>
        <v>0.76370227549006364</v>
      </c>
    </row>
    <row r="577" spans="9:36" x14ac:dyDescent="0.45">
      <c r="I577">
        <v>575</v>
      </c>
      <c r="J577">
        <v>21.6</v>
      </c>
      <c r="K577">
        <f t="shared" si="185"/>
        <v>21.6</v>
      </c>
      <c r="L577">
        <f t="shared" si="184"/>
        <v>6.0000000000000001E-3</v>
      </c>
      <c r="M577">
        <v>5.38</v>
      </c>
      <c r="N577">
        <f t="shared" si="186"/>
        <v>5.38</v>
      </c>
      <c r="O577">
        <f t="shared" si="187"/>
        <v>280.69594820305008</v>
      </c>
      <c r="P577">
        <f t="shared" si="188"/>
        <v>898.22703424976032</v>
      </c>
      <c r="Q577">
        <f t="shared" si="189"/>
        <v>4113.8798168639023</v>
      </c>
      <c r="R577">
        <f t="shared" si="190"/>
        <v>12.488263614183126</v>
      </c>
      <c r="S577">
        <f t="shared" si="191"/>
        <v>2.314978995657909</v>
      </c>
      <c r="T577">
        <f t="shared" si="192"/>
        <v>2658.7520213792905</v>
      </c>
      <c r="U577">
        <f t="shared" si="193"/>
        <v>19.32305653816173</v>
      </c>
      <c r="V577">
        <f t="shared" si="194"/>
        <v>1.0678080525150473</v>
      </c>
      <c r="W577">
        <f t="shared" si="195"/>
        <v>1715.6136354170421</v>
      </c>
      <c r="X577">
        <f t="shared" si="196"/>
        <v>29.945679242386767</v>
      </c>
      <c r="Y577">
        <f t="shared" si="197"/>
        <v>0.81219186720055991</v>
      </c>
      <c r="Z577">
        <f t="shared" si="198"/>
        <v>1293.4469293196548</v>
      </c>
      <c r="AA577">
        <f t="shared" si="199"/>
        <v>39.719616217332451</v>
      </c>
      <c r="AB577">
        <f t="shared" si="200"/>
        <v>0.76330903739464417</v>
      </c>
      <c r="AC577">
        <f t="shared" si="201"/>
        <v>6000</v>
      </c>
      <c r="AD577">
        <f t="shared" si="202"/>
        <v>8.5625359383439701</v>
      </c>
      <c r="AE577">
        <f t="shared" si="203"/>
        <v>6.7633687420634736</v>
      </c>
      <c r="AF577">
        <f t="shared" si="204"/>
        <v>6000</v>
      </c>
      <c r="AG577">
        <f t="shared" si="205"/>
        <v>8.5625359383439701</v>
      </c>
      <c r="AH577">
        <f t="shared" si="206"/>
        <v>6.7633687420634736</v>
      </c>
      <c r="AI577" cm="1">
        <f t="array" ref="AI577">_xlfn.LET(
    _xlpm.vals,   _xlfn.HSTACK(S577,V577,Y577,AB577,AE577,AH577),
    _xlpm.ints,   _xlfn.HSTACK(R577,U577,X577,AA577,AD577,AG577),
    _xlpm.slopes, _xlfn.HSTACK(Q577,T577,W577,Z577,AC577,AF577),
    _xlpm.limit,  -0.00001*_xlpm.slopes + 0.1086*_xlpm.slopes + 63.253,
    _xlpm.mask,   (_xlpm.vals&gt;=0) * (_xlpm.ints&lt;=_xlpm.limit),
    _xlpm.validVals, _xlfn._xlws.FILTER(_xlpm.vals, _xlpm.mask),
    _xlpm.minVal, MIN(_xlpm.validVals),
    IFERROR( _xlfn.XMATCH(_xlpm.minVal, _xlpm.vals), "" )
)</f>
        <v>4</v>
      </c>
      <c r="AJ577" cm="1">
        <f t="array" ref="AJ577">_xlfn.LET(
    _xlpm.vals, CHOOSE({1,2,3,4,5,6}, S577, V577, Y577, AB577, AE577, AH577),
    _xlpm.slopes, CHOOSE({1,2,3,4,5,6}, Q577, T577, W577, Z577, AC577, AF577),
    _xlpm.ints, CHOOSE({1,2,3,4,5,6}, R577, U577, X577, AA577, AD577, AG577),
    _xlpm.limit, -0.00001*_xlpm.slopes + 0.1086*_xlpm.slopes + 63.253,
    _xlpm.valid, (_xlpm.vals &gt;= 0) * (_xlpm.ints &lt;= _xlpm.limit),
    _xlpm.target, MIN(_xlfn._xlws.FILTER(_xlpm.vals, _xlpm.valid)),
    IFERROR(
        _xlfn.XLOOKUP(_xlpm.target, _xlpm.vals, _xlpm.vals),
        CHOOSE({1,2,3,4,5,6}, S$1, V$1, Y$1, AB$1, AE$1, AH$1)
    )
)</f>
        <v>0.76330903739464417</v>
      </c>
    </row>
    <row r="578" spans="9:36" x14ac:dyDescent="0.45">
      <c r="I578">
        <v>576</v>
      </c>
      <c r="J578">
        <v>21.9</v>
      </c>
      <c r="K578">
        <f t="shared" si="185"/>
        <v>21.9</v>
      </c>
      <c r="L578">
        <f t="shared" ref="L578:L641" si="207">K578*(1/3600)</f>
        <v>6.083333333333333E-3</v>
      </c>
      <c r="M578">
        <v>6.48</v>
      </c>
      <c r="N578">
        <f t="shared" si="186"/>
        <v>6.48</v>
      </c>
      <c r="O578">
        <f t="shared" si="187"/>
        <v>284.59450303920352</v>
      </c>
      <c r="P578">
        <f t="shared" si="188"/>
        <v>910.70240972545128</v>
      </c>
      <c r="Q578">
        <f t="shared" si="189"/>
        <v>4171.0170365425665</v>
      </c>
      <c r="R578">
        <f t="shared" si="190"/>
        <v>14.835576391081329</v>
      </c>
      <c r="S578">
        <f t="shared" si="191"/>
        <v>2.4381274699072164</v>
      </c>
      <c r="T578">
        <f t="shared" si="192"/>
        <v>2695.6791327873357</v>
      </c>
      <c r="U578">
        <f t="shared" si="193"/>
        <v>22.955047253767734</v>
      </c>
      <c r="V578">
        <f t="shared" si="194"/>
        <v>1.1508737363634363</v>
      </c>
      <c r="W578">
        <f t="shared" si="195"/>
        <v>1739.4416025756118</v>
      </c>
      <c r="X578">
        <f t="shared" si="196"/>
        <v>35.574314068666226</v>
      </c>
      <c r="Y578">
        <f t="shared" si="197"/>
        <v>0.90106938943661452</v>
      </c>
      <c r="Z578">
        <f t="shared" si="198"/>
        <v>1311.4114700046498</v>
      </c>
      <c r="AA578">
        <f t="shared" si="199"/>
        <v>47.185374910522555</v>
      </c>
      <c r="AB578">
        <f t="shared" si="200"/>
        <v>0.8606595314200377</v>
      </c>
      <c r="AC578">
        <f t="shared" si="201"/>
        <v>6000</v>
      </c>
      <c r="AD578">
        <f t="shared" si="202"/>
        <v>10.313240312354818</v>
      </c>
      <c r="AE578">
        <f t="shared" si="203"/>
        <v>6.7792194220990734</v>
      </c>
      <c r="AF578">
        <f t="shared" si="204"/>
        <v>6000</v>
      </c>
      <c r="AG578">
        <f t="shared" si="205"/>
        <v>10.313240312354818</v>
      </c>
      <c r="AH578">
        <f t="shared" si="206"/>
        <v>6.7792194220990734</v>
      </c>
      <c r="AI578" cm="1">
        <f t="array" ref="AI578">_xlfn.LET(
    _xlpm.vals,   _xlfn.HSTACK(S578,V578,Y578,AB578,AE578,AH578),
    _xlpm.ints,   _xlfn.HSTACK(R578,U578,X578,AA578,AD578,AG578),
    _xlpm.slopes, _xlfn.HSTACK(Q578,T578,W578,Z578,AC578,AF578),
    _xlpm.limit,  -0.00001*_xlpm.slopes + 0.1086*_xlpm.slopes + 63.253,
    _xlpm.mask,   (_xlpm.vals&gt;=0) * (_xlpm.ints&lt;=_xlpm.limit),
    _xlpm.validVals, _xlfn._xlws.FILTER(_xlpm.vals, _xlpm.mask),
    _xlpm.minVal, MIN(_xlpm.validVals),
    IFERROR( _xlfn.XMATCH(_xlpm.minVal, _xlpm.vals), "" )
)</f>
        <v>4</v>
      </c>
      <c r="AJ578" cm="1">
        <f t="array" ref="AJ578">_xlfn.LET(
    _xlpm.vals, CHOOSE({1,2,3,4,5,6}, S578, V578, Y578, AB578, AE578, AH578),
    _xlpm.slopes, CHOOSE({1,2,3,4,5,6}, Q578, T578, W578, Z578, AC578, AF578),
    _xlpm.ints, CHOOSE({1,2,3,4,5,6}, R578, U578, X578, AA578, AD578, AG578),
    _xlpm.limit, -0.00001*_xlpm.slopes + 0.1086*_xlpm.slopes + 63.253,
    _xlpm.valid, (_xlpm.vals &gt;= 0) * (_xlpm.ints &lt;= _xlpm.limit),
    _xlpm.target, MIN(_xlfn._xlws.FILTER(_xlpm.vals, _xlpm.valid)),
    IFERROR(
        _xlfn.XLOOKUP(_xlpm.target, _xlpm.vals, _xlpm.vals),
        CHOOSE({1,2,3,4,5,6}, S$1, V$1, Y$1, AB$1, AE$1, AH$1)
    )
)</f>
        <v>0.8606595314200377</v>
      </c>
    </row>
    <row r="579" spans="9:36" x14ac:dyDescent="0.45">
      <c r="I579">
        <v>577</v>
      </c>
      <c r="J579">
        <v>22.3</v>
      </c>
      <c r="K579">
        <f t="shared" ref="K579:K642" si="208">IF(J579&lt;0,0,J579)</f>
        <v>22.3</v>
      </c>
      <c r="L579">
        <f t="shared" si="207"/>
        <v>6.1944444444444443E-3</v>
      </c>
      <c r="M579">
        <v>5.18</v>
      </c>
      <c r="N579">
        <f t="shared" ref="N579:N642" si="209">IF(M579&lt;0,0,M579)</f>
        <v>5.18</v>
      </c>
      <c r="O579">
        <f t="shared" ref="O579:O642" si="210">(K579*0.44704*60)/(PI()*$B$2)</f>
        <v>289.79257615407488</v>
      </c>
      <c r="P579">
        <f t="shared" ref="P579:P642" si="211">O579*3.2</f>
        <v>927.33624369303971</v>
      </c>
      <c r="Q579">
        <f t="shared" ref="Q579:Q642" si="212">IF(4.58*P579&lt;1000,1000,4.58*P579)</f>
        <v>4247.1999961141219</v>
      </c>
      <c r="R579">
        <f t="shared" ref="R579:R642" si="213">(1000*N579*60)/(Q579*2*PI())</f>
        <v>11.64658041962193</v>
      </c>
      <c r="S579">
        <f t="shared" ref="S579:S642" si="214">(0.072946 + (0.000364279 * Q579) + (-0.00248749 * R579) + (0.00000951906 * Q579 * R579) + (-0.000000165418 * Q579^2) + (0.000045414 * R579^2) + (-0.00000000135106 * Q579^2 * R579) + (0.0000000203184 * Q579 * R579^2) + (0.0000000000481318 * Q579^3) + (-0.00000034778 * R579^3))</f>
        <v>2.4991204021205231</v>
      </c>
      <c r="T579">
        <f t="shared" ref="T579:T642" si="215">IF(2.96*P579&lt;1000,6000,2.96*P579)</f>
        <v>2744.9152813313976</v>
      </c>
      <c r="U579">
        <f t="shared" ref="U579:U642" si="216">(1000*N579*60)/(T579*2*PI())</f>
        <v>18.020722406036636</v>
      </c>
      <c r="V579">
        <f t="shared" ref="V579:V642" si="217">(0.072946 + (0.000364279 * T579) + (-0.00248749 * U579) + (0.00000951906 * T579 * U579) + (-0.000000165418 * T579^2) + (0.000045414 * U579^2) + (-0.00000000135106 * T579^2 * U579) + (0.0000000203184 * T579 * U579^2) + (0.0000000000481318 * T579^3) + (-0.00000034778 * U579^3))</f>
        <v>1.0953754252488359</v>
      </c>
      <c r="W579">
        <f t="shared" ref="W579:W642" si="218">IF(1.91*P579&lt;1000,6000,1.91*P579)</f>
        <v>1771.2122254537057</v>
      </c>
      <c r="X579">
        <f t="shared" ref="X579:X642" si="219">(1000*N579*60)/(W579*2*PI())</f>
        <v>27.927402262758346</v>
      </c>
      <c r="Y579">
        <f t="shared" ref="Y579:Y642" si="220">(0.072946 + (0.000364279 * W579) + (-0.00248749 * X579) + (0.00000951906 * W579 * X579) + (-0.000000165418 * W579^2) + (0.000045414 * X579^2) + (-0.00000000135106 * W579^2 * X579) + (0.0000000203184 * W579 * X579^2) + (0.0000000000481318 * W579^3) + (-0.00000034778 * X579^3))</f>
        <v>0.80560092018090779</v>
      </c>
      <c r="Z579">
        <f t="shared" ref="Z579:Z642" si="221">IF(1.44*P579&lt;1000,6000,1.44*P579)</f>
        <v>1335.3641909179771</v>
      </c>
      <c r="AA579">
        <f t="shared" ref="AA579:AA642" si="222">(1000*N579*60)/(Z579*2*PI())</f>
        <v>37.042596056853085</v>
      </c>
      <c r="AB579">
        <f t="shared" ref="AB579:AB642" si="223">(0.072946 + (0.000364279 * Z579) + (-0.00248749 * AA579) + (0.00000951906 * Z579 * AA579) + (-0.000000165418 * Z579^2) + (0.000045414 * AA579^2) + (-0.00000000135106 * Z579^2 * AA579) + (0.0000000203184 * Z579 * AA579^2) + (0.0000000000481318 * Z579^3) + (-0.00000034778 * AA579^3))</f>
        <v>0.75037571303681683</v>
      </c>
      <c r="AC579">
        <f t="shared" ref="AC579:AC642" si="224">IF(0.74*P579&lt;1000,6000,0.74*P579)</f>
        <v>6000</v>
      </c>
      <c r="AD579">
        <f t="shared" ref="AD579:AD642" si="225">(1000*N579*60)/(AC579*2*PI())</f>
        <v>8.2442260521601796</v>
      </c>
      <c r="AE579">
        <f t="shared" ref="AE579:AE642" si="226">(0.072946 + (0.000364279 * AC579) + (-0.00248749 * AD579) + (0.00000951906 * AC579 * AD579) + (-0.000000165418 * AC579^2) + (0.000045414 * AD579^2) + (-0.00000000135106 * AC579^2 * AD579) + (0.0000000203184 * AC579 * AD579^2) + (0.0000000000481318 * AC579^3) + (-0.00000034778 * AD579^3))</f>
        <v>6.760590786365789</v>
      </c>
      <c r="AF579">
        <f t="shared" ref="AF579:AF642" si="227">IF(0.68*P579&lt;1000,6000,0.68*P579)</f>
        <v>6000</v>
      </c>
      <c r="AG579">
        <f t="shared" ref="AG579:AG642" si="228">(1000*N579*60)/(AF579*2*PI())</f>
        <v>8.2442260521601796</v>
      </c>
      <c r="AH579">
        <f t="shared" ref="AH579:AH642" si="229">(0.072946 + (0.000364279 * AF579) + (-0.00248749 * AG579) + (0.00000951906 * AF579 * AG579) + (-0.000000165418 * AF579^2) + (0.000045414 * AG579^2) + (-0.00000000135106 * AF579^2 * AG579) + (0.0000000203184 * AF579 * AG579^2) + (0.0000000000481318 * AF579^3) + (-0.00000034778 * AG579^3))</f>
        <v>6.760590786365789</v>
      </c>
      <c r="AI579" cm="1">
        <f t="array" ref="AI579">_xlfn.LET(
    _xlpm.vals,   _xlfn.HSTACK(S579,V579,Y579,AB579,AE579,AH579),
    _xlpm.ints,   _xlfn.HSTACK(R579,U579,X579,AA579,AD579,AG579),
    _xlpm.slopes, _xlfn.HSTACK(Q579,T579,W579,Z579,AC579,AF579),
    _xlpm.limit,  -0.00001*_xlpm.slopes + 0.1086*_xlpm.slopes + 63.253,
    _xlpm.mask,   (_xlpm.vals&gt;=0) * (_xlpm.ints&lt;=_xlpm.limit),
    _xlpm.validVals, _xlfn._xlws.FILTER(_xlpm.vals, _xlpm.mask),
    _xlpm.minVal, MIN(_xlpm.validVals),
    IFERROR( _xlfn.XMATCH(_xlpm.minVal, _xlpm.vals), "" )
)</f>
        <v>4</v>
      </c>
      <c r="AJ579" cm="1">
        <f t="array" ref="AJ579">_xlfn.LET(
    _xlpm.vals, CHOOSE({1,2,3,4,5,6}, S579, V579, Y579, AB579, AE579, AH579),
    _xlpm.slopes, CHOOSE({1,2,3,4,5,6}, Q579, T579, W579, Z579, AC579, AF579),
    _xlpm.ints, CHOOSE({1,2,3,4,5,6}, R579, U579, X579, AA579, AD579, AG579),
    _xlpm.limit, -0.00001*_xlpm.slopes + 0.1086*_xlpm.slopes + 63.253,
    _xlpm.valid, (_xlpm.vals &gt;= 0) * (_xlpm.ints &lt;= _xlpm.limit),
    _xlpm.target, MIN(_xlfn._xlws.FILTER(_xlpm.vals, _xlpm.valid)),
    IFERROR(
        _xlfn.XLOOKUP(_xlpm.target, _xlpm.vals, _xlpm.vals),
        CHOOSE({1,2,3,4,5,6}, S$1, V$1, Y$1, AB$1, AE$1, AH$1)
    )
)</f>
        <v>0.75037571303681683</v>
      </c>
    </row>
    <row r="580" spans="9:36" x14ac:dyDescent="0.45">
      <c r="I580">
        <v>578</v>
      </c>
      <c r="J580">
        <v>22.4</v>
      </c>
      <c r="K580">
        <f t="shared" si="208"/>
        <v>22.4</v>
      </c>
      <c r="L580">
        <f t="shared" si="207"/>
        <v>6.2222222222222219E-3</v>
      </c>
      <c r="M580">
        <v>3.76</v>
      </c>
      <c r="N580">
        <f t="shared" si="209"/>
        <v>3.76</v>
      </c>
      <c r="O580">
        <f t="shared" si="210"/>
        <v>291.09209443279269</v>
      </c>
      <c r="P580">
        <f t="shared" si="211"/>
        <v>931.49470218493661</v>
      </c>
      <c r="Q580">
        <f t="shared" si="212"/>
        <v>4266.2457360070093</v>
      </c>
      <c r="R580">
        <f t="shared" si="213"/>
        <v>8.4161479163029149</v>
      </c>
      <c r="S580">
        <f t="shared" si="214"/>
        <v>2.4767448130334335</v>
      </c>
      <c r="T580">
        <f t="shared" si="215"/>
        <v>2757.2243184674126</v>
      </c>
      <c r="U580">
        <f t="shared" si="216"/>
        <v>13.02228292454978</v>
      </c>
      <c r="V580">
        <f t="shared" si="217"/>
        <v>1.0207628788111405</v>
      </c>
      <c r="W580">
        <f t="shared" si="218"/>
        <v>1779.1548811732289</v>
      </c>
      <c r="X580">
        <f t="shared" si="219"/>
        <v>20.18112955846458</v>
      </c>
      <c r="Y580">
        <f t="shared" si="220"/>
        <v>0.70414497402579024</v>
      </c>
      <c r="Z580">
        <f t="shared" si="221"/>
        <v>1341.3523711463088</v>
      </c>
      <c r="AA580">
        <f t="shared" si="222"/>
        <v>26.768026011574548</v>
      </c>
      <c r="AB580">
        <f t="shared" si="223"/>
        <v>0.63563812241460693</v>
      </c>
      <c r="AC580">
        <f t="shared" si="224"/>
        <v>6000</v>
      </c>
      <c r="AD580">
        <f t="shared" si="225"/>
        <v>5.9842258602552647</v>
      </c>
      <c r="AE580">
        <f t="shared" si="226"/>
        <v>6.7417961109483837</v>
      </c>
      <c r="AF580">
        <f t="shared" si="227"/>
        <v>6000</v>
      </c>
      <c r="AG580">
        <f t="shared" si="228"/>
        <v>5.9842258602552647</v>
      </c>
      <c r="AH580">
        <f t="shared" si="229"/>
        <v>6.7417961109483837</v>
      </c>
      <c r="AI580" cm="1">
        <f t="array" ref="AI580">_xlfn.LET(
    _xlpm.vals,   _xlfn.HSTACK(S580,V580,Y580,AB580,AE580,AH580),
    _xlpm.ints,   _xlfn.HSTACK(R580,U580,X580,AA580,AD580,AG580),
    _xlpm.slopes, _xlfn.HSTACK(Q580,T580,W580,Z580,AC580,AF580),
    _xlpm.limit,  -0.00001*_xlpm.slopes + 0.1086*_xlpm.slopes + 63.253,
    _xlpm.mask,   (_xlpm.vals&gt;=0) * (_xlpm.ints&lt;=_xlpm.limit),
    _xlpm.validVals, _xlfn._xlws.FILTER(_xlpm.vals, _xlpm.mask),
    _xlpm.minVal, MIN(_xlpm.validVals),
    IFERROR( _xlfn.XMATCH(_xlpm.minVal, _xlpm.vals), "" )
)</f>
        <v>4</v>
      </c>
      <c r="AJ580" cm="1">
        <f t="array" ref="AJ580">_xlfn.LET(
    _xlpm.vals, CHOOSE({1,2,3,4,5,6}, S580, V580, Y580, AB580, AE580, AH580),
    _xlpm.slopes, CHOOSE({1,2,3,4,5,6}, Q580, T580, W580, Z580, AC580, AF580),
    _xlpm.ints, CHOOSE({1,2,3,4,5,6}, R580, U580, X580, AA580, AD580, AG580),
    _xlpm.limit, -0.00001*_xlpm.slopes + 0.1086*_xlpm.slopes + 63.253,
    _xlpm.valid, (_xlpm.vals &gt;= 0) * (_xlpm.ints &lt;= _xlpm.limit),
    _xlpm.target, MIN(_xlfn._xlws.FILTER(_xlpm.vals, _xlpm.valid)),
    IFERROR(
        _xlfn.XLOOKUP(_xlpm.target, _xlpm.vals, _xlpm.vals),
        CHOOSE({1,2,3,4,5,6}, S$1, V$1, Y$1, AB$1, AE$1, AH$1)
    )
)</f>
        <v>0.63563812241460693</v>
      </c>
    </row>
    <row r="581" spans="9:36" x14ac:dyDescent="0.45">
      <c r="I581">
        <v>579</v>
      </c>
      <c r="J581">
        <v>22.4</v>
      </c>
      <c r="K581">
        <f t="shared" si="208"/>
        <v>22.4</v>
      </c>
      <c r="L581">
        <f t="shared" si="207"/>
        <v>6.2222222222222219E-3</v>
      </c>
      <c r="M581">
        <v>2.4</v>
      </c>
      <c r="N581">
        <f t="shared" si="209"/>
        <v>2.4</v>
      </c>
      <c r="O581">
        <f t="shared" si="210"/>
        <v>291.09209443279269</v>
      </c>
      <c r="P581">
        <f t="shared" si="211"/>
        <v>931.49470218493661</v>
      </c>
      <c r="Q581">
        <f t="shared" si="212"/>
        <v>4266.2457360070093</v>
      </c>
      <c r="R581">
        <f t="shared" si="213"/>
        <v>5.3720093082784564</v>
      </c>
      <c r="S581">
        <f t="shared" si="214"/>
        <v>2.4301582308942815</v>
      </c>
      <c r="T581">
        <f t="shared" si="215"/>
        <v>2757.2243184674126</v>
      </c>
      <c r="U581">
        <f t="shared" si="216"/>
        <v>8.3120954837551793</v>
      </c>
      <c r="V581">
        <f t="shared" si="217"/>
        <v>0.94760904224443065</v>
      </c>
      <c r="W581">
        <f t="shared" si="218"/>
        <v>1779.1548811732289</v>
      </c>
      <c r="X581">
        <f t="shared" si="219"/>
        <v>12.881572058594413</v>
      </c>
      <c r="Y581">
        <f t="shared" si="220"/>
        <v>0.61232597712555492</v>
      </c>
      <c r="Z581">
        <f t="shared" si="221"/>
        <v>1341.3523711463088</v>
      </c>
      <c r="AA581">
        <f t="shared" si="222"/>
        <v>17.0859740499412</v>
      </c>
      <c r="AB581">
        <f t="shared" si="223"/>
        <v>0.53371450104633889</v>
      </c>
      <c r="AC581">
        <f t="shared" si="224"/>
        <v>6000</v>
      </c>
      <c r="AD581">
        <f t="shared" si="225"/>
        <v>3.8197186342054881</v>
      </c>
      <c r="AE581">
        <f t="shared" si="226"/>
        <v>6.7253379100773483</v>
      </c>
      <c r="AF581">
        <f t="shared" si="227"/>
        <v>6000</v>
      </c>
      <c r="AG581">
        <f t="shared" si="228"/>
        <v>3.8197186342054881</v>
      </c>
      <c r="AH581">
        <f t="shared" si="229"/>
        <v>6.7253379100773483</v>
      </c>
      <c r="AI581" cm="1">
        <f t="array" ref="AI581">_xlfn.LET(
    _xlpm.vals,   _xlfn.HSTACK(S581,V581,Y581,AB581,AE581,AH581),
    _xlpm.ints,   _xlfn.HSTACK(R581,U581,X581,AA581,AD581,AG581),
    _xlpm.slopes, _xlfn.HSTACK(Q581,T581,W581,Z581,AC581,AF581),
    _xlpm.limit,  -0.00001*_xlpm.slopes + 0.1086*_xlpm.slopes + 63.253,
    _xlpm.mask,   (_xlpm.vals&gt;=0) * (_xlpm.ints&lt;=_xlpm.limit),
    _xlpm.validVals, _xlfn._xlws.FILTER(_xlpm.vals, _xlpm.mask),
    _xlpm.minVal, MIN(_xlpm.validVals),
    IFERROR( _xlfn.XMATCH(_xlpm.minVal, _xlpm.vals), "" )
)</f>
        <v>4</v>
      </c>
      <c r="AJ581" cm="1">
        <f t="array" ref="AJ581">_xlfn.LET(
    _xlpm.vals, CHOOSE({1,2,3,4,5,6}, S581, V581, Y581, AB581, AE581, AH581),
    _xlpm.slopes, CHOOSE({1,2,3,4,5,6}, Q581, T581, W581, Z581, AC581, AF581),
    _xlpm.ints, CHOOSE({1,2,3,4,5,6}, R581, U581, X581, AA581, AD581, AG581),
    _xlpm.limit, -0.00001*_xlpm.slopes + 0.1086*_xlpm.slopes + 63.253,
    _xlpm.valid, (_xlpm.vals &gt;= 0) * (_xlpm.ints &lt;= _xlpm.limit),
    _xlpm.target, MIN(_xlfn._xlws.FILTER(_xlpm.vals, _xlpm.valid)),
    IFERROR(
        _xlfn.XLOOKUP(_xlpm.target, _xlpm.vals, _xlpm.vals),
        CHOOSE({1,2,3,4,5,6}, S$1, V$1, Y$1, AB$1, AE$1, AH$1)
    )
)</f>
        <v>0.53371450104633889</v>
      </c>
    </row>
    <row r="582" spans="9:36" x14ac:dyDescent="0.45">
      <c r="I582">
        <v>580</v>
      </c>
      <c r="J582">
        <v>22.5</v>
      </c>
      <c r="K582">
        <f t="shared" si="208"/>
        <v>22.5</v>
      </c>
      <c r="L582">
        <f t="shared" si="207"/>
        <v>6.2500000000000003E-3</v>
      </c>
      <c r="M582">
        <v>5.26</v>
      </c>
      <c r="N582">
        <f t="shared" si="209"/>
        <v>5.26</v>
      </c>
      <c r="O582">
        <f t="shared" si="210"/>
        <v>292.39161271151056</v>
      </c>
      <c r="P582">
        <f t="shared" si="211"/>
        <v>935.65316067683386</v>
      </c>
      <c r="Q582">
        <f t="shared" si="212"/>
        <v>4285.2914758998995</v>
      </c>
      <c r="R582">
        <f t="shared" si="213"/>
        <v>11.721326384048158</v>
      </c>
      <c r="S582">
        <f t="shared" si="214"/>
        <v>2.5597857451192838</v>
      </c>
      <c r="T582">
        <f t="shared" si="215"/>
        <v>2769.5333556034284</v>
      </c>
      <c r="U582">
        <f t="shared" si="216"/>
        <v>18.136376634777221</v>
      </c>
      <c r="V582">
        <f t="shared" si="217"/>
        <v>1.1119400295577804</v>
      </c>
      <c r="W582">
        <f t="shared" si="218"/>
        <v>1787.0975368927527</v>
      </c>
      <c r="X582">
        <f t="shared" si="219"/>
        <v>28.106636041330145</v>
      </c>
      <c r="Y582">
        <f t="shared" si="220"/>
        <v>0.81414385529320543</v>
      </c>
      <c r="Z582">
        <f t="shared" si="221"/>
        <v>1347.3405513746407</v>
      </c>
      <c r="AA582">
        <f t="shared" si="222"/>
        <v>37.28032974926429</v>
      </c>
      <c r="AB582">
        <f t="shared" si="223"/>
        <v>0.75830234361487736</v>
      </c>
      <c r="AC582">
        <f t="shared" si="224"/>
        <v>6000</v>
      </c>
      <c r="AD582">
        <f t="shared" si="225"/>
        <v>8.3715500066336954</v>
      </c>
      <c r="AE582">
        <f t="shared" si="226"/>
        <v>6.7616981127362328</v>
      </c>
      <c r="AF582">
        <f t="shared" si="227"/>
        <v>6000</v>
      </c>
      <c r="AG582">
        <f t="shared" si="228"/>
        <v>8.3715500066336954</v>
      </c>
      <c r="AH582">
        <f t="shared" si="229"/>
        <v>6.7616981127362328</v>
      </c>
      <c r="AI582" cm="1">
        <f t="array" ref="AI582">_xlfn.LET(
    _xlpm.vals,   _xlfn.HSTACK(S582,V582,Y582,AB582,AE582,AH582),
    _xlpm.ints,   _xlfn.HSTACK(R582,U582,X582,AA582,AD582,AG582),
    _xlpm.slopes, _xlfn.HSTACK(Q582,T582,W582,Z582,AC582,AF582),
    _xlpm.limit,  -0.00001*_xlpm.slopes + 0.1086*_xlpm.slopes + 63.253,
    _xlpm.mask,   (_xlpm.vals&gt;=0) * (_xlpm.ints&lt;=_xlpm.limit),
    _xlpm.validVals, _xlfn._xlws.FILTER(_xlpm.vals, _xlpm.mask),
    _xlpm.minVal, MIN(_xlpm.validVals),
    IFERROR( _xlfn.XMATCH(_xlpm.minVal, _xlpm.vals), "" )
)</f>
        <v>4</v>
      </c>
      <c r="AJ582" cm="1">
        <f t="array" ref="AJ582">_xlfn.LET(
    _xlpm.vals, CHOOSE({1,2,3,4,5,6}, S582, V582, Y582, AB582, AE582, AH582),
    _xlpm.slopes, CHOOSE({1,2,3,4,5,6}, Q582, T582, W582, Z582, AC582, AF582),
    _xlpm.ints, CHOOSE({1,2,3,4,5,6}, R582, U582, X582, AA582, AD582, AG582),
    _xlpm.limit, -0.00001*_xlpm.slopes + 0.1086*_xlpm.slopes + 63.253,
    _xlpm.valid, (_xlpm.vals &gt;= 0) * (_xlpm.ints &lt;= _xlpm.limit),
    _xlpm.target, MIN(_xlfn._xlws.FILTER(_xlpm.vals, _xlpm.valid)),
    IFERROR(
        _xlfn.XLOOKUP(_xlpm.target, _xlpm.vals, _xlpm.vals),
        CHOOSE({1,2,3,4,5,6}, S$1, V$1, Y$1, AB$1, AE$1, AH$1)
    )
)</f>
        <v>0.75830234361487736</v>
      </c>
    </row>
    <row r="583" spans="9:36" x14ac:dyDescent="0.45">
      <c r="I583">
        <v>581</v>
      </c>
      <c r="J583">
        <v>22.8</v>
      </c>
      <c r="K583">
        <f t="shared" si="208"/>
        <v>22.8</v>
      </c>
      <c r="L583">
        <f t="shared" si="207"/>
        <v>6.3333333333333332E-3</v>
      </c>
      <c r="M583">
        <v>6.29</v>
      </c>
      <c r="N583">
        <f t="shared" si="209"/>
        <v>6.29</v>
      </c>
      <c r="O583">
        <f t="shared" si="210"/>
        <v>296.29016754766405</v>
      </c>
      <c r="P583">
        <f t="shared" si="211"/>
        <v>948.12853615252504</v>
      </c>
      <c r="Q583">
        <f t="shared" si="212"/>
        <v>4342.4286955785647</v>
      </c>
      <c r="R583">
        <f t="shared" si="213"/>
        <v>13.832138587339202</v>
      </c>
      <c r="S583">
        <f t="shared" si="214"/>
        <v>2.6863924619242505</v>
      </c>
      <c r="T583">
        <f t="shared" si="215"/>
        <v>2806.4604670114741</v>
      </c>
      <c r="U583">
        <f t="shared" si="216"/>
        <v>21.402430652031605</v>
      </c>
      <c r="V583">
        <f t="shared" si="217"/>
        <v>1.1906210644634299</v>
      </c>
      <c r="W583">
        <f t="shared" si="218"/>
        <v>1810.9255040513228</v>
      </c>
      <c r="X583">
        <f t="shared" si="219"/>
        <v>33.168164780111809</v>
      </c>
      <c r="Y583">
        <f t="shared" si="220"/>
        <v>0.89604350117099207</v>
      </c>
      <c r="Z583">
        <f t="shared" si="221"/>
        <v>1365.3050920596361</v>
      </c>
      <c r="AA583">
        <f t="shared" si="222"/>
        <v>43.993885229176072</v>
      </c>
      <c r="AB583">
        <f t="shared" si="223"/>
        <v>0.84795257963992055</v>
      </c>
      <c r="AC583">
        <f t="shared" si="224"/>
        <v>6000</v>
      </c>
      <c r="AD583">
        <f t="shared" si="225"/>
        <v>10.010845920480218</v>
      </c>
      <c r="AE583">
        <f t="shared" si="226"/>
        <v>6.7764126956721773</v>
      </c>
      <c r="AF583">
        <f t="shared" si="227"/>
        <v>6000</v>
      </c>
      <c r="AG583">
        <f t="shared" si="228"/>
        <v>10.010845920480218</v>
      </c>
      <c r="AH583">
        <f t="shared" si="229"/>
        <v>6.7764126956721773</v>
      </c>
      <c r="AI583" cm="1">
        <f t="array" ref="AI583">_xlfn.LET(
    _xlpm.vals,   _xlfn.HSTACK(S583,V583,Y583,AB583,AE583,AH583),
    _xlpm.ints,   _xlfn.HSTACK(R583,U583,X583,AA583,AD583,AG583),
    _xlpm.slopes, _xlfn.HSTACK(Q583,T583,W583,Z583,AC583,AF583),
    _xlpm.limit,  -0.00001*_xlpm.slopes + 0.1086*_xlpm.slopes + 63.253,
    _xlpm.mask,   (_xlpm.vals&gt;=0) * (_xlpm.ints&lt;=_xlpm.limit),
    _xlpm.validVals, _xlfn._xlws.FILTER(_xlpm.vals, _xlpm.mask),
    _xlpm.minVal, MIN(_xlpm.validVals),
    IFERROR( _xlfn.XMATCH(_xlpm.minVal, _xlpm.vals), "" )
)</f>
        <v>4</v>
      </c>
      <c r="AJ583" cm="1">
        <f t="array" ref="AJ583">_xlfn.LET(
    _xlpm.vals, CHOOSE({1,2,3,4,5,6}, S583, V583, Y583, AB583, AE583, AH583),
    _xlpm.slopes, CHOOSE({1,2,3,4,5,6}, Q583, T583, W583, Z583, AC583, AF583),
    _xlpm.ints, CHOOSE({1,2,3,4,5,6}, R583, U583, X583, AA583, AD583, AG583),
    _xlpm.limit, -0.00001*_xlpm.slopes + 0.1086*_xlpm.slopes + 63.253,
    _xlpm.valid, (_xlpm.vals &gt;= 0) * (_xlpm.ints &lt;= _xlpm.limit),
    _xlpm.target, MIN(_xlfn._xlws.FILTER(_xlpm.vals, _xlpm.valid)),
    IFERROR(
        _xlfn.XLOOKUP(_xlpm.target, _xlpm.vals, _xlpm.vals),
        CHOOSE({1,2,3,4,5,6}, S$1, V$1, Y$1, AB$1, AE$1, AH$1)
    )
)</f>
        <v>0.84795257963992055</v>
      </c>
    </row>
    <row r="584" spans="9:36" x14ac:dyDescent="0.45">
      <c r="I584">
        <v>582</v>
      </c>
      <c r="J584">
        <v>23.5</v>
      </c>
      <c r="K584">
        <f t="shared" si="208"/>
        <v>23.5</v>
      </c>
      <c r="L584">
        <f t="shared" si="207"/>
        <v>6.5277777777777782E-3</v>
      </c>
      <c r="M584">
        <v>19.47</v>
      </c>
      <c r="N584">
        <f t="shared" si="209"/>
        <v>19.47</v>
      </c>
      <c r="O584">
        <f t="shared" si="210"/>
        <v>305.3867954986888</v>
      </c>
      <c r="P584">
        <f t="shared" si="211"/>
        <v>977.2377455958042</v>
      </c>
      <c r="Q584">
        <f t="shared" si="212"/>
        <v>4475.7488748287833</v>
      </c>
      <c r="R584">
        <f t="shared" si="213"/>
        <v>41.540490702143018</v>
      </c>
      <c r="S584">
        <f t="shared" si="214"/>
        <v>3.4577149189020449</v>
      </c>
      <c r="T584">
        <f t="shared" si="215"/>
        <v>2892.6237269635803</v>
      </c>
      <c r="U584">
        <f t="shared" si="216"/>
        <v>64.275488991829405</v>
      </c>
      <c r="V584">
        <f t="shared" si="217"/>
        <v>2.1289358444135451</v>
      </c>
      <c r="W584">
        <f t="shared" si="218"/>
        <v>1866.524094087986</v>
      </c>
      <c r="X584">
        <f t="shared" si="219"/>
        <v>99.610181893096865</v>
      </c>
      <c r="Y584">
        <f t="shared" si="220"/>
        <v>2.0259333614938311</v>
      </c>
      <c r="Z584">
        <f t="shared" si="221"/>
        <v>1407.2223536579579</v>
      </c>
      <c r="AA584">
        <f t="shared" si="222"/>
        <v>132.1218384832049</v>
      </c>
      <c r="AB584">
        <f t="shared" si="223"/>
        <v>1.9695834005510346</v>
      </c>
      <c r="AC584">
        <f t="shared" si="224"/>
        <v>6000</v>
      </c>
      <c r="AD584">
        <f t="shared" si="225"/>
        <v>30.987467419992022</v>
      </c>
      <c r="AE584">
        <f t="shared" si="226"/>
        <v>7.0359363630237182</v>
      </c>
      <c r="AF584">
        <f t="shared" si="227"/>
        <v>6000</v>
      </c>
      <c r="AG584">
        <f t="shared" si="228"/>
        <v>30.987467419992022</v>
      </c>
      <c r="AH584">
        <f t="shared" si="229"/>
        <v>7.0359363630237182</v>
      </c>
      <c r="AI584" cm="1">
        <f t="array" ref="AI584">_xlfn.LET(
    _xlpm.vals,   _xlfn.HSTACK(S584,V584,Y584,AB584,AE584,AH584),
    _xlpm.ints,   _xlfn.HSTACK(R584,U584,X584,AA584,AD584,AG584),
    _xlpm.slopes, _xlfn.HSTACK(Q584,T584,W584,Z584,AC584,AF584),
    _xlpm.limit,  -0.00001*_xlpm.slopes + 0.1086*_xlpm.slopes + 63.253,
    _xlpm.mask,   (_xlpm.vals&gt;=0) * (_xlpm.ints&lt;=_xlpm.limit),
    _xlpm.validVals, _xlfn._xlws.FILTER(_xlpm.vals, _xlpm.mask),
    _xlpm.minVal, MIN(_xlpm.validVals),
    IFERROR( _xlfn.XMATCH(_xlpm.minVal, _xlpm.vals), "" )
)</f>
        <v>4</v>
      </c>
      <c r="AJ584" cm="1">
        <f t="array" ref="AJ584">_xlfn.LET(
    _xlpm.vals, CHOOSE({1,2,3,4,5,6}, S584, V584, Y584, AB584, AE584, AH584),
    _xlpm.slopes, CHOOSE({1,2,3,4,5,6}, Q584, T584, W584, Z584, AC584, AF584),
    _xlpm.ints, CHOOSE({1,2,3,4,5,6}, R584, U584, X584, AA584, AD584, AG584),
    _xlpm.limit, -0.00001*_xlpm.slopes + 0.1086*_xlpm.slopes + 63.253,
    _xlpm.valid, (_xlpm.vals &gt;= 0) * (_xlpm.ints &lt;= _xlpm.limit),
    _xlpm.target, MIN(_xlfn._xlws.FILTER(_xlpm.vals, _xlpm.valid)),
    IFERROR(
        _xlfn.XLOOKUP(_xlpm.target, _xlpm.vals, _xlpm.vals),
        CHOOSE({1,2,3,4,5,6}, S$1, V$1, Y$1, AB$1, AE$1, AH$1)
    )
)</f>
        <v>1.9695834005510346</v>
      </c>
    </row>
    <row r="585" spans="9:36" x14ac:dyDescent="0.45">
      <c r="I585">
        <v>583</v>
      </c>
      <c r="J585">
        <v>24.9</v>
      </c>
      <c r="K585">
        <f t="shared" si="208"/>
        <v>24.9</v>
      </c>
      <c r="L585">
        <f t="shared" si="207"/>
        <v>6.9166666666666664E-3</v>
      </c>
      <c r="M585">
        <v>11.96</v>
      </c>
      <c r="N585">
        <f t="shared" si="209"/>
        <v>11.96</v>
      </c>
      <c r="O585">
        <f t="shared" si="210"/>
        <v>323.58005140073828</v>
      </c>
      <c r="P585">
        <f t="shared" si="211"/>
        <v>1035.4561644823625</v>
      </c>
      <c r="Q585">
        <f t="shared" si="212"/>
        <v>4742.3892333292206</v>
      </c>
      <c r="R585">
        <f t="shared" si="213"/>
        <v>24.082710537567461</v>
      </c>
      <c r="S585">
        <f t="shared" si="214"/>
        <v>3.586684907409607</v>
      </c>
      <c r="T585">
        <f t="shared" si="215"/>
        <v>3064.9502468677929</v>
      </c>
      <c r="U585">
        <f t="shared" si="216"/>
        <v>37.263112926371285</v>
      </c>
      <c r="V585">
        <f t="shared" si="217"/>
        <v>1.6744032827684714</v>
      </c>
      <c r="W585">
        <f t="shared" si="218"/>
        <v>1977.7212741613123</v>
      </c>
      <c r="X585">
        <f t="shared" si="219"/>
        <v>57.74807029427172</v>
      </c>
      <c r="Y585">
        <f t="shared" si="220"/>
        <v>1.3755350874827723</v>
      </c>
      <c r="Z585">
        <f t="shared" si="221"/>
        <v>1491.056876854602</v>
      </c>
      <c r="AA585">
        <f t="shared" si="222"/>
        <v>76.596398793096512</v>
      </c>
      <c r="AB585">
        <f t="shared" si="223"/>
        <v>1.3623578189387249</v>
      </c>
      <c r="AC585">
        <f t="shared" si="224"/>
        <v>6000</v>
      </c>
      <c r="AD585">
        <f t="shared" si="225"/>
        <v>19.034931193790683</v>
      </c>
      <c r="AE585">
        <f t="shared" si="226"/>
        <v>6.8722632954079366</v>
      </c>
      <c r="AF585">
        <f t="shared" si="227"/>
        <v>6000</v>
      </c>
      <c r="AG585">
        <f t="shared" si="228"/>
        <v>19.034931193790683</v>
      </c>
      <c r="AH585">
        <f t="shared" si="229"/>
        <v>6.8722632954079366</v>
      </c>
      <c r="AI585" cm="1">
        <f t="array" ref="AI585">_xlfn.LET(
    _xlpm.vals,   _xlfn.HSTACK(S585,V585,Y585,AB585,AE585,AH585),
    _xlpm.ints,   _xlfn.HSTACK(R585,U585,X585,AA585,AD585,AG585),
    _xlpm.slopes, _xlfn.HSTACK(Q585,T585,W585,Z585,AC585,AF585),
    _xlpm.limit,  -0.00001*_xlpm.slopes + 0.1086*_xlpm.slopes + 63.253,
    _xlpm.mask,   (_xlpm.vals&gt;=0) * (_xlpm.ints&lt;=_xlpm.limit),
    _xlpm.validVals, _xlfn._xlws.FILTER(_xlpm.vals, _xlpm.mask),
    _xlpm.minVal, MIN(_xlpm.validVals),
    IFERROR( _xlfn.XMATCH(_xlpm.minVal, _xlpm.vals), "" )
)</f>
        <v>4</v>
      </c>
      <c r="AJ585" cm="1">
        <f t="array" ref="AJ585">_xlfn.LET(
    _xlpm.vals, CHOOSE({1,2,3,4,5,6}, S585, V585, Y585, AB585, AE585, AH585),
    _xlpm.slopes, CHOOSE({1,2,3,4,5,6}, Q585, T585, W585, Z585, AC585, AF585),
    _xlpm.ints, CHOOSE({1,2,3,4,5,6}, R585, U585, X585, AA585, AD585, AG585),
    _xlpm.limit, -0.00001*_xlpm.slopes + 0.1086*_xlpm.slopes + 63.253,
    _xlpm.valid, (_xlpm.vals &gt;= 0) * (_xlpm.ints &lt;= _xlpm.limit),
    _xlpm.target, MIN(_xlfn._xlws.FILTER(_xlpm.vals, _xlpm.valid)),
    IFERROR(
        _xlfn.XLOOKUP(_xlpm.target, _xlpm.vals, _xlpm.vals),
        CHOOSE({1,2,3,4,5,6}, S$1, V$1, Y$1, AB$1, AE$1, AH$1)
    )
)</f>
        <v>1.3623578189387249</v>
      </c>
    </row>
    <row r="586" spans="9:36" x14ac:dyDescent="0.45">
      <c r="I586">
        <v>584</v>
      </c>
      <c r="J586">
        <v>26.1</v>
      </c>
      <c r="K586">
        <f t="shared" si="208"/>
        <v>26.1</v>
      </c>
      <c r="L586">
        <f t="shared" si="207"/>
        <v>7.2500000000000004E-3</v>
      </c>
      <c r="M586">
        <v>10.3</v>
      </c>
      <c r="N586">
        <f t="shared" si="209"/>
        <v>10.3</v>
      </c>
      <c r="O586">
        <f t="shared" si="210"/>
        <v>339.17427074535226</v>
      </c>
      <c r="P586">
        <f t="shared" si="211"/>
        <v>1085.3576663851272</v>
      </c>
      <c r="Q586">
        <f t="shared" si="212"/>
        <v>4970.9381120438829</v>
      </c>
      <c r="R586">
        <f t="shared" si="213"/>
        <v>19.786557911973262</v>
      </c>
      <c r="S586">
        <f t="shared" si="214"/>
        <v>3.9895208012566101</v>
      </c>
      <c r="T586">
        <f t="shared" si="215"/>
        <v>3212.6586924999765</v>
      </c>
      <c r="U586">
        <f t="shared" si="216"/>
        <v>30.615687580012683</v>
      </c>
      <c r="V586">
        <f t="shared" si="217"/>
        <v>1.6588838124448537</v>
      </c>
      <c r="W586">
        <f t="shared" si="218"/>
        <v>2073.033142795593</v>
      </c>
      <c r="X586">
        <f t="shared" si="219"/>
        <v>47.446301171119131</v>
      </c>
      <c r="Y586">
        <f t="shared" si="220"/>
        <v>1.2487057355780098</v>
      </c>
      <c r="Z586">
        <f t="shared" si="221"/>
        <v>1562.915039594583</v>
      </c>
      <c r="AA586">
        <f t="shared" si="222"/>
        <v>62.932246692248292</v>
      </c>
      <c r="AB586">
        <f t="shared" si="223"/>
        <v>1.2129571437967472</v>
      </c>
      <c r="AC586">
        <f t="shared" si="224"/>
        <v>6000</v>
      </c>
      <c r="AD586">
        <f t="shared" si="225"/>
        <v>16.392959138465219</v>
      </c>
      <c r="AE586">
        <f t="shared" si="226"/>
        <v>6.8416463521319208</v>
      </c>
      <c r="AF586">
        <f t="shared" si="227"/>
        <v>6000</v>
      </c>
      <c r="AG586">
        <f t="shared" si="228"/>
        <v>16.392959138465219</v>
      </c>
      <c r="AH586">
        <f t="shared" si="229"/>
        <v>6.8416463521319208</v>
      </c>
      <c r="AI586" cm="1">
        <f t="array" ref="AI586">_xlfn.LET(
    _xlpm.vals,   _xlfn.HSTACK(S586,V586,Y586,AB586,AE586,AH586),
    _xlpm.ints,   _xlfn.HSTACK(R586,U586,X586,AA586,AD586,AG586),
    _xlpm.slopes, _xlfn.HSTACK(Q586,T586,W586,Z586,AC586,AF586),
    _xlpm.limit,  -0.00001*_xlpm.slopes + 0.1086*_xlpm.slopes + 63.253,
    _xlpm.mask,   (_xlpm.vals&gt;=0) * (_xlpm.ints&lt;=_xlpm.limit),
    _xlpm.validVals, _xlfn._xlws.FILTER(_xlpm.vals, _xlpm.mask),
    _xlpm.minVal, MIN(_xlpm.validVals),
    IFERROR( _xlfn.XMATCH(_xlpm.minVal, _xlpm.vals), "" )
)</f>
        <v>4</v>
      </c>
      <c r="AJ586" cm="1">
        <f t="array" ref="AJ586">_xlfn.LET(
    _xlpm.vals, CHOOSE({1,2,3,4,5,6}, S586, V586, Y586, AB586, AE586, AH586),
    _xlpm.slopes, CHOOSE({1,2,3,4,5,6}, Q586, T586, W586, Z586, AC586, AF586),
    _xlpm.ints, CHOOSE({1,2,3,4,5,6}, R586, U586, X586, AA586, AD586, AG586),
    _xlpm.limit, -0.00001*_xlpm.slopes + 0.1086*_xlpm.slopes + 63.253,
    _xlpm.valid, (_xlpm.vals &gt;= 0) * (_xlpm.ints &lt;= _xlpm.limit),
    _xlpm.target, MIN(_xlfn._xlws.FILTER(_xlpm.vals, _xlpm.valid)),
    IFERROR(
        _xlfn.XLOOKUP(_xlpm.target, _xlpm.vals, _xlpm.vals),
        CHOOSE({1,2,3,4,5,6}, S$1, V$1, Y$1, AB$1, AE$1, AH$1)
    )
)</f>
        <v>1.2129571437967472</v>
      </c>
    </row>
    <row r="587" spans="9:36" x14ac:dyDescent="0.45">
      <c r="I587">
        <v>585</v>
      </c>
      <c r="J587">
        <v>26.8</v>
      </c>
      <c r="K587">
        <f t="shared" si="208"/>
        <v>26.8</v>
      </c>
      <c r="L587">
        <f t="shared" si="207"/>
        <v>7.4444444444444445E-3</v>
      </c>
      <c r="M587">
        <v>8.65</v>
      </c>
      <c r="N587">
        <f t="shared" si="209"/>
        <v>8.65</v>
      </c>
      <c r="O587">
        <f t="shared" si="210"/>
        <v>348.270898696377</v>
      </c>
      <c r="P587">
        <f t="shared" si="211"/>
        <v>1114.4668758284065</v>
      </c>
      <c r="Q587">
        <f t="shared" si="212"/>
        <v>5104.2582912941016</v>
      </c>
      <c r="R587">
        <f t="shared" si="213"/>
        <v>16.182843961007983</v>
      </c>
      <c r="S587">
        <f t="shared" si="214"/>
        <v>4.2373278955033076</v>
      </c>
      <c r="T587">
        <f t="shared" si="215"/>
        <v>3298.8219524520832</v>
      </c>
      <c r="U587">
        <f t="shared" si="216"/>
        <v>25.039670723451543</v>
      </c>
      <c r="V587">
        <f t="shared" si="217"/>
        <v>1.6232760225732348</v>
      </c>
      <c r="W587">
        <f t="shared" si="218"/>
        <v>2128.6317328322561</v>
      </c>
      <c r="X587">
        <f t="shared" si="219"/>
        <v>38.804934733725958</v>
      </c>
      <c r="Y587">
        <f t="shared" si="220"/>
        <v>1.1284690224392759</v>
      </c>
      <c r="Z587">
        <f t="shared" si="221"/>
        <v>1604.8323011929053</v>
      </c>
      <c r="AA587">
        <f t="shared" si="222"/>
        <v>51.470434264872615</v>
      </c>
      <c r="AB587">
        <f t="shared" si="223"/>
        <v>1.0688910940804879</v>
      </c>
      <c r="AC587">
        <f t="shared" si="224"/>
        <v>6000</v>
      </c>
      <c r="AD587">
        <f t="shared" si="225"/>
        <v>13.766902577448947</v>
      </c>
      <c r="AE587">
        <f t="shared" si="226"/>
        <v>6.8132919497970743</v>
      </c>
      <c r="AF587">
        <f t="shared" si="227"/>
        <v>6000</v>
      </c>
      <c r="AG587">
        <f t="shared" si="228"/>
        <v>13.766902577448947</v>
      </c>
      <c r="AH587">
        <f t="shared" si="229"/>
        <v>6.8132919497970743</v>
      </c>
      <c r="AI587" cm="1">
        <f t="array" ref="AI587">_xlfn.LET(
    _xlpm.vals,   _xlfn.HSTACK(S587,V587,Y587,AB587,AE587,AH587),
    _xlpm.ints,   _xlfn.HSTACK(R587,U587,X587,AA587,AD587,AG587),
    _xlpm.slopes, _xlfn.HSTACK(Q587,T587,W587,Z587,AC587,AF587),
    _xlpm.limit,  -0.00001*_xlpm.slopes + 0.1086*_xlpm.slopes + 63.253,
    _xlpm.mask,   (_xlpm.vals&gt;=0) * (_xlpm.ints&lt;=_xlpm.limit),
    _xlpm.validVals, _xlfn._xlws.FILTER(_xlpm.vals, _xlpm.mask),
    _xlpm.minVal, MIN(_xlpm.validVals),
    IFERROR( _xlfn.XMATCH(_xlpm.minVal, _xlpm.vals), "" )
)</f>
        <v>4</v>
      </c>
      <c r="AJ587" cm="1">
        <f t="array" ref="AJ587">_xlfn.LET(
    _xlpm.vals, CHOOSE({1,2,3,4,5,6}, S587, V587, Y587, AB587, AE587, AH587),
    _xlpm.slopes, CHOOSE({1,2,3,4,5,6}, Q587, T587, W587, Z587, AC587, AF587),
    _xlpm.ints, CHOOSE({1,2,3,4,5,6}, R587, U587, X587, AA587, AD587, AG587),
    _xlpm.limit, -0.00001*_xlpm.slopes + 0.1086*_xlpm.slopes + 63.253,
    _xlpm.valid, (_xlpm.vals &gt;= 0) * (_xlpm.ints &lt;= _xlpm.limit),
    _xlpm.target, MIN(_xlfn._xlws.FILTER(_xlpm.vals, _xlpm.valid)),
    IFERROR(
        _xlfn.XLOOKUP(_xlpm.target, _xlpm.vals, _xlpm.vals),
        CHOOSE({1,2,3,4,5,6}, S$1, V$1, Y$1, AB$1, AE$1, AH$1)
    )
)</f>
        <v>1.0688910940804879</v>
      </c>
    </row>
    <row r="588" spans="9:36" x14ac:dyDescent="0.45">
      <c r="I588">
        <v>586</v>
      </c>
      <c r="J588">
        <v>26.9</v>
      </c>
      <c r="K588">
        <f t="shared" si="208"/>
        <v>26.9</v>
      </c>
      <c r="L588">
        <f t="shared" si="207"/>
        <v>7.4722222222222221E-3</v>
      </c>
      <c r="M588">
        <v>2.08</v>
      </c>
      <c r="N588">
        <f t="shared" si="209"/>
        <v>2.08</v>
      </c>
      <c r="O588">
        <f t="shared" si="210"/>
        <v>349.57041697509482</v>
      </c>
      <c r="P588">
        <f t="shared" si="211"/>
        <v>1118.6253343203034</v>
      </c>
      <c r="Q588">
        <f t="shared" si="212"/>
        <v>5123.30403118699</v>
      </c>
      <c r="R588">
        <f t="shared" si="213"/>
        <v>3.8768999022817505</v>
      </c>
      <c r="S588">
        <f t="shared" si="214"/>
        <v>4.1141510258623333</v>
      </c>
      <c r="T588">
        <f t="shared" si="215"/>
        <v>3311.1309895880981</v>
      </c>
      <c r="U588">
        <f t="shared" si="216"/>
        <v>5.9987167406927089</v>
      </c>
      <c r="V588">
        <f t="shared" si="217"/>
        <v>1.3020965283321031</v>
      </c>
      <c r="W588">
        <f t="shared" si="218"/>
        <v>2136.5743885517795</v>
      </c>
      <c r="X588">
        <f t="shared" si="219"/>
        <v>9.2964406033771816</v>
      </c>
      <c r="Y588">
        <f t="shared" si="220"/>
        <v>0.68158594311277332</v>
      </c>
      <c r="Z588">
        <f t="shared" si="221"/>
        <v>1610.8204814212368</v>
      </c>
      <c r="AA588">
        <f t="shared" si="222"/>
        <v>12.330695522535013</v>
      </c>
      <c r="AB588">
        <f t="shared" si="223"/>
        <v>0.55809412680528692</v>
      </c>
      <c r="AC588">
        <f t="shared" si="224"/>
        <v>6000</v>
      </c>
      <c r="AD588">
        <f t="shared" si="225"/>
        <v>3.3104228163114233</v>
      </c>
      <c r="AE588">
        <f t="shared" si="226"/>
        <v>6.7216870364933392</v>
      </c>
      <c r="AF588">
        <f t="shared" si="227"/>
        <v>6000</v>
      </c>
      <c r="AG588">
        <f t="shared" si="228"/>
        <v>3.3104228163114233</v>
      </c>
      <c r="AH588">
        <f t="shared" si="229"/>
        <v>6.7216870364933392</v>
      </c>
      <c r="AI588" cm="1">
        <f t="array" ref="AI588">_xlfn.LET(
    _xlpm.vals,   _xlfn.HSTACK(S588,V588,Y588,AB588,AE588,AH588),
    _xlpm.ints,   _xlfn.HSTACK(R588,U588,X588,AA588,AD588,AG588),
    _xlpm.slopes, _xlfn.HSTACK(Q588,T588,W588,Z588,AC588,AF588),
    _xlpm.limit,  -0.00001*_xlpm.slopes + 0.1086*_xlpm.slopes + 63.253,
    _xlpm.mask,   (_xlpm.vals&gt;=0) * (_xlpm.ints&lt;=_xlpm.limit),
    _xlpm.validVals, _xlfn._xlws.FILTER(_xlpm.vals, _xlpm.mask),
    _xlpm.minVal, MIN(_xlpm.validVals),
    IFERROR( _xlfn.XMATCH(_xlpm.minVal, _xlpm.vals), "" )
)</f>
        <v>4</v>
      </c>
      <c r="AJ588" cm="1">
        <f t="array" ref="AJ588">_xlfn.LET(
    _xlpm.vals, CHOOSE({1,2,3,4,5,6}, S588, V588, Y588, AB588, AE588, AH588),
    _xlpm.slopes, CHOOSE({1,2,3,4,5,6}, Q588, T588, W588, Z588, AC588, AF588),
    _xlpm.ints, CHOOSE({1,2,3,4,5,6}, R588, U588, X588, AA588, AD588, AG588),
    _xlpm.limit, -0.00001*_xlpm.slopes + 0.1086*_xlpm.slopes + 63.253,
    _xlpm.valid, (_xlpm.vals &gt;= 0) * (_xlpm.ints &lt;= _xlpm.limit),
    _xlpm.target, MIN(_xlfn._xlws.FILTER(_xlpm.vals, _xlpm.valid)),
    IFERROR(
        _xlfn.XLOOKUP(_xlpm.target, _xlpm.vals, _xlpm.vals),
        CHOOSE({1,2,3,4,5,6}, S$1, V$1, Y$1, AB$1, AE$1, AH$1)
    )
)</f>
        <v>0.55809412680528692</v>
      </c>
    </row>
    <row r="589" spans="9:36" x14ac:dyDescent="0.45">
      <c r="I589">
        <v>587</v>
      </c>
      <c r="J589">
        <v>25.4</v>
      </c>
      <c r="K589">
        <f t="shared" si="208"/>
        <v>25.4</v>
      </c>
      <c r="L589">
        <f t="shared" si="207"/>
        <v>7.0555555555555554E-3</v>
      </c>
      <c r="M589">
        <v>-1.39</v>
      </c>
      <c r="N589">
        <f t="shared" si="209"/>
        <v>0</v>
      </c>
      <c r="O589">
        <f t="shared" si="210"/>
        <v>330.0776427943274</v>
      </c>
      <c r="P589">
        <f t="shared" si="211"/>
        <v>1056.2484569418477</v>
      </c>
      <c r="Q589">
        <f t="shared" si="212"/>
        <v>4837.6179327936625</v>
      </c>
      <c r="R589">
        <f t="shared" si="213"/>
        <v>0</v>
      </c>
      <c r="S589">
        <f t="shared" si="214"/>
        <v>3.4131114291862326</v>
      </c>
      <c r="T589">
        <f t="shared" si="215"/>
        <v>3126.4954325478693</v>
      </c>
      <c r="U589">
        <f t="shared" si="216"/>
        <v>0</v>
      </c>
      <c r="V589">
        <f t="shared" si="217"/>
        <v>1.0658817343038651</v>
      </c>
      <c r="W589">
        <f t="shared" si="218"/>
        <v>2017.4345527589292</v>
      </c>
      <c r="X589">
        <f t="shared" si="219"/>
        <v>0</v>
      </c>
      <c r="Y589">
        <f t="shared" si="220"/>
        <v>0.52980911884629722</v>
      </c>
      <c r="Z589">
        <f t="shared" si="221"/>
        <v>1520.9977779962608</v>
      </c>
      <c r="AA589">
        <f t="shared" si="222"/>
        <v>0</v>
      </c>
      <c r="AB589">
        <f t="shared" si="223"/>
        <v>0.41369261304352711</v>
      </c>
      <c r="AC589">
        <f t="shared" si="224"/>
        <v>6000</v>
      </c>
      <c r="AD589">
        <f t="shared" si="225"/>
        <v>0</v>
      </c>
      <c r="AE589">
        <f t="shared" si="226"/>
        <v>6.7000407999999982</v>
      </c>
      <c r="AF589">
        <f t="shared" si="227"/>
        <v>6000</v>
      </c>
      <c r="AG589">
        <f t="shared" si="228"/>
        <v>0</v>
      </c>
      <c r="AH589">
        <f t="shared" si="229"/>
        <v>6.7000407999999982</v>
      </c>
      <c r="AI589" cm="1">
        <f t="array" ref="AI589">_xlfn.LET(
    _xlpm.vals,   _xlfn.HSTACK(S589,V589,Y589,AB589,AE589,AH589),
    _xlpm.ints,   _xlfn.HSTACK(R589,U589,X589,AA589,AD589,AG589),
    _xlpm.slopes, _xlfn.HSTACK(Q589,T589,W589,Z589,AC589,AF589),
    _xlpm.limit,  -0.00001*_xlpm.slopes + 0.1086*_xlpm.slopes + 63.253,
    _xlpm.mask,   (_xlpm.vals&gt;=0) * (_xlpm.ints&lt;=_xlpm.limit),
    _xlpm.validVals, _xlfn._xlws.FILTER(_xlpm.vals, _xlpm.mask),
    _xlpm.minVal, MIN(_xlpm.validVals),
    IFERROR( _xlfn.XMATCH(_xlpm.minVal, _xlpm.vals), "" )
)</f>
        <v>4</v>
      </c>
      <c r="AJ589" cm="1">
        <f t="array" ref="AJ589">_xlfn.LET(
    _xlpm.vals, CHOOSE({1,2,3,4,5,6}, S589, V589, Y589, AB589, AE589, AH589),
    _xlpm.slopes, CHOOSE({1,2,3,4,5,6}, Q589, T589, W589, Z589, AC589, AF589),
    _xlpm.ints, CHOOSE({1,2,3,4,5,6}, R589, U589, X589, AA589, AD589, AG589),
    _xlpm.limit, -0.00001*_xlpm.slopes + 0.1086*_xlpm.slopes + 63.253,
    _xlpm.valid, (_xlpm.vals &gt;= 0) * (_xlpm.ints &lt;= _xlpm.limit),
    _xlpm.target, MIN(_xlfn._xlws.FILTER(_xlpm.vals, _xlpm.valid)),
    IFERROR(
        _xlfn.XLOOKUP(_xlpm.target, _xlpm.vals, _xlpm.vals),
        CHOOSE({1,2,3,4,5,6}, S$1, V$1, Y$1, AB$1, AE$1, AH$1)
    )
)</f>
        <v>0.41369261304352711</v>
      </c>
    </row>
    <row r="590" spans="9:36" x14ac:dyDescent="0.45">
      <c r="I590">
        <v>588</v>
      </c>
      <c r="J590">
        <v>22.4</v>
      </c>
      <c r="K590">
        <f t="shared" si="208"/>
        <v>22.4</v>
      </c>
      <c r="L590">
        <f t="shared" si="207"/>
        <v>6.2222222222222219E-3</v>
      </c>
      <c r="M590">
        <v>-1.08</v>
      </c>
      <c r="N590">
        <f t="shared" si="209"/>
        <v>0</v>
      </c>
      <c r="O590">
        <f t="shared" si="210"/>
        <v>291.09209443279269</v>
      </c>
      <c r="P590">
        <f t="shared" si="211"/>
        <v>931.49470218493661</v>
      </c>
      <c r="Q590">
        <f t="shared" si="212"/>
        <v>4266.2457360070093</v>
      </c>
      <c r="R590">
        <f t="shared" si="213"/>
        <v>0</v>
      </c>
      <c r="S590">
        <f t="shared" si="214"/>
        <v>2.3537021475343352</v>
      </c>
      <c r="T590">
        <f t="shared" si="215"/>
        <v>2757.2243184674126</v>
      </c>
      <c r="U590">
        <f t="shared" si="216"/>
        <v>0</v>
      </c>
      <c r="V590">
        <f t="shared" si="217"/>
        <v>0.82869063712426039</v>
      </c>
      <c r="W590">
        <f t="shared" si="218"/>
        <v>1779.1548811732289</v>
      </c>
      <c r="X590">
        <f t="shared" si="219"/>
        <v>0</v>
      </c>
      <c r="Y590">
        <f t="shared" si="220"/>
        <v>0.46850688699479581</v>
      </c>
      <c r="Z590">
        <f t="shared" si="221"/>
        <v>1341.3523711463088</v>
      </c>
      <c r="AA590">
        <f t="shared" si="222"/>
        <v>0</v>
      </c>
      <c r="AB590">
        <f t="shared" si="223"/>
        <v>0.38010921197025638</v>
      </c>
      <c r="AC590">
        <f t="shared" si="224"/>
        <v>6000</v>
      </c>
      <c r="AD590">
        <f t="shared" si="225"/>
        <v>0</v>
      </c>
      <c r="AE590">
        <f t="shared" si="226"/>
        <v>6.7000407999999982</v>
      </c>
      <c r="AF590">
        <f t="shared" si="227"/>
        <v>6000</v>
      </c>
      <c r="AG590">
        <f t="shared" si="228"/>
        <v>0</v>
      </c>
      <c r="AH590">
        <f t="shared" si="229"/>
        <v>6.7000407999999982</v>
      </c>
      <c r="AI590" cm="1">
        <f t="array" ref="AI590">_xlfn.LET(
    _xlpm.vals,   _xlfn.HSTACK(S590,V590,Y590,AB590,AE590,AH590),
    _xlpm.ints,   _xlfn.HSTACK(R590,U590,X590,AA590,AD590,AG590),
    _xlpm.slopes, _xlfn.HSTACK(Q590,T590,W590,Z590,AC590,AF590),
    _xlpm.limit,  -0.00001*_xlpm.slopes + 0.1086*_xlpm.slopes + 63.253,
    _xlpm.mask,   (_xlpm.vals&gt;=0) * (_xlpm.ints&lt;=_xlpm.limit),
    _xlpm.validVals, _xlfn._xlws.FILTER(_xlpm.vals, _xlpm.mask),
    _xlpm.minVal, MIN(_xlpm.validVals),
    IFERROR( _xlfn.XMATCH(_xlpm.minVal, _xlpm.vals), "" )
)</f>
        <v>4</v>
      </c>
      <c r="AJ590" cm="1">
        <f t="array" ref="AJ590">_xlfn.LET(
    _xlpm.vals, CHOOSE({1,2,3,4,5,6}, S590, V590, Y590, AB590, AE590, AH590),
    _xlpm.slopes, CHOOSE({1,2,3,4,5,6}, Q590, T590, W590, Z590, AC590, AF590),
    _xlpm.ints, CHOOSE({1,2,3,4,5,6}, R590, U590, X590, AA590, AD590, AG590),
    _xlpm.limit, -0.00001*_xlpm.slopes + 0.1086*_xlpm.slopes + 63.253,
    _xlpm.valid, (_xlpm.vals &gt;= 0) * (_xlpm.ints &lt;= _xlpm.limit),
    _xlpm.target, MIN(_xlfn._xlws.FILTER(_xlpm.vals, _xlpm.valid)),
    IFERROR(
        _xlfn.XLOOKUP(_xlpm.target, _xlpm.vals, _xlpm.vals),
        CHOOSE({1,2,3,4,5,6}, S$1, V$1, Y$1, AB$1, AE$1, AH$1)
    )
)</f>
        <v>0.38010921197025638</v>
      </c>
    </row>
    <row r="591" spans="9:36" x14ac:dyDescent="0.45">
      <c r="I591">
        <v>589</v>
      </c>
      <c r="J591">
        <v>19</v>
      </c>
      <c r="K591">
        <f t="shared" si="208"/>
        <v>19</v>
      </c>
      <c r="L591">
        <f t="shared" si="207"/>
        <v>5.2777777777777779E-3</v>
      </c>
      <c r="M591">
        <v>-1.32</v>
      </c>
      <c r="N591">
        <f t="shared" si="209"/>
        <v>0</v>
      </c>
      <c r="O591">
        <f t="shared" si="210"/>
        <v>246.90847295638667</v>
      </c>
      <c r="P591">
        <f t="shared" si="211"/>
        <v>790.1071134604374</v>
      </c>
      <c r="Q591">
        <f t="shared" si="212"/>
        <v>3618.6905796488036</v>
      </c>
      <c r="R591">
        <f t="shared" si="213"/>
        <v>0</v>
      </c>
      <c r="S591">
        <f t="shared" si="214"/>
        <v>1.5058193132171038</v>
      </c>
      <c r="T591">
        <f t="shared" si="215"/>
        <v>2338.7170558428948</v>
      </c>
      <c r="U591">
        <f t="shared" si="216"/>
        <v>0</v>
      </c>
      <c r="V591">
        <f t="shared" si="217"/>
        <v>0.63581596366649973</v>
      </c>
      <c r="W591">
        <f t="shared" si="218"/>
        <v>1509.1045867094354</v>
      </c>
      <c r="X591">
        <f t="shared" si="219"/>
        <v>0</v>
      </c>
      <c r="Y591">
        <f t="shared" si="220"/>
        <v>0.41137951156715502</v>
      </c>
      <c r="Z591">
        <f t="shared" si="221"/>
        <v>1137.7542433830299</v>
      </c>
      <c r="AA591">
        <f t="shared" si="222"/>
        <v>0</v>
      </c>
      <c r="AB591">
        <f t="shared" si="223"/>
        <v>0.34416368375154605</v>
      </c>
      <c r="AC591">
        <f t="shared" si="224"/>
        <v>6000</v>
      </c>
      <c r="AD591">
        <f t="shared" si="225"/>
        <v>0</v>
      </c>
      <c r="AE591">
        <f t="shared" si="226"/>
        <v>6.7000407999999982</v>
      </c>
      <c r="AF591">
        <f t="shared" si="227"/>
        <v>6000</v>
      </c>
      <c r="AG591">
        <f t="shared" si="228"/>
        <v>0</v>
      </c>
      <c r="AH591">
        <f t="shared" si="229"/>
        <v>6.7000407999999982</v>
      </c>
      <c r="AI591" cm="1">
        <f t="array" ref="AI591">_xlfn.LET(
    _xlpm.vals,   _xlfn.HSTACK(S591,V591,Y591,AB591,AE591,AH591),
    _xlpm.ints,   _xlfn.HSTACK(R591,U591,X591,AA591,AD591,AG591),
    _xlpm.slopes, _xlfn.HSTACK(Q591,T591,W591,Z591,AC591,AF591),
    _xlpm.limit,  -0.00001*_xlpm.slopes + 0.1086*_xlpm.slopes + 63.253,
    _xlpm.mask,   (_xlpm.vals&gt;=0) * (_xlpm.ints&lt;=_xlpm.limit),
    _xlpm.validVals, _xlfn._xlws.FILTER(_xlpm.vals, _xlpm.mask),
    _xlpm.minVal, MIN(_xlpm.validVals),
    IFERROR( _xlfn.XMATCH(_xlpm.minVal, _xlpm.vals), "" )
)</f>
        <v>4</v>
      </c>
      <c r="AJ591" cm="1">
        <f t="array" ref="AJ591">_xlfn.LET(
    _xlpm.vals, CHOOSE({1,2,3,4,5,6}, S591, V591, Y591, AB591, AE591, AH591),
    _xlpm.slopes, CHOOSE({1,2,3,4,5,6}, Q591, T591, W591, Z591, AC591, AF591),
    _xlpm.ints, CHOOSE({1,2,3,4,5,6}, R591, U591, X591, AA591, AD591, AG591),
    _xlpm.limit, -0.00001*_xlpm.slopes + 0.1086*_xlpm.slopes + 63.253,
    _xlpm.valid, (_xlpm.vals &gt;= 0) * (_xlpm.ints &lt;= _xlpm.limit),
    _xlpm.target, MIN(_xlfn._xlws.FILTER(_xlpm.vals, _xlpm.valid)),
    IFERROR(
        _xlfn.XLOOKUP(_xlpm.target, _xlpm.vals, _xlpm.vals),
        CHOOSE({1,2,3,4,5,6}, S$1, V$1, Y$1, AB$1, AE$1, AH$1)
    )
)</f>
        <v>0.34416368375154605</v>
      </c>
    </row>
    <row r="592" spans="9:36" x14ac:dyDescent="0.45">
      <c r="I592">
        <v>590</v>
      </c>
      <c r="J592">
        <v>15.6</v>
      </c>
      <c r="K592">
        <f t="shared" si="208"/>
        <v>15.6</v>
      </c>
      <c r="L592">
        <f t="shared" si="207"/>
        <v>4.3333333333333331E-3</v>
      </c>
      <c r="M592">
        <v>-0.74</v>
      </c>
      <c r="N592">
        <f t="shared" si="209"/>
        <v>0</v>
      </c>
      <c r="O592">
        <f t="shared" si="210"/>
        <v>202.72485147998063</v>
      </c>
      <c r="P592">
        <f t="shared" si="211"/>
        <v>648.71952473593808</v>
      </c>
      <c r="Q592">
        <f t="shared" si="212"/>
        <v>2971.1354232905965</v>
      </c>
      <c r="R592">
        <f t="shared" si="213"/>
        <v>0</v>
      </c>
      <c r="S592">
        <f t="shared" si="214"/>
        <v>0.95742389251367688</v>
      </c>
      <c r="T592">
        <f t="shared" si="215"/>
        <v>1920.2097932183767</v>
      </c>
      <c r="U592">
        <f t="shared" si="216"/>
        <v>0</v>
      </c>
      <c r="V592">
        <f t="shared" si="217"/>
        <v>0.50329109366063851</v>
      </c>
      <c r="W592">
        <f t="shared" si="218"/>
        <v>1239.0542922456416</v>
      </c>
      <c r="X592">
        <f t="shared" si="219"/>
        <v>0</v>
      </c>
      <c r="Y592">
        <f t="shared" si="220"/>
        <v>0.36190799461708234</v>
      </c>
      <c r="Z592">
        <f t="shared" si="221"/>
        <v>6000</v>
      </c>
      <c r="AA592">
        <f t="shared" si="222"/>
        <v>0</v>
      </c>
      <c r="AB592">
        <f t="shared" si="223"/>
        <v>6.7000407999999982</v>
      </c>
      <c r="AC592">
        <f t="shared" si="224"/>
        <v>6000</v>
      </c>
      <c r="AD592">
        <f t="shared" si="225"/>
        <v>0</v>
      </c>
      <c r="AE592">
        <f t="shared" si="226"/>
        <v>6.7000407999999982</v>
      </c>
      <c r="AF592">
        <f t="shared" si="227"/>
        <v>6000</v>
      </c>
      <c r="AG592">
        <f t="shared" si="228"/>
        <v>0</v>
      </c>
      <c r="AH592">
        <f t="shared" si="229"/>
        <v>6.7000407999999982</v>
      </c>
      <c r="AI592" cm="1">
        <f t="array" ref="AI592">_xlfn.LET(
    _xlpm.vals,   _xlfn.HSTACK(S592,V592,Y592,AB592,AE592,AH592),
    _xlpm.ints,   _xlfn.HSTACK(R592,U592,X592,AA592,AD592,AG592),
    _xlpm.slopes, _xlfn.HSTACK(Q592,T592,W592,Z592,AC592,AF592),
    _xlpm.limit,  -0.00001*_xlpm.slopes + 0.1086*_xlpm.slopes + 63.253,
    _xlpm.mask,   (_xlpm.vals&gt;=0) * (_xlpm.ints&lt;=_xlpm.limit),
    _xlpm.validVals, _xlfn._xlws.FILTER(_xlpm.vals, _xlpm.mask),
    _xlpm.minVal, MIN(_xlpm.validVals),
    IFERROR( _xlfn.XMATCH(_xlpm.minVal, _xlpm.vals), "" )
)</f>
        <v>3</v>
      </c>
      <c r="AJ592" cm="1">
        <f t="array" ref="AJ592">_xlfn.LET(
    _xlpm.vals, CHOOSE({1,2,3,4,5,6}, S592, V592, Y592, AB592, AE592, AH592),
    _xlpm.slopes, CHOOSE({1,2,3,4,5,6}, Q592, T592, W592, Z592, AC592, AF592),
    _xlpm.ints, CHOOSE({1,2,3,4,5,6}, R592, U592, X592, AA592, AD592, AG592),
    _xlpm.limit, -0.00001*_xlpm.slopes + 0.1086*_xlpm.slopes + 63.253,
    _xlpm.valid, (_xlpm.vals &gt;= 0) * (_xlpm.ints &lt;= _xlpm.limit),
    _xlpm.target, MIN(_xlfn._xlws.FILTER(_xlpm.vals, _xlpm.valid)),
    IFERROR(
        _xlfn.XLOOKUP(_xlpm.target, _xlpm.vals, _xlpm.vals),
        CHOOSE({1,2,3,4,5,6}, S$1, V$1, Y$1, AB$1, AE$1, AH$1)
    )
)</f>
        <v>0.36190799461708234</v>
      </c>
    </row>
    <row r="593" spans="9:36" x14ac:dyDescent="0.45">
      <c r="I593">
        <v>591</v>
      </c>
      <c r="J593">
        <v>12.1</v>
      </c>
      <c r="K593">
        <f t="shared" si="208"/>
        <v>12.1</v>
      </c>
      <c r="L593">
        <f t="shared" si="207"/>
        <v>3.3611111111111112E-3</v>
      </c>
      <c r="M593">
        <v>-0.95</v>
      </c>
      <c r="N593">
        <f t="shared" si="209"/>
        <v>0</v>
      </c>
      <c r="O593">
        <f t="shared" si="210"/>
        <v>157.24171172485677</v>
      </c>
      <c r="P593">
        <f t="shared" si="211"/>
        <v>503.17347751954168</v>
      </c>
      <c r="Q593">
        <f t="shared" si="212"/>
        <v>2304.534527039501</v>
      </c>
      <c r="R593">
        <f t="shared" si="213"/>
        <v>0</v>
      </c>
      <c r="S593">
        <f t="shared" si="214"/>
        <v>0.62301463658346035</v>
      </c>
      <c r="T593">
        <f t="shared" si="215"/>
        <v>1489.3934934578433</v>
      </c>
      <c r="U593">
        <f t="shared" si="216"/>
        <v>0</v>
      </c>
      <c r="V593">
        <f t="shared" si="217"/>
        <v>0.40757837416675341</v>
      </c>
      <c r="W593">
        <f t="shared" si="218"/>
        <v>6000</v>
      </c>
      <c r="X593">
        <f t="shared" si="219"/>
        <v>0</v>
      </c>
      <c r="Y593">
        <f t="shared" si="220"/>
        <v>6.7000407999999982</v>
      </c>
      <c r="Z593">
        <f t="shared" si="221"/>
        <v>6000</v>
      </c>
      <c r="AA593">
        <f t="shared" si="222"/>
        <v>0</v>
      </c>
      <c r="AB593">
        <f t="shared" si="223"/>
        <v>6.7000407999999982</v>
      </c>
      <c r="AC593">
        <f t="shared" si="224"/>
        <v>6000</v>
      </c>
      <c r="AD593">
        <f t="shared" si="225"/>
        <v>0</v>
      </c>
      <c r="AE593">
        <f t="shared" si="226"/>
        <v>6.7000407999999982</v>
      </c>
      <c r="AF593">
        <f t="shared" si="227"/>
        <v>6000</v>
      </c>
      <c r="AG593">
        <f t="shared" si="228"/>
        <v>0</v>
      </c>
      <c r="AH593">
        <f t="shared" si="229"/>
        <v>6.7000407999999982</v>
      </c>
      <c r="AI593" cm="1">
        <f t="array" ref="AI593">_xlfn.LET(
    _xlpm.vals,   _xlfn.HSTACK(S593,V593,Y593,AB593,AE593,AH593),
    _xlpm.ints,   _xlfn.HSTACK(R593,U593,X593,AA593,AD593,AG593),
    _xlpm.slopes, _xlfn.HSTACK(Q593,T593,W593,Z593,AC593,AF593),
    _xlpm.limit,  -0.00001*_xlpm.slopes + 0.1086*_xlpm.slopes + 63.253,
    _xlpm.mask,   (_xlpm.vals&gt;=0) * (_xlpm.ints&lt;=_xlpm.limit),
    _xlpm.validVals, _xlfn._xlws.FILTER(_xlpm.vals, _xlpm.mask),
    _xlpm.minVal, MIN(_xlpm.validVals),
    IFERROR( _xlfn.XMATCH(_xlpm.minVal, _xlpm.vals), "" )
)</f>
        <v>2</v>
      </c>
      <c r="AJ593" cm="1">
        <f t="array" ref="AJ593">_xlfn.LET(
    _xlpm.vals, CHOOSE({1,2,3,4,5,6}, S593, V593, Y593, AB593, AE593, AH593),
    _xlpm.slopes, CHOOSE({1,2,3,4,5,6}, Q593, T593, W593, Z593, AC593, AF593),
    _xlpm.ints, CHOOSE({1,2,3,4,5,6}, R593, U593, X593, AA593, AD593, AG593),
    _xlpm.limit, -0.00001*_xlpm.slopes + 0.1086*_xlpm.slopes + 63.253,
    _xlpm.valid, (_xlpm.vals &gt;= 0) * (_xlpm.ints &lt;= _xlpm.limit),
    _xlpm.target, MIN(_xlfn._xlws.FILTER(_xlpm.vals, _xlpm.valid)),
    IFERROR(
        _xlfn.XLOOKUP(_xlpm.target, _xlpm.vals, _xlpm.vals),
        CHOOSE({1,2,3,4,5,6}, S$1, V$1, Y$1, AB$1, AE$1, AH$1)
    )
)</f>
        <v>0.40757837416675341</v>
      </c>
    </row>
    <row r="594" spans="9:36" x14ac:dyDescent="0.45">
      <c r="I594">
        <v>592</v>
      </c>
      <c r="J594">
        <v>8.6</v>
      </c>
      <c r="K594">
        <f t="shared" si="208"/>
        <v>8.6</v>
      </c>
      <c r="L594">
        <f t="shared" si="207"/>
        <v>2.3888888888888887E-3</v>
      </c>
      <c r="M594">
        <v>-0.31</v>
      </c>
      <c r="N594">
        <f t="shared" si="209"/>
        <v>0</v>
      </c>
      <c r="O594">
        <f t="shared" si="210"/>
        <v>111.75857196973291</v>
      </c>
      <c r="P594">
        <f t="shared" si="211"/>
        <v>357.62743030314533</v>
      </c>
      <c r="Q594">
        <f t="shared" si="212"/>
        <v>1637.9336307884057</v>
      </c>
      <c r="R594">
        <f t="shared" si="213"/>
        <v>0</v>
      </c>
      <c r="S594">
        <f t="shared" si="214"/>
        <v>0.4373281959333184</v>
      </c>
      <c r="T594">
        <f t="shared" si="215"/>
        <v>1058.5771936973101</v>
      </c>
      <c r="U594">
        <f t="shared" si="216"/>
        <v>0</v>
      </c>
      <c r="V594">
        <f t="shared" si="217"/>
        <v>0.33029361407721869</v>
      </c>
      <c r="W594">
        <f t="shared" si="218"/>
        <v>6000</v>
      </c>
      <c r="X594">
        <f t="shared" si="219"/>
        <v>0</v>
      </c>
      <c r="Y594">
        <f t="shared" si="220"/>
        <v>6.7000407999999982</v>
      </c>
      <c r="Z594">
        <f t="shared" si="221"/>
        <v>6000</v>
      </c>
      <c r="AA594">
        <f t="shared" si="222"/>
        <v>0</v>
      </c>
      <c r="AB594">
        <f t="shared" si="223"/>
        <v>6.7000407999999982</v>
      </c>
      <c r="AC594">
        <f t="shared" si="224"/>
        <v>6000</v>
      </c>
      <c r="AD594">
        <f t="shared" si="225"/>
        <v>0</v>
      </c>
      <c r="AE594">
        <f t="shared" si="226"/>
        <v>6.7000407999999982</v>
      </c>
      <c r="AF594">
        <f t="shared" si="227"/>
        <v>6000</v>
      </c>
      <c r="AG594">
        <f t="shared" si="228"/>
        <v>0</v>
      </c>
      <c r="AH594">
        <f t="shared" si="229"/>
        <v>6.7000407999999982</v>
      </c>
      <c r="AI594" cm="1">
        <f t="array" ref="AI594">_xlfn.LET(
    _xlpm.vals,   _xlfn.HSTACK(S594,V594,Y594,AB594,AE594,AH594),
    _xlpm.ints,   _xlfn.HSTACK(R594,U594,X594,AA594,AD594,AG594),
    _xlpm.slopes, _xlfn.HSTACK(Q594,T594,W594,Z594,AC594,AF594),
    _xlpm.limit,  -0.00001*_xlpm.slopes + 0.1086*_xlpm.slopes + 63.253,
    _xlpm.mask,   (_xlpm.vals&gt;=0) * (_xlpm.ints&lt;=_xlpm.limit),
    _xlpm.validVals, _xlfn._xlws.FILTER(_xlpm.vals, _xlpm.mask),
    _xlpm.minVal, MIN(_xlpm.validVals),
    IFERROR( _xlfn.XMATCH(_xlpm.minVal, _xlpm.vals), "" )
)</f>
        <v>2</v>
      </c>
      <c r="AJ594" cm="1">
        <f t="array" ref="AJ594">_xlfn.LET(
    _xlpm.vals, CHOOSE({1,2,3,4,5,6}, S594, V594, Y594, AB594, AE594, AH594),
    _xlpm.slopes, CHOOSE({1,2,3,4,5,6}, Q594, T594, W594, Z594, AC594, AF594),
    _xlpm.ints, CHOOSE({1,2,3,4,5,6}, R594, U594, X594, AA594, AD594, AG594),
    _xlpm.limit, -0.00001*_xlpm.slopes + 0.1086*_xlpm.slopes + 63.253,
    _xlpm.valid, (_xlpm.vals &gt;= 0) * (_xlpm.ints &lt;= _xlpm.limit),
    _xlpm.target, MIN(_xlfn._xlws.FILTER(_xlpm.vals, _xlpm.valid)),
    IFERROR(
        _xlfn.XLOOKUP(_xlpm.target, _xlpm.vals, _xlpm.vals),
        CHOOSE({1,2,3,4,5,6}, S$1, V$1, Y$1, AB$1, AE$1, AH$1)
    )
)</f>
        <v>0.33029361407721869</v>
      </c>
    </row>
    <row r="595" spans="9:36" x14ac:dyDescent="0.45">
      <c r="I595">
        <v>593</v>
      </c>
      <c r="J595">
        <v>5.3</v>
      </c>
      <c r="K595">
        <f t="shared" si="208"/>
        <v>5.3</v>
      </c>
      <c r="L595">
        <f t="shared" si="207"/>
        <v>1.4722222222222222E-3</v>
      </c>
      <c r="M595">
        <v>0.47</v>
      </c>
      <c r="N595">
        <f t="shared" si="209"/>
        <v>0.47</v>
      </c>
      <c r="O595">
        <f t="shared" si="210"/>
        <v>68.874468772044693</v>
      </c>
      <c r="P595">
        <f t="shared" si="211"/>
        <v>220.39830007054303</v>
      </c>
      <c r="Q595">
        <f t="shared" si="212"/>
        <v>1009.4242143230871</v>
      </c>
      <c r="R595">
        <f t="shared" si="213"/>
        <v>4.4462668237071998</v>
      </c>
      <c r="S595">
        <f t="shared" si="214"/>
        <v>0.34842783589518972</v>
      </c>
      <c r="T595">
        <f t="shared" si="215"/>
        <v>6000</v>
      </c>
      <c r="U595">
        <f t="shared" si="216"/>
        <v>0.74802823253190809</v>
      </c>
      <c r="V595">
        <f t="shared" si="217"/>
        <v>6.7046140043292288</v>
      </c>
      <c r="W595">
        <f t="shared" si="218"/>
        <v>6000</v>
      </c>
      <c r="X595">
        <f t="shared" si="219"/>
        <v>0.74802823253190809</v>
      </c>
      <c r="Y595">
        <f t="shared" si="220"/>
        <v>6.7046140043292288</v>
      </c>
      <c r="Z595">
        <f t="shared" si="221"/>
        <v>6000</v>
      </c>
      <c r="AA595">
        <f t="shared" si="222"/>
        <v>0.74802823253190809</v>
      </c>
      <c r="AB595">
        <f t="shared" si="223"/>
        <v>6.7046140043292288</v>
      </c>
      <c r="AC595">
        <f t="shared" si="224"/>
        <v>6000</v>
      </c>
      <c r="AD595">
        <f t="shared" si="225"/>
        <v>0.74802823253190809</v>
      </c>
      <c r="AE595">
        <f t="shared" si="226"/>
        <v>6.7046140043292288</v>
      </c>
      <c r="AF595">
        <f t="shared" si="227"/>
        <v>6000</v>
      </c>
      <c r="AG595">
        <f t="shared" si="228"/>
        <v>0.74802823253190809</v>
      </c>
      <c r="AH595">
        <f t="shared" si="229"/>
        <v>6.7046140043292288</v>
      </c>
      <c r="AI595" cm="1">
        <f t="array" ref="AI595">_xlfn.LET(
    _xlpm.vals,   _xlfn.HSTACK(S595,V595,Y595,AB595,AE595,AH595),
    _xlpm.ints,   _xlfn.HSTACK(R595,U595,X595,AA595,AD595,AG595),
    _xlpm.slopes, _xlfn.HSTACK(Q595,T595,W595,Z595,AC595,AF595),
    _xlpm.limit,  -0.00001*_xlpm.slopes + 0.1086*_xlpm.slopes + 63.253,
    _xlpm.mask,   (_xlpm.vals&gt;=0) * (_xlpm.ints&lt;=_xlpm.limit),
    _xlpm.validVals, _xlfn._xlws.FILTER(_xlpm.vals, _xlpm.mask),
    _xlpm.minVal, MIN(_xlpm.validVals),
    IFERROR( _xlfn.XMATCH(_xlpm.minVal, _xlpm.vals), "" )
)</f>
        <v>1</v>
      </c>
      <c r="AJ595" cm="1">
        <f t="array" ref="AJ595">_xlfn.LET(
    _xlpm.vals, CHOOSE({1,2,3,4,5,6}, S595, V595, Y595, AB595, AE595, AH595),
    _xlpm.slopes, CHOOSE({1,2,3,4,5,6}, Q595, T595, W595, Z595, AC595, AF595),
    _xlpm.ints, CHOOSE({1,2,3,4,5,6}, R595, U595, X595, AA595, AD595, AG595),
    _xlpm.limit, -0.00001*_xlpm.slopes + 0.1086*_xlpm.slopes + 63.253,
    _xlpm.valid, (_xlpm.vals &gt;= 0) * (_xlpm.ints &lt;= _xlpm.limit),
    _xlpm.target, MIN(_xlfn._xlws.FILTER(_xlpm.vals, _xlpm.valid)),
    IFERROR(
        _xlfn.XLOOKUP(_xlpm.target, _xlpm.vals, _xlpm.vals),
        CHOOSE({1,2,3,4,5,6}, S$1, V$1, Y$1, AB$1, AE$1, AH$1)
    )
)</f>
        <v>0.34842783589518972</v>
      </c>
    </row>
    <row r="596" spans="9:36" x14ac:dyDescent="0.45">
      <c r="I596">
        <v>594</v>
      </c>
      <c r="J596">
        <v>2.2999999999999998</v>
      </c>
      <c r="K596">
        <f t="shared" si="208"/>
        <v>2.2999999999999998</v>
      </c>
      <c r="L596">
        <f t="shared" si="207"/>
        <v>6.3888888888888882E-4</v>
      </c>
      <c r="M596">
        <v>0.95</v>
      </c>
      <c r="N596">
        <f t="shared" si="209"/>
        <v>0.95</v>
      </c>
      <c r="O596">
        <f t="shared" si="210"/>
        <v>29.888920410509964</v>
      </c>
      <c r="P596">
        <f t="shared" si="211"/>
        <v>95.644545313631895</v>
      </c>
      <c r="Q596">
        <f t="shared" si="212"/>
        <v>1000</v>
      </c>
      <c r="R596">
        <f t="shared" si="213"/>
        <v>9.0718317562380353</v>
      </c>
      <c r="S596">
        <f t="shared" si="214"/>
        <v>0.3766214339626997</v>
      </c>
      <c r="T596">
        <f t="shared" si="215"/>
        <v>6000</v>
      </c>
      <c r="U596">
        <f t="shared" si="216"/>
        <v>1.5119719593730059</v>
      </c>
      <c r="V596">
        <f t="shared" si="217"/>
        <v>6.7094768729910514</v>
      </c>
      <c r="W596">
        <f t="shared" si="218"/>
        <v>6000</v>
      </c>
      <c r="X596">
        <f t="shared" si="219"/>
        <v>1.5119719593730059</v>
      </c>
      <c r="Y596">
        <f t="shared" si="220"/>
        <v>6.7094768729910514</v>
      </c>
      <c r="Z596">
        <f t="shared" si="221"/>
        <v>6000</v>
      </c>
      <c r="AA596">
        <f t="shared" si="222"/>
        <v>1.5119719593730059</v>
      </c>
      <c r="AB596">
        <f t="shared" si="223"/>
        <v>6.7094768729910514</v>
      </c>
      <c r="AC596">
        <f t="shared" si="224"/>
        <v>6000</v>
      </c>
      <c r="AD596">
        <f t="shared" si="225"/>
        <v>1.5119719593730059</v>
      </c>
      <c r="AE596">
        <f t="shared" si="226"/>
        <v>6.7094768729910514</v>
      </c>
      <c r="AF596">
        <f t="shared" si="227"/>
        <v>6000</v>
      </c>
      <c r="AG596">
        <f t="shared" si="228"/>
        <v>1.5119719593730059</v>
      </c>
      <c r="AH596">
        <f t="shared" si="229"/>
        <v>6.7094768729910514</v>
      </c>
      <c r="AI596" cm="1">
        <f t="array" ref="AI596">_xlfn.LET(
    _xlpm.vals,   _xlfn.HSTACK(S596,V596,Y596,AB596,AE596,AH596),
    _xlpm.ints,   _xlfn.HSTACK(R596,U596,X596,AA596,AD596,AG596),
    _xlpm.slopes, _xlfn.HSTACK(Q596,T596,W596,Z596,AC596,AF596),
    _xlpm.limit,  -0.00001*_xlpm.slopes + 0.1086*_xlpm.slopes + 63.253,
    _xlpm.mask,   (_xlpm.vals&gt;=0) * (_xlpm.ints&lt;=_xlpm.limit),
    _xlpm.validVals, _xlfn._xlws.FILTER(_xlpm.vals, _xlpm.mask),
    _xlpm.minVal, MIN(_xlpm.validVals),
    IFERROR( _xlfn.XMATCH(_xlpm.minVal, _xlpm.vals), "" )
)</f>
        <v>1</v>
      </c>
      <c r="AJ596" cm="1">
        <f t="array" ref="AJ596">_xlfn.LET(
    _xlpm.vals, CHOOSE({1,2,3,4,5,6}, S596, V596, Y596, AB596, AE596, AH596),
    _xlpm.slopes, CHOOSE({1,2,3,4,5,6}, Q596, T596, W596, Z596, AC596, AF596),
    _xlpm.ints, CHOOSE({1,2,3,4,5,6}, R596, U596, X596, AA596, AD596, AG596),
    _xlpm.limit, -0.00001*_xlpm.slopes + 0.1086*_xlpm.slopes + 63.253,
    _xlpm.valid, (_xlpm.vals &gt;= 0) * (_xlpm.ints &lt;= _xlpm.limit),
    _xlpm.target, MIN(_xlfn._xlws.FILTER(_xlpm.vals, _xlpm.valid)),
    IFERROR(
        _xlfn.XLOOKUP(_xlpm.target, _xlpm.vals, _xlpm.vals),
        CHOOSE({1,2,3,4,5,6}, S$1, V$1, Y$1, AB$1, AE$1, AH$1)
    )
)</f>
        <v>0.3766214339626997</v>
      </c>
    </row>
    <row r="597" spans="9:36" x14ac:dyDescent="0.45">
      <c r="I597">
        <v>595</v>
      </c>
      <c r="J597">
        <v>0.3</v>
      </c>
      <c r="K597">
        <f t="shared" si="208"/>
        <v>0.3</v>
      </c>
      <c r="L597">
        <f t="shared" si="207"/>
        <v>8.3333333333333331E-5</v>
      </c>
      <c r="M597">
        <v>1.01</v>
      </c>
      <c r="N597">
        <f t="shared" si="209"/>
        <v>1.01</v>
      </c>
      <c r="O597">
        <f t="shared" si="210"/>
        <v>3.898554836153473</v>
      </c>
      <c r="P597">
        <f t="shared" si="211"/>
        <v>12.475375475691115</v>
      </c>
      <c r="Q597">
        <f t="shared" si="212"/>
        <v>1000</v>
      </c>
      <c r="R597">
        <f t="shared" si="213"/>
        <v>9.6447895513688575</v>
      </c>
      <c r="S597">
        <f t="shared" si="214"/>
        <v>0.38052866022411469</v>
      </c>
      <c r="T597">
        <f t="shared" si="215"/>
        <v>6000</v>
      </c>
      <c r="U597">
        <f t="shared" si="216"/>
        <v>1.607464925228143</v>
      </c>
      <c r="V597">
        <f t="shared" si="217"/>
        <v>6.71009835352727</v>
      </c>
      <c r="W597">
        <f t="shared" si="218"/>
        <v>6000</v>
      </c>
      <c r="X597">
        <f t="shared" si="219"/>
        <v>1.607464925228143</v>
      </c>
      <c r="Y597">
        <f t="shared" si="220"/>
        <v>6.71009835352727</v>
      </c>
      <c r="Z597">
        <f t="shared" si="221"/>
        <v>6000</v>
      </c>
      <c r="AA597">
        <f t="shared" si="222"/>
        <v>1.607464925228143</v>
      </c>
      <c r="AB597">
        <f t="shared" si="223"/>
        <v>6.71009835352727</v>
      </c>
      <c r="AC597">
        <f t="shared" si="224"/>
        <v>6000</v>
      </c>
      <c r="AD597">
        <f t="shared" si="225"/>
        <v>1.607464925228143</v>
      </c>
      <c r="AE597">
        <f t="shared" si="226"/>
        <v>6.71009835352727</v>
      </c>
      <c r="AF597">
        <f t="shared" si="227"/>
        <v>6000</v>
      </c>
      <c r="AG597">
        <f t="shared" si="228"/>
        <v>1.607464925228143</v>
      </c>
      <c r="AH597">
        <f t="shared" si="229"/>
        <v>6.71009835352727</v>
      </c>
      <c r="AI597" cm="1">
        <f t="array" ref="AI597">_xlfn.LET(
    _xlpm.vals,   _xlfn.HSTACK(S597,V597,Y597,AB597,AE597,AH597),
    _xlpm.ints,   _xlfn.HSTACK(R597,U597,X597,AA597,AD597,AG597),
    _xlpm.slopes, _xlfn.HSTACK(Q597,T597,W597,Z597,AC597,AF597),
    _xlpm.limit,  -0.00001*_xlpm.slopes + 0.1086*_xlpm.slopes + 63.253,
    _xlpm.mask,   (_xlpm.vals&gt;=0) * (_xlpm.ints&lt;=_xlpm.limit),
    _xlpm.validVals, _xlfn._xlws.FILTER(_xlpm.vals, _xlpm.mask),
    _xlpm.minVal, MIN(_xlpm.validVals),
    IFERROR( _xlfn.XMATCH(_xlpm.minVal, _xlpm.vals), "" )
)</f>
        <v>1</v>
      </c>
      <c r="AJ597" cm="1">
        <f t="array" ref="AJ597">_xlfn.LET(
    _xlpm.vals, CHOOSE({1,2,3,4,5,6}, S597, V597, Y597, AB597, AE597, AH597),
    _xlpm.slopes, CHOOSE({1,2,3,4,5,6}, Q597, T597, W597, Z597, AC597, AF597),
    _xlpm.ints, CHOOSE({1,2,3,4,5,6}, R597, U597, X597, AA597, AD597, AG597),
    _xlpm.limit, -0.00001*_xlpm.slopes + 0.1086*_xlpm.slopes + 63.253,
    _xlpm.valid, (_xlpm.vals &gt;= 0) * (_xlpm.ints &lt;= _xlpm.limit),
    _xlpm.target, MIN(_xlfn._xlws.FILTER(_xlpm.vals, _xlpm.valid)),
    IFERROR(
        _xlfn.XLOOKUP(_xlpm.target, _xlpm.vals, _xlpm.vals),
        CHOOSE({1,2,3,4,5,6}, S$1, V$1, Y$1, AB$1, AE$1, AH$1)
    )
)</f>
        <v>0.38052866022411469</v>
      </c>
    </row>
    <row r="598" spans="9:36" x14ac:dyDescent="0.45">
      <c r="I598">
        <v>596</v>
      </c>
      <c r="J598">
        <v>-0.1</v>
      </c>
      <c r="K598">
        <f t="shared" si="208"/>
        <v>0</v>
      </c>
      <c r="L598">
        <f t="shared" si="207"/>
        <v>0</v>
      </c>
      <c r="M598">
        <v>0.62</v>
      </c>
      <c r="N598">
        <f t="shared" si="209"/>
        <v>0.62</v>
      </c>
      <c r="O598">
        <f t="shared" si="210"/>
        <v>0</v>
      </c>
      <c r="P598">
        <f t="shared" si="211"/>
        <v>0</v>
      </c>
      <c r="Q598">
        <f t="shared" si="212"/>
        <v>1000</v>
      </c>
      <c r="R598">
        <f t="shared" si="213"/>
        <v>5.9205638830185068</v>
      </c>
      <c r="S598">
        <f t="shared" si="214"/>
        <v>0.35580256903401952</v>
      </c>
      <c r="T598">
        <f t="shared" si="215"/>
        <v>6000</v>
      </c>
      <c r="U598">
        <f t="shared" si="216"/>
        <v>0.98676064716975109</v>
      </c>
      <c r="V598">
        <f t="shared" si="217"/>
        <v>6.7061128124015488</v>
      </c>
      <c r="W598">
        <f t="shared" si="218"/>
        <v>6000</v>
      </c>
      <c r="X598">
        <f t="shared" si="219"/>
        <v>0.98676064716975109</v>
      </c>
      <c r="Y598">
        <f t="shared" si="220"/>
        <v>6.7061128124015488</v>
      </c>
      <c r="Z598">
        <f t="shared" si="221"/>
        <v>6000</v>
      </c>
      <c r="AA598">
        <f t="shared" si="222"/>
        <v>0.98676064716975109</v>
      </c>
      <c r="AB598">
        <f t="shared" si="223"/>
        <v>6.7061128124015488</v>
      </c>
      <c r="AC598">
        <f t="shared" si="224"/>
        <v>6000</v>
      </c>
      <c r="AD598">
        <f t="shared" si="225"/>
        <v>0.98676064716975109</v>
      </c>
      <c r="AE598">
        <f t="shared" si="226"/>
        <v>6.7061128124015488</v>
      </c>
      <c r="AF598">
        <f t="shared" si="227"/>
        <v>6000</v>
      </c>
      <c r="AG598">
        <f t="shared" si="228"/>
        <v>0.98676064716975109</v>
      </c>
      <c r="AH598">
        <f t="shared" si="229"/>
        <v>6.7061128124015488</v>
      </c>
      <c r="AI598" cm="1">
        <f t="array" ref="AI598">_xlfn.LET(
    _xlpm.vals,   _xlfn.HSTACK(S598,V598,Y598,AB598,AE598,AH598),
    _xlpm.ints,   _xlfn.HSTACK(R598,U598,X598,AA598,AD598,AG598),
    _xlpm.slopes, _xlfn.HSTACK(Q598,T598,W598,Z598,AC598,AF598),
    _xlpm.limit,  -0.00001*_xlpm.slopes + 0.1086*_xlpm.slopes + 63.253,
    _xlpm.mask,   (_xlpm.vals&gt;=0) * (_xlpm.ints&lt;=_xlpm.limit),
    _xlpm.validVals, _xlfn._xlws.FILTER(_xlpm.vals, _xlpm.mask),
    _xlpm.minVal, MIN(_xlpm.validVals),
    IFERROR( _xlfn.XMATCH(_xlpm.minVal, _xlpm.vals), "" )
)</f>
        <v>1</v>
      </c>
      <c r="AJ598" cm="1">
        <f t="array" ref="AJ598">_xlfn.LET(
    _xlpm.vals, CHOOSE({1,2,3,4,5,6}, S598, V598, Y598, AB598, AE598, AH598),
    _xlpm.slopes, CHOOSE({1,2,3,4,5,6}, Q598, T598, W598, Z598, AC598, AF598),
    _xlpm.ints, CHOOSE({1,2,3,4,5,6}, R598, U598, X598, AA598, AD598, AG598),
    _xlpm.limit, -0.00001*_xlpm.slopes + 0.1086*_xlpm.slopes + 63.253,
    _xlpm.valid, (_xlpm.vals &gt;= 0) * (_xlpm.ints &lt;= _xlpm.limit),
    _xlpm.target, MIN(_xlfn._xlws.FILTER(_xlpm.vals, _xlpm.valid)),
    IFERROR(
        _xlfn.XLOOKUP(_xlpm.target, _xlpm.vals, _xlpm.vals),
        CHOOSE({1,2,3,4,5,6}, S$1, V$1, Y$1, AB$1, AE$1, AH$1)
    )
)</f>
        <v>0.35580256903401952</v>
      </c>
    </row>
    <row r="599" spans="9:36" x14ac:dyDescent="0.45">
      <c r="I599">
        <v>597</v>
      </c>
      <c r="J599">
        <v>0</v>
      </c>
      <c r="K599">
        <f t="shared" si="208"/>
        <v>0</v>
      </c>
      <c r="L599">
        <f t="shared" si="207"/>
        <v>0</v>
      </c>
      <c r="M599">
        <v>0.52</v>
      </c>
      <c r="N599">
        <f t="shared" si="209"/>
        <v>0.52</v>
      </c>
      <c r="O599">
        <f t="shared" si="210"/>
        <v>0</v>
      </c>
      <c r="P599">
        <f t="shared" si="211"/>
        <v>0</v>
      </c>
      <c r="Q599">
        <f t="shared" si="212"/>
        <v>1000</v>
      </c>
      <c r="R599">
        <f t="shared" si="213"/>
        <v>4.9656342244671352</v>
      </c>
      <c r="S599">
        <f t="shared" si="214"/>
        <v>0.34972435078264946</v>
      </c>
      <c r="T599">
        <f t="shared" si="215"/>
        <v>6000</v>
      </c>
      <c r="U599">
        <f t="shared" si="216"/>
        <v>0.82760570407785583</v>
      </c>
      <c r="V599">
        <f t="shared" si="217"/>
        <v>6.7051114991182601</v>
      </c>
      <c r="W599">
        <f t="shared" si="218"/>
        <v>6000</v>
      </c>
      <c r="X599">
        <f t="shared" si="219"/>
        <v>0.82760570407785583</v>
      </c>
      <c r="Y599">
        <f t="shared" si="220"/>
        <v>6.7051114991182601</v>
      </c>
      <c r="Z599">
        <f t="shared" si="221"/>
        <v>6000</v>
      </c>
      <c r="AA599">
        <f t="shared" si="222"/>
        <v>0.82760570407785583</v>
      </c>
      <c r="AB599">
        <f t="shared" si="223"/>
        <v>6.7051114991182601</v>
      </c>
      <c r="AC599">
        <f t="shared" si="224"/>
        <v>6000</v>
      </c>
      <c r="AD599">
        <f t="shared" si="225"/>
        <v>0.82760570407785583</v>
      </c>
      <c r="AE599">
        <f t="shared" si="226"/>
        <v>6.7051114991182601</v>
      </c>
      <c r="AF599">
        <f t="shared" si="227"/>
        <v>6000</v>
      </c>
      <c r="AG599">
        <f t="shared" si="228"/>
        <v>0.82760570407785583</v>
      </c>
      <c r="AH599">
        <f t="shared" si="229"/>
        <v>6.7051114991182601</v>
      </c>
      <c r="AI599" cm="1">
        <f t="array" ref="AI599">_xlfn.LET(
    _xlpm.vals,   _xlfn.HSTACK(S599,V599,Y599,AB599,AE599,AH599),
    _xlpm.ints,   _xlfn.HSTACK(R599,U599,X599,AA599,AD599,AG599),
    _xlpm.slopes, _xlfn.HSTACK(Q599,T599,W599,Z599,AC599,AF599),
    _xlpm.limit,  -0.00001*_xlpm.slopes + 0.1086*_xlpm.slopes + 63.253,
    _xlpm.mask,   (_xlpm.vals&gt;=0) * (_xlpm.ints&lt;=_xlpm.limit),
    _xlpm.validVals, _xlfn._xlws.FILTER(_xlpm.vals, _xlpm.mask),
    _xlpm.minVal, MIN(_xlpm.validVals),
    IFERROR( _xlfn.XMATCH(_xlpm.minVal, _xlpm.vals), "" )
)</f>
        <v>1</v>
      </c>
      <c r="AJ599" cm="1">
        <f t="array" ref="AJ599">_xlfn.LET(
    _xlpm.vals, CHOOSE({1,2,3,4,5,6}, S599, V599, Y599, AB599, AE599, AH599),
    _xlpm.slopes, CHOOSE({1,2,3,4,5,6}, Q599, T599, W599, Z599, AC599, AF599),
    _xlpm.ints, CHOOSE({1,2,3,4,5,6}, R599, U599, X599, AA599, AD599, AG599),
    _xlpm.limit, -0.00001*_xlpm.slopes + 0.1086*_xlpm.slopes + 63.253,
    _xlpm.valid, (_xlpm.vals &gt;= 0) * (_xlpm.ints &lt;= _xlpm.limit),
    _xlpm.target, MIN(_xlfn._xlws.FILTER(_xlpm.vals, _xlpm.valid)),
    IFERROR(
        _xlfn.XLOOKUP(_xlpm.target, _xlpm.vals, _xlpm.vals),
        CHOOSE({1,2,3,4,5,6}, S$1, V$1, Y$1, AB$1, AE$1, AH$1)
    )
)</f>
        <v>0.34972435078264946</v>
      </c>
    </row>
    <row r="600" spans="9:36" x14ac:dyDescent="0.45">
      <c r="I600">
        <v>598</v>
      </c>
      <c r="J600">
        <v>0</v>
      </c>
      <c r="K600">
        <f t="shared" si="208"/>
        <v>0</v>
      </c>
      <c r="L600">
        <f t="shared" si="207"/>
        <v>0</v>
      </c>
      <c r="M600">
        <v>0.34</v>
      </c>
      <c r="N600">
        <f t="shared" si="209"/>
        <v>0.34</v>
      </c>
      <c r="O600">
        <f t="shared" si="210"/>
        <v>0</v>
      </c>
      <c r="P600">
        <f t="shared" si="211"/>
        <v>0</v>
      </c>
      <c r="Q600">
        <f t="shared" si="212"/>
        <v>1000</v>
      </c>
      <c r="R600">
        <f t="shared" si="213"/>
        <v>3.2467608390746654</v>
      </c>
      <c r="S600">
        <f t="shared" si="214"/>
        <v>0.3390630696383849</v>
      </c>
      <c r="T600">
        <f t="shared" si="215"/>
        <v>6000</v>
      </c>
      <c r="U600">
        <f t="shared" si="216"/>
        <v>0.54112680651244416</v>
      </c>
      <c r="V600">
        <f t="shared" si="217"/>
        <v>6.7033303920441574</v>
      </c>
      <c r="W600">
        <f t="shared" si="218"/>
        <v>6000</v>
      </c>
      <c r="X600">
        <f t="shared" si="219"/>
        <v>0.54112680651244416</v>
      </c>
      <c r="Y600">
        <f t="shared" si="220"/>
        <v>6.7033303920441574</v>
      </c>
      <c r="Z600">
        <f t="shared" si="221"/>
        <v>6000</v>
      </c>
      <c r="AA600">
        <f t="shared" si="222"/>
        <v>0.54112680651244416</v>
      </c>
      <c r="AB600">
        <f t="shared" si="223"/>
        <v>6.7033303920441574</v>
      </c>
      <c r="AC600">
        <f t="shared" si="224"/>
        <v>6000</v>
      </c>
      <c r="AD600">
        <f t="shared" si="225"/>
        <v>0.54112680651244416</v>
      </c>
      <c r="AE600">
        <f t="shared" si="226"/>
        <v>6.7033303920441574</v>
      </c>
      <c r="AF600">
        <f t="shared" si="227"/>
        <v>6000</v>
      </c>
      <c r="AG600">
        <f t="shared" si="228"/>
        <v>0.54112680651244416</v>
      </c>
      <c r="AH600">
        <f t="shared" si="229"/>
        <v>6.7033303920441574</v>
      </c>
      <c r="AI600" cm="1">
        <f t="array" ref="AI600">_xlfn.LET(
    _xlpm.vals,   _xlfn.HSTACK(S600,V600,Y600,AB600,AE600,AH600),
    _xlpm.ints,   _xlfn.HSTACK(R600,U600,X600,AA600,AD600,AG600),
    _xlpm.slopes, _xlfn.HSTACK(Q600,T600,W600,Z600,AC600,AF600),
    _xlpm.limit,  -0.00001*_xlpm.slopes + 0.1086*_xlpm.slopes + 63.253,
    _xlpm.mask,   (_xlpm.vals&gt;=0) * (_xlpm.ints&lt;=_xlpm.limit),
    _xlpm.validVals, _xlfn._xlws.FILTER(_xlpm.vals, _xlpm.mask),
    _xlpm.minVal, MIN(_xlpm.validVals),
    IFERROR( _xlfn.XMATCH(_xlpm.minVal, _xlpm.vals), "" )
)</f>
        <v>1</v>
      </c>
      <c r="AJ600" cm="1">
        <f t="array" ref="AJ600">_xlfn.LET(
    _xlpm.vals, CHOOSE({1,2,3,4,5,6}, S600, V600, Y600, AB600, AE600, AH600),
    _xlpm.slopes, CHOOSE({1,2,3,4,5,6}, Q600, T600, W600, Z600, AC600, AF600),
    _xlpm.ints, CHOOSE({1,2,3,4,5,6}, R600, U600, X600, AA600, AD600, AG600),
    _xlpm.limit, -0.00001*_xlpm.slopes + 0.1086*_xlpm.slopes + 63.253,
    _xlpm.valid, (_xlpm.vals &gt;= 0) * (_xlpm.ints &lt;= _xlpm.limit),
    _xlpm.target, MIN(_xlfn._xlws.FILTER(_xlpm.vals, _xlpm.valid)),
    IFERROR(
        _xlfn.XLOOKUP(_xlpm.target, _xlpm.vals, _xlpm.vals),
        CHOOSE({1,2,3,4,5,6}, S$1, V$1, Y$1, AB$1, AE$1, AH$1)
    )
)</f>
        <v>0.3390630696383849</v>
      </c>
    </row>
    <row r="601" spans="9:36" x14ac:dyDescent="0.45">
      <c r="I601">
        <v>599</v>
      </c>
      <c r="J601">
        <v>0</v>
      </c>
      <c r="K601">
        <f t="shared" si="208"/>
        <v>0</v>
      </c>
      <c r="L601">
        <f t="shared" si="207"/>
        <v>0</v>
      </c>
      <c r="M601">
        <v>0.71</v>
      </c>
      <c r="N601">
        <f t="shared" si="209"/>
        <v>0.71</v>
      </c>
      <c r="O601">
        <f t="shared" si="210"/>
        <v>0</v>
      </c>
      <c r="P601">
        <f t="shared" si="211"/>
        <v>0</v>
      </c>
      <c r="Q601">
        <f t="shared" si="212"/>
        <v>1000</v>
      </c>
      <c r="R601">
        <f t="shared" si="213"/>
        <v>6.7800005757147419</v>
      </c>
      <c r="S601">
        <f t="shared" si="214"/>
        <v>0.36136588369682382</v>
      </c>
      <c r="T601">
        <f t="shared" si="215"/>
        <v>6000</v>
      </c>
      <c r="U601">
        <f t="shared" si="216"/>
        <v>1.130000095952457</v>
      </c>
      <c r="V601">
        <f t="shared" si="217"/>
        <v>6.7070211976264291</v>
      </c>
      <c r="W601">
        <f t="shared" si="218"/>
        <v>6000</v>
      </c>
      <c r="X601">
        <f t="shared" si="219"/>
        <v>1.130000095952457</v>
      </c>
      <c r="Y601">
        <f t="shared" si="220"/>
        <v>6.7070211976264291</v>
      </c>
      <c r="Z601">
        <f t="shared" si="221"/>
        <v>6000</v>
      </c>
      <c r="AA601">
        <f t="shared" si="222"/>
        <v>1.130000095952457</v>
      </c>
      <c r="AB601">
        <f t="shared" si="223"/>
        <v>6.7070211976264291</v>
      </c>
      <c r="AC601">
        <f t="shared" si="224"/>
        <v>6000</v>
      </c>
      <c r="AD601">
        <f t="shared" si="225"/>
        <v>1.130000095952457</v>
      </c>
      <c r="AE601">
        <f t="shared" si="226"/>
        <v>6.7070211976264291</v>
      </c>
      <c r="AF601">
        <f t="shared" si="227"/>
        <v>6000</v>
      </c>
      <c r="AG601">
        <f t="shared" si="228"/>
        <v>1.130000095952457</v>
      </c>
      <c r="AH601">
        <f t="shared" si="229"/>
        <v>6.7070211976264291</v>
      </c>
      <c r="AI601" cm="1">
        <f t="array" ref="AI601">_xlfn.LET(
    _xlpm.vals,   _xlfn.HSTACK(S601,V601,Y601,AB601,AE601,AH601),
    _xlpm.ints,   _xlfn.HSTACK(R601,U601,X601,AA601,AD601,AG601),
    _xlpm.slopes, _xlfn.HSTACK(Q601,T601,W601,Z601,AC601,AF601),
    _xlpm.limit,  -0.00001*_xlpm.slopes + 0.1086*_xlpm.slopes + 63.253,
    _xlpm.mask,   (_xlpm.vals&gt;=0) * (_xlpm.ints&lt;=_xlpm.limit),
    _xlpm.validVals, _xlfn._xlws.FILTER(_xlpm.vals, _xlpm.mask),
    _xlpm.minVal, MIN(_xlpm.validVals),
    IFERROR( _xlfn.XMATCH(_xlpm.minVal, _xlpm.vals), "" )
)</f>
        <v>1</v>
      </c>
      <c r="AJ601" cm="1">
        <f t="array" ref="AJ601">_xlfn.LET(
    _xlpm.vals, CHOOSE({1,2,3,4,5,6}, S601, V601, Y601, AB601, AE601, AH601),
    _xlpm.slopes, CHOOSE({1,2,3,4,5,6}, Q601, T601, W601, Z601, AC601, AF601),
    _xlpm.ints, CHOOSE({1,2,3,4,5,6}, R601, U601, X601, AA601, AD601, AG601),
    _xlpm.limit, -0.00001*_xlpm.slopes + 0.1086*_xlpm.slopes + 63.253,
    _xlpm.valid, (_xlpm.vals &gt;= 0) * (_xlpm.ints &lt;= _xlpm.limit),
    _xlpm.target, MIN(_xlfn._xlws.FILTER(_xlpm.vals, _xlpm.valid)),
    IFERROR(
        _xlfn.XLOOKUP(_xlpm.target, _xlpm.vals, _xlpm.vals),
        CHOOSE({1,2,3,4,5,6}, S$1, V$1, Y$1, AB$1, AE$1, AH$1)
    )
)</f>
        <v>0.36136588369682382</v>
      </c>
    </row>
    <row r="602" spans="9:36" x14ac:dyDescent="0.45">
      <c r="I602">
        <v>600</v>
      </c>
      <c r="J602">
        <v>0</v>
      </c>
      <c r="K602">
        <f t="shared" si="208"/>
        <v>0</v>
      </c>
      <c r="L602">
        <f t="shared" si="207"/>
        <v>0</v>
      </c>
      <c r="M602">
        <v>0.76</v>
      </c>
      <c r="N602">
        <f t="shared" si="209"/>
        <v>0.76</v>
      </c>
      <c r="O602">
        <f t="shared" si="210"/>
        <v>0</v>
      </c>
      <c r="P602">
        <f t="shared" si="211"/>
        <v>0</v>
      </c>
      <c r="Q602">
        <f t="shared" si="212"/>
        <v>1000</v>
      </c>
      <c r="R602">
        <f t="shared" si="213"/>
        <v>7.2574654049904277</v>
      </c>
      <c r="S602">
        <f t="shared" si="214"/>
        <v>0.36449414199242058</v>
      </c>
      <c r="T602">
        <f t="shared" si="215"/>
        <v>6000</v>
      </c>
      <c r="U602">
        <f t="shared" si="216"/>
        <v>1.2095775674984046</v>
      </c>
      <c r="V602">
        <f t="shared" si="217"/>
        <v>6.7075288024362294</v>
      </c>
      <c r="W602">
        <f t="shared" si="218"/>
        <v>6000</v>
      </c>
      <c r="X602">
        <f t="shared" si="219"/>
        <v>1.2095775674984046</v>
      </c>
      <c r="Y602">
        <f t="shared" si="220"/>
        <v>6.7075288024362294</v>
      </c>
      <c r="Z602">
        <f t="shared" si="221"/>
        <v>6000</v>
      </c>
      <c r="AA602">
        <f t="shared" si="222"/>
        <v>1.2095775674984046</v>
      </c>
      <c r="AB602">
        <f t="shared" si="223"/>
        <v>6.7075288024362294</v>
      </c>
      <c r="AC602">
        <f t="shared" si="224"/>
        <v>6000</v>
      </c>
      <c r="AD602">
        <f t="shared" si="225"/>
        <v>1.2095775674984046</v>
      </c>
      <c r="AE602">
        <f t="shared" si="226"/>
        <v>6.7075288024362294</v>
      </c>
      <c r="AF602">
        <f t="shared" si="227"/>
        <v>6000</v>
      </c>
      <c r="AG602">
        <f t="shared" si="228"/>
        <v>1.2095775674984046</v>
      </c>
      <c r="AH602">
        <f t="shared" si="229"/>
        <v>6.7075288024362294</v>
      </c>
      <c r="AI602" cm="1">
        <f t="array" ref="AI602">_xlfn.LET(
    _xlpm.vals,   _xlfn.HSTACK(S602,V602,Y602,AB602,AE602,AH602),
    _xlpm.ints,   _xlfn.HSTACK(R602,U602,X602,AA602,AD602,AG602),
    _xlpm.slopes, _xlfn.HSTACK(Q602,T602,W602,Z602,AC602,AF602),
    _xlpm.limit,  -0.00001*_xlpm.slopes + 0.1086*_xlpm.slopes + 63.253,
    _xlpm.mask,   (_xlpm.vals&gt;=0) * (_xlpm.ints&lt;=_xlpm.limit),
    _xlpm.validVals, _xlfn._xlws.FILTER(_xlpm.vals, _xlpm.mask),
    _xlpm.minVal, MIN(_xlpm.validVals),
    IFERROR( _xlfn.XMATCH(_xlpm.minVal, _xlpm.vals), "" )
)</f>
        <v>1</v>
      </c>
      <c r="AJ602" cm="1">
        <f t="array" ref="AJ602">_xlfn.LET(
    _xlpm.vals, CHOOSE({1,2,3,4,5,6}, S602, V602, Y602, AB602, AE602, AH602),
    _xlpm.slopes, CHOOSE({1,2,3,4,5,6}, Q602, T602, W602, Z602, AC602, AF602),
    _xlpm.ints, CHOOSE({1,2,3,4,5,6}, R602, U602, X602, AA602, AD602, AG602),
    _xlpm.limit, -0.00001*_xlpm.slopes + 0.1086*_xlpm.slopes + 63.253,
    _xlpm.valid, (_xlpm.vals &gt;= 0) * (_xlpm.ints &lt;= _xlpm.limit),
    _xlpm.target, MIN(_xlfn._xlws.FILTER(_xlpm.vals, _xlpm.valid)),
    IFERROR(
        _xlfn.XLOOKUP(_xlpm.target, _xlpm.vals, _xlpm.vals),
        CHOOSE({1,2,3,4,5,6}, S$1, V$1, Y$1, AB$1, AE$1, AH$1)
    )
)</f>
        <v>0.36449414199242058</v>
      </c>
    </row>
    <row r="603" spans="9:36" x14ac:dyDescent="0.45">
      <c r="I603">
        <v>601</v>
      </c>
      <c r="J603">
        <v>0</v>
      </c>
      <c r="K603">
        <f t="shared" si="208"/>
        <v>0</v>
      </c>
      <c r="L603">
        <f t="shared" si="207"/>
        <v>0</v>
      </c>
      <c r="M603">
        <v>0.51</v>
      </c>
      <c r="N603">
        <f t="shared" si="209"/>
        <v>0.51</v>
      </c>
      <c r="O603">
        <f t="shared" si="210"/>
        <v>0</v>
      </c>
      <c r="P603">
        <f t="shared" si="211"/>
        <v>0</v>
      </c>
      <c r="Q603">
        <f t="shared" si="212"/>
        <v>1000</v>
      </c>
      <c r="R603">
        <f t="shared" si="213"/>
        <v>4.8701412586119979</v>
      </c>
      <c r="S603">
        <f t="shared" si="214"/>
        <v>0.34912257277966247</v>
      </c>
      <c r="T603">
        <f t="shared" si="215"/>
        <v>6000</v>
      </c>
      <c r="U603">
        <f t="shared" si="216"/>
        <v>0.81169020976866624</v>
      </c>
      <c r="V603">
        <f t="shared" si="217"/>
        <v>6.7050118314666234</v>
      </c>
      <c r="W603">
        <f t="shared" si="218"/>
        <v>6000</v>
      </c>
      <c r="X603">
        <f t="shared" si="219"/>
        <v>0.81169020976866624</v>
      </c>
      <c r="Y603">
        <f t="shared" si="220"/>
        <v>6.7050118314666234</v>
      </c>
      <c r="Z603">
        <f t="shared" si="221"/>
        <v>6000</v>
      </c>
      <c r="AA603">
        <f t="shared" si="222"/>
        <v>0.81169020976866624</v>
      </c>
      <c r="AB603">
        <f t="shared" si="223"/>
        <v>6.7050118314666234</v>
      </c>
      <c r="AC603">
        <f t="shared" si="224"/>
        <v>6000</v>
      </c>
      <c r="AD603">
        <f t="shared" si="225"/>
        <v>0.81169020976866624</v>
      </c>
      <c r="AE603">
        <f t="shared" si="226"/>
        <v>6.7050118314666234</v>
      </c>
      <c r="AF603">
        <f t="shared" si="227"/>
        <v>6000</v>
      </c>
      <c r="AG603">
        <f t="shared" si="228"/>
        <v>0.81169020976866624</v>
      </c>
      <c r="AH603">
        <f t="shared" si="229"/>
        <v>6.7050118314666234</v>
      </c>
      <c r="AI603" cm="1">
        <f t="array" ref="AI603">_xlfn.LET(
    _xlpm.vals,   _xlfn.HSTACK(S603,V603,Y603,AB603,AE603,AH603),
    _xlpm.ints,   _xlfn.HSTACK(R603,U603,X603,AA603,AD603,AG603),
    _xlpm.slopes, _xlfn.HSTACK(Q603,T603,W603,Z603,AC603,AF603),
    _xlpm.limit,  -0.00001*_xlpm.slopes + 0.1086*_xlpm.slopes + 63.253,
    _xlpm.mask,   (_xlpm.vals&gt;=0) * (_xlpm.ints&lt;=_xlpm.limit),
    _xlpm.validVals, _xlfn._xlws.FILTER(_xlpm.vals, _xlpm.mask),
    _xlpm.minVal, MIN(_xlpm.validVals),
    IFERROR( _xlfn.XMATCH(_xlpm.minVal, _xlpm.vals), "" )
)</f>
        <v>1</v>
      </c>
      <c r="AJ603" cm="1">
        <f t="array" ref="AJ603">_xlfn.LET(
    _xlpm.vals, CHOOSE({1,2,3,4,5,6}, S603, V603, Y603, AB603, AE603, AH603),
    _xlpm.slopes, CHOOSE({1,2,3,4,5,6}, Q603, T603, W603, Z603, AC603, AF603),
    _xlpm.ints, CHOOSE({1,2,3,4,5,6}, R603, U603, X603, AA603, AD603, AG603),
    _xlpm.limit, -0.00001*_xlpm.slopes + 0.1086*_xlpm.slopes + 63.253,
    _xlpm.valid, (_xlpm.vals &gt;= 0) * (_xlpm.ints &lt;= _xlpm.limit),
    _xlpm.target, MIN(_xlfn._xlws.FILTER(_xlpm.vals, _xlpm.valid)),
    IFERROR(
        _xlfn.XLOOKUP(_xlpm.target, _xlpm.vals, _xlpm.vals),
        CHOOSE({1,2,3,4,5,6}, S$1, V$1, Y$1, AB$1, AE$1, AH$1)
    )
)</f>
        <v>0.34912257277966247</v>
      </c>
    </row>
    <row r="604" spans="9:36" x14ac:dyDescent="0.45">
      <c r="I604">
        <v>602</v>
      </c>
      <c r="J604">
        <v>0</v>
      </c>
      <c r="K604">
        <f t="shared" si="208"/>
        <v>0</v>
      </c>
      <c r="L604">
        <f t="shared" si="207"/>
        <v>0</v>
      </c>
      <c r="M604">
        <v>0.48</v>
      </c>
      <c r="N604">
        <f t="shared" si="209"/>
        <v>0.48</v>
      </c>
      <c r="O604">
        <f t="shared" si="210"/>
        <v>0</v>
      </c>
      <c r="P604">
        <f t="shared" si="211"/>
        <v>0</v>
      </c>
      <c r="Q604">
        <f t="shared" si="212"/>
        <v>1000</v>
      </c>
      <c r="R604">
        <f t="shared" si="213"/>
        <v>4.5836623610465859</v>
      </c>
      <c r="S604">
        <f t="shared" si="214"/>
        <v>0.34732388290899496</v>
      </c>
      <c r="T604">
        <f t="shared" si="215"/>
        <v>6000</v>
      </c>
      <c r="U604">
        <f t="shared" si="216"/>
        <v>0.76394372684109768</v>
      </c>
      <c r="V604">
        <f t="shared" si="217"/>
        <v>6.7047133345763807</v>
      </c>
      <c r="W604">
        <f t="shared" si="218"/>
        <v>6000</v>
      </c>
      <c r="X604">
        <f t="shared" si="219"/>
        <v>0.76394372684109768</v>
      </c>
      <c r="Y604">
        <f t="shared" si="220"/>
        <v>6.7047133345763807</v>
      </c>
      <c r="Z604">
        <f t="shared" si="221"/>
        <v>6000</v>
      </c>
      <c r="AA604">
        <f t="shared" si="222"/>
        <v>0.76394372684109768</v>
      </c>
      <c r="AB604">
        <f t="shared" si="223"/>
        <v>6.7047133345763807</v>
      </c>
      <c r="AC604">
        <f t="shared" si="224"/>
        <v>6000</v>
      </c>
      <c r="AD604">
        <f t="shared" si="225"/>
        <v>0.76394372684109768</v>
      </c>
      <c r="AE604">
        <f t="shared" si="226"/>
        <v>6.7047133345763807</v>
      </c>
      <c r="AF604">
        <f t="shared" si="227"/>
        <v>6000</v>
      </c>
      <c r="AG604">
        <f t="shared" si="228"/>
        <v>0.76394372684109768</v>
      </c>
      <c r="AH604">
        <f t="shared" si="229"/>
        <v>6.7047133345763807</v>
      </c>
      <c r="AI604" cm="1">
        <f t="array" ref="AI604">_xlfn.LET(
    _xlpm.vals,   _xlfn.HSTACK(S604,V604,Y604,AB604,AE604,AH604),
    _xlpm.ints,   _xlfn.HSTACK(R604,U604,X604,AA604,AD604,AG604),
    _xlpm.slopes, _xlfn.HSTACK(Q604,T604,W604,Z604,AC604,AF604),
    _xlpm.limit,  -0.00001*_xlpm.slopes + 0.1086*_xlpm.slopes + 63.253,
    _xlpm.mask,   (_xlpm.vals&gt;=0) * (_xlpm.ints&lt;=_xlpm.limit),
    _xlpm.validVals, _xlfn._xlws.FILTER(_xlpm.vals, _xlpm.mask),
    _xlpm.minVal, MIN(_xlpm.validVals),
    IFERROR( _xlfn.XMATCH(_xlpm.minVal, _xlpm.vals), "" )
)</f>
        <v>1</v>
      </c>
      <c r="AJ604" cm="1">
        <f t="array" ref="AJ604">_xlfn.LET(
    _xlpm.vals, CHOOSE({1,2,3,4,5,6}, S604, V604, Y604, AB604, AE604, AH604),
    _xlpm.slopes, CHOOSE({1,2,3,4,5,6}, Q604, T604, W604, Z604, AC604, AF604),
    _xlpm.ints, CHOOSE({1,2,3,4,5,6}, R604, U604, X604, AA604, AD604, AG604),
    _xlpm.limit, -0.00001*_xlpm.slopes + 0.1086*_xlpm.slopes + 63.253,
    _xlpm.valid, (_xlpm.vals &gt;= 0) * (_xlpm.ints &lt;= _xlpm.limit),
    _xlpm.target, MIN(_xlfn._xlws.FILTER(_xlpm.vals, _xlpm.valid)),
    IFERROR(
        _xlfn.XLOOKUP(_xlpm.target, _xlpm.vals, _xlpm.vals),
        CHOOSE({1,2,3,4,5,6}, S$1, V$1, Y$1, AB$1, AE$1, AH$1)
    )
)</f>
        <v>0.34732388290899496</v>
      </c>
    </row>
    <row r="605" spans="9:36" x14ac:dyDescent="0.45">
      <c r="I605">
        <v>603</v>
      </c>
      <c r="J605">
        <v>0</v>
      </c>
      <c r="K605">
        <f t="shared" si="208"/>
        <v>0</v>
      </c>
      <c r="L605">
        <f t="shared" si="207"/>
        <v>0</v>
      </c>
      <c r="M605">
        <v>0.35</v>
      </c>
      <c r="N605">
        <f t="shared" si="209"/>
        <v>0.35</v>
      </c>
      <c r="O605">
        <f t="shared" si="210"/>
        <v>0</v>
      </c>
      <c r="P605">
        <f t="shared" si="211"/>
        <v>0</v>
      </c>
      <c r="Q605">
        <f t="shared" si="212"/>
        <v>1000</v>
      </c>
      <c r="R605">
        <f t="shared" si="213"/>
        <v>3.3422538049298023</v>
      </c>
      <c r="S605">
        <f t="shared" si="214"/>
        <v>0.33964579605567974</v>
      </c>
      <c r="T605">
        <f t="shared" si="215"/>
        <v>6000</v>
      </c>
      <c r="U605">
        <f t="shared" si="216"/>
        <v>0.55704230082163375</v>
      </c>
      <c r="V605">
        <f t="shared" si="217"/>
        <v>6.7034286247971728</v>
      </c>
      <c r="W605">
        <f t="shared" si="218"/>
        <v>6000</v>
      </c>
      <c r="X605">
        <f t="shared" si="219"/>
        <v>0.55704230082163375</v>
      </c>
      <c r="Y605">
        <f t="shared" si="220"/>
        <v>6.7034286247971728</v>
      </c>
      <c r="Z605">
        <f t="shared" si="221"/>
        <v>6000</v>
      </c>
      <c r="AA605">
        <f t="shared" si="222"/>
        <v>0.55704230082163375</v>
      </c>
      <c r="AB605">
        <f t="shared" si="223"/>
        <v>6.7034286247971728</v>
      </c>
      <c r="AC605">
        <f t="shared" si="224"/>
        <v>6000</v>
      </c>
      <c r="AD605">
        <f t="shared" si="225"/>
        <v>0.55704230082163375</v>
      </c>
      <c r="AE605">
        <f t="shared" si="226"/>
        <v>6.7034286247971728</v>
      </c>
      <c r="AF605">
        <f t="shared" si="227"/>
        <v>6000</v>
      </c>
      <c r="AG605">
        <f t="shared" si="228"/>
        <v>0.55704230082163375</v>
      </c>
      <c r="AH605">
        <f t="shared" si="229"/>
        <v>6.7034286247971728</v>
      </c>
      <c r="AI605" cm="1">
        <f t="array" ref="AI605">_xlfn.LET(
    _xlpm.vals,   _xlfn.HSTACK(S605,V605,Y605,AB605,AE605,AH605),
    _xlpm.ints,   _xlfn.HSTACK(R605,U605,X605,AA605,AD605,AG605),
    _xlpm.slopes, _xlfn.HSTACK(Q605,T605,W605,Z605,AC605,AF605),
    _xlpm.limit,  -0.00001*_xlpm.slopes + 0.1086*_xlpm.slopes + 63.253,
    _xlpm.mask,   (_xlpm.vals&gt;=0) * (_xlpm.ints&lt;=_xlpm.limit),
    _xlpm.validVals, _xlfn._xlws.FILTER(_xlpm.vals, _xlpm.mask),
    _xlpm.minVal, MIN(_xlpm.validVals),
    IFERROR( _xlfn.XMATCH(_xlpm.minVal, _xlpm.vals), "" )
)</f>
        <v>1</v>
      </c>
      <c r="AJ605" cm="1">
        <f t="array" ref="AJ605">_xlfn.LET(
    _xlpm.vals, CHOOSE({1,2,3,4,5,6}, S605, V605, Y605, AB605, AE605, AH605),
    _xlpm.slopes, CHOOSE({1,2,3,4,5,6}, Q605, T605, W605, Z605, AC605, AF605),
    _xlpm.ints, CHOOSE({1,2,3,4,5,6}, R605, U605, X605, AA605, AD605, AG605),
    _xlpm.limit, -0.00001*_xlpm.slopes + 0.1086*_xlpm.slopes + 63.253,
    _xlpm.valid, (_xlpm.vals &gt;= 0) * (_xlpm.ints &lt;= _xlpm.limit),
    _xlpm.target, MIN(_xlfn._xlws.FILTER(_xlpm.vals, _xlpm.valid)),
    IFERROR(
        _xlfn.XLOOKUP(_xlpm.target, _xlpm.vals, _xlpm.vals),
        CHOOSE({1,2,3,4,5,6}, S$1, V$1, Y$1, AB$1, AE$1, AH$1)
    )
)</f>
        <v>0.33964579605567974</v>
      </c>
    </row>
    <row r="606" spans="9:36" x14ac:dyDescent="0.45">
      <c r="I606">
        <v>604</v>
      </c>
      <c r="J606">
        <v>0</v>
      </c>
      <c r="K606">
        <f t="shared" si="208"/>
        <v>0</v>
      </c>
      <c r="L606">
        <f t="shared" si="207"/>
        <v>0</v>
      </c>
      <c r="M606">
        <v>0.38</v>
      </c>
      <c r="N606">
        <f t="shared" si="209"/>
        <v>0.38</v>
      </c>
      <c r="O606">
        <f t="shared" si="210"/>
        <v>0</v>
      </c>
      <c r="P606">
        <f t="shared" si="211"/>
        <v>0</v>
      </c>
      <c r="Q606">
        <f t="shared" si="212"/>
        <v>1000</v>
      </c>
      <c r="R606">
        <f t="shared" si="213"/>
        <v>3.6287327024952138</v>
      </c>
      <c r="S606">
        <f t="shared" si="214"/>
        <v>0.34140077934740681</v>
      </c>
      <c r="T606">
        <f t="shared" si="215"/>
        <v>6000</v>
      </c>
      <c r="U606">
        <f t="shared" si="216"/>
        <v>0.60478878374920231</v>
      </c>
      <c r="V606">
        <f t="shared" si="217"/>
        <v>6.7037238298611719</v>
      </c>
      <c r="W606">
        <f t="shared" si="218"/>
        <v>6000</v>
      </c>
      <c r="X606">
        <f t="shared" si="219"/>
        <v>0.60478878374920231</v>
      </c>
      <c r="Y606">
        <f t="shared" si="220"/>
        <v>6.7037238298611719</v>
      </c>
      <c r="Z606">
        <f t="shared" si="221"/>
        <v>6000</v>
      </c>
      <c r="AA606">
        <f t="shared" si="222"/>
        <v>0.60478878374920231</v>
      </c>
      <c r="AB606">
        <f t="shared" si="223"/>
        <v>6.7037238298611719</v>
      </c>
      <c r="AC606">
        <f t="shared" si="224"/>
        <v>6000</v>
      </c>
      <c r="AD606">
        <f t="shared" si="225"/>
        <v>0.60478878374920231</v>
      </c>
      <c r="AE606">
        <f t="shared" si="226"/>
        <v>6.7037238298611719</v>
      </c>
      <c r="AF606">
        <f t="shared" si="227"/>
        <v>6000</v>
      </c>
      <c r="AG606">
        <f t="shared" si="228"/>
        <v>0.60478878374920231</v>
      </c>
      <c r="AH606">
        <f t="shared" si="229"/>
        <v>6.7037238298611719</v>
      </c>
      <c r="AI606" cm="1">
        <f t="array" ref="AI606">_xlfn.LET(
    _xlpm.vals,   _xlfn.HSTACK(S606,V606,Y606,AB606,AE606,AH606),
    _xlpm.ints,   _xlfn.HSTACK(R606,U606,X606,AA606,AD606,AG606),
    _xlpm.slopes, _xlfn.HSTACK(Q606,T606,W606,Z606,AC606,AF606),
    _xlpm.limit,  -0.00001*_xlpm.slopes + 0.1086*_xlpm.slopes + 63.253,
    _xlpm.mask,   (_xlpm.vals&gt;=0) * (_xlpm.ints&lt;=_xlpm.limit),
    _xlpm.validVals, _xlfn._xlws.FILTER(_xlpm.vals, _xlpm.mask),
    _xlpm.minVal, MIN(_xlpm.validVals),
    IFERROR( _xlfn.XMATCH(_xlpm.minVal, _xlpm.vals), "" )
)</f>
        <v>1</v>
      </c>
      <c r="AJ606" cm="1">
        <f t="array" ref="AJ606">_xlfn.LET(
    _xlpm.vals, CHOOSE({1,2,3,4,5,6}, S606, V606, Y606, AB606, AE606, AH606),
    _xlpm.slopes, CHOOSE({1,2,3,4,5,6}, Q606, T606, W606, Z606, AC606, AF606),
    _xlpm.ints, CHOOSE({1,2,3,4,5,6}, R606, U606, X606, AA606, AD606, AG606),
    _xlpm.limit, -0.00001*_xlpm.slopes + 0.1086*_xlpm.slopes + 63.253,
    _xlpm.valid, (_xlpm.vals &gt;= 0) * (_xlpm.ints &lt;= _xlpm.limit),
    _xlpm.target, MIN(_xlfn._xlws.FILTER(_xlpm.vals, _xlpm.valid)),
    IFERROR(
        _xlfn.XLOOKUP(_xlpm.target, _xlpm.vals, _xlpm.vals),
        CHOOSE({1,2,3,4,5,6}, S$1, V$1, Y$1, AB$1, AE$1, AH$1)
    )
)</f>
        <v>0.34140077934740681</v>
      </c>
    </row>
    <row r="607" spans="9:36" x14ac:dyDescent="0.45">
      <c r="I607">
        <v>605</v>
      </c>
      <c r="J607">
        <v>0</v>
      </c>
      <c r="K607">
        <f t="shared" si="208"/>
        <v>0</v>
      </c>
      <c r="L607">
        <f t="shared" si="207"/>
        <v>0</v>
      </c>
      <c r="M607">
        <v>0.34</v>
      </c>
      <c r="N607">
        <f t="shared" si="209"/>
        <v>0.34</v>
      </c>
      <c r="O607">
        <f t="shared" si="210"/>
        <v>0</v>
      </c>
      <c r="P607">
        <f t="shared" si="211"/>
        <v>0</v>
      </c>
      <c r="Q607">
        <f t="shared" si="212"/>
        <v>1000</v>
      </c>
      <c r="R607">
        <f t="shared" si="213"/>
        <v>3.2467608390746654</v>
      </c>
      <c r="S607">
        <f t="shared" si="214"/>
        <v>0.3390630696383849</v>
      </c>
      <c r="T607">
        <f t="shared" si="215"/>
        <v>6000</v>
      </c>
      <c r="U607">
        <f t="shared" si="216"/>
        <v>0.54112680651244416</v>
      </c>
      <c r="V607">
        <f t="shared" si="217"/>
        <v>6.7033303920441574</v>
      </c>
      <c r="W607">
        <f t="shared" si="218"/>
        <v>6000</v>
      </c>
      <c r="X607">
        <f t="shared" si="219"/>
        <v>0.54112680651244416</v>
      </c>
      <c r="Y607">
        <f t="shared" si="220"/>
        <v>6.7033303920441574</v>
      </c>
      <c r="Z607">
        <f t="shared" si="221"/>
        <v>6000</v>
      </c>
      <c r="AA607">
        <f t="shared" si="222"/>
        <v>0.54112680651244416</v>
      </c>
      <c r="AB607">
        <f t="shared" si="223"/>
        <v>6.7033303920441574</v>
      </c>
      <c r="AC607">
        <f t="shared" si="224"/>
        <v>6000</v>
      </c>
      <c r="AD607">
        <f t="shared" si="225"/>
        <v>0.54112680651244416</v>
      </c>
      <c r="AE607">
        <f t="shared" si="226"/>
        <v>6.7033303920441574</v>
      </c>
      <c r="AF607">
        <f t="shared" si="227"/>
        <v>6000</v>
      </c>
      <c r="AG607">
        <f t="shared" si="228"/>
        <v>0.54112680651244416</v>
      </c>
      <c r="AH607">
        <f t="shared" si="229"/>
        <v>6.7033303920441574</v>
      </c>
      <c r="AI607" cm="1">
        <f t="array" ref="AI607">_xlfn.LET(
    _xlpm.vals,   _xlfn.HSTACK(S607,V607,Y607,AB607,AE607,AH607),
    _xlpm.ints,   _xlfn.HSTACK(R607,U607,X607,AA607,AD607,AG607),
    _xlpm.slopes, _xlfn.HSTACK(Q607,T607,W607,Z607,AC607,AF607),
    _xlpm.limit,  -0.00001*_xlpm.slopes + 0.1086*_xlpm.slopes + 63.253,
    _xlpm.mask,   (_xlpm.vals&gt;=0) * (_xlpm.ints&lt;=_xlpm.limit),
    _xlpm.validVals, _xlfn._xlws.FILTER(_xlpm.vals, _xlpm.mask),
    _xlpm.minVal, MIN(_xlpm.validVals),
    IFERROR( _xlfn.XMATCH(_xlpm.minVal, _xlpm.vals), "" )
)</f>
        <v>1</v>
      </c>
      <c r="AJ607" cm="1">
        <f t="array" ref="AJ607">_xlfn.LET(
    _xlpm.vals, CHOOSE({1,2,3,4,5,6}, S607, V607, Y607, AB607, AE607, AH607),
    _xlpm.slopes, CHOOSE({1,2,3,4,5,6}, Q607, T607, W607, Z607, AC607, AF607),
    _xlpm.ints, CHOOSE({1,2,3,4,5,6}, R607, U607, X607, AA607, AD607, AG607),
    _xlpm.limit, -0.00001*_xlpm.slopes + 0.1086*_xlpm.slopes + 63.253,
    _xlpm.valid, (_xlpm.vals &gt;= 0) * (_xlpm.ints &lt;= _xlpm.limit),
    _xlpm.target, MIN(_xlfn._xlws.FILTER(_xlpm.vals, _xlpm.valid)),
    IFERROR(
        _xlfn.XLOOKUP(_xlpm.target, _xlpm.vals, _xlpm.vals),
        CHOOSE({1,2,3,4,5,6}, S$1, V$1, Y$1, AB$1, AE$1, AH$1)
    )
)</f>
        <v>0.3390630696383849</v>
      </c>
    </row>
    <row r="608" spans="9:36" x14ac:dyDescent="0.45">
      <c r="I608">
        <v>606</v>
      </c>
      <c r="J608">
        <v>0</v>
      </c>
      <c r="K608">
        <f t="shared" si="208"/>
        <v>0</v>
      </c>
      <c r="L608">
        <f t="shared" si="207"/>
        <v>0</v>
      </c>
      <c r="M608">
        <v>0.5</v>
      </c>
      <c r="N608">
        <f t="shared" si="209"/>
        <v>0.5</v>
      </c>
      <c r="O608">
        <f t="shared" si="210"/>
        <v>0</v>
      </c>
      <c r="P608">
        <f t="shared" si="211"/>
        <v>0</v>
      </c>
      <c r="Q608">
        <f t="shared" si="212"/>
        <v>1000</v>
      </c>
      <c r="R608">
        <f t="shared" si="213"/>
        <v>4.7746482927568605</v>
      </c>
      <c r="S608">
        <f t="shared" si="214"/>
        <v>0.34852190092168239</v>
      </c>
      <c r="T608">
        <f t="shared" si="215"/>
        <v>6000</v>
      </c>
      <c r="U608">
        <f t="shared" si="216"/>
        <v>0.79577471545947676</v>
      </c>
      <c r="V608">
        <f t="shared" si="217"/>
        <v>6.7049122481534917</v>
      </c>
      <c r="W608">
        <f t="shared" si="218"/>
        <v>6000</v>
      </c>
      <c r="X608">
        <f t="shared" si="219"/>
        <v>0.79577471545947676</v>
      </c>
      <c r="Y608">
        <f t="shared" si="220"/>
        <v>6.7049122481534917</v>
      </c>
      <c r="Z608">
        <f t="shared" si="221"/>
        <v>6000</v>
      </c>
      <c r="AA608">
        <f t="shared" si="222"/>
        <v>0.79577471545947676</v>
      </c>
      <c r="AB608">
        <f t="shared" si="223"/>
        <v>6.7049122481534917</v>
      </c>
      <c r="AC608">
        <f t="shared" si="224"/>
        <v>6000</v>
      </c>
      <c r="AD608">
        <f t="shared" si="225"/>
        <v>0.79577471545947676</v>
      </c>
      <c r="AE608">
        <f t="shared" si="226"/>
        <v>6.7049122481534917</v>
      </c>
      <c r="AF608">
        <f t="shared" si="227"/>
        <v>6000</v>
      </c>
      <c r="AG608">
        <f t="shared" si="228"/>
        <v>0.79577471545947676</v>
      </c>
      <c r="AH608">
        <f t="shared" si="229"/>
        <v>6.7049122481534917</v>
      </c>
      <c r="AI608" cm="1">
        <f t="array" ref="AI608">_xlfn.LET(
    _xlpm.vals,   _xlfn.HSTACK(S608,V608,Y608,AB608,AE608,AH608),
    _xlpm.ints,   _xlfn.HSTACK(R608,U608,X608,AA608,AD608,AG608),
    _xlpm.slopes, _xlfn.HSTACK(Q608,T608,W608,Z608,AC608,AF608),
    _xlpm.limit,  -0.00001*_xlpm.slopes + 0.1086*_xlpm.slopes + 63.253,
    _xlpm.mask,   (_xlpm.vals&gt;=0) * (_xlpm.ints&lt;=_xlpm.limit),
    _xlpm.validVals, _xlfn._xlws.FILTER(_xlpm.vals, _xlpm.mask),
    _xlpm.minVal, MIN(_xlpm.validVals),
    IFERROR( _xlfn.XMATCH(_xlpm.minVal, _xlpm.vals), "" )
)</f>
        <v>1</v>
      </c>
      <c r="AJ608" cm="1">
        <f t="array" ref="AJ608">_xlfn.LET(
    _xlpm.vals, CHOOSE({1,2,3,4,5,6}, S608, V608, Y608, AB608, AE608, AH608),
    _xlpm.slopes, CHOOSE({1,2,3,4,5,6}, Q608, T608, W608, Z608, AC608, AF608),
    _xlpm.ints, CHOOSE({1,2,3,4,5,6}, R608, U608, X608, AA608, AD608, AG608),
    _xlpm.limit, -0.00001*_xlpm.slopes + 0.1086*_xlpm.slopes + 63.253,
    _xlpm.valid, (_xlpm.vals &gt;= 0) * (_xlpm.ints &lt;= _xlpm.limit),
    _xlpm.target, MIN(_xlfn._xlws.FILTER(_xlpm.vals, _xlpm.valid)),
    IFERROR(
        _xlfn.XLOOKUP(_xlpm.target, _xlpm.vals, _xlpm.vals),
        CHOOSE({1,2,3,4,5,6}, S$1, V$1, Y$1, AB$1, AE$1, AH$1)
    )
)</f>
        <v>0.34852190092168239</v>
      </c>
    </row>
    <row r="609" spans="9:36" x14ac:dyDescent="0.45">
      <c r="I609">
        <v>607</v>
      </c>
      <c r="J609">
        <v>0</v>
      </c>
      <c r="K609">
        <f t="shared" si="208"/>
        <v>0</v>
      </c>
      <c r="L609">
        <f t="shared" si="207"/>
        <v>0</v>
      </c>
      <c r="M609">
        <v>0.83</v>
      </c>
      <c r="N609">
        <f t="shared" si="209"/>
        <v>0.83</v>
      </c>
      <c r="O609">
        <f t="shared" si="210"/>
        <v>0</v>
      </c>
      <c r="P609">
        <f t="shared" si="211"/>
        <v>0</v>
      </c>
      <c r="Q609">
        <f t="shared" si="212"/>
        <v>1000</v>
      </c>
      <c r="R609">
        <f t="shared" si="213"/>
        <v>7.9259161659763882</v>
      </c>
      <c r="S609">
        <f t="shared" si="214"/>
        <v>0.36891820290256278</v>
      </c>
      <c r="T609">
        <f t="shared" si="215"/>
        <v>6000</v>
      </c>
      <c r="U609">
        <f t="shared" si="216"/>
        <v>1.3209860276627314</v>
      </c>
      <c r="V609">
        <f t="shared" si="217"/>
        <v>6.7082429823185636</v>
      </c>
      <c r="W609">
        <f t="shared" si="218"/>
        <v>6000</v>
      </c>
      <c r="X609">
        <f t="shared" si="219"/>
        <v>1.3209860276627314</v>
      </c>
      <c r="Y609">
        <f t="shared" si="220"/>
        <v>6.7082429823185636</v>
      </c>
      <c r="Z609">
        <f t="shared" si="221"/>
        <v>6000</v>
      </c>
      <c r="AA609">
        <f t="shared" si="222"/>
        <v>1.3209860276627314</v>
      </c>
      <c r="AB609">
        <f t="shared" si="223"/>
        <v>6.7082429823185636</v>
      </c>
      <c r="AC609">
        <f t="shared" si="224"/>
        <v>6000</v>
      </c>
      <c r="AD609">
        <f t="shared" si="225"/>
        <v>1.3209860276627314</v>
      </c>
      <c r="AE609">
        <f t="shared" si="226"/>
        <v>6.7082429823185636</v>
      </c>
      <c r="AF609">
        <f t="shared" si="227"/>
        <v>6000</v>
      </c>
      <c r="AG609">
        <f t="shared" si="228"/>
        <v>1.3209860276627314</v>
      </c>
      <c r="AH609">
        <f t="shared" si="229"/>
        <v>6.7082429823185636</v>
      </c>
      <c r="AI609" cm="1">
        <f t="array" ref="AI609">_xlfn.LET(
    _xlpm.vals,   _xlfn.HSTACK(S609,V609,Y609,AB609,AE609,AH609),
    _xlpm.ints,   _xlfn.HSTACK(R609,U609,X609,AA609,AD609,AG609),
    _xlpm.slopes, _xlfn.HSTACK(Q609,T609,W609,Z609,AC609,AF609),
    _xlpm.limit,  -0.00001*_xlpm.slopes + 0.1086*_xlpm.slopes + 63.253,
    _xlpm.mask,   (_xlpm.vals&gt;=0) * (_xlpm.ints&lt;=_xlpm.limit),
    _xlpm.validVals, _xlfn._xlws.FILTER(_xlpm.vals, _xlpm.mask),
    _xlpm.minVal, MIN(_xlpm.validVals),
    IFERROR( _xlfn.XMATCH(_xlpm.minVal, _xlpm.vals), "" )
)</f>
        <v>1</v>
      </c>
      <c r="AJ609" cm="1">
        <f t="array" ref="AJ609">_xlfn.LET(
    _xlpm.vals, CHOOSE({1,2,3,4,5,6}, S609, V609, Y609, AB609, AE609, AH609),
    _xlpm.slopes, CHOOSE({1,2,3,4,5,6}, Q609, T609, W609, Z609, AC609, AF609),
    _xlpm.ints, CHOOSE({1,2,3,4,5,6}, R609, U609, X609, AA609, AD609, AG609),
    _xlpm.limit, -0.00001*_xlpm.slopes + 0.1086*_xlpm.slopes + 63.253,
    _xlpm.valid, (_xlpm.vals &gt;= 0) * (_xlpm.ints &lt;= _xlpm.limit),
    _xlpm.target, MIN(_xlfn._xlws.FILTER(_xlpm.vals, _xlpm.valid)),
    IFERROR(
        _xlfn.XLOOKUP(_xlpm.target, _xlpm.vals, _xlpm.vals),
        CHOOSE({1,2,3,4,5,6}, S$1, V$1, Y$1, AB$1, AE$1, AH$1)
    )
)</f>
        <v>0.36891820290256278</v>
      </c>
    </row>
    <row r="610" spans="9:36" x14ac:dyDescent="0.45">
      <c r="I610">
        <v>608</v>
      </c>
      <c r="J610">
        <v>0</v>
      </c>
      <c r="K610">
        <f t="shared" si="208"/>
        <v>0</v>
      </c>
      <c r="L610">
        <f t="shared" si="207"/>
        <v>0</v>
      </c>
      <c r="M610">
        <v>0.86</v>
      </c>
      <c r="N610">
        <f t="shared" si="209"/>
        <v>0.86</v>
      </c>
      <c r="O610">
        <f t="shared" si="210"/>
        <v>0</v>
      </c>
      <c r="P610">
        <f t="shared" si="211"/>
        <v>0</v>
      </c>
      <c r="Q610">
        <f t="shared" si="212"/>
        <v>1000</v>
      </c>
      <c r="R610">
        <f t="shared" si="213"/>
        <v>8.2123950635418002</v>
      </c>
      <c r="S610">
        <f t="shared" si="214"/>
        <v>0.37082998533300382</v>
      </c>
      <c r="T610">
        <f t="shared" si="215"/>
        <v>6000</v>
      </c>
      <c r="U610">
        <f t="shared" si="216"/>
        <v>1.3687325105902999</v>
      </c>
      <c r="V610">
        <f t="shared" si="217"/>
        <v>6.7085503206188601</v>
      </c>
      <c r="W610">
        <f t="shared" si="218"/>
        <v>6000</v>
      </c>
      <c r="X610">
        <f t="shared" si="219"/>
        <v>1.3687325105902999</v>
      </c>
      <c r="Y610">
        <f t="shared" si="220"/>
        <v>6.7085503206188601</v>
      </c>
      <c r="Z610">
        <f t="shared" si="221"/>
        <v>6000</v>
      </c>
      <c r="AA610">
        <f t="shared" si="222"/>
        <v>1.3687325105902999</v>
      </c>
      <c r="AB610">
        <f t="shared" si="223"/>
        <v>6.7085503206188601</v>
      </c>
      <c r="AC610">
        <f t="shared" si="224"/>
        <v>6000</v>
      </c>
      <c r="AD610">
        <f t="shared" si="225"/>
        <v>1.3687325105902999</v>
      </c>
      <c r="AE610">
        <f t="shared" si="226"/>
        <v>6.7085503206188601</v>
      </c>
      <c r="AF610">
        <f t="shared" si="227"/>
        <v>6000</v>
      </c>
      <c r="AG610">
        <f t="shared" si="228"/>
        <v>1.3687325105902999</v>
      </c>
      <c r="AH610">
        <f t="shared" si="229"/>
        <v>6.7085503206188601</v>
      </c>
      <c r="AI610" cm="1">
        <f t="array" ref="AI610">_xlfn.LET(
    _xlpm.vals,   _xlfn.HSTACK(S610,V610,Y610,AB610,AE610,AH610),
    _xlpm.ints,   _xlfn.HSTACK(R610,U610,X610,AA610,AD610,AG610),
    _xlpm.slopes, _xlfn.HSTACK(Q610,T610,W610,Z610,AC610,AF610),
    _xlpm.limit,  -0.00001*_xlpm.slopes + 0.1086*_xlpm.slopes + 63.253,
    _xlpm.mask,   (_xlpm.vals&gt;=0) * (_xlpm.ints&lt;=_xlpm.limit),
    _xlpm.validVals, _xlfn._xlws.FILTER(_xlpm.vals, _xlpm.mask),
    _xlpm.minVal, MIN(_xlpm.validVals),
    IFERROR( _xlfn.XMATCH(_xlpm.minVal, _xlpm.vals), "" )
)</f>
        <v>1</v>
      </c>
      <c r="AJ610" cm="1">
        <f t="array" ref="AJ610">_xlfn.LET(
    _xlpm.vals, CHOOSE({1,2,3,4,5,6}, S610, V610, Y610, AB610, AE610, AH610),
    _xlpm.slopes, CHOOSE({1,2,3,4,5,6}, Q610, T610, W610, Z610, AC610, AF610),
    _xlpm.ints, CHOOSE({1,2,3,4,5,6}, R610, U610, X610, AA610, AD610, AG610),
    _xlpm.limit, -0.00001*_xlpm.slopes + 0.1086*_xlpm.slopes + 63.253,
    _xlpm.valid, (_xlpm.vals &gt;= 0) * (_xlpm.ints &lt;= _xlpm.limit),
    _xlpm.target, MIN(_xlfn._xlws.FILTER(_xlpm.vals, _xlpm.valid)),
    IFERROR(
        _xlfn.XLOOKUP(_xlpm.target, _xlpm.vals, _xlpm.vals),
        CHOOSE({1,2,3,4,5,6}, S$1, V$1, Y$1, AB$1, AE$1, AH$1)
    )
)</f>
        <v>0.37082998533300382</v>
      </c>
    </row>
    <row r="611" spans="9:36" x14ac:dyDescent="0.45">
      <c r="I611">
        <v>609</v>
      </c>
      <c r="J611">
        <v>0</v>
      </c>
      <c r="K611">
        <f t="shared" si="208"/>
        <v>0</v>
      </c>
      <c r="L611">
        <f t="shared" si="207"/>
        <v>0</v>
      </c>
      <c r="M611">
        <v>0.69</v>
      </c>
      <c r="N611">
        <f t="shared" si="209"/>
        <v>0.69</v>
      </c>
      <c r="O611">
        <f t="shared" si="210"/>
        <v>0</v>
      </c>
      <c r="P611">
        <f t="shared" si="211"/>
        <v>0</v>
      </c>
      <c r="Q611">
        <f t="shared" si="212"/>
        <v>1000</v>
      </c>
      <c r="R611">
        <f t="shared" si="213"/>
        <v>6.5890146440044672</v>
      </c>
      <c r="S611">
        <f t="shared" si="214"/>
        <v>0.36012205628536287</v>
      </c>
      <c r="T611">
        <f t="shared" si="215"/>
        <v>6000</v>
      </c>
      <c r="U611">
        <f t="shared" si="216"/>
        <v>1.0981691073340778</v>
      </c>
      <c r="V611">
        <f t="shared" si="217"/>
        <v>6.7068187448354131</v>
      </c>
      <c r="W611">
        <f t="shared" si="218"/>
        <v>6000</v>
      </c>
      <c r="X611">
        <f t="shared" si="219"/>
        <v>1.0981691073340778</v>
      </c>
      <c r="Y611">
        <f t="shared" si="220"/>
        <v>6.7068187448354131</v>
      </c>
      <c r="Z611">
        <f t="shared" si="221"/>
        <v>6000</v>
      </c>
      <c r="AA611">
        <f t="shared" si="222"/>
        <v>1.0981691073340778</v>
      </c>
      <c r="AB611">
        <f t="shared" si="223"/>
        <v>6.7068187448354131</v>
      </c>
      <c r="AC611">
        <f t="shared" si="224"/>
        <v>6000</v>
      </c>
      <c r="AD611">
        <f t="shared" si="225"/>
        <v>1.0981691073340778</v>
      </c>
      <c r="AE611">
        <f t="shared" si="226"/>
        <v>6.7068187448354131</v>
      </c>
      <c r="AF611">
        <f t="shared" si="227"/>
        <v>6000</v>
      </c>
      <c r="AG611">
        <f t="shared" si="228"/>
        <v>1.0981691073340778</v>
      </c>
      <c r="AH611">
        <f t="shared" si="229"/>
        <v>6.7068187448354131</v>
      </c>
      <c r="AI611" cm="1">
        <f t="array" ref="AI611">_xlfn.LET(
    _xlpm.vals,   _xlfn.HSTACK(S611,V611,Y611,AB611,AE611,AH611),
    _xlpm.ints,   _xlfn.HSTACK(R611,U611,X611,AA611,AD611,AG611),
    _xlpm.slopes, _xlfn.HSTACK(Q611,T611,W611,Z611,AC611,AF611),
    _xlpm.limit,  -0.00001*_xlpm.slopes + 0.1086*_xlpm.slopes + 63.253,
    _xlpm.mask,   (_xlpm.vals&gt;=0) * (_xlpm.ints&lt;=_xlpm.limit),
    _xlpm.validVals, _xlfn._xlws.FILTER(_xlpm.vals, _xlpm.mask),
    _xlpm.minVal, MIN(_xlpm.validVals),
    IFERROR( _xlfn.XMATCH(_xlpm.minVal, _xlpm.vals), "" )
)</f>
        <v>1</v>
      </c>
      <c r="AJ611" cm="1">
        <f t="array" ref="AJ611">_xlfn.LET(
    _xlpm.vals, CHOOSE({1,2,3,4,5,6}, S611, V611, Y611, AB611, AE611, AH611),
    _xlpm.slopes, CHOOSE({1,2,3,4,5,6}, Q611, T611, W611, Z611, AC611, AF611),
    _xlpm.ints, CHOOSE({1,2,3,4,5,6}, R611, U611, X611, AA611, AD611, AG611),
    _xlpm.limit, -0.00001*_xlpm.slopes + 0.1086*_xlpm.slopes + 63.253,
    _xlpm.valid, (_xlpm.vals &gt;= 0) * (_xlpm.ints &lt;= _xlpm.limit),
    _xlpm.target, MIN(_xlfn._xlws.FILTER(_xlpm.vals, _xlpm.valid)),
    IFERROR(
        _xlfn.XLOOKUP(_xlpm.target, _xlpm.vals, _xlpm.vals),
        CHOOSE({1,2,3,4,5,6}, S$1, V$1, Y$1, AB$1, AE$1, AH$1)
    )
)</f>
        <v>0.36012205628536287</v>
      </c>
    </row>
    <row r="612" spans="9:36" x14ac:dyDescent="0.45">
      <c r="I612">
        <v>610</v>
      </c>
      <c r="J612">
        <v>0</v>
      </c>
      <c r="K612">
        <f t="shared" si="208"/>
        <v>0</v>
      </c>
      <c r="L612">
        <f t="shared" si="207"/>
        <v>0</v>
      </c>
      <c r="M612">
        <v>0.24</v>
      </c>
      <c r="N612">
        <f t="shared" si="209"/>
        <v>0.24</v>
      </c>
      <c r="O612">
        <f t="shared" si="210"/>
        <v>0</v>
      </c>
      <c r="P612">
        <f t="shared" si="211"/>
        <v>0</v>
      </c>
      <c r="Q612">
        <f t="shared" si="212"/>
        <v>1000</v>
      </c>
      <c r="R612">
        <f t="shared" si="213"/>
        <v>2.2918311805232929</v>
      </c>
      <c r="S612">
        <f t="shared" si="214"/>
        <v>0.33329864221017741</v>
      </c>
      <c r="T612">
        <f t="shared" si="215"/>
        <v>6000</v>
      </c>
      <c r="U612">
        <f t="shared" si="216"/>
        <v>0.38197186342054884</v>
      </c>
      <c r="V612">
        <f t="shared" si="217"/>
        <v>6.7023527123851929</v>
      </c>
      <c r="W612">
        <f t="shared" si="218"/>
        <v>6000</v>
      </c>
      <c r="X612">
        <f t="shared" si="219"/>
        <v>0.38197186342054884</v>
      </c>
      <c r="Y612">
        <f t="shared" si="220"/>
        <v>6.7023527123851929</v>
      </c>
      <c r="Z612">
        <f t="shared" si="221"/>
        <v>6000</v>
      </c>
      <c r="AA612">
        <f t="shared" si="222"/>
        <v>0.38197186342054884</v>
      </c>
      <c r="AB612">
        <f t="shared" si="223"/>
        <v>6.7023527123851929</v>
      </c>
      <c r="AC612">
        <f t="shared" si="224"/>
        <v>6000</v>
      </c>
      <c r="AD612">
        <f t="shared" si="225"/>
        <v>0.38197186342054884</v>
      </c>
      <c r="AE612">
        <f t="shared" si="226"/>
        <v>6.7023527123851929</v>
      </c>
      <c r="AF612">
        <f t="shared" si="227"/>
        <v>6000</v>
      </c>
      <c r="AG612">
        <f t="shared" si="228"/>
        <v>0.38197186342054884</v>
      </c>
      <c r="AH612">
        <f t="shared" si="229"/>
        <v>6.7023527123851929</v>
      </c>
      <c r="AI612" cm="1">
        <f t="array" ref="AI612">_xlfn.LET(
    _xlpm.vals,   _xlfn.HSTACK(S612,V612,Y612,AB612,AE612,AH612),
    _xlpm.ints,   _xlfn.HSTACK(R612,U612,X612,AA612,AD612,AG612),
    _xlpm.slopes, _xlfn.HSTACK(Q612,T612,W612,Z612,AC612,AF612),
    _xlpm.limit,  -0.00001*_xlpm.slopes + 0.1086*_xlpm.slopes + 63.253,
    _xlpm.mask,   (_xlpm.vals&gt;=0) * (_xlpm.ints&lt;=_xlpm.limit),
    _xlpm.validVals, _xlfn._xlws.FILTER(_xlpm.vals, _xlpm.mask),
    _xlpm.minVal, MIN(_xlpm.validVals),
    IFERROR( _xlfn.XMATCH(_xlpm.minVal, _xlpm.vals), "" )
)</f>
        <v>1</v>
      </c>
      <c r="AJ612" cm="1">
        <f t="array" ref="AJ612">_xlfn.LET(
    _xlpm.vals, CHOOSE({1,2,3,4,5,6}, S612, V612, Y612, AB612, AE612, AH612),
    _xlpm.slopes, CHOOSE({1,2,3,4,5,6}, Q612, T612, W612, Z612, AC612, AF612),
    _xlpm.ints, CHOOSE({1,2,3,4,5,6}, R612, U612, X612, AA612, AD612, AG612),
    _xlpm.limit, -0.00001*_xlpm.slopes + 0.1086*_xlpm.slopes + 63.253,
    _xlpm.valid, (_xlpm.vals &gt;= 0) * (_xlpm.ints &lt;= _xlpm.limit),
    _xlpm.target, MIN(_xlfn._xlws.FILTER(_xlpm.vals, _xlpm.valid)),
    IFERROR(
        _xlfn.XLOOKUP(_xlpm.target, _xlpm.vals, _xlpm.vals),
        CHOOSE({1,2,3,4,5,6}, S$1, V$1, Y$1, AB$1, AE$1, AH$1)
    )
)</f>
        <v>0.33329864221017741</v>
      </c>
    </row>
    <row r="613" spans="9:36" x14ac:dyDescent="0.45">
      <c r="I613">
        <v>611</v>
      </c>
      <c r="J613">
        <v>0</v>
      </c>
      <c r="K613">
        <f t="shared" si="208"/>
        <v>0</v>
      </c>
      <c r="L613">
        <f t="shared" si="207"/>
        <v>0</v>
      </c>
      <c r="M613">
        <v>0.38</v>
      </c>
      <c r="N613">
        <f t="shared" si="209"/>
        <v>0.38</v>
      </c>
      <c r="O613">
        <f t="shared" si="210"/>
        <v>0</v>
      </c>
      <c r="P613">
        <f t="shared" si="211"/>
        <v>0</v>
      </c>
      <c r="Q613">
        <f t="shared" si="212"/>
        <v>1000</v>
      </c>
      <c r="R613">
        <f t="shared" si="213"/>
        <v>3.6287327024952138</v>
      </c>
      <c r="S613">
        <f t="shared" si="214"/>
        <v>0.34140077934740681</v>
      </c>
      <c r="T613">
        <f t="shared" si="215"/>
        <v>6000</v>
      </c>
      <c r="U613">
        <f t="shared" si="216"/>
        <v>0.60478878374920231</v>
      </c>
      <c r="V613">
        <f t="shared" si="217"/>
        <v>6.7037238298611719</v>
      </c>
      <c r="W613">
        <f t="shared" si="218"/>
        <v>6000</v>
      </c>
      <c r="X613">
        <f t="shared" si="219"/>
        <v>0.60478878374920231</v>
      </c>
      <c r="Y613">
        <f t="shared" si="220"/>
        <v>6.7037238298611719</v>
      </c>
      <c r="Z613">
        <f t="shared" si="221"/>
        <v>6000</v>
      </c>
      <c r="AA613">
        <f t="shared" si="222"/>
        <v>0.60478878374920231</v>
      </c>
      <c r="AB613">
        <f t="shared" si="223"/>
        <v>6.7037238298611719</v>
      </c>
      <c r="AC613">
        <f t="shared" si="224"/>
        <v>6000</v>
      </c>
      <c r="AD613">
        <f t="shared" si="225"/>
        <v>0.60478878374920231</v>
      </c>
      <c r="AE613">
        <f t="shared" si="226"/>
        <v>6.7037238298611719</v>
      </c>
      <c r="AF613">
        <f t="shared" si="227"/>
        <v>6000</v>
      </c>
      <c r="AG613">
        <f t="shared" si="228"/>
        <v>0.60478878374920231</v>
      </c>
      <c r="AH613">
        <f t="shared" si="229"/>
        <v>6.7037238298611719</v>
      </c>
      <c r="AI613" cm="1">
        <f t="array" ref="AI613">_xlfn.LET(
    _xlpm.vals,   _xlfn.HSTACK(S613,V613,Y613,AB613,AE613,AH613),
    _xlpm.ints,   _xlfn.HSTACK(R613,U613,X613,AA613,AD613,AG613),
    _xlpm.slopes, _xlfn.HSTACK(Q613,T613,W613,Z613,AC613,AF613),
    _xlpm.limit,  -0.00001*_xlpm.slopes + 0.1086*_xlpm.slopes + 63.253,
    _xlpm.mask,   (_xlpm.vals&gt;=0) * (_xlpm.ints&lt;=_xlpm.limit),
    _xlpm.validVals, _xlfn._xlws.FILTER(_xlpm.vals, _xlpm.mask),
    _xlpm.minVal, MIN(_xlpm.validVals),
    IFERROR( _xlfn.XMATCH(_xlpm.minVal, _xlpm.vals), "" )
)</f>
        <v>1</v>
      </c>
      <c r="AJ613" cm="1">
        <f t="array" ref="AJ613">_xlfn.LET(
    _xlpm.vals, CHOOSE({1,2,3,4,5,6}, S613, V613, Y613, AB613, AE613, AH613),
    _xlpm.slopes, CHOOSE({1,2,3,4,5,6}, Q613, T613, W613, Z613, AC613, AF613),
    _xlpm.ints, CHOOSE({1,2,3,4,5,6}, R613, U613, X613, AA613, AD613, AG613),
    _xlpm.limit, -0.00001*_xlpm.slopes + 0.1086*_xlpm.slopes + 63.253,
    _xlpm.valid, (_xlpm.vals &gt;= 0) * (_xlpm.ints &lt;= _xlpm.limit),
    _xlpm.target, MIN(_xlfn._xlws.FILTER(_xlpm.vals, _xlpm.valid)),
    IFERROR(
        _xlfn.XLOOKUP(_xlpm.target, _xlpm.vals, _xlpm.vals),
        CHOOSE({1,2,3,4,5,6}, S$1, V$1, Y$1, AB$1, AE$1, AH$1)
    )
)</f>
        <v>0.34140077934740681</v>
      </c>
    </row>
    <row r="614" spans="9:36" x14ac:dyDescent="0.45">
      <c r="I614">
        <v>612</v>
      </c>
      <c r="J614">
        <v>0</v>
      </c>
      <c r="K614">
        <f t="shared" si="208"/>
        <v>0</v>
      </c>
      <c r="L614">
        <f t="shared" si="207"/>
        <v>0</v>
      </c>
      <c r="M614">
        <v>0.27</v>
      </c>
      <c r="N614">
        <f t="shared" si="209"/>
        <v>0.27</v>
      </c>
      <c r="O614">
        <f t="shared" si="210"/>
        <v>0</v>
      </c>
      <c r="P614">
        <f t="shared" si="211"/>
        <v>0</v>
      </c>
      <c r="Q614">
        <f t="shared" si="212"/>
        <v>1000</v>
      </c>
      <c r="R614">
        <f t="shared" si="213"/>
        <v>2.5783100780887045</v>
      </c>
      <c r="S614">
        <f t="shared" si="214"/>
        <v>0.33501592345505976</v>
      </c>
      <c r="T614">
        <f t="shared" si="215"/>
        <v>6000</v>
      </c>
      <c r="U614">
        <f t="shared" si="216"/>
        <v>0.42971834634811745</v>
      </c>
      <c r="V614">
        <f t="shared" si="217"/>
        <v>6.7026451287264717</v>
      </c>
      <c r="W614">
        <f t="shared" si="218"/>
        <v>6000</v>
      </c>
      <c r="X614">
        <f t="shared" si="219"/>
        <v>0.42971834634811745</v>
      </c>
      <c r="Y614">
        <f t="shared" si="220"/>
        <v>6.7026451287264717</v>
      </c>
      <c r="Z614">
        <f t="shared" si="221"/>
        <v>6000</v>
      </c>
      <c r="AA614">
        <f t="shared" si="222"/>
        <v>0.42971834634811745</v>
      </c>
      <c r="AB614">
        <f t="shared" si="223"/>
        <v>6.7026451287264717</v>
      </c>
      <c r="AC614">
        <f t="shared" si="224"/>
        <v>6000</v>
      </c>
      <c r="AD614">
        <f t="shared" si="225"/>
        <v>0.42971834634811745</v>
      </c>
      <c r="AE614">
        <f t="shared" si="226"/>
        <v>6.7026451287264717</v>
      </c>
      <c r="AF614">
        <f t="shared" si="227"/>
        <v>6000</v>
      </c>
      <c r="AG614">
        <f t="shared" si="228"/>
        <v>0.42971834634811745</v>
      </c>
      <c r="AH614">
        <f t="shared" si="229"/>
        <v>6.7026451287264717</v>
      </c>
      <c r="AI614" cm="1">
        <f t="array" ref="AI614">_xlfn.LET(
    _xlpm.vals,   _xlfn.HSTACK(S614,V614,Y614,AB614,AE614,AH614),
    _xlpm.ints,   _xlfn.HSTACK(R614,U614,X614,AA614,AD614,AG614),
    _xlpm.slopes, _xlfn.HSTACK(Q614,T614,W614,Z614,AC614,AF614),
    _xlpm.limit,  -0.00001*_xlpm.slopes + 0.1086*_xlpm.slopes + 63.253,
    _xlpm.mask,   (_xlpm.vals&gt;=0) * (_xlpm.ints&lt;=_xlpm.limit),
    _xlpm.validVals, _xlfn._xlws.FILTER(_xlpm.vals, _xlpm.mask),
    _xlpm.minVal, MIN(_xlpm.validVals),
    IFERROR( _xlfn.XMATCH(_xlpm.minVal, _xlpm.vals), "" )
)</f>
        <v>1</v>
      </c>
      <c r="AJ614" cm="1">
        <f t="array" ref="AJ614">_xlfn.LET(
    _xlpm.vals, CHOOSE({1,2,3,4,5,6}, S614, V614, Y614, AB614, AE614, AH614),
    _xlpm.slopes, CHOOSE({1,2,3,4,5,6}, Q614, T614, W614, Z614, AC614, AF614),
    _xlpm.ints, CHOOSE({1,2,3,4,5,6}, R614, U614, X614, AA614, AD614, AG614),
    _xlpm.limit, -0.00001*_xlpm.slopes + 0.1086*_xlpm.slopes + 63.253,
    _xlpm.valid, (_xlpm.vals &gt;= 0) * (_xlpm.ints &lt;= _xlpm.limit),
    _xlpm.target, MIN(_xlfn._xlws.FILTER(_xlpm.vals, _xlpm.valid)),
    IFERROR(
        _xlfn.XLOOKUP(_xlpm.target, _xlpm.vals, _xlpm.vals),
        CHOOSE({1,2,3,4,5,6}, S$1, V$1, Y$1, AB$1, AE$1, AH$1)
    )
)</f>
        <v>0.33501592345505976</v>
      </c>
    </row>
    <row r="615" spans="9:36" x14ac:dyDescent="0.45">
      <c r="I615">
        <v>613</v>
      </c>
      <c r="J615">
        <v>0</v>
      </c>
      <c r="K615">
        <f t="shared" si="208"/>
        <v>0</v>
      </c>
      <c r="L615">
        <f t="shared" si="207"/>
        <v>0</v>
      </c>
      <c r="M615">
        <v>0.33</v>
      </c>
      <c r="N615">
        <f t="shared" si="209"/>
        <v>0.33</v>
      </c>
      <c r="O615">
        <f t="shared" si="210"/>
        <v>0</v>
      </c>
      <c r="P615">
        <f t="shared" si="211"/>
        <v>0</v>
      </c>
      <c r="Q615">
        <f t="shared" si="212"/>
        <v>1000</v>
      </c>
      <c r="R615">
        <f t="shared" si="213"/>
        <v>3.1512678732195281</v>
      </c>
      <c r="S615">
        <f t="shared" si="214"/>
        <v>0.33848148025616892</v>
      </c>
      <c r="T615">
        <f t="shared" si="215"/>
        <v>6000</v>
      </c>
      <c r="U615">
        <f t="shared" si="216"/>
        <v>0.52521131220325468</v>
      </c>
      <c r="V615">
        <f t="shared" si="217"/>
        <v>6.7032322437726535</v>
      </c>
      <c r="W615">
        <f t="shared" si="218"/>
        <v>6000</v>
      </c>
      <c r="X615">
        <f t="shared" si="219"/>
        <v>0.52521131220325468</v>
      </c>
      <c r="Y615">
        <f t="shared" si="220"/>
        <v>6.7032322437726535</v>
      </c>
      <c r="Z615">
        <f t="shared" si="221"/>
        <v>6000</v>
      </c>
      <c r="AA615">
        <f t="shared" si="222"/>
        <v>0.52521131220325468</v>
      </c>
      <c r="AB615">
        <f t="shared" si="223"/>
        <v>6.7032322437726535</v>
      </c>
      <c r="AC615">
        <f t="shared" si="224"/>
        <v>6000</v>
      </c>
      <c r="AD615">
        <f t="shared" si="225"/>
        <v>0.52521131220325468</v>
      </c>
      <c r="AE615">
        <f t="shared" si="226"/>
        <v>6.7032322437726535</v>
      </c>
      <c r="AF615">
        <f t="shared" si="227"/>
        <v>6000</v>
      </c>
      <c r="AG615">
        <f t="shared" si="228"/>
        <v>0.52521131220325468</v>
      </c>
      <c r="AH615">
        <f t="shared" si="229"/>
        <v>6.7032322437726535</v>
      </c>
      <c r="AI615" cm="1">
        <f t="array" ref="AI615">_xlfn.LET(
    _xlpm.vals,   _xlfn.HSTACK(S615,V615,Y615,AB615,AE615,AH615),
    _xlpm.ints,   _xlfn.HSTACK(R615,U615,X615,AA615,AD615,AG615),
    _xlpm.slopes, _xlfn.HSTACK(Q615,T615,W615,Z615,AC615,AF615),
    _xlpm.limit,  -0.00001*_xlpm.slopes + 0.1086*_xlpm.slopes + 63.253,
    _xlpm.mask,   (_xlpm.vals&gt;=0) * (_xlpm.ints&lt;=_xlpm.limit),
    _xlpm.validVals, _xlfn._xlws.FILTER(_xlpm.vals, _xlpm.mask),
    _xlpm.minVal, MIN(_xlpm.validVals),
    IFERROR( _xlfn.XMATCH(_xlpm.minVal, _xlpm.vals), "" )
)</f>
        <v>1</v>
      </c>
      <c r="AJ615" cm="1">
        <f t="array" ref="AJ615">_xlfn.LET(
    _xlpm.vals, CHOOSE({1,2,3,4,5,6}, S615, V615, Y615, AB615, AE615, AH615),
    _xlpm.slopes, CHOOSE({1,2,3,4,5,6}, Q615, T615, W615, Z615, AC615, AF615),
    _xlpm.ints, CHOOSE({1,2,3,4,5,6}, R615, U615, X615, AA615, AD615, AG615),
    _xlpm.limit, -0.00001*_xlpm.slopes + 0.1086*_xlpm.slopes + 63.253,
    _xlpm.valid, (_xlpm.vals &gt;= 0) * (_xlpm.ints &lt;= _xlpm.limit),
    _xlpm.target, MIN(_xlfn._xlws.FILTER(_xlpm.vals, _xlpm.valid)),
    IFERROR(
        _xlfn.XLOOKUP(_xlpm.target, _xlpm.vals, _xlpm.vals),
        CHOOSE({1,2,3,4,5,6}, S$1, V$1, Y$1, AB$1, AE$1, AH$1)
    )
)</f>
        <v>0.33848148025616892</v>
      </c>
    </row>
    <row r="616" spans="9:36" x14ac:dyDescent="0.45">
      <c r="I616">
        <v>614</v>
      </c>
      <c r="J616">
        <v>0</v>
      </c>
      <c r="K616">
        <f t="shared" si="208"/>
        <v>0</v>
      </c>
      <c r="L616">
        <f t="shared" si="207"/>
        <v>0</v>
      </c>
      <c r="M616">
        <v>0.17</v>
      </c>
      <c r="N616">
        <f t="shared" si="209"/>
        <v>0.17</v>
      </c>
      <c r="O616">
        <f t="shared" si="210"/>
        <v>0</v>
      </c>
      <c r="P616">
        <f t="shared" si="211"/>
        <v>0</v>
      </c>
      <c r="Q616">
        <f t="shared" si="212"/>
        <v>1000</v>
      </c>
      <c r="R616">
        <f t="shared" si="213"/>
        <v>1.6233804195373327</v>
      </c>
      <c r="S616">
        <f t="shared" si="214"/>
        <v>0.32933216963489198</v>
      </c>
      <c r="T616">
        <f t="shared" si="215"/>
        <v>6000</v>
      </c>
      <c r="U616">
        <f t="shared" si="216"/>
        <v>0.27056340325622208</v>
      </c>
      <c r="V616">
        <f t="shared" si="217"/>
        <v>6.7016733677786915</v>
      </c>
      <c r="W616">
        <f t="shared" si="218"/>
        <v>6000</v>
      </c>
      <c r="X616">
        <f t="shared" si="219"/>
        <v>0.27056340325622208</v>
      </c>
      <c r="Y616">
        <f t="shared" si="220"/>
        <v>6.7016733677786915</v>
      </c>
      <c r="Z616">
        <f t="shared" si="221"/>
        <v>6000</v>
      </c>
      <c r="AA616">
        <f t="shared" si="222"/>
        <v>0.27056340325622208</v>
      </c>
      <c r="AB616">
        <f t="shared" si="223"/>
        <v>6.7016733677786915</v>
      </c>
      <c r="AC616">
        <f t="shared" si="224"/>
        <v>6000</v>
      </c>
      <c r="AD616">
        <f t="shared" si="225"/>
        <v>0.27056340325622208</v>
      </c>
      <c r="AE616">
        <f t="shared" si="226"/>
        <v>6.7016733677786915</v>
      </c>
      <c r="AF616">
        <f t="shared" si="227"/>
        <v>6000</v>
      </c>
      <c r="AG616">
        <f t="shared" si="228"/>
        <v>0.27056340325622208</v>
      </c>
      <c r="AH616">
        <f t="shared" si="229"/>
        <v>6.7016733677786915</v>
      </c>
      <c r="AI616" cm="1">
        <f t="array" ref="AI616">_xlfn.LET(
    _xlpm.vals,   _xlfn.HSTACK(S616,V616,Y616,AB616,AE616,AH616),
    _xlpm.ints,   _xlfn.HSTACK(R616,U616,X616,AA616,AD616,AG616),
    _xlpm.slopes, _xlfn.HSTACK(Q616,T616,W616,Z616,AC616,AF616),
    _xlpm.limit,  -0.00001*_xlpm.slopes + 0.1086*_xlpm.slopes + 63.253,
    _xlpm.mask,   (_xlpm.vals&gt;=0) * (_xlpm.ints&lt;=_xlpm.limit),
    _xlpm.validVals, _xlfn._xlws.FILTER(_xlpm.vals, _xlpm.mask),
    _xlpm.minVal, MIN(_xlpm.validVals),
    IFERROR( _xlfn.XMATCH(_xlpm.minVal, _xlpm.vals), "" )
)</f>
        <v>1</v>
      </c>
      <c r="AJ616" cm="1">
        <f t="array" ref="AJ616">_xlfn.LET(
    _xlpm.vals, CHOOSE({1,2,3,4,5,6}, S616, V616, Y616, AB616, AE616, AH616),
    _xlpm.slopes, CHOOSE({1,2,3,4,5,6}, Q616, T616, W616, Z616, AC616, AF616),
    _xlpm.ints, CHOOSE({1,2,3,4,5,6}, R616, U616, X616, AA616, AD616, AG616),
    _xlpm.limit, -0.00001*_xlpm.slopes + 0.1086*_xlpm.slopes + 63.253,
    _xlpm.valid, (_xlpm.vals &gt;= 0) * (_xlpm.ints &lt;= _xlpm.limit),
    _xlpm.target, MIN(_xlfn._xlws.FILTER(_xlpm.vals, _xlpm.valid)),
    IFERROR(
        _xlfn.XLOOKUP(_xlpm.target, _xlpm.vals, _xlpm.vals),
        CHOOSE({1,2,3,4,5,6}, S$1, V$1, Y$1, AB$1, AE$1, AH$1)
    )
)</f>
        <v>0.32933216963489198</v>
      </c>
    </row>
    <row r="617" spans="9:36" x14ac:dyDescent="0.45">
      <c r="I617">
        <v>615</v>
      </c>
      <c r="J617">
        <v>0</v>
      </c>
      <c r="K617">
        <f t="shared" si="208"/>
        <v>0</v>
      </c>
      <c r="L617">
        <f t="shared" si="207"/>
        <v>0</v>
      </c>
      <c r="M617">
        <v>0.32</v>
      </c>
      <c r="N617">
        <f t="shared" si="209"/>
        <v>0.32</v>
      </c>
      <c r="O617">
        <f t="shared" si="210"/>
        <v>0</v>
      </c>
      <c r="P617">
        <f t="shared" si="211"/>
        <v>0</v>
      </c>
      <c r="Q617">
        <f t="shared" si="212"/>
        <v>1000</v>
      </c>
      <c r="R617">
        <f t="shared" si="213"/>
        <v>3.0557749073643907</v>
      </c>
      <c r="S617">
        <f t="shared" si="214"/>
        <v>0.3379010297260947</v>
      </c>
      <c r="T617">
        <f t="shared" si="215"/>
        <v>6000</v>
      </c>
      <c r="U617">
        <f t="shared" si="216"/>
        <v>0.50929581789406508</v>
      </c>
      <c r="V617">
        <f t="shared" si="217"/>
        <v>6.7031341799910731</v>
      </c>
      <c r="W617">
        <f t="shared" si="218"/>
        <v>6000</v>
      </c>
      <c r="X617">
        <f t="shared" si="219"/>
        <v>0.50929581789406508</v>
      </c>
      <c r="Y617">
        <f t="shared" si="220"/>
        <v>6.7031341799910731</v>
      </c>
      <c r="Z617">
        <f t="shared" si="221"/>
        <v>6000</v>
      </c>
      <c r="AA617">
        <f t="shared" si="222"/>
        <v>0.50929581789406508</v>
      </c>
      <c r="AB617">
        <f t="shared" si="223"/>
        <v>6.7031341799910731</v>
      </c>
      <c r="AC617">
        <f t="shared" si="224"/>
        <v>6000</v>
      </c>
      <c r="AD617">
        <f t="shared" si="225"/>
        <v>0.50929581789406508</v>
      </c>
      <c r="AE617">
        <f t="shared" si="226"/>
        <v>6.7031341799910731</v>
      </c>
      <c r="AF617">
        <f t="shared" si="227"/>
        <v>6000</v>
      </c>
      <c r="AG617">
        <f t="shared" si="228"/>
        <v>0.50929581789406508</v>
      </c>
      <c r="AH617">
        <f t="shared" si="229"/>
        <v>6.7031341799910731</v>
      </c>
      <c r="AI617" cm="1">
        <f t="array" ref="AI617">_xlfn.LET(
    _xlpm.vals,   _xlfn.HSTACK(S617,V617,Y617,AB617,AE617,AH617),
    _xlpm.ints,   _xlfn.HSTACK(R617,U617,X617,AA617,AD617,AG617),
    _xlpm.slopes, _xlfn.HSTACK(Q617,T617,W617,Z617,AC617,AF617),
    _xlpm.limit,  -0.00001*_xlpm.slopes + 0.1086*_xlpm.slopes + 63.253,
    _xlpm.mask,   (_xlpm.vals&gt;=0) * (_xlpm.ints&lt;=_xlpm.limit),
    _xlpm.validVals, _xlfn._xlws.FILTER(_xlpm.vals, _xlpm.mask),
    _xlpm.minVal, MIN(_xlpm.validVals),
    IFERROR( _xlfn.XMATCH(_xlpm.minVal, _xlpm.vals), "" )
)</f>
        <v>1</v>
      </c>
      <c r="AJ617" cm="1">
        <f t="array" ref="AJ617">_xlfn.LET(
    _xlpm.vals, CHOOSE({1,2,3,4,5,6}, S617, V617, Y617, AB617, AE617, AH617),
    _xlpm.slopes, CHOOSE({1,2,3,4,5,6}, Q617, T617, W617, Z617, AC617, AF617),
    _xlpm.ints, CHOOSE({1,2,3,4,5,6}, R617, U617, X617, AA617, AD617, AG617),
    _xlpm.limit, -0.00001*_xlpm.slopes + 0.1086*_xlpm.slopes + 63.253,
    _xlpm.valid, (_xlpm.vals &gt;= 0) * (_xlpm.ints &lt;= _xlpm.limit),
    _xlpm.target, MIN(_xlfn._xlws.FILTER(_xlpm.vals, _xlpm.valid)),
    IFERROR(
        _xlfn.XLOOKUP(_xlpm.target, _xlpm.vals, _xlpm.vals),
        CHOOSE({1,2,3,4,5,6}, S$1, V$1, Y$1, AB$1, AE$1, AH$1)
    )
)</f>
        <v>0.3379010297260947</v>
      </c>
    </row>
    <row r="618" spans="9:36" x14ac:dyDescent="0.45">
      <c r="I618">
        <v>616</v>
      </c>
      <c r="J618">
        <v>0</v>
      </c>
      <c r="K618">
        <f t="shared" si="208"/>
        <v>0</v>
      </c>
      <c r="L618">
        <f t="shared" si="207"/>
        <v>0</v>
      </c>
      <c r="M618">
        <v>0.4</v>
      </c>
      <c r="N618">
        <f t="shared" si="209"/>
        <v>0.4</v>
      </c>
      <c r="O618">
        <f t="shared" si="210"/>
        <v>0</v>
      </c>
      <c r="P618">
        <f t="shared" si="211"/>
        <v>0</v>
      </c>
      <c r="Q618">
        <f t="shared" si="212"/>
        <v>1000</v>
      </c>
      <c r="R618">
        <f t="shared" si="213"/>
        <v>3.8197186342054885</v>
      </c>
      <c r="S618">
        <f t="shared" si="214"/>
        <v>0.34257642007112959</v>
      </c>
      <c r="T618">
        <f t="shared" si="215"/>
        <v>6000</v>
      </c>
      <c r="U618">
        <f t="shared" si="216"/>
        <v>0.63661977236758138</v>
      </c>
      <c r="V618">
        <f t="shared" si="217"/>
        <v>6.7039210554905058</v>
      </c>
      <c r="W618">
        <f t="shared" si="218"/>
        <v>6000</v>
      </c>
      <c r="X618">
        <f t="shared" si="219"/>
        <v>0.63661977236758138</v>
      </c>
      <c r="Y618">
        <f t="shared" si="220"/>
        <v>6.7039210554905058</v>
      </c>
      <c r="Z618">
        <f t="shared" si="221"/>
        <v>6000</v>
      </c>
      <c r="AA618">
        <f t="shared" si="222"/>
        <v>0.63661977236758138</v>
      </c>
      <c r="AB618">
        <f t="shared" si="223"/>
        <v>6.7039210554905058</v>
      </c>
      <c r="AC618">
        <f t="shared" si="224"/>
        <v>6000</v>
      </c>
      <c r="AD618">
        <f t="shared" si="225"/>
        <v>0.63661977236758138</v>
      </c>
      <c r="AE618">
        <f t="shared" si="226"/>
        <v>6.7039210554905058</v>
      </c>
      <c r="AF618">
        <f t="shared" si="227"/>
        <v>6000</v>
      </c>
      <c r="AG618">
        <f t="shared" si="228"/>
        <v>0.63661977236758138</v>
      </c>
      <c r="AH618">
        <f t="shared" si="229"/>
        <v>6.7039210554905058</v>
      </c>
      <c r="AI618" cm="1">
        <f t="array" ref="AI618">_xlfn.LET(
    _xlpm.vals,   _xlfn.HSTACK(S618,V618,Y618,AB618,AE618,AH618),
    _xlpm.ints,   _xlfn.HSTACK(R618,U618,X618,AA618,AD618,AG618),
    _xlpm.slopes, _xlfn.HSTACK(Q618,T618,W618,Z618,AC618,AF618),
    _xlpm.limit,  -0.00001*_xlpm.slopes + 0.1086*_xlpm.slopes + 63.253,
    _xlpm.mask,   (_xlpm.vals&gt;=0) * (_xlpm.ints&lt;=_xlpm.limit),
    _xlpm.validVals, _xlfn._xlws.FILTER(_xlpm.vals, _xlpm.mask),
    _xlpm.minVal, MIN(_xlpm.validVals),
    IFERROR( _xlfn.XMATCH(_xlpm.minVal, _xlpm.vals), "" )
)</f>
        <v>1</v>
      </c>
      <c r="AJ618" cm="1">
        <f t="array" ref="AJ618">_xlfn.LET(
    _xlpm.vals, CHOOSE({1,2,3,4,5,6}, S618, V618, Y618, AB618, AE618, AH618),
    _xlpm.slopes, CHOOSE({1,2,3,4,5,6}, Q618, T618, W618, Z618, AC618, AF618),
    _xlpm.ints, CHOOSE({1,2,3,4,5,6}, R618, U618, X618, AA618, AD618, AG618),
    _xlpm.limit, -0.00001*_xlpm.slopes + 0.1086*_xlpm.slopes + 63.253,
    _xlpm.valid, (_xlpm.vals &gt;= 0) * (_xlpm.ints &lt;= _xlpm.limit),
    _xlpm.target, MIN(_xlfn._xlws.FILTER(_xlpm.vals, _xlpm.valid)),
    IFERROR(
        _xlfn.XLOOKUP(_xlpm.target, _xlpm.vals, _xlpm.vals),
        CHOOSE({1,2,3,4,5,6}, S$1, V$1, Y$1, AB$1, AE$1, AH$1)
    )
)</f>
        <v>0.34257642007112959</v>
      </c>
    </row>
    <row r="619" spans="9:36" x14ac:dyDescent="0.45">
      <c r="I619">
        <v>617</v>
      </c>
      <c r="J619">
        <v>0</v>
      </c>
      <c r="K619">
        <f t="shared" si="208"/>
        <v>0</v>
      </c>
      <c r="L619">
        <f t="shared" si="207"/>
        <v>0</v>
      </c>
      <c r="M619">
        <v>0.44</v>
      </c>
      <c r="N619">
        <f t="shared" si="209"/>
        <v>0.44</v>
      </c>
      <c r="O619">
        <f t="shared" si="210"/>
        <v>0</v>
      </c>
      <c r="P619">
        <f t="shared" si="211"/>
        <v>0</v>
      </c>
      <c r="Q619">
        <f t="shared" si="212"/>
        <v>1000</v>
      </c>
      <c r="R619">
        <f t="shared" si="213"/>
        <v>4.2016904976260374</v>
      </c>
      <c r="S619">
        <f t="shared" si="214"/>
        <v>0.34494120057447636</v>
      </c>
      <c r="T619">
        <f t="shared" si="215"/>
        <v>6000</v>
      </c>
      <c r="U619">
        <f t="shared" si="216"/>
        <v>0.70028174960433953</v>
      </c>
      <c r="V619">
        <f t="shared" si="217"/>
        <v>6.7043165198543333</v>
      </c>
      <c r="W619">
        <f t="shared" si="218"/>
        <v>6000</v>
      </c>
      <c r="X619">
        <f t="shared" si="219"/>
        <v>0.70028174960433953</v>
      </c>
      <c r="Y619">
        <f t="shared" si="220"/>
        <v>6.7043165198543333</v>
      </c>
      <c r="Z619">
        <f t="shared" si="221"/>
        <v>6000</v>
      </c>
      <c r="AA619">
        <f t="shared" si="222"/>
        <v>0.70028174960433953</v>
      </c>
      <c r="AB619">
        <f t="shared" si="223"/>
        <v>6.7043165198543333</v>
      </c>
      <c r="AC619">
        <f t="shared" si="224"/>
        <v>6000</v>
      </c>
      <c r="AD619">
        <f t="shared" si="225"/>
        <v>0.70028174960433953</v>
      </c>
      <c r="AE619">
        <f t="shared" si="226"/>
        <v>6.7043165198543333</v>
      </c>
      <c r="AF619">
        <f t="shared" si="227"/>
        <v>6000</v>
      </c>
      <c r="AG619">
        <f t="shared" si="228"/>
        <v>0.70028174960433953</v>
      </c>
      <c r="AH619">
        <f t="shared" si="229"/>
        <v>6.7043165198543333</v>
      </c>
      <c r="AI619" cm="1">
        <f t="array" ref="AI619">_xlfn.LET(
    _xlpm.vals,   _xlfn.HSTACK(S619,V619,Y619,AB619,AE619,AH619),
    _xlpm.ints,   _xlfn.HSTACK(R619,U619,X619,AA619,AD619,AG619),
    _xlpm.slopes, _xlfn.HSTACK(Q619,T619,W619,Z619,AC619,AF619),
    _xlpm.limit,  -0.00001*_xlpm.slopes + 0.1086*_xlpm.slopes + 63.253,
    _xlpm.mask,   (_xlpm.vals&gt;=0) * (_xlpm.ints&lt;=_xlpm.limit),
    _xlpm.validVals, _xlfn._xlws.FILTER(_xlpm.vals, _xlpm.mask),
    _xlpm.minVal, MIN(_xlpm.validVals),
    IFERROR( _xlfn.XMATCH(_xlpm.minVal, _xlpm.vals), "" )
)</f>
        <v>1</v>
      </c>
      <c r="AJ619" cm="1">
        <f t="array" ref="AJ619">_xlfn.LET(
    _xlpm.vals, CHOOSE({1,2,3,4,5,6}, S619, V619, Y619, AB619, AE619, AH619),
    _xlpm.slopes, CHOOSE({1,2,3,4,5,6}, Q619, T619, W619, Z619, AC619, AF619),
    _xlpm.ints, CHOOSE({1,2,3,4,5,6}, R619, U619, X619, AA619, AD619, AG619),
    _xlpm.limit, -0.00001*_xlpm.slopes + 0.1086*_xlpm.slopes + 63.253,
    _xlpm.valid, (_xlpm.vals &gt;= 0) * (_xlpm.ints &lt;= _xlpm.limit),
    _xlpm.target, MIN(_xlfn._xlws.FILTER(_xlpm.vals, _xlpm.valid)),
    IFERROR(
        _xlfn.XLOOKUP(_xlpm.target, _xlpm.vals, _xlpm.vals),
        CHOOSE({1,2,3,4,5,6}, S$1, V$1, Y$1, AB$1, AE$1, AH$1)
    )
)</f>
        <v>0.34494120057447636</v>
      </c>
    </row>
    <row r="620" spans="9:36" x14ac:dyDescent="0.45">
      <c r="I620">
        <v>618</v>
      </c>
      <c r="J620">
        <v>0</v>
      </c>
      <c r="K620">
        <f t="shared" si="208"/>
        <v>0</v>
      </c>
      <c r="L620">
        <f t="shared" si="207"/>
        <v>0</v>
      </c>
      <c r="M620">
        <v>0.47</v>
      </c>
      <c r="N620">
        <f t="shared" si="209"/>
        <v>0.47</v>
      </c>
      <c r="O620">
        <f t="shared" si="210"/>
        <v>0</v>
      </c>
      <c r="P620">
        <f t="shared" si="211"/>
        <v>0</v>
      </c>
      <c r="Q620">
        <f t="shared" si="212"/>
        <v>1000</v>
      </c>
      <c r="R620">
        <f t="shared" si="213"/>
        <v>4.4881693951914485</v>
      </c>
      <c r="S620">
        <f t="shared" si="214"/>
        <v>0.34672654038841372</v>
      </c>
      <c r="T620">
        <f t="shared" si="215"/>
        <v>6000</v>
      </c>
      <c r="U620">
        <f t="shared" si="216"/>
        <v>0.74802823253190809</v>
      </c>
      <c r="V620">
        <f t="shared" si="217"/>
        <v>6.7046140043292288</v>
      </c>
      <c r="W620">
        <f t="shared" si="218"/>
        <v>6000</v>
      </c>
      <c r="X620">
        <f t="shared" si="219"/>
        <v>0.74802823253190809</v>
      </c>
      <c r="Y620">
        <f t="shared" si="220"/>
        <v>6.7046140043292288</v>
      </c>
      <c r="Z620">
        <f t="shared" si="221"/>
        <v>6000</v>
      </c>
      <c r="AA620">
        <f t="shared" si="222"/>
        <v>0.74802823253190809</v>
      </c>
      <c r="AB620">
        <f t="shared" si="223"/>
        <v>6.7046140043292288</v>
      </c>
      <c r="AC620">
        <f t="shared" si="224"/>
        <v>6000</v>
      </c>
      <c r="AD620">
        <f t="shared" si="225"/>
        <v>0.74802823253190809</v>
      </c>
      <c r="AE620">
        <f t="shared" si="226"/>
        <v>6.7046140043292288</v>
      </c>
      <c r="AF620">
        <f t="shared" si="227"/>
        <v>6000</v>
      </c>
      <c r="AG620">
        <f t="shared" si="228"/>
        <v>0.74802823253190809</v>
      </c>
      <c r="AH620">
        <f t="shared" si="229"/>
        <v>6.7046140043292288</v>
      </c>
      <c r="AI620" cm="1">
        <f t="array" ref="AI620">_xlfn.LET(
    _xlpm.vals,   _xlfn.HSTACK(S620,V620,Y620,AB620,AE620,AH620),
    _xlpm.ints,   _xlfn.HSTACK(R620,U620,X620,AA620,AD620,AG620),
    _xlpm.slopes, _xlfn.HSTACK(Q620,T620,W620,Z620,AC620,AF620),
    _xlpm.limit,  -0.00001*_xlpm.slopes + 0.1086*_xlpm.slopes + 63.253,
    _xlpm.mask,   (_xlpm.vals&gt;=0) * (_xlpm.ints&lt;=_xlpm.limit),
    _xlpm.validVals, _xlfn._xlws.FILTER(_xlpm.vals, _xlpm.mask),
    _xlpm.minVal, MIN(_xlpm.validVals),
    IFERROR( _xlfn.XMATCH(_xlpm.minVal, _xlpm.vals), "" )
)</f>
        <v>1</v>
      </c>
      <c r="AJ620" cm="1">
        <f t="array" ref="AJ620">_xlfn.LET(
    _xlpm.vals, CHOOSE({1,2,3,4,5,6}, S620, V620, Y620, AB620, AE620, AH620),
    _xlpm.slopes, CHOOSE({1,2,3,4,5,6}, Q620, T620, W620, Z620, AC620, AF620),
    _xlpm.ints, CHOOSE({1,2,3,4,5,6}, R620, U620, X620, AA620, AD620, AG620),
    _xlpm.limit, -0.00001*_xlpm.slopes + 0.1086*_xlpm.slopes + 63.253,
    _xlpm.valid, (_xlpm.vals &gt;= 0) * (_xlpm.ints &lt;= _xlpm.limit),
    _xlpm.target, MIN(_xlfn._xlws.FILTER(_xlpm.vals, _xlpm.valid)),
    IFERROR(
        _xlfn.XLOOKUP(_xlpm.target, _xlpm.vals, _xlpm.vals),
        CHOOSE({1,2,3,4,5,6}, S$1, V$1, Y$1, AB$1, AE$1, AH$1)
    )
)</f>
        <v>0.34672654038841372</v>
      </c>
    </row>
    <row r="621" spans="9:36" x14ac:dyDescent="0.45">
      <c r="I621">
        <v>619</v>
      </c>
      <c r="J621">
        <v>0</v>
      </c>
      <c r="K621">
        <f t="shared" si="208"/>
        <v>0</v>
      </c>
      <c r="L621">
        <f t="shared" si="207"/>
        <v>0</v>
      </c>
      <c r="M621">
        <v>0.68</v>
      </c>
      <c r="N621">
        <f t="shared" si="209"/>
        <v>0.68</v>
      </c>
      <c r="O621">
        <f t="shared" si="210"/>
        <v>0</v>
      </c>
      <c r="P621">
        <f t="shared" si="211"/>
        <v>0</v>
      </c>
      <c r="Q621">
        <f t="shared" si="212"/>
        <v>1000</v>
      </c>
      <c r="R621">
        <f t="shared" si="213"/>
        <v>6.4935216781493308</v>
      </c>
      <c r="S621">
        <f t="shared" si="214"/>
        <v>0.35950175182790844</v>
      </c>
      <c r="T621">
        <f t="shared" si="215"/>
        <v>6000</v>
      </c>
      <c r="U621">
        <f t="shared" si="216"/>
        <v>1.0822536130248883</v>
      </c>
      <c r="V621">
        <f t="shared" si="217"/>
        <v>6.7067176447163215</v>
      </c>
      <c r="W621">
        <f t="shared" si="218"/>
        <v>6000</v>
      </c>
      <c r="X621">
        <f t="shared" si="219"/>
        <v>1.0822536130248883</v>
      </c>
      <c r="Y621">
        <f t="shared" si="220"/>
        <v>6.7067176447163215</v>
      </c>
      <c r="Z621">
        <f t="shared" si="221"/>
        <v>6000</v>
      </c>
      <c r="AA621">
        <f t="shared" si="222"/>
        <v>1.0822536130248883</v>
      </c>
      <c r="AB621">
        <f t="shared" si="223"/>
        <v>6.7067176447163215</v>
      </c>
      <c r="AC621">
        <f t="shared" si="224"/>
        <v>6000</v>
      </c>
      <c r="AD621">
        <f t="shared" si="225"/>
        <v>1.0822536130248883</v>
      </c>
      <c r="AE621">
        <f t="shared" si="226"/>
        <v>6.7067176447163215</v>
      </c>
      <c r="AF621">
        <f t="shared" si="227"/>
        <v>6000</v>
      </c>
      <c r="AG621">
        <f t="shared" si="228"/>
        <v>1.0822536130248883</v>
      </c>
      <c r="AH621">
        <f t="shared" si="229"/>
        <v>6.7067176447163215</v>
      </c>
      <c r="AI621" cm="1">
        <f t="array" ref="AI621">_xlfn.LET(
    _xlpm.vals,   _xlfn.HSTACK(S621,V621,Y621,AB621,AE621,AH621),
    _xlpm.ints,   _xlfn.HSTACK(R621,U621,X621,AA621,AD621,AG621),
    _xlpm.slopes, _xlfn.HSTACK(Q621,T621,W621,Z621,AC621,AF621),
    _xlpm.limit,  -0.00001*_xlpm.slopes + 0.1086*_xlpm.slopes + 63.253,
    _xlpm.mask,   (_xlpm.vals&gt;=0) * (_xlpm.ints&lt;=_xlpm.limit),
    _xlpm.validVals, _xlfn._xlws.FILTER(_xlpm.vals, _xlpm.mask),
    _xlpm.minVal, MIN(_xlpm.validVals),
    IFERROR( _xlfn.XMATCH(_xlpm.minVal, _xlpm.vals), "" )
)</f>
        <v>1</v>
      </c>
      <c r="AJ621" cm="1">
        <f t="array" ref="AJ621">_xlfn.LET(
    _xlpm.vals, CHOOSE({1,2,3,4,5,6}, S621, V621, Y621, AB621, AE621, AH621),
    _xlpm.slopes, CHOOSE({1,2,3,4,5,6}, Q621, T621, W621, Z621, AC621, AF621),
    _xlpm.ints, CHOOSE({1,2,3,4,5,6}, R621, U621, X621, AA621, AD621, AG621),
    _xlpm.limit, -0.00001*_xlpm.slopes + 0.1086*_xlpm.slopes + 63.253,
    _xlpm.valid, (_xlpm.vals &gt;= 0) * (_xlpm.ints &lt;= _xlpm.limit),
    _xlpm.target, MIN(_xlfn._xlws.FILTER(_xlpm.vals, _xlpm.valid)),
    IFERROR(
        _xlfn.XLOOKUP(_xlpm.target, _xlpm.vals, _xlpm.vals),
        CHOOSE({1,2,3,4,5,6}, S$1, V$1, Y$1, AB$1, AE$1, AH$1)
    )
)</f>
        <v>0.35950175182790844</v>
      </c>
    </row>
    <row r="622" spans="9:36" x14ac:dyDescent="0.45">
      <c r="I622">
        <v>620</v>
      </c>
      <c r="J622">
        <v>0.5</v>
      </c>
      <c r="K622">
        <f t="shared" si="208"/>
        <v>0.5</v>
      </c>
      <c r="L622">
        <f t="shared" si="207"/>
        <v>1.3888888888888889E-4</v>
      </c>
      <c r="M622">
        <v>0.28999999999999998</v>
      </c>
      <c r="N622">
        <f t="shared" si="209"/>
        <v>0.28999999999999998</v>
      </c>
      <c r="O622">
        <f t="shared" si="210"/>
        <v>6.4975913935891221</v>
      </c>
      <c r="P622">
        <f t="shared" si="211"/>
        <v>20.792292459485193</v>
      </c>
      <c r="Q622">
        <f t="shared" si="212"/>
        <v>1000</v>
      </c>
      <c r="R622">
        <f t="shared" si="213"/>
        <v>2.7692960097989792</v>
      </c>
      <c r="S622">
        <f t="shared" si="214"/>
        <v>0.33616652941935438</v>
      </c>
      <c r="T622">
        <f t="shared" si="215"/>
        <v>6000</v>
      </c>
      <c r="U622">
        <f t="shared" si="216"/>
        <v>0.46154933496649647</v>
      </c>
      <c r="V622">
        <f t="shared" si="217"/>
        <v>6.7028404956700021</v>
      </c>
      <c r="W622">
        <f t="shared" si="218"/>
        <v>6000</v>
      </c>
      <c r="X622">
        <f t="shared" si="219"/>
        <v>0.46154933496649647</v>
      </c>
      <c r="Y622">
        <f t="shared" si="220"/>
        <v>6.7028404956700021</v>
      </c>
      <c r="Z622">
        <f t="shared" si="221"/>
        <v>6000</v>
      </c>
      <c r="AA622">
        <f t="shared" si="222"/>
        <v>0.46154933496649647</v>
      </c>
      <c r="AB622">
        <f t="shared" si="223"/>
        <v>6.7028404956700021</v>
      </c>
      <c r="AC622">
        <f t="shared" si="224"/>
        <v>6000</v>
      </c>
      <c r="AD622">
        <f t="shared" si="225"/>
        <v>0.46154933496649647</v>
      </c>
      <c r="AE622">
        <f t="shared" si="226"/>
        <v>6.7028404956700021</v>
      </c>
      <c r="AF622">
        <f t="shared" si="227"/>
        <v>6000</v>
      </c>
      <c r="AG622">
        <f t="shared" si="228"/>
        <v>0.46154933496649647</v>
      </c>
      <c r="AH622">
        <f t="shared" si="229"/>
        <v>6.7028404956700021</v>
      </c>
      <c r="AI622" cm="1">
        <f t="array" ref="AI622">_xlfn.LET(
    _xlpm.vals,   _xlfn.HSTACK(S622,V622,Y622,AB622,AE622,AH622),
    _xlpm.ints,   _xlfn.HSTACK(R622,U622,X622,AA622,AD622,AG622),
    _xlpm.slopes, _xlfn.HSTACK(Q622,T622,W622,Z622,AC622,AF622),
    _xlpm.limit,  -0.00001*_xlpm.slopes + 0.1086*_xlpm.slopes + 63.253,
    _xlpm.mask,   (_xlpm.vals&gt;=0) * (_xlpm.ints&lt;=_xlpm.limit),
    _xlpm.validVals, _xlfn._xlws.FILTER(_xlpm.vals, _xlpm.mask),
    _xlpm.minVal, MIN(_xlpm.validVals),
    IFERROR( _xlfn.XMATCH(_xlpm.minVal, _xlpm.vals), "" )
)</f>
        <v>1</v>
      </c>
      <c r="AJ622" cm="1">
        <f t="array" ref="AJ622">_xlfn.LET(
    _xlpm.vals, CHOOSE({1,2,3,4,5,6}, S622, V622, Y622, AB622, AE622, AH622),
    _xlpm.slopes, CHOOSE({1,2,3,4,5,6}, Q622, T622, W622, Z622, AC622, AF622),
    _xlpm.ints, CHOOSE({1,2,3,4,5,6}, R622, U622, X622, AA622, AD622, AG622),
    _xlpm.limit, -0.00001*_xlpm.slopes + 0.1086*_xlpm.slopes + 63.253,
    _xlpm.valid, (_xlpm.vals &gt;= 0) * (_xlpm.ints &lt;= _xlpm.limit),
    _xlpm.target, MIN(_xlfn._xlws.FILTER(_xlpm.vals, _xlpm.valid)),
    IFERROR(
        _xlfn.XLOOKUP(_xlpm.target, _xlpm.vals, _xlpm.vals),
        CHOOSE({1,2,3,4,5,6}, S$1, V$1, Y$1, AB$1, AE$1, AH$1)
    )
)</f>
        <v>0.33616652941935438</v>
      </c>
    </row>
    <row r="623" spans="9:36" x14ac:dyDescent="0.45">
      <c r="I623">
        <v>621</v>
      </c>
      <c r="J623">
        <v>1.8</v>
      </c>
      <c r="K623">
        <f t="shared" si="208"/>
        <v>1.8</v>
      </c>
      <c r="L623">
        <f t="shared" si="207"/>
        <v>5.0000000000000001E-4</v>
      </c>
      <c r="M623">
        <v>1.38</v>
      </c>
      <c r="N623">
        <f t="shared" si="209"/>
        <v>1.38</v>
      </c>
      <c r="O623">
        <f t="shared" si="210"/>
        <v>23.391329016920842</v>
      </c>
      <c r="P623">
        <f t="shared" si="211"/>
        <v>74.852252854146698</v>
      </c>
      <c r="Q623">
        <f t="shared" si="212"/>
        <v>1000</v>
      </c>
      <c r="R623">
        <f t="shared" si="213"/>
        <v>13.178029288008934</v>
      </c>
      <c r="S623">
        <f t="shared" si="214"/>
        <v>0.40541595027799171</v>
      </c>
      <c r="T623">
        <f t="shared" si="215"/>
        <v>6000</v>
      </c>
      <c r="U623">
        <f t="shared" si="216"/>
        <v>2.1963382146681556</v>
      </c>
      <c r="V623">
        <f t="shared" si="217"/>
        <v>6.7139975043615712</v>
      </c>
      <c r="W623">
        <f t="shared" si="218"/>
        <v>6000</v>
      </c>
      <c r="X623">
        <f t="shared" si="219"/>
        <v>2.1963382146681556</v>
      </c>
      <c r="Y623">
        <f t="shared" si="220"/>
        <v>6.7139975043615712</v>
      </c>
      <c r="Z623">
        <f t="shared" si="221"/>
        <v>6000</v>
      </c>
      <c r="AA623">
        <f t="shared" si="222"/>
        <v>2.1963382146681556</v>
      </c>
      <c r="AB623">
        <f t="shared" si="223"/>
        <v>6.7139975043615712</v>
      </c>
      <c r="AC623">
        <f t="shared" si="224"/>
        <v>6000</v>
      </c>
      <c r="AD623">
        <f t="shared" si="225"/>
        <v>2.1963382146681556</v>
      </c>
      <c r="AE623">
        <f t="shared" si="226"/>
        <v>6.7139975043615712</v>
      </c>
      <c r="AF623">
        <f t="shared" si="227"/>
        <v>6000</v>
      </c>
      <c r="AG623">
        <f t="shared" si="228"/>
        <v>2.1963382146681556</v>
      </c>
      <c r="AH623">
        <f t="shared" si="229"/>
        <v>6.7139975043615712</v>
      </c>
      <c r="AI623" cm="1">
        <f t="array" ref="AI623">_xlfn.LET(
    _xlpm.vals,   _xlfn.HSTACK(S623,V623,Y623,AB623,AE623,AH623),
    _xlpm.ints,   _xlfn.HSTACK(R623,U623,X623,AA623,AD623,AG623),
    _xlpm.slopes, _xlfn.HSTACK(Q623,T623,W623,Z623,AC623,AF623),
    _xlpm.limit,  -0.00001*_xlpm.slopes + 0.1086*_xlpm.slopes + 63.253,
    _xlpm.mask,   (_xlpm.vals&gt;=0) * (_xlpm.ints&lt;=_xlpm.limit),
    _xlpm.validVals, _xlfn._xlws.FILTER(_xlpm.vals, _xlpm.mask),
    _xlpm.minVal, MIN(_xlpm.validVals),
    IFERROR( _xlfn.XMATCH(_xlpm.minVal, _xlpm.vals), "" )
)</f>
        <v>1</v>
      </c>
      <c r="AJ623" cm="1">
        <f t="array" ref="AJ623">_xlfn.LET(
    _xlpm.vals, CHOOSE({1,2,3,4,5,6}, S623, V623, Y623, AB623, AE623, AH623),
    _xlpm.slopes, CHOOSE({1,2,3,4,5,6}, Q623, T623, W623, Z623, AC623, AF623),
    _xlpm.ints, CHOOSE({1,2,3,4,5,6}, R623, U623, X623, AA623, AD623, AG623),
    _xlpm.limit, -0.00001*_xlpm.slopes + 0.1086*_xlpm.slopes + 63.253,
    _xlpm.valid, (_xlpm.vals &gt;= 0) * (_xlpm.ints &lt;= _xlpm.limit),
    _xlpm.target, MIN(_xlfn._xlws.FILTER(_xlpm.vals, _xlpm.valid)),
    IFERROR(
        _xlfn.XLOOKUP(_xlpm.target, _xlpm.vals, _xlpm.vals),
        CHOOSE({1,2,3,4,5,6}, S$1, V$1, Y$1, AB$1, AE$1, AH$1)
    )
)</f>
        <v>0.40541595027799171</v>
      </c>
    </row>
    <row r="624" spans="9:36" x14ac:dyDescent="0.45">
      <c r="I624">
        <v>622</v>
      </c>
      <c r="J624">
        <v>4.9000000000000004</v>
      </c>
      <c r="K624">
        <f t="shared" si="208"/>
        <v>4.9000000000000004</v>
      </c>
      <c r="L624">
        <f t="shared" si="207"/>
        <v>1.3611111111111111E-3</v>
      </c>
      <c r="M624">
        <v>6.49</v>
      </c>
      <c r="N624">
        <f t="shared" si="209"/>
        <v>6.49</v>
      </c>
      <c r="O624">
        <f t="shared" si="210"/>
        <v>63.676395657173394</v>
      </c>
      <c r="P624">
        <f t="shared" si="211"/>
        <v>203.76446610295488</v>
      </c>
      <c r="Q624">
        <f t="shared" si="212"/>
        <v>1000</v>
      </c>
      <c r="R624">
        <f t="shared" si="213"/>
        <v>61.974934839984051</v>
      </c>
      <c r="S624">
        <f t="shared" si="214"/>
        <v>0.84167389628737688</v>
      </c>
      <c r="T624">
        <f t="shared" si="215"/>
        <v>6000</v>
      </c>
      <c r="U624">
        <f t="shared" si="216"/>
        <v>10.329155806664009</v>
      </c>
      <c r="V624">
        <f t="shared" si="217"/>
        <v>6.779367938210755</v>
      </c>
      <c r="W624">
        <f t="shared" si="218"/>
        <v>6000</v>
      </c>
      <c r="X624">
        <f t="shared" si="219"/>
        <v>10.329155806664009</v>
      </c>
      <c r="Y624">
        <f t="shared" si="220"/>
        <v>6.779367938210755</v>
      </c>
      <c r="Z624">
        <f t="shared" si="221"/>
        <v>6000</v>
      </c>
      <c r="AA624">
        <f t="shared" si="222"/>
        <v>10.329155806664009</v>
      </c>
      <c r="AB624">
        <f t="shared" si="223"/>
        <v>6.779367938210755</v>
      </c>
      <c r="AC624">
        <f t="shared" si="224"/>
        <v>6000</v>
      </c>
      <c r="AD624">
        <f t="shared" si="225"/>
        <v>10.329155806664009</v>
      </c>
      <c r="AE624">
        <f t="shared" si="226"/>
        <v>6.779367938210755</v>
      </c>
      <c r="AF624">
        <f t="shared" si="227"/>
        <v>6000</v>
      </c>
      <c r="AG624">
        <f t="shared" si="228"/>
        <v>10.329155806664009</v>
      </c>
      <c r="AH624">
        <f t="shared" si="229"/>
        <v>6.779367938210755</v>
      </c>
      <c r="AI624" cm="1">
        <f t="array" ref="AI624">_xlfn.LET(
    _xlpm.vals,   _xlfn.HSTACK(S624,V624,Y624,AB624,AE624,AH624),
    _xlpm.ints,   _xlfn.HSTACK(R624,U624,X624,AA624,AD624,AG624),
    _xlpm.slopes, _xlfn.HSTACK(Q624,T624,W624,Z624,AC624,AF624),
    _xlpm.limit,  -0.00001*_xlpm.slopes + 0.1086*_xlpm.slopes + 63.253,
    _xlpm.mask,   (_xlpm.vals&gt;=0) * (_xlpm.ints&lt;=_xlpm.limit),
    _xlpm.validVals, _xlfn._xlws.FILTER(_xlpm.vals, _xlpm.mask),
    _xlpm.minVal, MIN(_xlpm.validVals),
    IFERROR( _xlfn.XMATCH(_xlpm.minVal, _xlpm.vals), "" )
)</f>
        <v>1</v>
      </c>
      <c r="AJ624" cm="1">
        <f t="array" ref="AJ624">_xlfn.LET(
    _xlpm.vals, CHOOSE({1,2,3,4,5,6}, S624, V624, Y624, AB624, AE624, AH624),
    _xlpm.slopes, CHOOSE({1,2,3,4,5,6}, Q624, T624, W624, Z624, AC624, AF624),
    _xlpm.ints, CHOOSE({1,2,3,4,5,6}, R624, U624, X624, AA624, AD624, AG624),
    _xlpm.limit, -0.00001*_xlpm.slopes + 0.1086*_xlpm.slopes + 63.253,
    _xlpm.valid, (_xlpm.vals &gt;= 0) * (_xlpm.ints &lt;= _xlpm.limit),
    _xlpm.target, MIN(_xlfn._xlws.FILTER(_xlpm.vals, _xlpm.valid)),
    IFERROR(
        _xlfn.XLOOKUP(_xlpm.target, _xlpm.vals, _xlpm.vals),
        CHOOSE({1,2,3,4,5,6}, S$1, V$1, Y$1, AB$1, AE$1, AH$1)
    )
)</f>
        <v>0.84167389628737688</v>
      </c>
    </row>
    <row r="625" spans="9:36" x14ac:dyDescent="0.45">
      <c r="I625">
        <v>623</v>
      </c>
      <c r="J625">
        <v>8</v>
      </c>
      <c r="K625">
        <f t="shared" si="208"/>
        <v>8</v>
      </c>
      <c r="L625">
        <f t="shared" si="207"/>
        <v>2.2222222222222222E-3</v>
      </c>
      <c r="M625">
        <v>9.26</v>
      </c>
      <c r="N625">
        <f t="shared" si="209"/>
        <v>9.26</v>
      </c>
      <c r="O625">
        <f t="shared" si="210"/>
        <v>103.96146229742595</v>
      </c>
      <c r="P625">
        <f t="shared" si="211"/>
        <v>332.67667935176308</v>
      </c>
      <c r="Q625">
        <f t="shared" si="212"/>
        <v>1523.659191431075</v>
      </c>
      <c r="R625">
        <f t="shared" si="213"/>
        <v>58.035607227101579</v>
      </c>
      <c r="S625">
        <f t="shared" si="214"/>
        <v>1.1188064848831405</v>
      </c>
      <c r="T625">
        <f t="shared" si="215"/>
        <v>6000</v>
      </c>
      <c r="U625">
        <f t="shared" si="216"/>
        <v>14.737747730309509</v>
      </c>
      <c r="V625">
        <f t="shared" si="217"/>
        <v>6.8235306955762685</v>
      </c>
      <c r="W625">
        <f t="shared" si="218"/>
        <v>6000</v>
      </c>
      <c r="X625">
        <f t="shared" si="219"/>
        <v>14.737747730309509</v>
      </c>
      <c r="Y625">
        <f t="shared" si="220"/>
        <v>6.8235306955762685</v>
      </c>
      <c r="Z625">
        <f t="shared" si="221"/>
        <v>6000</v>
      </c>
      <c r="AA625">
        <f t="shared" si="222"/>
        <v>14.737747730309509</v>
      </c>
      <c r="AB625">
        <f t="shared" si="223"/>
        <v>6.8235306955762685</v>
      </c>
      <c r="AC625">
        <f t="shared" si="224"/>
        <v>6000</v>
      </c>
      <c r="AD625">
        <f t="shared" si="225"/>
        <v>14.737747730309509</v>
      </c>
      <c r="AE625">
        <f t="shared" si="226"/>
        <v>6.8235306955762685</v>
      </c>
      <c r="AF625">
        <f t="shared" si="227"/>
        <v>6000</v>
      </c>
      <c r="AG625">
        <f t="shared" si="228"/>
        <v>14.737747730309509</v>
      </c>
      <c r="AH625">
        <f t="shared" si="229"/>
        <v>6.8235306955762685</v>
      </c>
      <c r="AI625" cm="1">
        <f t="array" ref="AI625">_xlfn.LET(
    _xlpm.vals,   _xlfn.HSTACK(S625,V625,Y625,AB625,AE625,AH625),
    _xlpm.ints,   _xlfn.HSTACK(R625,U625,X625,AA625,AD625,AG625),
    _xlpm.slopes, _xlfn.HSTACK(Q625,T625,W625,Z625,AC625,AF625),
    _xlpm.limit,  -0.00001*_xlpm.slopes + 0.1086*_xlpm.slopes + 63.253,
    _xlpm.mask,   (_xlpm.vals&gt;=0) * (_xlpm.ints&lt;=_xlpm.limit),
    _xlpm.validVals, _xlfn._xlws.FILTER(_xlpm.vals, _xlpm.mask),
    _xlpm.minVal, MIN(_xlpm.validVals),
    IFERROR( _xlfn.XMATCH(_xlpm.minVal, _xlpm.vals), "" )
)</f>
        <v>1</v>
      </c>
      <c r="AJ625" cm="1">
        <f t="array" ref="AJ625">_xlfn.LET(
    _xlpm.vals, CHOOSE({1,2,3,4,5,6}, S625, V625, Y625, AB625, AE625, AH625),
    _xlpm.slopes, CHOOSE({1,2,3,4,5,6}, Q625, T625, W625, Z625, AC625, AF625),
    _xlpm.ints, CHOOSE({1,2,3,4,5,6}, R625, U625, X625, AA625, AD625, AG625),
    _xlpm.limit, -0.00001*_xlpm.slopes + 0.1086*_xlpm.slopes + 63.253,
    _xlpm.valid, (_xlpm.vals &gt;= 0) * (_xlpm.ints &lt;= _xlpm.limit),
    _xlpm.target, MIN(_xlfn._xlws.FILTER(_xlpm.vals, _xlpm.valid)),
    IFERROR(
        _xlfn.XLOOKUP(_xlpm.target, _xlpm.vals, _xlpm.vals),
        CHOOSE({1,2,3,4,5,6}, S$1, V$1, Y$1, AB$1, AE$1, AH$1)
    )
)</f>
        <v>1.1188064848831405</v>
      </c>
    </row>
    <row r="626" spans="9:36" x14ac:dyDescent="0.45">
      <c r="I626">
        <v>624</v>
      </c>
      <c r="J626">
        <v>10.4</v>
      </c>
      <c r="K626">
        <f t="shared" si="208"/>
        <v>10.4</v>
      </c>
      <c r="L626">
        <f t="shared" si="207"/>
        <v>2.8888888888888892E-3</v>
      </c>
      <c r="M626">
        <v>7.71</v>
      </c>
      <c r="N626">
        <f t="shared" si="209"/>
        <v>7.71</v>
      </c>
      <c r="O626">
        <f t="shared" si="210"/>
        <v>135.14990098665376</v>
      </c>
      <c r="P626">
        <f t="shared" si="211"/>
        <v>432.47968315729207</v>
      </c>
      <c r="Q626">
        <f t="shared" si="212"/>
        <v>1980.7569488603976</v>
      </c>
      <c r="R626">
        <f t="shared" si="213"/>
        <v>37.170172098434392</v>
      </c>
      <c r="S626">
        <f t="shared" si="214"/>
        <v>1.0313806716257179</v>
      </c>
      <c r="T626">
        <f t="shared" si="215"/>
        <v>1280.1398621455846</v>
      </c>
      <c r="U626">
        <f t="shared" si="216"/>
        <v>57.513306827982937</v>
      </c>
      <c r="V626">
        <f t="shared" si="217"/>
        <v>0.96970064958875857</v>
      </c>
      <c r="W626">
        <f t="shared" si="218"/>
        <v>6000</v>
      </c>
      <c r="X626">
        <f t="shared" si="219"/>
        <v>12.270846112385131</v>
      </c>
      <c r="Y626">
        <f t="shared" si="220"/>
        <v>6.7980794054857387</v>
      </c>
      <c r="Z626">
        <f t="shared" si="221"/>
        <v>6000</v>
      </c>
      <c r="AA626">
        <f t="shared" si="222"/>
        <v>12.270846112385131</v>
      </c>
      <c r="AB626">
        <f t="shared" si="223"/>
        <v>6.7980794054857387</v>
      </c>
      <c r="AC626">
        <f t="shared" si="224"/>
        <v>6000</v>
      </c>
      <c r="AD626">
        <f t="shared" si="225"/>
        <v>12.270846112385131</v>
      </c>
      <c r="AE626">
        <f t="shared" si="226"/>
        <v>6.7980794054857387</v>
      </c>
      <c r="AF626">
        <f t="shared" si="227"/>
        <v>6000</v>
      </c>
      <c r="AG626">
        <f t="shared" si="228"/>
        <v>12.270846112385131</v>
      </c>
      <c r="AH626">
        <f t="shared" si="229"/>
        <v>6.7980794054857387</v>
      </c>
      <c r="AI626" cm="1">
        <f t="array" ref="AI626">_xlfn.LET(
    _xlpm.vals,   _xlfn.HSTACK(S626,V626,Y626,AB626,AE626,AH626),
    _xlpm.ints,   _xlfn.HSTACK(R626,U626,X626,AA626,AD626,AG626),
    _xlpm.slopes, _xlfn.HSTACK(Q626,T626,W626,Z626,AC626,AF626),
    _xlpm.limit,  -0.00001*_xlpm.slopes + 0.1086*_xlpm.slopes + 63.253,
    _xlpm.mask,   (_xlpm.vals&gt;=0) * (_xlpm.ints&lt;=_xlpm.limit),
    _xlpm.validVals, _xlfn._xlws.FILTER(_xlpm.vals, _xlpm.mask),
    _xlpm.minVal, MIN(_xlpm.validVals),
    IFERROR( _xlfn.XMATCH(_xlpm.minVal, _xlpm.vals), "" )
)</f>
        <v>2</v>
      </c>
      <c r="AJ626" cm="1">
        <f t="array" ref="AJ626">_xlfn.LET(
    _xlpm.vals, CHOOSE({1,2,3,4,5,6}, S626, V626, Y626, AB626, AE626, AH626),
    _xlpm.slopes, CHOOSE({1,2,3,4,5,6}, Q626, T626, W626, Z626, AC626, AF626),
    _xlpm.ints, CHOOSE({1,2,3,4,5,6}, R626, U626, X626, AA626, AD626, AG626),
    _xlpm.limit, -0.00001*_xlpm.slopes + 0.1086*_xlpm.slopes + 63.253,
    _xlpm.valid, (_xlpm.vals &gt;= 0) * (_xlpm.ints &lt;= _xlpm.limit),
    _xlpm.target, MIN(_xlfn._xlws.FILTER(_xlpm.vals, _xlpm.valid)),
    IFERROR(
        _xlfn.XLOOKUP(_xlpm.target, _xlpm.vals, _xlpm.vals),
        CHOOSE({1,2,3,4,5,6}, S$1, V$1, Y$1, AB$1, AE$1, AH$1)
    )
)</f>
        <v>0.96970064958875857</v>
      </c>
    </row>
    <row r="627" spans="9:36" x14ac:dyDescent="0.45">
      <c r="I627">
        <v>625</v>
      </c>
      <c r="J627">
        <v>12.4</v>
      </c>
      <c r="K627">
        <f t="shared" si="208"/>
        <v>12.4</v>
      </c>
      <c r="L627">
        <f t="shared" si="207"/>
        <v>3.4444444444444444E-3</v>
      </c>
      <c r="M627">
        <v>12.79</v>
      </c>
      <c r="N627">
        <f t="shared" si="209"/>
        <v>12.79</v>
      </c>
      <c r="O627">
        <f t="shared" si="210"/>
        <v>161.14026656101024</v>
      </c>
      <c r="P627">
        <f t="shared" si="211"/>
        <v>515.6488529952328</v>
      </c>
      <c r="Q627">
        <f t="shared" si="212"/>
        <v>2361.6717467181661</v>
      </c>
      <c r="R627">
        <f t="shared" si="213"/>
        <v>51.715698211846252</v>
      </c>
      <c r="S627">
        <f t="shared" si="214"/>
        <v>1.4906004909154549</v>
      </c>
      <c r="T627">
        <f t="shared" si="215"/>
        <v>1526.320604865889</v>
      </c>
      <c r="U627">
        <f t="shared" si="216"/>
        <v>80.019560071032387</v>
      </c>
      <c r="V627">
        <f t="shared" si="217"/>
        <v>1.437612423620102</v>
      </c>
      <c r="W627">
        <f t="shared" si="218"/>
        <v>6000</v>
      </c>
      <c r="X627">
        <f t="shared" si="219"/>
        <v>20.355917221453414</v>
      </c>
      <c r="Y627">
        <f t="shared" si="220"/>
        <v>6.8883461505141623</v>
      </c>
      <c r="Z627">
        <f t="shared" si="221"/>
        <v>6000</v>
      </c>
      <c r="AA627">
        <f t="shared" si="222"/>
        <v>20.355917221453414</v>
      </c>
      <c r="AB627">
        <f t="shared" si="223"/>
        <v>6.8883461505141623</v>
      </c>
      <c r="AC627">
        <f t="shared" si="224"/>
        <v>6000</v>
      </c>
      <c r="AD627">
        <f t="shared" si="225"/>
        <v>20.355917221453414</v>
      </c>
      <c r="AE627">
        <f t="shared" si="226"/>
        <v>6.8883461505141623</v>
      </c>
      <c r="AF627">
        <f t="shared" si="227"/>
        <v>6000</v>
      </c>
      <c r="AG627">
        <f t="shared" si="228"/>
        <v>20.355917221453414</v>
      </c>
      <c r="AH627">
        <f t="shared" si="229"/>
        <v>6.8883461505141623</v>
      </c>
      <c r="AI627" cm="1">
        <f t="array" ref="AI627">_xlfn.LET(
    _xlpm.vals,   _xlfn.HSTACK(S627,V627,Y627,AB627,AE627,AH627),
    _xlpm.ints,   _xlfn.HSTACK(R627,U627,X627,AA627,AD627,AG627),
    _xlpm.slopes, _xlfn.HSTACK(Q627,T627,W627,Z627,AC627,AF627),
    _xlpm.limit,  -0.00001*_xlpm.slopes + 0.1086*_xlpm.slopes + 63.253,
    _xlpm.mask,   (_xlpm.vals&gt;=0) * (_xlpm.ints&lt;=_xlpm.limit),
    _xlpm.validVals, _xlfn._xlws.FILTER(_xlpm.vals, _xlpm.mask),
    _xlpm.minVal, MIN(_xlpm.validVals),
    IFERROR( _xlfn.XMATCH(_xlpm.minVal, _xlpm.vals), "" )
)</f>
        <v>2</v>
      </c>
      <c r="AJ627" cm="1">
        <f t="array" ref="AJ627">_xlfn.LET(
    _xlpm.vals, CHOOSE({1,2,3,4,5,6}, S627, V627, Y627, AB627, AE627, AH627),
    _xlpm.slopes, CHOOSE({1,2,3,4,5,6}, Q627, T627, W627, Z627, AC627, AF627),
    _xlpm.ints, CHOOSE({1,2,3,4,5,6}, R627, U627, X627, AA627, AD627, AG627),
    _xlpm.limit, -0.00001*_xlpm.slopes + 0.1086*_xlpm.slopes + 63.253,
    _xlpm.valid, (_xlpm.vals &gt;= 0) * (_xlpm.ints &lt;= _xlpm.limit),
    _xlpm.target, MIN(_xlfn._xlws.FILTER(_xlpm.vals, _xlpm.valid)),
    IFERROR(
        _xlfn.XLOOKUP(_xlpm.target, _xlpm.vals, _xlpm.vals),
        CHOOSE({1,2,3,4,5,6}, S$1, V$1, Y$1, AB$1, AE$1, AH$1)
    )
)</f>
        <v>1.437612423620102</v>
      </c>
    </row>
    <row r="628" spans="9:36" x14ac:dyDescent="0.45">
      <c r="I628">
        <v>626</v>
      </c>
      <c r="J628">
        <v>14.3</v>
      </c>
      <c r="K628">
        <f t="shared" si="208"/>
        <v>14.3</v>
      </c>
      <c r="L628">
        <f t="shared" si="207"/>
        <v>3.9722222222222225E-3</v>
      </c>
      <c r="M628">
        <v>13.5</v>
      </c>
      <c r="N628">
        <f t="shared" si="209"/>
        <v>13.5</v>
      </c>
      <c r="O628">
        <f t="shared" si="210"/>
        <v>185.8311138566489</v>
      </c>
      <c r="P628">
        <f t="shared" si="211"/>
        <v>594.65956434127645</v>
      </c>
      <c r="Q628">
        <f t="shared" si="212"/>
        <v>2723.5408046830462</v>
      </c>
      <c r="R628">
        <f t="shared" si="213"/>
        <v>47.333788310705287</v>
      </c>
      <c r="S628">
        <f t="shared" si="214"/>
        <v>1.6343299947116401</v>
      </c>
      <c r="T628">
        <f t="shared" si="215"/>
        <v>1760.1923104501782</v>
      </c>
      <c r="U628">
        <f t="shared" si="216"/>
        <v>73.239442723996689</v>
      </c>
      <c r="V628">
        <f t="shared" si="217"/>
        <v>1.5013345871103592</v>
      </c>
      <c r="W628">
        <f t="shared" si="218"/>
        <v>1135.799767891838</v>
      </c>
      <c r="X628">
        <f t="shared" si="219"/>
        <v>113.50196359320952</v>
      </c>
      <c r="Y628">
        <f t="shared" si="220"/>
        <v>1.4646453520264493</v>
      </c>
      <c r="Z628">
        <f t="shared" si="221"/>
        <v>6000</v>
      </c>
      <c r="AA628">
        <f t="shared" si="222"/>
        <v>21.485917317405871</v>
      </c>
      <c r="AB628">
        <f t="shared" si="223"/>
        <v>6.9025085601422038</v>
      </c>
      <c r="AC628">
        <f t="shared" si="224"/>
        <v>6000</v>
      </c>
      <c r="AD628">
        <f t="shared" si="225"/>
        <v>21.485917317405871</v>
      </c>
      <c r="AE628">
        <f t="shared" si="226"/>
        <v>6.9025085601422038</v>
      </c>
      <c r="AF628">
        <f t="shared" si="227"/>
        <v>6000</v>
      </c>
      <c r="AG628">
        <f t="shared" si="228"/>
        <v>21.485917317405871</v>
      </c>
      <c r="AH628">
        <f t="shared" si="229"/>
        <v>6.9025085601422038</v>
      </c>
      <c r="AI628" cm="1">
        <f t="array" ref="AI628">_xlfn.LET(
    _xlpm.vals,   _xlfn.HSTACK(S628,V628,Y628,AB628,AE628,AH628),
    _xlpm.ints,   _xlfn.HSTACK(R628,U628,X628,AA628,AD628,AG628),
    _xlpm.slopes, _xlfn.HSTACK(Q628,T628,W628,Z628,AC628,AF628),
    _xlpm.limit,  -0.00001*_xlpm.slopes + 0.1086*_xlpm.slopes + 63.253,
    _xlpm.mask,   (_xlpm.vals&gt;=0) * (_xlpm.ints&lt;=_xlpm.limit),
    _xlpm.validVals, _xlfn._xlws.FILTER(_xlpm.vals, _xlpm.mask),
    _xlpm.minVal, MIN(_xlpm.validVals),
    IFERROR( _xlfn.XMATCH(_xlpm.minVal, _xlpm.vals), "" )
)</f>
        <v>3</v>
      </c>
      <c r="AJ628" cm="1">
        <f t="array" ref="AJ628">_xlfn.LET(
    _xlpm.vals, CHOOSE({1,2,3,4,5,6}, S628, V628, Y628, AB628, AE628, AH628),
    _xlpm.slopes, CHOOSE({1,2,3,4,5,6}, Q628, T628, W628, Z628, AC628, AF628),
    _xlpm.ints, CHOOSE({1,2,3,4,5,6}, R628, U628, X628, AA628, AD628, AG628),
    _xlpm.limit, -0.00001*_xlpm.slopes + 0.1086*_xlpm.slopes + 63.253,
    _xlpm.valid, (_xlpm.vals &gt;= 0) * (_xlpm.ints &lt;= _xlpm.limit),
    _xlpm.target, MIN(_xlfn._xlws.FILTER(_xlpm.vals, _xlpm.valid)),
    IFERROR(
        _xlfn.XLOOKUP(_xlpm.target, _xlpm.vals, _xlpm.vals),
        CHOOSE({1,2,3,4,5,6}, S$1, V$1, Y$1, AB$1, AE$1, AH$1)
    )
)</f>
        <v>1.4646453520264493</v>
      </c>
    </row>
    <row r="629" spans="9:36" x14ac:dyDescent="0.45">
      <c r="I629">
        <v>627</v>
      </c>
      <c r="J629">
        <v>15.5</v>
      </c>
      <c r="K629">
        <f t="shared" si="208"/>
        <v>15.5</v>
      </c>
      <c r="L629">
        <f t="shared" si="207"/>
        <v>4.3055555555555555E-3</v>
      </c>
      <c r="M629">
        <v>9.77</v>
      </c>
      <c r="N629">
        <f t="shared" si="209"/>
        <v>9.77</v>
      </c>
      <c r="O629">
        <f t="shared" si="210"/>
        <v>201.42533320126282</v>
      </c>
      <c r="P629">
        <f t="shared" si="211"/>
        <v>644.56106624404106</v>
      </c>
      <c r="Q629">
        <f t="shared" si="212"/>
        <v>2952.0896833977081</v>
      </c>
      <c r="R629">
        <f t="shared" si="213"/>
        <v>31.603588524143102</v>
      </c>
      <c r="S629">
        <f t="shared" si="214"/>
        <v>1.4766890643669679</v>
      </c>
      <c r="T629">
        <f t="shared" si="215"/>
        <v>1907.9007560823616</v>
      </c>
      <c r="U629">
        <f t="shared" si="216"/>
        <v>48.900147108302505</v>
      </c>
      <c r="V629">
        <f t="shared" si="217"/>
        <v>1.1866837670956183</v>
      </c>
      <c r="W629">
        <f t="shared" si="218"/>
        <v>1231.1116365261184</v>
      </c>
      <c r="X629">
        <f t="shared" si="219"/>
        <v>75.782426932238437</v>
      </c>
      <c r="Y629">
        <f t="shared" si="220"/>
        <v>1.1580258899838005</v>
      </c>
      <c r="Z629">
        <f t="shared" si="221"/>
        <v>6000</v>
      </c>
      <c r="AA629">
        <f t="shared" si="222"/>
        <v>15.549437940078175</v>
      </c>
      <c r="AB629">
        <f t="shared" si="223"/>
        <v>6.832310886879287</v>
      </c>
      <c r="AC629">
        <f t="shared" si="224"/>
        <v>6000</v>
      </c>
      <c r="AD629">
        <f t="shared" si="225"/>
        <v>15.549437940078175</v>
      </c>
      <c r="AE629">
        <f t="shared" si="226"/>
        <v>6.832310886879287</v>
      </c>
      <c r="AF629">
        <f t="shared" si="227"/>
        <v>6000</v>
      </c>
      <c r="AG629">
        <f t="shared" si="228"/>
        <v>15.549437940078175</v>
      </c>
      <c r="AH629">
        <f t="shared" si="229"/>
        <v>6.832310886879287</v>
      </c>
      <c r="AI629" cm="1">
        <f t="array" ref="AI629">_xlfn.LET(
    _xlpm.vals,   _xlfn.HSTACK(S629,V629,Y629,AB629,AE629,AH629),
    _xlpm.ints,   _xlfn.HSTACK(R629,U629,X629,AA629,AD629,AG629),
    _xlpm.slopes, _xlfn.HSTACK(Q629,T629,W629,Z629,AC629,AF629),
    _xlpm.limit,  -0.00001*_xlpm.slopes + 0.1086*_xlpm.slopes + 63.253,
    _xlpm.mask,   (_xlpm.vals&gt;=0) * (_xlpm.ints&lt;=_xlpm.limit),
    _xlpm.validVals, _xlfn._xlws.FILTER(_xlpm.vals, _xlpm.mask),
    _xlpm.minVal, MIN(_xlpm.validVals),
    IFERROR( _xlfn.XMATCH(_xlpm.minVal, _xlpm.vals), "" )
)</f>
        <v>3</v>
      </c>
      <c r="AJ629" cm="1">
        <f t="array" ref="AJ629">_xlfn.LET(
    _xlpm.vals, CHOOSE({1,2,3,4,5,6}, S629, V629, Y629, AB629, AE629, AH629),
    _xlpm.slopes, CHOOSE({1,2,3,4,5,6}, Q629, T629, W629, Z629, AC629, AF629),
    _xlpm.ints, CHOOSE({1,2,3,4,5,6}, R629, U629, X629, AA629, AD629, AG629),
    _xlpm.limit, -0.00001*_xlpm.slopes + 0.1086*_xlpm.slopes + 63.253,
    _xlpm.valid, (_xlpm.vals &gt;= 0) * (_xlpm.ints &lt;= _xlpm.limit),
    _xlpm.target, MIN(_xlfn._xlws.FILTER(_xlpm.vals, _xlpm.valid)),
    IFERROR(
        _xlfn.XLOOKUP(_xlpm.target, _xlpm.vals, _xlpm.vals),
        CHOOSE({1,2,3,4,5,6}, S$1, V$1, Y$1, AB$1, AE$1, AH$1)
    )
)</f>
        <v>1.1580258899838005</v>
      </c>
    </row>
    <row r="630" spans="9:36" x14ac:dyDescent="0.45">
      <c r="I630">
        <v>628</v>
      </c>
      <c r="J630">
        <v>17.3</v>
      </c>
      <c r="K630">
        <f t="shared" si="208"/>
        <v>17.3</v>
      </c>
      <c r="L630">
        <f t="shared" si="207"/>
        <v>4.805555555555556E-3</v>
      </c>
      <c r="M630">
        <v>14.35</v>
      </c>
      <c r="N630">
        <f t="shared" si="209"/>
        <v>14.35</v>
      </c>
      <c r="O630">
        <f t="shared" si="210"/>
        <v>224.81666221818367</v>
      </c>
      <c r="P630">
        <f t="shared" si="211"/>
        <v>719.4133190981878</v>
      </c>
      <c r="Q630">
        <f t="shared" si="212"/>
        <v>3294.9130014697002</v>
      </c>
      <c r="R630">
        <f t="shared" si="213"/>
        <v>41.589081696845533</v>
      </c>
      <c r="S630">
        <f t="shared" si="214"/>
        <v>1.9593657362675112</v>
      </c>
      <c r="T630">
        <f t="shared" si="215"/>
        <v>2129.4634245306361</v>
      </c>
      <c r="U630">
        <f t="shared" si="216"/>
        <v>64.35067370660559</v>
      </c>
      <c r="V630">
        <f t="shared" si="217"/>
        <v>1.5879889034635508</v>
      </c>
      <c r="W630">
        <f t="shared" si="218"/>
        <v>1374.0794394775387</v>
      </c>
      <c r="X630">
        <f t="shared" si="219"/>
        <v>99.726698519137457</v>
      </c>
      <c r="Y630">
        <f t="shared" si="220"/>
        <v>1.5723887721466094</v>
      </c>
      <c r="Z630">
        <f t="shared" si="221"/>
        <v>1035.9551795013904</v>
      </c>
      <c r="AA630">
        <f t="shared" si="222"/>
        <v>132.27638484135593</v>
      </c>
      <c r="AB630">
        <f t="shared" si="223"/>
        <v>1.4678830879085489</v>
      </c>
      <c r="AC630">
        <f t="shared" si="224"/>
        <v>6000</v>
      </c>
      <c r="AD630">
        <f t="shared" si="225"/>
        <v>22.838734333686983</v>
      </c>
      <c r="AE630">
        <f t="shared" si="226"/>
        <v>6.9199500114887229</v>
      </c>
      <c r="AF630">
        <f t="shared" si="227"/>
        <v>6000</v>
      </c>
      <c r="AG630">
        <f t="shared" si="228"/>
        <v>22.838734333686983</v>
      </c>
      <c r="AH630">
        <f t="shared" si="229"/>
        <v>6.9199500114887229</v>
      </c>
      <c r="AI630" cm="1">
        <f t="array" ref="AI630">_xlfn.LET(
    _xlpm.vals,   _xlfn.HSTACK(S630,V630,Y630,AB630,AE630,AH630),
    _xlpm.ints,   _xlfn.HSTACK(R630,U630,X630,AA630,AD630,AG630),
    _xlpm.slopes, _xlfn.HSTACK(Q630,T630,W630,Z630,AC630,AF630),
    _xlpm.limit,  -0.00001*_xlpm.slopes + 0.1086*_xlpm.slopes + 63.253,
    _xlpm.mask,   (_xlpm.vals&gt;=0) * (_xlpm.ints&lt;=_xlpm.limit),
    _xlpm.validVals, _xlfn._xlws.FILTER(_xlpm.vals, _xlpm.mask),
    _xlpm.minVal, MIN(_xlpm.validVals),
    IFERROR( _xlfn.XMATCH(_xlpm.minVal, _xlpm.vals), "" )
)</f>
        <v>4</v>
      </c>
      <c r="AJ630" cm="1">
        <f t="array" ref="AJ630">_xlfn.LET(
    _xlpm.vals, CHOOSE({1,2,3,4,5,6}, S630, V630, Y630, AB630, AE630, AH630),
    _xlpm.slopes, CHOOSE({1,2,3,4,5,6}, Q630, T630, W630, Z630, AC630, AF630),
    _xlpm.ints, CHOOSE({1,2,3,4,5,6}, R630, U630, X630, AA630, AD630, AG630),
    _xlpm.limit, -0.00001*_xlpm.slopes + 0.1086*_xlpm.slopes + 63.253,
    _xlpm.valid, (_xlpm.vals &gt;= 0) * (_xlpm.ints &lt;= _xlpm.limit),
    _xlpm.target, MIN(_xlfn._xlws.FILTER(_xlpm.vals, _xlpm.valid)),
    IFERROR(
        _xlfn.XLOOKUP(_xlpm.target, _xlpm.vals, _xlpm.vals),
        CHOOSE({1,2,3,4,5,6}, S$1, V$1, Y$1, AB$1, AE$1, AH$1)
    )
)</f>
        <v>1.4678830879085489</v>
      </c>
    </row>
    <row r="631" spans="9:36" x14ac:dyDescent="0.45">
      <c r="I631">
        <v>629</v>
      </c>
      <c r="J631">
        <v>19.5</v>
      </c>
      <c r="K631">
        <f t="shared" si="208"/>
        <v>19.5</v>
      </c>
      <c r="L631">
        <f t="shared" si="207"/>
        <v>5.4166666666666669E-3</v>
      </c>
      <c r="M631">
        <v>19.010000000000002</v>
      </c>
      <c r="N631">
        <f t="shared" si="209"/>
        <v>19.010000000000002</v>
      </c>
      <c r="O631">
        <f t="shared" si="210"/>
        <v>253.40606434997582</v>
      </c>
      <c r="P631">
        <f t="shared" si="211"/>
        <v>810.89940591992263</v>
      </c>
      <c r="Q631">
        <f t="shared" si="212"/>
        <v>3713.9192791132459</v>
      </c>
      <c r="R631">
        <f t="shared" si="213"/>
        <v>48.878856660007798</v>
      </c>
      <c r="S631">
        <f t="shared" si="214"/>
        <v>2.5535696716334861</v>
      </c>
      <c r="T631">
        <f t="shared" si="215"/>
        <v>2400.2622415229707</v>
      </c>
      <c r="U631">
        <f t="shared" si="216"/>
        <v>75.630122805012078</v>
      </c>
      <c r="V631">
        <f t="shared" si="217"/>
        <v>1.999355860226619</v>
      </c>
      <c r="W631">
        <f t="shared" si="218"/>
        <v>1548.8178653070522</v>
      </c>
      <c r="X631">
        <f t="shared" si="219"/>
        <v>117.20689188630143</v>
      </c>
      <c r="Y631">
        <f t="shared" si="220"/>
        <v>1.9719785969818791</v>
      </c>
      <c r="Z631">
        <f t="shared" si="221"/>
        <v>1167.6951445246884</v>
      </c>
      <c r="AA631">
        <f t="shared" si="222"/>
        <v>155.4619190991915</v>
      </c>
      <c r="AB631">
        <f t="shared" si="223"/>
        <v>1.7686066999369652</v>
      </c>
      <c r="AC631">
        <f t="shared" si="224"/>
        <v>6000</v>
      </c>
      <c r="AD631">
        <f t="shared" si="225"/>
        <v>30.255354681769305</v>
      </c>
      <c r="AE631">
        <f t="shared" si="226"/>
        <v>7.0247659534978579</v>
      </c>
      <c r="AF631">
        <f t="shared" si="227"/>
        <v>6000</v>
      </c>
      <c r="AG631">
        <f t="shared" si="228"/>
        <v>30.255354681769305</v>
      </c>
      <c r="AH631">
        <f t="shared" si="229"/>
        <v>7.0247659534978579</v>
      </c>
      <c r="AI631" cm="1">
        <f t="array" ref="AI631">_xlfn.LET(
    _xlpm.vals,   _xlfn.HSTACK(S631,V631,Y631,AB631,AE631,AH631),
    _xlpm.ints,   _xlfn.HSTACK(R631,U631,X631,AA631,AD631,AG631),
    _xlpm.slopes, _xlfn.HSTACK(Q631,T631,W631,Z631,AC631,AF631),
    _xlpm.limit,  -0.00001*_xlpm.slopes + 0.1086*_xlpm.slopes + 63.253,
    _xlpm.mask,   (_xlpm.vals&gt;=0) * (_xlpm.ints&lt;=_xlpm.limit),
    _xlpm.validVals, _xlfn._xlws.FILTER(_xlpm.vals, _xlpm.mask),
    _xlpm.minVal, MIN(_xlpm.validVals),
    IFERROR( _xlfn.XMATCH(_xlpm.minVal, _xlpm.vals), "" )
)</f>
        <v>4</v>
      </c>
      <c r="AJ631" cm="1">
        <f t="array" ref="AJ631">_xlfn.LET(
    _xlpm.vals, CHOOSE({1,2,3,4,5,6}, S631, V631, Y631, AB631, AE631, AH631),
    _xlpm.slopes, CHOOSE({1,2,3,4,5,6}, Q631, T631, W631, Z631, AC631, AF631),
    _xlpm.ints, CHOOSE({1,2,3,4,5,6}, R631, U631, X631, AA631, AD631, AG631),
    _xlpm.limit, -0.00001*_xlpm.slopes + 0.1086*_xlpm.slopes + 63.253,
    _xlpm.valid, (_xlpm.vals &gt;= 0) * (_xlpm.ints &lt;= _xlpm.limit),
    _xlpm.target, MIN(_xlfn._xlws.FILTER(_xlpm.vals, _xlpm.valid)),
    IFERROR(
        _xlfn.XLOOKUP(_xlpm.target, _xlpm.vals, _xlpm.vals),
        CHOOSE({1,2,3,4,5,6}, S$1, V$1, Y$1, AB$1, AE$1, AH$1)
    )
)</f>
        <v>1.7686066999369652</v>
      </c>
    </row>
    <row r="632" spans="9:36" x14ac:dyDescent="0.45">
      <c r="I632">
        <v>630</v>
      </c>
      <c r="J632">
        <v>20.9</v>
      </c>
      <c r="K632">
        <f t="shared" si="208"/>
        <v>20.9</v>
      </c>
      <c r="L632">
        <f t="shared" si="207"/>
        <v>5.8055555555555551E-3</v>
      </c>
      <c r="M632">
        <v>12.55</v>
      </c>
      <c r="N632">
        <f t="shared" si="209"/>
        <v>12.55</v>
      </c>
      <c r="O632">
        <f t="shared" si="210"/>
        <v>271.59932025202534</v>
      </c>
      <c r="P632">
        <f t="shared" si="211"/>
        <v>869.11782480648117</v>
      </c>
      <c r="Q632">
        <f t="shared" si="212"/>
        <v>3980.5596376136837</v>
      </c>
      <c r="R632">
        <f t="shared" si="213"/>
        <v>30.107241960590898</v>
      </c>
      <c r="S632">
        <f t="shared" si="214"/>
        <v>2.4640732902411364</v>
      </c>
      <c r="T632">
        <f t="shared" si="215"/>
        <v>2572.5887614271842</v>
      </c>
      <c r="U632">
        <f t="shared" si="216"/>
        <v>46.584854114698075</v>
      </c>
      <c r="V632">
        <f t="shared" si="217"/>
        <v>1.5200116881635051</v>
      </c>
      <c r="W632">
        <f t="shared" si="218"/>
        <v>1660.015045380379</v>
      </c>
      <c r="X632">
        <f t="shared" si="219"/>
        <v>72.19432888979388</v>
      </c>
      <c r="Y632">
        <f t="shared" si="220"/>
        <v>1.4160611701192416</v>
      </c>
      <c r="Z632">
        <f t="shared" si="221"/>
        <v>1251.5296677213328</v>
      </c>
      <c r="AA632">
        <f t="shared" si="222"/>
        <v>95.757755680212725</v>
      </c>
      <c r="AB632">
        <f t="shared" si="223"/>
        <v>1.4082952533854733</v>
      </c>
      <c r="AC632">
        <f t="shared" si="224"/>
        <v>6000</v>
      </c>
      <c r="AD632">
        <f t="shared" si="225"/>
        <v>19.973945358032864</v>
      </c>
      <c r="AE632">
        <f t="shared" si="226"/>
        <v>6.8836430761798573</v>
      </c>
      <c r="AF632">
        <f t="shared" si="227"/>
        <v>6000</v>
      </c>
      <c r="AG632">
        <f t="shared" si="228"/>
        <v>19.973945358032864</v>
      </c>
      <c r="AH632">
        <f t="shared" si="229"/>
        <v>6.8836430761798573</v>
      </c>
      <c r="AI632" cm="1">
        <f t="array" ref="AI632">_xlfn.LET(
    _xlpm.vals,   _xlfn.HSTACK(S632,V632,Y632,AB632,AE632,AH632),
    _xlpm.ints,   _xlfn.HSTACK(R632,U632,X632,AA632,AD632,AG632),
    _xlpm.slopes, _xlfn.HSTACK(Q632,T632,W632,Z632,AC632,AF632),
    _xlpm.limit,  -0.00001*_xlpm.slopes + 0.1086*_xlpm.slopes + 63.253,
    _xlpm.mask,   (_xlpm.vals&gt;=0) * (_xlpm.ints&lt;=_xlpm.limit),
    _xlpm.validVals, _xlfn._xlws.FILTER(_xlpm.vals, _xlpm.mask),
    _xlpm.minVal, MIN(_xlpm.validVals),
    IFERROR( _xlfn.XMATCH(_xlpm.minVal, _xlpm.vals), "" )
)</f>
        <v>4</v>
      </c>
      <c r="AJ632" cm="1">
        <f t="array" ref="AJ632">_xlfn.LET(
    _xlpm.vals, CHOOSE({1,2,3,4,5,6}, S632, V632, Y632, AB632, AE632, AH632),
    _xlpm.slopes, CHOOSE({1,2,3,4,5,6}, Q632, T632, W632, Z632, AC632, AF632),
    _xlpm.ints, CHOOSE({1,2,3,4,5,6}, R632, U632, X632, AA632, AD632, AG632),
    _xlpm.limit, -0.00001*_xlpm.slopes + 0.1086*_xlpm.slopes + 63.253,
    _xlpm.valid, (_xlpm.vals &gt;= 0) * (_xlpm.ints &lt;= _xlpm.limit),
    _xlpm.target, MIN(_xlfn._xlws.FILTER(_xlpm.vals, _xlpm.valid)),
    IFERROR(
        _xlfn.XLOOKUP(_xlpm.target, _xlpm.vals, _xlpm.vals),
        CHOOSE({1,2,3,4,5,6}, S$1, V$1, Y$1, AB$1, AE$1, AH$1)
    )
)</f>
        <v>1.4082952533854733</v>
      </c>
    </row>
    <row r="633" spans="9:36" x14ac:dyDescent="0.45">
      <c r="I633">
        <v>631</v>
      </c>
      <c r="J633">
        <v>22.5</v>
      </c>
      <c r="K633">
        <f t="shared" si="208"/>
        <v>22.5</v>
      </c>
      <c r="L633">
        <f t="shared" si="207"/>
        <v>6.2500000000000003E-3</v>
      </c>
      <c r="M633">
        <v>16.5</v>
      </c>
      <c r="N633">
        <f t="shared" si="209"/>
        <v>16.5</v>
      </c>
      <c r="O633">
        <f t="shared" si="210"/>
        <v>292.39161271151056</v>
      </c>
      <c r="P633">
        <f t="shared" si="211"/>
        <v>935.65316067683386</v>
      </c>
      <c r="Q633">
        <f t="shared" si="212"/>
        <v>4285.2914758998995</v>
      </c>
      <c r="R633">
        <f t="shared" si="213"/>
        <v>36.768419265550307</v>
      </c>
      <c r="S633">
        <f t="shared" si="214"/>
        <v>3.0419487492058255</v>
      </c>
      <c r="T633">
        <f t="shared" si="215"/>
        <v>2769.5333556034284</v>
      </c>
      <c r="U633">
        <f t="shared" si="216"/>
        <v>56.891675755479874</v>
      </c>
      <c r="V633">
        <f t="shared" si="217"/>
        <v>1.8693450612363358</v>
      </c>
      <c r="W633">
        <f t="shared" si="218"/>
        <v>1787.0975368927527</v>
      </c>
      <c r="X633">
        <f t="shared" si="219"/>
        <v>88.167204312157295</v>
      </c>
      <c r="Y633">
        <f t="shared" si="220"/>
        <v>1.7673981168034283</v>
      </c>
      <c r="Z633">
        <f t="shared" si="221"/>
        <v>1347.3405513746407</v>
      </c>
      <c r="AA633">
        <f t="shared" si="222"/>
        <v>116.94400016404198</v>
      </c>
      <c r="AB633">
        <f t="shared" si="223"/>
        <v>1.7425861961194928</v>
      </c>
      <c r="AC633">
        <f t="shared" si="224"/>
        <v>6000</v>
      </c>
      <c r="AD633">
        <f t="shared" si="225"/>
        <v>26.260565610162732</v>
      </c>
      <c r="AE633">
        <f t="shared" si="226"/>
        <v>6.9663993083028997</v>
      </c>
      <c r="AF633">
        <f t="shared" si="227"/>
        <v>6000</v>
      </c>
      <c r="AG633">
        <f t="shared" si="228"/>
        <v>26.260565610162732</v>
      </c>
      <c r="AH633">
        <f t="shared" si="229"/>
        <v>6.9663993083028997</v>
      </c>
      <c r="AI633" cm="1">
        <f t="array" ref="AI633">_xlfn.LET(
    _xlpm.vals,   _xlfn.HSTACK(S633,V633,Y633,AB633,AE633,AH633),
    _xlpm.ints,   _xlfn.HSTACK(R633,U633,X633,AA633,AD633,AG633),
    _xlpm.slopes, _xlfn.HSTACK(Q633,T633,W633,Z633,AC633,AF633),
    _xlpm.limit,  -0.00001*_xlpm.slopes + 0.1086*_xlpm.slopes + 63.253,
    _xlpm.mask,   (_xlpm.vals&gt;=0) * (_xlpm.ints&lt;=_xlpm.limit),
    _xlpm.validVals, _xlfn._xlws.FILTER(_xlpm.vals, _xlpm.mask),
    _xlpm.minVal, MIN(_xlpm.validVals),
    IFERROR( _xlfn.XMATCH(_xlpm.minVal, _xlpm.vals), "" )
)</f>
        <v>4</v>
      </c>
      <c r="AJ633" cm="1">
        <f t="array" ref="AJ633">_xlfn.LET(
    _xlpm.vals, CHOOSE({1,2,3,4,5,6}, S633, V633, Y633, AB633, AE633, AH633),
    _xlpm.slopes, CHOOSE({1,2,3,4,5,6}, Q633, T633, W633, Z633, AC633, AF633),
    _xlpm.ints, CHOOSE({1,2,3,4,5,6}, R633, U633, X633, AA633, AD633, AG633),
    _xlpm.limit, -0.00001*_xlpm.slopes + 0.1086*_xlpm.slopes + 63.253,
    _xlpm.valid, (_xlpm.vals &gt;= 0) * (_xlpm.ints &lt;= _xlpm.limit),
    _xlpm.target, MIN(_xlfn._xlws.FILTER(_xlpm.vals, _xlpm.valid)),
    IFERROR(
        _xlfn.XLOOKUP(_xlpm.target, _xlpm.vals, _xlpm.vals),
        CHOOSE({1,2,3,4,5,6}, S$1, V$1, Y$1, AB$1, AE$1, AH$1)
    )
)</f>
        <v>1.7425861961194928</v>
      </c>
    </row>
    <row r="634" spans="9:36" x14ac:dyDescent="0.45">
      <c r="I634">
        <v>632</v>
      </c>
      <c r="J634">
        <v>23.7</v>
      </c>
      <c r="K634">
        <f t="shared" si="208"/>
        <v>23.7</v>
      </c>
      <c r="L634">
        <f t="shared" si="207"/>
        <v>6.5833333333333334E-3</v>
      </c>
      <c r="M634">
        <v>13.54</v>
      </c>
      <c r="N634">
        <f t="shared" si="209"/>
        <v>13.54</v>
      </c>
      <c r="O634">
        <f t="shared" si="210"/>
        <v>307.98583205612437</v>
      </c>
      <c r="P634">
        <f t="shared" si="211"/>
        <v>985.55466257959802</v>
      </c>
      <c r="Q634">
        <f t="shared" si="212"/>
        <v>4513.8403546145591</v>
      </c>
      <c r="R634">
        <f t="shared" si="213"/>
        <v>28.64467185590054</v>
      </c>
      <c r="S634">
        <f t="shared" si="214"/>
        <v>3.2488585294831798</v>
      </c>
      <c r="T634">
        <f t="shared" si="215"/>
        <v>2917.2418012356102</v>
      </c>
      <c r="U634">
        <f t="shared" si="216"/>
        <v>44.321823344602869</v>
      </c>
      <c r="V634">
        <f t="shared" si="217"/>
        <v>1.7091304197767203</v>
      </c>
      <c r="W634">
        <f t="shared" si="218"/>
        <v>1882.409405527032</v>
      </c>
      <c r="X634">
        <f t="shared" si="219"/>
        <v>68.687223612578265</v>
      </c>
      <c r="Y634">
        <f t="shared" si="220"/>
        <v>1.5066701229038688</v>
      </c>
      <c r="Z634">
        <f t="shared" si="221"/>
        <v>1419.198714114621</v>
      </c>
      <c r="AA634">
        <f t="shared" si="222"/>
        <v>91.105970208350342</v>
      </c>
      <c r="AB634">
        <f t="shared" si="223"/>
        <v>1.5038894147314643</v>
      </c>
      <c r="AC634">
        <f t="shared" si="224"/>
        <v>6000</v>
      </c>
      <c r="AD634">
        <f t="shared" si="225"/>
        <v>21.54957929464263</v>
      </c>
      <c r="AE634">
        <f t="shared" si="226"/>
        <v>6.9033174821891468</v>
      </c>
      <c r="AF634">
        <f t="shared" si="227"/>
        <v>6000</v>
      </c>
      <c r="AG634">
        <f t="shared" si="228"/>
        <v>21.54957929464263</v>
      </c>
      <c r="AH634">
        <f t="shared" si="229"/>
        <v>6.9033174821891468</v>
      </c>
      <c r="AI634" cm="1">
        <f t="array" ref="AI634">_xlfn.LET(
    _xlpm.vals,   _xlfn.HSTACK(S634,V634,Y634,AB634,AE634,AH634),
    _xlpm.ints,   _xlfn.HSTACK(R634,U634,X634,AA634,AD634,AG634),
    _xlpm.slopes, _xlfn.HSTACK(Q634,T634,W634,Z634,AC634,AF634),
    _xlpm.limit,  -0.00001*_xlpm.slopes + 0.1086*_xlpm.slopes + 63.253,
    _xlpm.mask,   (_xlpm.vals&gt;=0) * (_xlpm.ints&lt;=_xlpm.limit),
    _xlpm.validVals, _xlfn._xlws.FILTER(_xlpm.vals, _xlpm.mask),
    _xlpm.minVal, MIN(_xlpm.validVals),
    IFERROR( _xlfn.XMATCH(_xlpm.minVal, _xlpm.vals), "" )
)</f>
        <v>4</v>
      </c>
      <c r="AJ634" cm="1">
        <f t="array" ref="AJ634">_xlfn.LET(
    _xlpm.vals, CHOOSE({1,2,3,4,5,6}, S634, V634, Y634, AB634, AE634, AH634),
    _xlpm.slopes, CHOOSE({1,2,3,4,5,6}, Q634, T634, W634, Z634, AC634, AF634),
    _xlpm.ints, CHOOSE({1,2,3,4,5,6}, R634, U634, X634, AA634, AD634, AG634),
    _xlpm.limit, -0.00001*_xlpm.slopes + 0.1086*_xlpm.slopes + 63.253,
    _xlpm.valid, (_xlpm.vals &gt;= 0) * (_xlpm.ints &lt;= _xlpm.limit),
    _xlpm.target, MIN(_xlfn._xlws.FILTER(_xlpm.vals, _xlpm.valid)),
    IFERROR(
        _xlfn.XLOOKUP(_xlpm.target, _xlpm.vals, _xlpm.vals),
        CHOOSE({1,2,3,4,5,6}, S$1, V$1, Y$1, AB$1, AE$1, AH$1)
    )
)</f>
        <v>1.5038894147314643</v>
      </c>
    </row>
    <row r="635" spans="9:36" x14ac:dyDescent="0.45">
      <c r="I635">
        <v>633</v>
      </c>
      <c r="J635">
        <v>24.4</v>
      </c>
      <c r="K635">
        <f t="shared" si="208"/>
        <v>24.4</v>
      </c>
      <c r="L635">
        <f t="shared" si="207"/>
        <v>6.7777777777777775E-3</v>
      </c>
      <c r="M635">
        <v>8.69</v>
      </c>
      <c r="N635">
        <f t="shared" si="209"/>
        <v>8.69</v>
      </c>
      <c r="O635">
        <f t="shared" si="210"/>
        <v>317.08246000714911</v>
      </c>
      <c r="P635">
        <f t="shared" si="211"/>
        <v>1014.6638720228772</v>
      </c>
      <c r="Q635">
        <f t="shared" si="212"/>
        <v>4647.1605338647778</v>
      </c>
      <c r="R635">
        <f t="shared" si="213"/>
        <v>17.856793782654567</v>
      </c>
      <c r="S635">
        <f t="shared" si="214"/>
        <v>3.2910542179900251</v>
      </c>
      <c r="T635">
        <f t="shared" si="215"/>
        <v>3003.4050611877165</v>
      </c>
      <c r="U635">
        <f t="shared" si="216"/>
        <v>27.629768758296592</v>
      </c>
      <c r="V635">
        <f t="shared" si="217"/>
        <v>1.4372552183576</v>
      </c>
      <c r="W635">
        <f t="shared" si="218"/>
        <v>1938.0079955636952</v>
      </c>
      <c r="X635">
        <f t="shared" si="219"/>
        <v>42.818908651601006</v>
      </c>
      <c r="Y635">
        <f t="shared" si="220"/>
        <v>1.1022691945151923</v>
      </c>
      <c r="Z635">
        <f t="shared" si="221"/>
        <v>1461.1159757129431</v>
      </c>
      <c r="AA635">
        <f t="shared" si="222"/>
        <v>56.794524669831887</v>
      </c>
      <c r="AB635">
        <f t="shared" si="223"/>
        <v>1.0655627747424099</v>
      </c>
      <c r="AC635">
        <f t="shared" si="224"/>
        <v>6000</v>
      </c>
      <c r="AD635">
        <f t="shared" si="225"/>
        <v>13.830564554685706</v>
      </c>
      <c r="AE635">
        <f t="shared" si="226"/>
        <v>6.8139545297825688</v>
      </c>
      <c r="AF635">
        <f t="shared" si="227"/>
        <v>6000</v>
      </c>
      <c r="AG635">
        <f t="shared" si="228"/>
        <v>13.830564554685706</v>
      </c>
      <c r="AH635">
        <f t="shared" si="229"/>
        <v>6.8139545297825688</v>
      </c>
      <c r="AI635" cm="1">
        <f t="array" ref="AI635">_xlfn.LET(
    _xlpm.vals,   _xlfn.HSTACK(S635,V635,Y635,AB635,AE635,AH635),
    _xlpm.ints,   _xlfn.HSTACK(R635,U635,X635,AA635,AD635,AG635),
    _xlpm.slopes, _xlfn.HSTACK(Q635,T635,W635,Z635,AC635,AF635),
    _xlpm.limit,  -0.00001*_xlpm.slopes + 0.1086*_xlpm.slopes + 63.253,
    _xlpm.mask,   (_xlpm.vals&gt;=0) * (_xlpm.ints&lt;=_xlpm.limit),
    _xlpm.validVals, _xlfn._xlws.FILTER(_xlpm.vals, _xlpm.mask),
    _xlpm.minVal, MIN(_xlpm.validVals),
    IFERROR( _xlfn.XMATCH(_xlpm.minVal, _xlpm.vals), "" )
)</f>
        <v>4</v>
      </c>
      <c r="AJ635" cm="1">
        <f t="array" ref="AJ635">_xlfn.LET(
    _xlpm.vals, CHOOSE({1,2,3,4,5,6}, S635, V635, Y635, AB635, AE635, AH635),
    _xlpm.slopes, CHOOSE({1,2,3,4,5,6}, Q635, T635, W635, Z635, AC635, AF635),
    _xlpm.ints, CHOOSE({1,2,3,4,5,6}, R635, U635, X635, AA635, AD635, AG635),
    _xlpm.limit, -0.00001*_xlpm.slopes + 0.1086*_xlpm.slopes + 63.253,
    _xlpm.valid, (_xlpm.vals &gt;= 0) * (_xlpm.ints &lt;= _xlpm.limit),
    _xlpm.target, MIN(_xlfn._xlws.FILTER(_xlpm.vals, _xlpm.valid)),
    IFERROR(
        _xlfn.XLOOKUP(_xlpm.target, _xlpm.vals, _xlpm.vals),
        CHOOSE({1,2,3,4,5,6}, S$1, V$1, Y$1, AB$1, AE$1, AH$1)
    )
)</f>
        <v>1.0655627747424099</v>
      </c>
    </row>
    <row r="636" spans="9:36" x14ac:dyDescent="0.45">
      <c r="I636">
        <v>634</v>
      </c>
      <c r="J636">
        <v>25.3</v>
      </c>
      <c r="K636">
        <f t="shared" si="208"/>
        <v>25.3</v>
      </c>
      <c r="L636">
        <f t="shared" si="207"/>
        <v>7.0277777777777778E-3</v>
      </c>
      <c r="M636">
        <v>11.07</v>
      </c>
      <c r="N636">
        <f t="shared" si="209"/>
        <v>11.07</v>
      </c>
      <c r="O636">
        <f t="shared" si="210"/>
        <v>328.77812451560959</v>
      </c>
      <c r="P636">
        <f t="shared" si="211"/>
        <v>1052.0899984499508</v>
      </c>
      <c r="Q636">
        <f t="shared" si="212"/>
        <v>4818.572192900775</v>
      </c>
      <c r="R636">
        <f t="shared" si="213"/>
        <v>21.938181886613837</v>
      </c>
      <c r="S636">
        <f t="shared" si="214"/>
        <v>3.7012939132994305</v>
      </c>
      <c r="T636">
        <f t="shared" si="215"/>
        <v>3114.1863954118544</v>
      </c>
      <c r="U636">
        <f t="shared" si="216"/>
        <v>33.944889540774113</v>
      </c>
      <c r="V636">
        <f t="shared" si="217"/>
        <v>1.6454905421146457</v>
      </c>
      <c r="W636">
        <f t="shared" si="218"/>
        <v>2009.491897039406</v>
      </c>
      <c r="X636">
        <f t="shared" si="219"/>
        <v>52.605692691461449</v>
      </c>
      <c r="Y636">
        <f t="shared" si="220"/>
        <v>1.3040066401379975</v>
      </c>
      <c r="Z636">
        <f t="shared" si="221"/>
        <v>1515.0095977679291</v>
      </c>
      <c r="AA636">
        <f t="shared" si="222"/>
        <v>69.775606278257897</v>
      </c>
      <c r="AB636">
        <f t="shared" si="223"/>
        <v>1.2816788986349921</v>
      </c>
      <c r="AC636">
        <f t="shared" si="224"/>
        <v>6000</v>
      </c>
      <c r="AD636">
        <f t="shared" si="225"/>
        <v>17.618452200272813</v>
      </c>
      <c r="AE636">
        <f t="shared" si="226"/>
        <v>6.8555897557230603</v>
      </c>
      <c r="AF636">
        <f t="shared" si="227"/>
        <v>6000</v>
      </c>
      <c r="AG636">
        <f t="shared" si="228"/>
        <v>17.618452200272813</v>
      </c>
      <c r="AH636">
        <f t="shared" si="229"/>
        <v>6.8555897557230603</v>
      </c>
      <c r="AI636" cm="1">
        <f t="array" ref="AI636">_xlfn.LET(
    _xlpm.vals,   _xlfn.HSTACK(S636,V636,Y636,AB636,AE636,AH636),
    _xlpm.ints,   _xlfn.HSTACK(R636,U636,X636,AA636,AD636,AG636),
    _xlpm.slopes, _xlfn.HSTACK(Q636,T636,W636,Z636,AC636,AF636),
    _xlpm.limit,  -0.00001*_xlpm.slopes + 0.1086*_xlpm.slopes + 63.253,
    _xlpm.mask,   (_xlpm.vals&gt;=0) * (_xlpm.ints&lt;=_xlpm.limit),
    _xlpm.validVals, _xlfn._xlws.FILTER(_xlpm.vals, _xlpm.mask),
    _xlpm.minVal, MIN(_xlpm.validVals),
    IFERROR( _xlfn.XMATCH(_xlpm.minVal, _xlpm.vals), "" )
)</f>
        <v>4</v>
      </c>
      <c r="AJ636" cm="1">
        <f t="array" ref="AJ636">_xlfn.LET(
    _xlpm.vals, CHOOSE({1,2,3,4,5,6}, S636, V636, Y636, AB636, AE636, AH636),
    _xlpm.slopes, CHOOSE({1,2,3,4,5,6}, Q636, T636, W636, Z636, AC636, AF636),
    _xlpm.ints, CHOOSE({1,2,3,4,5,6}, R636, U636, X636, AA636, AD636, AG636),
    _xlpm.limit, -0.00001*_xlpm.slopes + 0.1086*_xlpm.slopes + 63.253,
    _xlpm.valid, (_xlpm.vals &gt;= 0) * (_xlpm.ints &lt;= _xlpm.limit),
    _xlpm.target, MIN(_xlfn._xlws.FILTER(_xlpm.vals, _xlpm.valid)),
    IFERROR(
        _xlfn.XLOOKUP(_xlpm.target, _xlpm.vals, _xlpm.vals),
        CHOOSE({1,2,3,4,5,6}, S$1, V$1, Y$1, AB$1, AE$1, AH$1)
    )
)</f>
        <v>1.2816788986349921</v>
      </c>
    </row>
    <row r="637" spans="9:36" x14ac:dyDescent="0.45">
      <c r="I637">
        <v>635</v>
      </c>
      <c r="J637">
        <v>25.8</v>
      </c>
      <c r="K637">
        <f t="shared" si="208"/>
        <v>25.8</v>
      </c>
      <c r="L637">
        <f t="shared" si="207"/>
        <v>7.1666666666666667E-3</v>
      </c>
      <c r="M637">
        <v>8.82</v>
      </c>
      <c r="N637">
        <f t="shared" si="209"/>
        <v>8.82</v>
      </c>
      <c r="O637">
        <f t="shared" si="210"/>
        <v>335.27571590919877</v>
      </c>
      <c r="P637">
        <f t="shared" si="211"/>
        <v>1072.8822909094361</v>
      </c>
      <c r="Q637">
        <f t="shared" si="212"/>
        <v>4913.8008923652169</v>
      </c>
      <c r="R637">
        <f t="shared" si="213"/>
        <v>17.140457606879167</v>
      </c>
      <c r="S637">
        <f t="shared" si="214"/>
        <v>3.8203630163203122</v>
      </c>
      <c r="T637">
        <f t="shared" si="215"/>
        <v>3175.7315810919308</v>
      </c>
      <c r="U637">
        <f t="shared" si="216"/>
        <v>26.521383729563031</v>
      </c>
      <c r="V637">
        <f t="shared" si="217"/>
        <v>1.5483198219317096</v>
      </c>
      <c r="W637">
        <f t="shared" si="218"/>
        <v>2049.2051756370229</v>
      </c>
      <c r="X637">
        <f t="shared" si="219"/>
        <v>41.101202010212866</v>
      </c>
      <c r="Y637">
        <f t="shared" si="220"/>
        <v>1.1282029438278471</v>
      </c>
      <c r="Z637">
        <f t="shared" si="221"/>
        <v>1544.9504989095878</v>
      </c>
      <c r="AA637">
        <f t="shared" si="222"/>
        <v>54.516177666324012</v>
      </c>
      <c r="AB637">
        <f t="shared" si="223"/>
        <v>1.0806434547733799</v>
      </c>
      <c r="AC637">
        <f t="shared" si="224"/>
        <v>6000</v>
      </c>
      <c r="AD637">
        <f t="shared" si="225"/>
        <v>14.03746598070517</v>
      </c>
      <c r="AE637">
        <f t="shared" si="226"/>
        <v>6.8161164709692619</v>
      </c>
      <c r="AF637">
        <f t="shared" si="227"/>
        <v>6000</v>
      </c>
      <c r="AG637">
        <f t="shared" si="228"/>
        <v>14.03746598070517</v>
      </c>
      <c r="AH637">
        <f t="shared" si="229"/>
        <v>6.8161164709692619</v>
      </c>
      <c r="AI637" cm="1">
        <f t="array" ref="AI637">_xlfn.LET(
    _xlpm.vals,   _xlfn.HSTACK(S637,V637,Y637,AB637,AE637,AH637),
    _xlpm.ints,   _xlfn.HSTACK(R637,U637,X637,AA637,AD637,AG637),
    _xlpm.slopes, _xlfn.HSTACK(Q637,T637,W637,Z637,AC637,AF637),
    _xlpm.limit,  -0.00001*_xlpm.slopes + 0.1086*_xlpm.slopes + 63.253,
    _xlpm.mask,   (_xlpm.vals&gt;=0) * (_xlpm.ints&lt;=_xlpm.limit),
    _xlpm.validVals, _xlfn._xlws.FILTER(_xlpm.vals, _xlpm.mask),
    _xlpm.minVal, MIN(_xlpm.validVals),
    IFERROR( _xlfn.XMATCH(_xlpm.minVal, _xlpm.vals), "" )
)</f>
        <v>4</v>
      </c>
      <c r="AJ637" cm="1">
        <f t="array" ref="AJ637">_xlfn.LET(
    _xlpm.vals, CHOOSE({1,2,3,4,5,6}, S637, V637, Y637, AB637, AE637, AH637),
    _xlpm.slopes, CHOOSE({1,2,3,4,5,6}, Q637, T637, W637, Z637, AC637, AF637),
    _xlpm.ints, CHOOSE({1,2,3,4,5,6}, R637, U637, X637, AA637, AD637, AG637),
    _xlpm.limit, -0.00001*_xlpm.slopes + 0.1086*_xlpm.slopes + 63.253,
    _xlpm.valid, (_xlpm.vals &gt;= 0) * (_xlpm.ints &lt;= _xlpm.limit),
    _xlpm.target, MIN(_xlfn._xlws.FILTER(_xlpm.vals, _xlpm.valid)),
    IFERROR(
        _xlfn.XLOOKUP(_xlpm.target, _xlpm.vals, _xlpm.vals),
        CHOOSE({1,2,3,4,5,6}, S$1, V$1, Y$1, AB$1, AE$1, AH$1)
    )
)</f>
        <v>1.0806434547733799</v>
      </c>
    </row>
    <row r="638" spans="9:36" x14ac:dyDescent="0.45">
      <c r="I638">
        <v>636</v>
      </c>
      <c r="J638">
        <v>26.3</v>
      </c>
      <c r="K638">
        <f t="shared" si="208"/>
        <v>26.3</v>
      </c>
      <c r="L638">
        <f t="shared" si="207"/>
        <v>7.3055555555555556E-3</v>
      </c>
      <c r="M638">
        <v>9.64</v>
      </c>
      <c r="N638">
        <f t="shared" si="209"/>
        <v>9.64</v>
      </c>
      <c r="O638">
        <f t="shared" si="210"/>
        <v>341.77330730278788</v>
      </c>
      <c r="P638">
        <f t="shared" si="211"/>
        <v>1093.6745833689213</v>
      </c>
      <c r="Q638">
        <f t="shared" si="212"/>
        <v>5009.0295918296597</v>
      </c>
      <c r="R638">
        <f t="shared" si="213"/>
        <v>18.377854911159957</v>
      </c>
      <c r="S638">
        <f t="shared" si="214"/>
        <v>4.0514945983660882</v>
      </c>
      <c r="T638">
        <f t="shared" si="215"/>
        <v>3237.2767667720068</v>
      </c>
      <c r="U638">
        <f t="shared" si="216"/>
        <v>28.436005234159666</v>
      </c>
      <c r="V638">
        <f t="shared" si="217"/>
        <v>1.6364192873540637</v>
      </c>
      <c r="W638">
        <f t="shared" si="218"/>
        <v>2088.9184542346397</v>
      </c>
      <c r="X638">
        <f t="shared" si="219"/>
        <v>44.068364132519683</v>
      </c>
      <c r="Y638">
        <f t="shared" si="220"/>
        <v>1.1985233868998224</v>
      </c>
      <c r="Z638">
        <f t="shared" si="221"/>
        <v>1574.8914000512466</v>
      </c>
      <c r="AA638">
        <f t="shared" si="222"/>
        <v>58.451788536883754</v>
      </c>
      <c r="AB638">
        <f t="shared" si="223"/>
        <v>1.1544190091156206</v>
      </c>
      <c r="AC638">
        <f t="shared" si="224"/>
        <v>6000</v>
      </c>
      <c r="AD638">
        <f t="shared" si="225"/>
        <v>15.342536514058711</v>
      </c>
      <c r="AE638">
        <f t="shared" si="226"/>
        <v>6.8300538470473082</v>
      </c>
      <c r="AF638">
        <f t="shared" si="227"/>
        <v>6000</v>
      </c>
      <c r="AG638">
        <f t="shared" si="228"/>
        <v>15.342536514058711</v>
      </c>
      <c r="AH638">
        <f t="shared" si="229"/>
        <v>6.8300538470473082</v>
      </c>
      <c r="AI638" cm="1">
        <f t="array" ref="AI638">_xlfn.LET(
    _xlpm.vals,   _xlfn.HSTACK(S638,V638,Y638,AB638,AE638,AH638),
    _xlpm.ints,   _xlfn.HSTACK(R638,U638,X638,AA638,AD638,AG638),
    _xlpm.slopes, _xlfn.HSTACK(Q638,T638,W638,Z638,AC638,AF638),
    _xlpm.limit,  -0.00001*_xlpm.slopes + 0.1086*_xlpm.slopes + 63.253,
    _xlpm.mask,   (_xlpm.vals&gt;=0) * (_xlpm.ints&lt;=_xlpm.limit),
    _xlpm.validVals, _xlfn._xlws.FILTER(_xlpm.vals, _xlpm.mask),
    _xlpm.minVal, MIN(_xlpm.validVals),
    IFERROR( _xlfn.XMATCH(_xlpm.minVal, _xlpm.vals), "" )
)</f>
        <v>4</v>
      </c>
      <c r="AJ638" cm="1">
        <f t="array" ref="AJ638">_xlfn.LET(
    _xlpm.vals, CHOOSE({1,2,3,4,5,6}, S638, V638, Y638, AB638, AE638, AH638),
    _xlpm.slopes, CHOOSE({1,2,3,4,5,6}, Q638, T638, W638, Z638, AC638, AF638),
    _xlpm.ints, CHOOSE({1,2,3,4,5,6}, R638, U638, X638, AA638, AD638, AG638),
    _xlpm.limit, -0.00001*_xlpm.slopes + 0.1086*_xlpm.slopes + 63.253,
    _xlpm.valid, (_xlpm.vals &gt;= 0) * (_xlpm.ints &lt;= _xlpm.limit),
    _xlpm.target, MIN(_xlfn._xlws.FILTER(_xlpm.vals, _xlpm.valid)),
    IFERROR(
        _xlfn.XLOOKUP(_xlpm.target, _xlpm.vals, _xlpm.vals),
        CHOOSE({1,2,3,4,5,6}, S$1, V$1, Y$1, AB$1, AE$1, AH$1)
    )
)</f>
        <v>1.1544190091156206</v>
      </c>
    </row>
    <row r="639" spans="9:36" x14ac:dyDescent="0.45">
      <c r="I639">
        <v>637</v>
      </c>
      <c r="J639">
        <v>27.2</v>
      </c>
      <c r="K639">
        <f t="shared" si="208"/>
        <v>27.2</v>
      </c>
      <c r="L639">
        <f t="shared" si="207"/>
        <v>7.5555555555555549E-3</v>
      </c>
      <c r="M639">
        <v>7.73</v>
      </c>
      <c r="N639">
        <f t="shared" si="209"/>
        <v>7.73</v>
      </c>
      <c r="O639">
        <f t="shared" si="210"/>
        <v>353.46897181124825</v>
      </c>
      <c r="P639">
        <f t="shared" si="211"/>
        <v>1131.1007097959944</v>
      </c>
      <c r="Q639">
        <f t="shared" si="212"/>
        <v>5180.4412508656542</v>
      </c>
      <c r="R639">
        <f t="shared" si="213"/>
        <v>14.248991356418985</v>
      </c>
      <c r="S639">
        <f t="shared" si="214"/>
        <v>4.3925463045719342</v>
      </c>
      <c r="T639">
        <f t="shared" si="215"/>
        <v>3348.0581009961434</v>
      </c>
      <c r="U639">
        <f t="shared" si="216"/>
        <v>22.047425814999645</v>
      </c>
      <c r="V639">
        <f t="shared" si="217"/>
        <v>1.6100399537749412</v>
      </c>
      <c r="W639">
        <f t="shared" si="218"/>
        <v>2160.4023557103492</v>
      </c>
      <c r="X639">
        <f t="shared" si="219"/>
        <v>34.167738435810968</v>
      </c>
      <c r="Y639">
        <f t="shared" si="220"/>
        <v>1.0658040584032684</v>
      </c>
      <c r="Z639">
        <f t="shared" si="221"/>
        <v>1628.7850221062317</v>
      </c>
      <c r="AA639">
        <f t="shared" si="222"/>
        <v>45.319708619721496</v>
      </c>
      <c r="AB639">
        <f t="shared" si="223"/>
        <v>0.99177810329326244</v>
      </c>
      <c r="AC639">
        <f t="shared" si="224"/>
        <v>6000</v>
      </c>
      <c r="AD639">
        <f t="shared" si="225"/>
        <v>12.302677101003511</v>
      </c>
      <c r="AE639">
        <f t="shared" si="226"/>
        <v>6.7983958994976357</v>
      </c>
      <c r="AF639">
        <f t="shared" si="227"/>
        <v>6000</v>
      </c>
      <c r="AG639">
        <f t="shared" si="228"/>
        <v>12.302677101003511</v>
      </c>
      <c r="AH639">
        <f t="shared" si="229"/>
        <v>6.7983958994976357</v>
      </c>
      <c r="AI639" cm="1">
        <f t="array" ref="AI639">_xlfn.LET(
    _xlpm.vals,   _xlfn.HSTACK(S639,V639,Y639,AB639,AE639,AH639),
    _xlpm.ints,   _xlfn.HSTACK(R639,U639,X639,AA639,AD639,AG639),
    _xlpm.slopes, _xlfn.HSTACK(Q639,T639,W639,Z639,AC639,AF639),
    _xlpm.limit,  -0.00001*_xlpm.slopes + 0.1086*_xlpm.slopes + 63.253,
    _xlpm.mask,   (_xlpm.vals&gt;=0) * (_xlpm.ints&lt;=_xlpm.limit),
    _xlpm.validVals, _xlfn._xlws.FILTER(_xlpm.vals, _xlpm.mask),
    _xlpm.minVal, MIN(_xlpm.validVals),
    IFERROR( _xlfn.XMATCH(_xlpm.minVal, _xlpm.vals), "" )
)</f>
        <v>4</v>
      </c>
      <c r="AJ639" cm="1">
        <f t="array" ref="AJ639">_xlfn.LET(
    _xlpm.vals, CHOOSE({1,2,3,4,5,6}, S639, V639, Y639, AB639, AE639, AH639),
    _xlpm.slopes, CHOOSE({1,2,3,4,5,6}, Q639, T639, W639, Z639, AC639, AF639),
    _xlpm.ints, CHOOSE({1,2,3,4,5,6}, R639, U639, X639, AA639, AD639, AG639),
    _xlpm.limit, -0.00001*_xlpm.slopes + 0.1086*_xlpm.slopes + 63.253,
    _xlpm.valid, (_xlpm.vals &gt;= 0) * (_xlpm.ints &lt;= _xlpm.limit),
    _xlpm.target, MIN(_xlfn._xlws.FILTER(_xlpm.vals, _xlpm.valid)),
    IFERROR(
        _xlfn.XLOOKUP(_xlpm.target, _xlpm.vals, _xlpm.vals),
        CHOOSE({1,2,3,4,5,6}, S$1, V$1, Y$1, AB$1, AE$1, AH$1)
    )
)</f>
        <v>0.99177810329326244</v>
      </c>
    </row>
    <row r="640" spans="9:36" x14ac:dyDescent="0.45">
      <c r="I640">
        <v>638</v>
      </c>
      <c r="J640">
        <v>26.8</v>
      </c>
      <c r="K640">
        <f t="shared" si="208"/>
        <v>26.8</v>
      </c>
      <c r="L640">
        <f t="shared" si="207"/>
        <v>7.4444444444444445E-3</v>
      </c>
      <c r="M640">
        <v>-1.4</v>
      </c>
      <c r="N640">
        <f t="shared" si="209"/>
        <v>0</v>
      </c>
      <c r="O640">
        <f t="shared" si="210"/>
        <v>348.270898696377</v>
      </c>
      <c r="P640">
        <f t="shared" si="211"/>
        <v>1114.4668758284065</v>
      </c>
      <c r="Q640">
        <f t="shared" si="212"/>
        <v>5104.2582912941016</v>
      </c>
      <c r="R640">
        <f t="shared" si="213"/>
        <v>0</v>
      </c>
      <c r="S640">
        <f t="shared" si="214"/>
        <v>4.0233477939738833</v>
      </c>
      <c r="T640">
        <f t="shared" si="215"/>
        <v>3298.8219524520832</v>
      </c>
      <c r="U640">
        <f t="shared" si="216"/>
        <v>0</v>
      </c>
      <c r="V640">
        <f t="shared" si="217"/>
        <v>1.2023821744361651</v>
      </c>
      <c r="W640">
        <f t="shared" si="218"/>
        <v>2128.6317328322561</v>
      </c>
      <c r="X640">
        <f t="shared" si="219"/>
        <v>0</v>
      </c>
      <c r="Y640">
        <f t="shared" si="220"/>
        <v>0.5630713282496127</v>
      </c>
      <c r="Z640">
        <f t="shared" si="221"/>
        <v>1604.8323011929053</v>
      </c>
      <c r="AA640">
        <f t="shared" si="222"/>
        <v>0</v>
      </c>
      <c r="AB640">
        <f t="shared" si="223"/>
        <v>0.43046036842079943</v>
      </c>
      <c r="AC640">
        <f t="shared" si="224"/>
        <v>6000</v>
      </c>
      <c r="AD640">
        <f t="shared" si="225"/>
        <v>0</v>
      </c>
      <c r="AE640">
        <f t="shared" si="226"/>
        <v>6.7000407999999982</v>
      </c>
      <c r="AF640">
        <f t="shared" si="227"/>
        <v>6000</v>
      </c>
      <c r="AG640">
        <f t="shared" si="228"/>
        <v>0</v>
      </c>
      <c r="AH640">
        <f t="shared" si="229"/>
        <v>6.7000407999999982</v>
      </c>
      <c r="AI640" cm="1">
        <f t="array" ref="AI640">_xlfn.LET(
    _xlpm.vals,   _xlfn.HSTACK(S640,V640,Y640,AB640,AE640,AH640),
    _xlpm.ints,   _xlfn.HSTACK(R640,U640,X640,AA640,AD640,AG640),
    _xlpm.slopes, _xlfn.HSTACK(Q640,T640,W640,Z640,AC640,AF640),
    _xlpm.limit,  -0.00001*_xlpm.slopes + 0.1086*_xlpm.slopes + 63.253,
    _xlpm.mask,   (_xlpm.vals&gt;=0) * (_xlpm.ints&lt;=_xlpm.limit),
    _xlpm.validVals, _xlfn._xlws.FILTER(_xlpm.vals, _xlpm.mask),
    _xlpm.minVal, MIN(_xlpm.validVals),
    IFERROR( _xlfn.XMATCH(_xlpm.minVal, _xlpm.vals), "" )
)</f>
        <v>4</v>
      </c>
      <c r="AJ640" cm="1">
        <f t="array" ref="AJ640">_xlfn.LET(
    _xlpm.vals, CHOOSE({1,2,3,4,5,6}, S640, V640, Y640, AB640, AE640, AH640),
    _xlpm.slopes, CHOOSE({1,2,3,4,5,6}, Q640, T640, W640, Z640, AC640, AF640),
    _xlpm.ints, CHOOSE({1,2,3,4,5,6}, R640, U640, X640, AA640, AD640, AG640),
    _xlpm.limit, -0.00001*_xlpm.slopes + 0.1086*_xlpm.slopes + 63.253,
    _xlpm.valid, (_xlpm.vals &gt;= 0) * (_xlpm.ints &lt;= _xlpm.limit),
    _xlpm.target, MIN(_xlfn._xlws.FILTER(_xlpm.vals, _xlpm.valid)),
    IFERROR(
        _xlfn.XLOOKUP(_xlpm.target, _xlpm.vals, _xlpm.vals),
        CHOOSE({1,2,3,4,5,6}, S$1, V$1, Y$1, AB$1, AE$1, AH$1)
    )
)</f>
        <v>0.43046036842079943</v>
      </c>
    </row>
    <row r="641" spans="9:36" x14ac:dyDescent="0.45">
      <c r="I641">
        <v>639</v>
      </c>
      <c r="J641">
        <v>26.2</v>
      </c>
      <c r="K641">
        <f t="shared" si="208"/>
        <v>26.2</v>
      </c>
      <c r="L641">
        <f t="shared" si="207"/>
        <v>7.277777777777778E-3</v>
      </c>
      <c r="M641">
        <v>1.27</v>
      </c>
      <c r="N641">
        <f t="shared" si="209"/>
        <v>1.27</v>
      </c>
      <c r="O641">
        <f t="shared" si="210"/>
        <v>340.47378902407007</v>
      </c>
      <c r="P641">
        <f t="shared" si="211"/>
        <v>1089.5161248770244</v>
      </c>
      <c r="Q641">
        <f t="shared" si="212"/>
        <v>4989.9838519367713</v>
      </c>
      <c r="R641">
        <f t="shared" si="213"/>
        <v>2.4303899618623643</v>
      </c>
      <c r="S641">
        <f t="shared" si="214"/>
        <v>3.7806829630650229</v>
      </c>
      <c r="T641">
        <f t="shared" si="215"/>
        <v>3224.9677296359919</v>
      </c>
      <c r="U641">
        <f t="shared" si="216"/>
        <v>3.7605358193681182</v>
      </c>
      <c r="V641">
        <f t="shared" si="217"/>
        <v>1.196504991618524</v>
      </c>
      <c r="W641">
        <f t="shared" si="218"/>
        <v>2080.9757985151164</v>
      </c>
      <c r="X641">
        <f t="shared" si="219"/>
        <v>5.8278460865600152</v>
      </c>
      <c r="Y641">
        <f t="shared" si="220"/>
        <v>0.61816873059791266</v>
      </c>
      <c r="Z641">
        <f t="shared" si="221"/>
        <v>1568.9032198229149</v>
      </c>
      <c r="AA641">
        <f t="shared" si="222"/>
        <v>7.7299902953677995</v>
      </c>
      <c r="AB641">
        <f t="shared" si="223"/>
        <v>0.49813619056808384</v>
      </c>
      <c r="AC641">
        <f t="shared" si="224"/>
        <v>6000</v>
      </c>
      <c r="AD641">
        <f t="shared" si="225"/>
        <v>2.0212677772670711</v>
      </c>
      <c r="AE641">
        <f t="shared" si="226"/>
        <v>6.7128263223612938</v>
      </c>
      <c r="AF641">
        <f t="shared" si="227"/>
        <v>6000</v>
      </c>
      <c r="AG641">
        <f t="shared" si="228"/>
        <v>2.0212677772670711</v>
      </c>
      <c r="AH641">
        <f t="shared" si="229"/>
        <v>6.7128263223612938</v>
      </c>
      <c r="AI641" cm="1">
        <f t="array" ref="AI641">_xlfn.LET(
    _xlpm.vals,   _xlfn.HSTACK(S641,V641,Y641,AB641,AE641,AH641),
    _xlpm.ints,   _xlfn.HSTACK(R641,U641,X641,AA641,AD641,AG641),
    _xlpm.slopes, _xlfn.HSTACK(Q641,T641,W641,Z641,AC641,AF641),
    _xlpm.limit,  -0.00001*_xlpm.slopes + 0.1086*_xlpm.slopes + 63.253,
    _xlpm.mask,   (_xlpm.vals&gt;=0) * (_xlpm.ints&lt;=_xlpm.limit),
    _xlpm.validVals, _xlfn._xlws.FILTER(_xlpm.vals, _xlpm.mask),
    _xlpm.minVal, MIN(_xlpm.validVals),
    IFERROR( _xlfn.XMATCH(_xlpm.minVal, _xlpm.vals), "" )
)</f>
        <v>4</v>
      </c>
      <c r="AJ641" cm="1">
        <f t="array" ref="AJ641">_xlfn.LET(
    _xlpm.vals, CHOOSE({1,2,3,4,5,6}, S641, V641, Y641, AB641, AE641, AH641),
    _xlpm.slopes, CHOOSE({1,2,3,4,5,6}, Q641, T641, W641, Z641, AC641, AF641),
    _xlpm.ints, CHOOSE({1,2,3,4,5,6}, R641, U641, X641, AA641, AD641, AG641),
    _xlpm.limit, -0.00001*_xlpm.slopes + 0.1086*_xlpm.slopes + 63.253,
    _xlpm.valid, (_xlpm.vals &gt;= 0) * (_xlpm.ints &lt;= _xlpm.limit),
    _xlpm.target, MIN(_xlfn._xlws.FILTER(_xlpm.vals, _xlpm.valid)),
    IFERROR(
        _xlfn.XLOOKUP(_xlpm.target, _xlpm.vals, _xlpm.vals),
        CHOOSE({1,2,3,4,5,6}, S$1, V$1, Y$1, AB$1, AE$1, AH$1)
    )
)</f>
        <v>0.49813619056808384</v>
      </c>
    </row>
    <row r="642" spans="9:36" x14ac:dyDescent="0.45">
      <c r="I642">
        <v>640</v>
      </c>
      <c r="J642">
        <v>26.4</v>
      </c>
      <c r="K642">
        <f t="shared" si="208"/>
        <v>26.4</v>
      </c>
      <c r="L642">
        <f t="shared" ref="L642:L705" si="230">K642*(1/3600)</f>
        <v>7.3333333333333332E-3</v>
      </c>
      <c r="M642">
        <v>3.94</v>
      </c>
      <c r="N642">
        <f t="shared" si="209"/>
        <v>3.94</v>
      </c>
      <c r="O642">
        <f t="shared" si="210"/>
        <v>343.0728255815057</v>
      </c>
      <c r="P642">
        <f t="shared" si="211"/>
        <v>1097.8330418608182</v>
      </c>
      <c r="Q642">
        <f t="shared" si="212"/>
        <v>5028.0753317225472</v>
      </c>
      <c r="R642">
        <f t="shared" si="213"/>
        <v>7.4828291273898904</v>
      </c>
      <c r="S642">
        <f t="shared" si="214"/>
        <v>3.9330013063348703</v>
      </c>
      <c r="T642">
        <f t="shared" si="215"/>
        <v>3249.5858039080217</v>
      </c>
      <c r="U642">
        <f t="shared" si="216"/>
        <v>11.578161284947871</v>
      </c>
      <c r="V642">
        <f t="shared" si="217"/>
        <v>1.340123455515966</v>
      </c>
      <c r="W642">
        <f t="shared" si="218"/>
        <v>2096.8611099541627</v>
      </c>
      <c r="X642">
        <f t="shared" si="219"/>
        <v>17.943119059395652</v>
      </c>
      <c r="Y642">
        <f t="shared" si="220"/>
        <v>0.78648116335755414</v>
      </c>
      <c r="Z642">
        <f t="shared" si="221"/>
        <v>1580.879580279578</v>
      </c>
      <c r="AA642">
        <f t="shared" si="222"/>
        <v>23.799553752392846</v>
      </c>
      <c r="AB642">
        <f t="shared" si="223"/>
        <v>0.68339683510699978</v>
      </c>
      <c r="AC642">
        <f t="shared" si="224"/>
        <v>6000</v>
      </c>
      <c r="AD642">
        <f t="shared" si="225"/>
        <v>6.2707047578206767</v>
      </c>
      <c r="AE642">
        <f t="shared" si="226"/>
        <v>6.7440879646775702</v>
      </c>
      <c r="AF642">
        <f t="shared" si="227"/>
        <v>6000</v>
      </c>
      <c r="AG642">
        <f t="shared" si="228"/>
        <v>6.2707047578206767</v>
      </c>
      <c r="AH642">
        <f t="shared" si="229"/>
        <v>6.7440879646775702</v>
      </c>
      <c r="AI642" cm="1">
        <f t="array" ref="AI642">_xlfn.LET(
    _xlpm.vals,   _xlfn.HSTACK(S642,V642,Y642,AB642,AE642,AH642),
    _xlpm.ints,   _xlfn.HSTACK(R642,U642,X642,AA642,AD642,AG642),
    _xlpm.slopes, _xlfn.HSTACK(Q642,T642,W642,Z642,AC642,AF642),
    _xlpm.limit,  -0.00001*_xlpm.slopes + 0.1086*_xlpm.slopes + 63.253,
    _xlpm.mask,   (_xlpm.vals&gt;=0) * (_xlpm.ints&lt;=_xlpm.limit),
    _xlpm.validVals, _xlfn._xlws.FILTER(_xlpm.vals, _xlpm.mask),
    _xlpm.minVal, MIN(_xlpm.validVals),
    IFERROR( _xlfn.XMATCH(_xlpm.minVal, _xlpm.vals), "" )
)</f>
        <v>4</v>
      </c>
      <c r="AJ642" cm="1">
        <f t="array" ref="AJ642">_xlfn.LET(
    _xlpm.vals, CHOOSE({1,2,3,4,5,6}, S642, V642, Y642, AB642, AE642, AH642),
    _xlpm.slopes, CHOOSE({1,2,3,4,5,6}, Q642, T642, W642, Z642, AC642, AF642),
    _xlpm.ints, CHOOSE({1,2,3,4,5,6}, R642, U642, X642, AA642, AD642, AG642),
    _xlpm.limit, -0.00001*_xlpm.slopes + 0.1086*_xlpm.slopes + 63.253,
    _xlpm.valid, (_xlpm.vals &gt;= 0) * (_xlpm.ints &lt;= _xlpm.limit),
    _xlpm.target, MIN(_xlfn._xlws.FILTER(_xlpm.vals, _xlpm.valid)),
    IFERROR(
        _xlfn.XLOOKUP(_xlpm.target, _xlpm.vals, _xlpm.vals),
        CHOOSE({1,2,3,4,5,6}, S$1, V$1, Y$1, AB$1, AE$1, AH$1)
    )
)</f>
        <v>0.68339683510699978</v>
      </c>
    </row>
    <row r="643" spans="9:36" x14ac:dyDescent="0.45">
      <c r="I643">
        <v>641</v>
      </c>
      <c r="J643">
        <v>26.5</v>
      </c>
      <c r="K643">
        <f t="shared" ref="K643:K706" si="231">IF(J643&lt;0,0,J643)</f>
        <v>26.5</v>
      </c>
      <c r="L643">
        <f t="shared" si="230"/>
        <v>7.3611111111111108E-3</v>
      </c>
      <c r="M643">
        <v>6.39</v>
      </c>
      <c r="N643">
        <f t="shared" ref="N643:N706" si="232">IF(M643&lt;0,0,M643)</f>
        <v>6.39</v>
      </c>
      <c r="O643">
        <f t="shared" ref="O643:O706" si="233">(K643*0.44704*60)/(PI()*$B$2)</f>
        <v>344.37234386022351</v>
      </c>
      <c r="P643">
        <f t="shared" ref="P643:P706" si="234">O643*3.2</f>
        <v>1101.9915003527153</v>
      </c>
      <c r="Q643">
        <f t="shared" ref="Q643:Q706" si="235">IF(4.58*P643&lt;1000,1000,4.58*P643)</f>
        <v>5047.1210716154364</v>
      </c>
      <c r="R643">
        <f t="shared" ref="R643:R706" si="236">(1000*N643*60)/(Q643*2*PI())</f>
        <v>12.090061703612342</v>
      </c>
      <c r="S643">
        <f t="shared" ref="S643:S706" si="237">(0.072946 + (0.000364279 * Q643) + (-0.00248749 * R643) + (0.00000951906 * Q643 * R643) + (-0.000000165418 * Q643^2) + (0.000045414 * R643^2) + (-0.00000000135106 * Q643^2 * R643) + (0.0000000203184 * Q643 * R643^2) + (0.0000000000481318 * Q643^3) + (-0.00000034778 * R643^3))</f>
        <v>4.0416261072217434</v>
      </c>
      <c r="T643">
        <f t="shared" ref="T643:T706" si="238">IF(2.96*P643&lt;1000,6000,2.96*P643)</f>
        <v>3261.8948410440371</v>
      </c>
      <c r="U643">
        <f t="shared" ref="U643:U706" si="239">(1000*N643*60)/(T643*2*PI())</f>
        <v>18.706919798156939</v>
      </c>
      <c r="V643">
        <f t="shared" ref="V643:V706" si="240">(0.072946 + (0.000364279 * T643) + (-0.00248749 * U643) + (0.00000951906 * T643 * U643) + (-0.000000165418 * T643^2) + (0.000045414 * U643^2) + (-0.00000000135106 * T643^2 * U643) + (0.0000000203184 * T643 * U643^2) + (0.0000000000481318 * T643^3) + (-0.00000034778 * U643^3))</f>
        <v>1.4738408065277095</v>
      </c>
      <c r="W643">
        <f t="shared" ref="W643:W706" si="241">IF(1.91*P643&lt;1000,6000,1.91*P643)</f>
        <v>2104.803765673686</v>
      </c>
      <c r="X643">
        <f t="shared" ref="X643:X706" si="242">(1000*N643*60)/(W643*2*PI())</f>
        <v>28.990828587719655</v>
      </c>
      <c r="Y643">
        <f t="shared" ref="Y643:Y706" si="243">(0.072946 + (0.000364279 * W643) + (-0.00248749 * X643) + (0.00000951906 * W643 * X643) + (-0.000000165418 * W643^2) + (0.000045414 * X643^2) + (-0.00000000135106 * W643^2 * X643) + (0.0000000203184 * W643 * X643^2) + (0.0000000000481318 * W643^3) + (-0.00000034778 * X643^3))</f>
        <v>0.95651557649607422</v>
      </c>
      <c r="Z643">
        <f t="shared" ref="Z643:Z706" si="244">IF(1.44*P643&lt;1000,6000,1.44*P643)</f>
        <v>1586.8677605079099</v>
      </c>
      <c r="AA643">
        <f t="shared" ref="AA643:AA706" si="245">(1000*N643*60)/(Z643*2*PI())</f>
        <v>38.453112918433703</v>
      </c>
      <c r="AB643">
        <f t="shared" ref="AB643:AB706" si="246">(0.072946 + (0.000364279 * Z643) + (-0.00248749 * AA643) + (0.00000951906 * Z643 * AA643) + (-0.000000165418 * Z643^2) + (0.000045414 * AA643^2) + (-0.00000000135106 * Z643^2 * AA643) + (0.0000000203184 * Z643 * AA643^2) + (0.0000000000481318 * Z643^3) + (-0.00000034778 * AA643^3))</f>
        <v>0.87622402040778613</v>
      </c>
      <c r="AC643">
        <f t="shared" ref="AC643:AC706" si="247">IF(0.74*P643&lt;1000,6000,0.74*P643)</f>
        <v>6000</v>
      </c>
      <c r="AD643">
        <f t="shared" ref="AD643:AD706" si="248">(1000*N643*60)/(AC643*2*PI())</f>
        <v>10.170000863572113</v>
      </c>
      <c r="AE643">
        <f t="shared" ref="AE643:AE706" si="249">(0.072946 + (0.000364279 * AC643) + (-0.00248749 * AD643) + (0.00000951906 * AC643 * AD643) + (-0.000000165418 * AC643^2) + (0.000045414 * AD643^2) + (-0.00000000135106 * AC643^2 * AD643) + (0.0000000203184 * AC643 * AD643^2) + (0.0000000000481318 * AC643^3) + (-0.00000034778 * AD643^3))</f>
        <v>6.7778863473388116</v>
      </c>
      <c r="AF643">
        <f t="shared" ref="AF643:AF706" si="250">IF(0.68*P643&lt;1000,6000,0.68*P643)</f>
        <v>6000</v>
      </c>
      <c r="AG643">
        <f t="shared" ref="AG643:AG706" si="251">(1000*N643*60)/(AF643*2*PI())</f>
        <v>10.170000863572113</v>
      </c>
      <c r="AH643">
        <f t="shared" ref="AH643:AH706" si="252">(0.072946 + (0.000364279 * AF643) + (-0.00248749 * AG643) + (0.00000951906 * AF643 * AG643) + (-0.000000165418 * AF643^2) + (0.000045414 * AG643^2) + (-0.00000000135106 * AF643^2 * AG643) + (0.0000000203184 * AF643 * AG643^2) + (0.0000000000481318 * AF643^3) + (-0.00000034778 * AG643^3))</f>
        <v>6.7778863473388116</v>
      </c>
      <c r="AI643" cm="1">
        <f t="array" ref="AI643">_xlfn.LET(
    _xlpm.vals,   _xlfn.HSTACK(S643,V643,Y643,AB643,AE643,AH643),
    _xlpm.ints,   _xlfn.HSTACK(R643,U643,X643,AA643,AD643,AG643),
    _xlpm.slopes, _xlfn.HSTACK(Q643,T643,W643,Z643,AC643,AF643),
    _xlpm.limit,  -0.00001*_xlpm.slopes + 0.1086*_xlpm.slopes + 63.253,
    _xlpm.mask,   (_xlpm.vals&gt;=0) * (_xlpm.ints&lt;=_xlpm.limit),
    _xlpm.validVals, _xlfn._xlws.FILTER(_xlpm.vals, _xlpm.mask),
    _xlpm.minVal, MIN(_xlpm.validVals),
    IFERROR( _xlfn.XMATCH(_xlpm.minVal, _xlpm.vals), "" )
)</f>
        <v>4</v>
      </c>
      <c r="AJ643" cm="1">
        <f t="array" ref="AJ643">_xlfn.LET(
    _xlpm.vals, CHOOSE({1,2,3,4,5,6}, S643, V643, Y643, AB643, AE643, AH643),
    _xlpm.slopes, CHOOSE({1,2,3,4,5,6}, Q643, T643, W643, Z643, AC643, AF643),
    _xlpm.ints, CHOOSE({1,2,3,4,5,6}, R643, U643, X643, AA643, AD643, AG643),
    _xlpm.limit, -0.00001*_xlpm.slopes + 0.1086*_xlpm.slopes + 63.253,
    _xlpm.valid, (_xlpm.vals &gt;= 0) * (_xlpm.ints &lt;= _xlpm.limit),
    _xlpm.target, MIN(_xlfn._xlws.FILTER(_xlpm.vals, _xlpm.valid)),
    IFERROR(
        _xlfn.XLOOKUP(_xlpm.target, _xlpm.vals, _xlpm.vals),
        CHOOSE({1,2,3,4,5,6}, S$1, V$1, Y$1, AB$1, AE$1, AH$1)
    )
)</f>
        <v>0.87622402040778613</v>
      </c>
    </row>
    <row r="644" spans="9:36" x14ac:dyDescent="0.45">
      <c r="I644">
        <v>642</v>
      </c>
      <c r="J644">
        <v>26.5</v>
      </c>
      <c r="K644">
        <f t="shared" si="231"/>
        <v>26.5</v>
      </c>
      <c r="L644">
        <f t="shared" si="230"/>
        <v>7.3611111111111108E-3</v>
      </c>
      <c r="M644">
        <v>0.47</v>
      </c>
      <c r="N644">
        <f t="shared" si="232"/>
        <v>0.47</v>
      </c>
      <c r="O644">
        <f t="shared" si="233"/>
        <v>344.37234386022351</v>
      </c>
      <c r="P644">
        <f t="shared" si="234"/>
        <v>1101.9915003527153</v>
      </c>
      <c r="Q644">
        <f t="shared" si="235"/>
        <v>5047.1210716154364</v>
      </c>
      <c r="R644">
        <f t="shared" si="236"/>
        <v>0.8892533647414399</v>
      </c>
      <c r="S644">
        <f t="shared" si="237"/>
        <v>3.8959501919571764</v>
      </c>
      <c r="T644">
        <f t="shared" si="238"/>
        <v>3261.8948410440371</v>
      </c>
      <c r="U644">
        <f t="shared" si="239"/>
        <v>1.3759393278769578</v>
      </c>
      <c r="V644">
        <f t="shared" si="240"/>
        <v>1.19135951587352</v>
      </c>
      <c r="W644">
        <f t="shared" si="241"/>
        <v>2104.803765673686</v>
      </c>
      <c r="X644">
        <f t="shared" si="242"/>
        <v>2.1323457646679556</v>
      </c>
      <c r="Y644">
        <f t="shared" si="243"/>
        <v>0.58071519270198246</v>
      </c>
      <c r="Z644">
        <f t="shared" si="244"/>
        <v>1586.8677605079099</v>
      </c>
      <c r="AA644">
        <f t="shared" si="245"/>
        <v>2.8283197295248579</v>
      </c>
      <c r="AB644">
        <f t="shared" si="246"/>
        <v>0.45347325419464013</v>
      </c>
      <c r="AC644">
        <f t="shared" si="247"/>
        <v>6000</v>
      </c>
      <c r="AD644">
        <f t="shared" si="248"/>
        <v>0.74802823253190809</v>
      </c>
      <c r="AE644">
        <f t="shared" si="249"/>
        <v>6.7046140043292288</v>
      </c>
      <c r="AF644">
        <f t="shared" si="250"/>
        <v>6000</v>
      </c>
      <c r="AG644">
        <f t="shared" si="251"/>
        <v>0.74802823253190809</v>
      </c>
      <c r="AH644">
        <f t="shared" si="252"/>
        <v>6.7046140043292288</v>
      </c>
      <c r="AI644" cm="1">
        <f t="array" ref="AI644">_xlfn.LET(
    _xlpm.vals,   _xlfn.HSTACK(S644,V644,Y644,AB644,AE644,AH644),
    _xlpm.ints,   _xlfn.HSTACK(R644,U644,X644,AA644,AD644,AG644),
    _xlpm.slopes, _xlfn.HSTACK(Q644,T644,W644,Z644,AC644,AF644),
    _xlpm.limit,  -0.00001*_xlpm.slopes + 0.1086*_xlpm.slopes + 63.253,
    _xlpm.mask,   (_xlpm.vals&gt;=0) * (_xlpm.ints&lt;=_xlpm.limit),
    _xlpm.validVals, _xlfn._xlws.FILTER(_xlpm.vals, _xlpm.mask),
    _xlpm.minVal, MIN(_xlpm.validVals),
    IFERROR( _xlfn.XMATCH(_xlpm.minVal, _xlpm.vals), "" )
)</f>
        <v>4</v>
      </c>
      <c r="AJ644" cm="1">
        <f t="array" ref="AJ644">_xlfn.LET(
    _xlpm.vals, CHOOSE({1,2,3,4,5,6}, S644, V644, Y644, AB644, AE644, AH644),
    _xlpm.slopes, CHOOSE({1,2,3,4,5,6}, Q644, T644, W644, Z644, AC644, AF644),
    _xlpm.ints, CHOOSE({1,2,3,4,5,6}, R644, U644, X644, AA644, AD644, AG644),
    _xlpm.limit, -0.00001*_xlpm.slopes + 0.1086*_xlpm.slopes + 63.253,
    _xlpm.valid, (_xlpm.vals &gt;= 0) * (_xlpm.ints &lt;= _xlpm.limit),
    _xlpm.target, MIN(_xlfn._xlws.FILTER(_xlpm.vals, _xlpm.valid)),
    IFERROR(
        _xlfn.XLOOKUP(_xlpm.target, _xlpm.vals, _xlpm.vals),
        CHOOSE({1,2,3,4,5,6}, S$1, V$1, Y$1, AB$1, AE$1, AH$1)
    )
)</f>
        <v>0.45347325419464013</v>
      </c>
    </row>
    <row r="645" spans="9:36" x14ac:dyDescent="0.45">
      <c r="I645">
        <v>643</v>
      </c>
      <c r="J645">
        <v>25.9</v>
      </c>
      <c r="K645">
        <f t="shared" si="231"/>
        <v>25.9</v>
      </c>
      <c r="L645">
        <f t="shared" si="230"/>
        <v>7.1944444444444443E-3</v>
      </c>
      <c r="M645">
        <v>-1.44</v>
      </c>
      <c r="N645">
        <f t="shared" si="232"/>
        <v>0</v>
      </c>
      <c r="O645">
        <f t="shared" si="233"/>
        <v>336.57523418791652</v>
      </c>
      <c r="P645">
        <f t="shared" si="234"/>
        <v>1077.040749401333</v>
      </c>
      <c r="Q645">
        <f t="shared" si="235"/>
        <v>4932.8466322581053</v>
      </c>
      <c r="R645">
        <f t="shared" si="236"/>
        <v>0</v>
      </c>
      <c r="S645">
        <f t="shared" si="237"/>
        <v>3.6220665298294086</v>
      </c>
      <c r="T645">
        <f t="shared" si="238"/>
        <v>3188.0406182279457</v>
      </c>
      <c r="U645">
        <f t="shared" si="239"/>
        <v>0</v>
      </c>
      <c r="V645">
        <f t="shared" si="240"/>
        <v>1.1126049495628667</v>
      </c>
      <c r="W645">
        <f t="shared" si="241"/>
        <v>2057.1478313565458</v>
      </c>
      <c r="X645">
        <f t="shared" si="242"/>
        <v>0</v>
      </c>
      <c r="Y645">
        <f t="shared" si="243"/>
        <v>0.5413104741643886</v>
      </c>
      <c r="Z645">
        <f t="shared" si="244"/>
        <v>1550.9386791379195</v>
      </c>
      <c r="AA645">
        <f t="shared" si="245"/>
        <v>0</v>
      </c>
      <c r="AB645">
        <f t="shared" si="246"/>
        <v>0.41958479072721394</v>
      </c>
      <c r="AC645">
        <f t="shared" si="247"/>
        <v>6000</v>
      </c>
      <c r="AD645">
        <f t="shared" si="248"/>
        <v>0</v>
      </c>
      <c r="AE645">
        <f t="shared" si="249"/>
        <v>6.7000407999999982</v>
      </c>
      <c r="AF645">
        <f t="shared" si="250"/>
        <v>6000</v>
      </c>
      <c r="AG645">
        <f t="shared" si="251"/>
        <v>0</v>
      </c>
      <c r="AH645">
        <f t="shared" si="252"/>
        <v>6.7000407999999982</v>
      </c>
      <c r="AI645" cm="1">
        <f t="array" ref="AI645">_xlfn.LET(
    _xlpm.vals,   _xlfn.HSTACK(S645,V645,Y645,AB645,AE645,AH645),
    _xlpm.ints,   _xlfn.HSTACK(R645,U645,X645,AA645,AD645,AG645),
    _xlpm.slopes, _xlfn.HSTACK(Q645,T645,W645,Z645,AC645,AF645),
    _xlpm.limit,  -0.00001*_xlpm.slopes + 0.1086*_xlpm.slopes + 63.253,
    _xlpm.mask,   (_xlpm.vals&gt;=0) * (_xlpm.ints&lt;=_xlpm.limit),
    _xlpm.validVals, _xlfn._xlws.FILTER(_xlpm.vals, _xlpm.mask),
    _xlpm.minVal, MIN(_xlpm.validVals),
    IFERROR( _xlfn.XMATCH(_xlpm.minVal, _xlpm.vals), "" )
)</f>
        <v>4</v>
      </c>
      <c r="AJ645" cm="1">
        <f t="array" ref="AJ645">_xlfn.LET(
    _xlpm.vals, CHOOSE({1,2,3,4,5,6}, S645, V645, Y645, AB645, AE645, AH645),
    _xlpm.slopes, CHOOSE({1,2,3,4,5,6}, Q645, T645, W645, Z645, AC645, AF645),
    _xlpm.ints, CHOOSE({1,2,3,4,5,6}, R645, U645, X645, AA645, AD645, AG645),
    _xlpm.limit, -0.00001*_xlpm.slopes + 0.1086*_xlpm.slopes + 63.253,
    _xlpm.valid, (_xlpm.vals &gt;= 0) * (_xlpm.ints &lt;= _xlpm.limit),
    _xlpm.target, MIN(_xlfn._xlws.FILTER(_xlpm.vals, _xlpm.valid)),
    IFERROR(
        _xlfn.XLOOKUP(_xlpm.target, _xlpm.vals, _xlpm.vals),
        CHOOSE({1,2,3,4,5,6}, S$1, V$1, Y$1, AB$1, AE$1, AH$1)
    )
)</f>
        <v>0.41958479072721394</v>
      </c>
    </row>
    <row r="646" spans="9:36" x14ac:dyDescent="0.45">
      <c r="I646">
        <v>644</v>
      </c>
      <c r="J646">
        <v>25.2</v>
      </c>
      <c r="K646">
        <f t="shared" si="231"/>
        <v>25.2</v>
      </c>
      <c r="L646">
        <f t="shared" si="230"/>
        <v>7.0000000000000001E-3</v>
      </c>
      <c r="M646">
        <v>-1.57</v>
      </c>
      <c r="N646">
        <f t="shared" si="232"/>
        <v>0</v>
      </c>
      <c r="O646">
        <f t="shared" si="233"/>
        <v>327.47860623689172</v>
      </c>
      <c r="P646">
        <f t="shared" si="234"/>
        <v>1047.9315399580535</v>
      </c>
      <c r="Q646">
        <f t="shared" si="235"/>
        <v>4799.5264530078848</v>
      </c>
      <c r="R646">
        <f t="shared" si="236"/>
        <v>0</v>
      </c>
      <c r="S646">
        <f t="shared" si="237"/>
        <v>3.332250690096302</v>
      </c>
      <c r="T646">
        <f t="shared" si="238"/>
        <v>3101.8773582758381</v>
      </c>
      <c r="U646">
        <f t="shared" si="239"/>
        <v>0</v>
      </c>
      <c r="V646">
        <f t="shared" si="240"/>
        <v>1.0478029451209649</v>
      </c>
      <c r="W646">
        <f t="shared" si="241"/>
        <v>2001.549241319882</v>
      </c>
      <c r="X646">
        <f t="shared" si="242"/>
        <v>0</v>
      </c>
      <c r="Y646">
        <f t="shared" si="243"/>
        <v>0.52532077604851501</v>
      </c>
      <c r="Z646">
        <f t="shared" si="244"/>
        <v>1509.021417539597</v>
      </c>
      <c r="AA646">
        <f t="shared" si="245"/>
        <v>0</v>
      </c>
      <c r="AB646">
        <f t="shared" si="246"/>
        <v>0.41136338888171387</v>
      </c>
      <c r="AC646">
        <f t="shared" si="247"/>
        <v>6000</v>
      </c>
      <c r="AD646">
        <f t="shared" si="248"/>
        <v>0</v>
      </c>
      <c r="AE646">
        <f t="shared" si="249"/>
        <v>6.7000407999999982</v>
      </c>
      <c r="AF646">
        <f t="shared" si="250"/>
        <v>6000</v>
      </c>
      <c r="AG646">
        <f t="shared" si="251"/>
        <v>0</v>
      </c>
      <c r="AH646">
        <f t="shared" si="252"/>
        <v>6.7000407999999982</v>
      </c>
      <c r="AI646" cm="1">
        <f t="array" ref="AI646">_xlfn.LET(
    _xlpm.vals,   _xlfn.HSTACK(S646,V646,Y646,AB646,AE646,AH646),
    _xlpm.ints,   _xlfn.HSTACK(R646,U646,X646,AA646,AD646,AG646),
    _xlpm.slopes, _xlfn.HSTACK(Q646,T646,W646,Z646,AC646,AF646),
    _xlpm.limit,  -0.00001*_xlpm.slopes + 0.1086*_xlpm.slopes + 63.253,
    _xlpm.mask,   (_xlpm.vals&gt;=0) * (_xlpm.ints&lt;=_xlpm.limit),
    _xlpm.validVals, _xlfn._xlws.FILTER(_xlpm.vals, _xlpm.mask),
    _xlpm.minVal, MIN(_xlpm.validVals),
    IFERROR( _xlfn.XMATCH(_xlpm.minVal, _xlpm.vals), "" )
)</f>
        <v>4</v>
      </c>
      <c r="AJ646" cm="1">
        <f t="array" ref="AJ646">_xlfn.LET(
    _xlpm.vals, CHOOSE({1,2,3,4,5,6}, S646, V646, Y646, AB646, AE646, AH646),
    _xlpm.slopes, CHOOSE({1,2,3,4,5,6}, Q646, T646, W646, Z646, AC646, AF646),
    _xlpm.ints, CHOOSE({1,2,3,4,5,6}, R646, U646, X646, AA646, AD646, AG646),
    _xlpm.limit, -0.00001*_xlpm.slopes + 0.1086*_xlpm.slopes + 63.253,
    _xlpm.valid, (_xlpm.vals &gt;= 0) * (_xlpm.ints &lt;= _xlpm.limit),
    _xlpm.target, MIN(_xlfn._xlws.FILTER(_xlpm.vals, _xlpm.valid)),
    IFERROR(
        _xlfn.XLOOKUP(_xlpm.target, _xlpm.vals, _xlpm.vals),
        CHOOSE({1,2,3,4,5,6}, S$1, V$1, Y$1, AB$1, AE$1, AH$1)
    )
)</f>
        <v>0.41136338888171387</v>
      </c>
    </row>
    <row r="647" spans="9:36" x14ac:dyDescent="0.45">
      <c r="I647">
        <v>645</v>
      </c>
      <c r="J647">
        <v>23.3</v>
      </c>
      <c r="K647">
        <f t="shared" si="231"/>
        <v>23.3</v>
      </c>
      <c r="L647">
        <f t="shared" si="230"/>
        <v>6.4722222222222221E-3</v>
      </c>
      <c r="M647">
        <v>-1.23</v>
      </c>
      <c r="N647">
        <f t="shared" si="232"/>
        <v>0</v>
      </c>
      <c r="O647">
        <f t="shared" si="233"/>
        <v>302.78775894125312</v>
      </c>
      <c r="P647">
        <f t="shared" si="234"/>
        <v>968.92082861201004</v>
      </c>
      <c r="Q647">
        <f t="shared" si="235"/>
        <v>4437.6573950430056</v>
      </c>
      <c r="R647">
        <f t="shared" si="236"/>
        <v>0</v>
      </c>
      <c r="S647">
        <f t="shared" si="237"/>
        <v>2.6381811269543038</v>
      </c>
      <c r="T647">
        <f t="shared" si="238"/>
        <v>2868.0056526915496</v>
      </c>
      <c r="U647">
        <f t="shared" si="239"/>
        <v>0</v>
      </c>
      <c r="V647">
        <f t="shared" si="240"/>
        <v>0.89252239377266984</v>
      </c>
      <c r="W647">
        <f t="shared" si="241"/>
        <v>1850.638782648939</v>
      </c>
      <c r="X647">
        <f t="shared" si="242"/>
        <v>0</v>
      </c>
      <c r="Y647">
        <f t="shared" si="243"/>
        <v>0.48562900712467638</v>
      </c>
      <c r="Z647">
        <f t="shared" si="244"/>
        <v>1395.2459932012944</v>
      </c>
      <c r="AA647">
        <f t="shared" si="245"/>
        <v>0</v>
      </c>
      <c r="AB647">
        <f t="shared" si="246"/>
        <v>0.38991647950340808</v>
      </c>
      <c r="AC647">
        <f t="shared" si="247"/>
        <v>6000</v>
      </c>
      <c r="AD647">
        <f t="shared" si="248"/>
        <v>0</v>
      </c>
      <c r="AE647">
        <f t="shared" si="249"/>
        <v>6.7000407999999982</v>
      </c>
      <c r="AF647">
        <f t="shared" si="250"/>
        <v>6000</v>
      </c>
      <c r="AG647">
        <f t="shared" si="251"/>
        <v>0</v>
      </c>
      <c r="AH647">
        <f t="shared" si="252"/>
        <v>6.7000407999999982</v>
      </c>
      <c r="AI647" cm="1">
        <f t="array" ref="AI647">_xlfn.LET(
    _xlpm.vals,   _xlfn.HSTACK(S647,V647,Y647,AB647,AE647,AH647),
    _xlpm.ints,   _xlfn.HSTACK(R647,U647,X647,AA647,AD647,AG647),
    _xlpm.slopes, _xlfn.HSTACK(Q647,T647,W647,Z647,AC647,AF647),
    _xlpm.limit,  -0.00001*_xlpm.slopes + 0.1086*_xlpm.slopes + 63.253,
    _xlpm.mask,   (_xlpm.vals&gt;=0) * (_xlpm.ints&lt;=_xlpm.limit),
    _xlpm.validVals, _xlfn._xlws.FILTER(_xlpm.vals, _xlpm.mask),
    _xlpm.minVal, MIN(_xlpm.validVals),
    IFERROR( _xlfn.XMATCH(_xlpm.minVal, _xlpm.vals), "" )
)</f>
        <v>4</v>
      </c>
      <c r="AJ647" cm="1">
        <f t="array" ref="AJ647">_xlfn.LET(
    _xlpm.vals, CHOOSE({1,2,3,4,5,6}, S647, V647, Y647, AB647, AE647, AH647),
    _xlpm.slopes, CHOOSE({1,2,3,4,5,6}, Q647, T647, W647, Z647, AC647, AF647),
    _xlpm.ints, CHOOSE({1,2,3,4,5,6}, R647, U647, X647, AA647, AD647, AG647),
    _xlpm.limit, -0.00001*_xlpm.slopes + 0.1086*_xlpm.slopes + 63.253,
    _xlpm.valid, (_xlpm.vals &gt;= 0) * (_xlpm.ints &lt;= _xlpm.limit),
    _xlpm.target, MIN(_xlfn._xlws.FILTER(_xlpm.vals, _xlpm.valid)),
    IFERROR(
        _xlfn.XLOOKUP(_xlpm.target, _xlpm.vals, _xlpm.vals),
        CHOOSE({1,2,3,4,5,6}, S$1, V$1, Y$1, AB$1, AE$1, AH$1)
    )
)</f>
        <v>0.38991647950340808</v>
      </c>
    </row>
    <row r="648" spans="9:36" x14ac:dyDescent="0.45">
      <c r="I648">
        <v>646</v>
      </c>
      <c r="J648">
        <v>20.8</v>
      </c>
      <c r="K648">
        <f t="shared" si="231"/>
        <v>20.8</v>
      </c>
      <c r="L648">
        <f t="shared" si="230"/>
        <v>5.7777777777777784E-3</v>
      </c>
      <c r="M648">
        <v>-1.25</v>
      </c>
      <c r="N648">
        <f t="shared" si="232"/>
        <v>0</v>
      </c>
      <c r="O648">
        <f t="shared" si="233"/>
        <v>270.29980197330752</v>
      </c>
      <c r="P648">
        <f t="shared" si="234"/>
        <v>864.95936631458414</v>
      </c>
      <c r="Q648">
        <f t="shared" si="235"/>
        <v>3961.5138977207953</v>
      </c>
      <c r="R648">
        <f t="shared" si="236"/>
        <v>0</v>
      </c>
      <c r="S648">
        <f t="shared" si="237"/>
        <v>1.9124121603170747</v>
      </c>
      <c r="T648">
        <f t="shared" si="238"/>
        <v>2560.2797242911693</v>
      </c>
      <c r="U648">
        <f t="shared" si="239"/>
        <v>0</v>
      </c>
      <c r="V648">
        <f t="shared" si="240"/>
        <v>0.729064150007667</v>
      </c>
      <c r="W648">
        <f t="shared" si="241"/>
        <v>1652.0723896608556</v>
      </c>
      <c r="X648">
        <f t="shared" si="242"/>
        <v>0</v>
      </c>
      <c r="Y648">
        <f t="shared" si="243"/>
        <v>0.44030856404258462</v>
      </c>
      <c r="Z648">
        <f t="shared" si="244"/>
        <v>1245.5414874930011</v>
      </c>
      <c r="AA648">
        <f t="shared" si="245"/>
        <v>0</v>
      </c>
      <c r="AB648">
        <f t="shared" si="246"/>
        <v>0.36305057553825087</v>
      </c>
      <c r="AC648">
        <f t="shared" si="247"/>
        <v>6000</v>
      </c>
      <c r="AD648">
        <f t="shared" si="248"/>
        <v>0</v>
      </c>
      <c r="AE648">
        <f t="shared" si="249"/>
        <v>6.7000407999999982</v>
      </c>
      <c r="AF648">
        <f t="shared" si="250"/>
        <v>6000</v>
      </c>
      <c r="AG648">
        <f t="shared" si="251"/>
        <v>0</v>
      </c>
      <c r="AH648">
        <f t="shared" si="252"/>
        <v>6.7000407999999982</v>
      </c>
      <c r="AI648" cm="1">
        <f t="array" ref="AI648">_xlfn.LET(
    _xlpm.vals,   _xlfn.HSTACK(S648,V648,Y648,AB648,AE648,AH648),
    _xlpm.ints,   _xlfn.HSTACK(R648,U648,X648,AA648,AD648,AG648),
    _xlpm.slopes, _xlfn.HSTACK(Q648,T648,W648,Z648,AC648,AF648),
    _xlpm.limit,  -0.00001*_xlpm.slopes + 0.1086*_xlpm.slopes + 63.253,
    _xlpm.mask,   (_xlpm.vals&gt;=0) * (_xlpm.ints&lt;=_xlpm.limit),
    _xlpm.validVals, _xlfn._xlws.FILTER(_xlpm.vals, _xlpm.mask),
    _xlpm.minVal, MIN(_xlpm.validVals),
    IFERROR( _xlfn.XMATCH(_xlpm.minVal, _xlpm.vals), "" )
)</f>
        <v>4</v>
      </c>
      <c r="AJ648" cm="1">
        <f t="array" ref="AJ648">_xlfn.LET(
    _xlpm.vals, CHOOSE({1,2,3,4,5,6}, S648, V648, Y648, AB648, AE648, AH648),
    _xlpm.slopes, CHOOSE({1,2,3,4,5,6}, Q648, T648, W648, Z648, AC648, AF648),
    _xlpm.ints, CHOOSE({1,2,3,4,5,6}, R648, U648, X648, AA648, AD648, AG648),
    _xlpm.limit, -0.00001*_xlpm.slopes + 0.1086*_xlpm.slopes + 63.253,
    _xlpm.valid, (_xlpm.vals &gt;= 0) * (_xlpm.ints &lt;= _xlpm.limit),
    _xlpm.target, MIN(_xlfn._xlws.FILTER(_xlpm.vals, _xlpm.valid)),
    IFERROR(
        _xlfn.XLOOKUP(_xlpm.target, _xlpm.vals, _xlpm.vals),
        CHOOSE({1,2,3,4,5,6}, S$1, V$1, Y$1, AB$1, AE$1, AH$1)
    )
)</f>
        <v>0.36305057553825087</v>
      </c>
    </row>
    <row r="649" spans="9:36" x14ac:dyDescent="0.45">
      <c r="I649">
        <v>647</v>
      </c>
      <c r="J649">
        <v>18.100000000000001</v>
      </c>
      <c r="K649">
        <f t="shared" si="231"/>
        <v>18.100000000000001</v>
      </c>
      <c r="L649">
        <f t="shared" si="230"/>
        <v>5.0277777777777786E-3</v>
      </c>
      <c r="M649">
        <v>-1.18</v>
      </c>
      <c r="N649">
        <f t="shared" si="232"/>
        <v>0</v>
      </c>
      <c r="O649">
        <f t="shared" si="233"/>
        <v>235.21280844792625</v>
      </c>
      <c r="P649">
        <f t="shared" si="234"/>
        <v>752.68098703336409</v>
      </c>
      <c r="Q649">
        <f t="shared" si="235"/>
        <v>3447.2789206128077</v>
      </c>
      <c r="R649">
        <f t="shared" si="236"/>
        <v>0</v>
      </c>
      <c r="S649">
        <f t="shared" si="237"/>
        <v>1.3347273911875992</v>
      </c>
      <c r="T649">
        <f t="shared" si="238"/>
        <v>2227.9357216187577</v>
      </c>
      <c r="U649">
        <f t="shared" si="239"/>
        <v>0</v>
      </c>
      <c r="V649">
        <f t="shared" si="240"/>
        <v>0.59573117938469977</v>
      </c>
      <c r="W649">
        <f t="shared" si="241"/>
        <v>1437.6206852337255</v>
      </c>
      <c r="X649">
        <f t="shared" si="242"/>
        <v>0</v>
      </c>
      <c r="Y649">
        <f t="shared" si="243"/>
        <v>0.39777238980724972</v>
      </c>
      <c r="Z649">
        <f t="shared" si="244"/>
        <v>1083.8606213280443</v>
      </c>
      <c r="AA649">
        <f t="shared" si="245"/>
        <v>0</v>
      </c>
      <c r="AB649">
        <f t="shared" si="246"/>
        <v>0.33473298124251372</v>
      </c>
      <c r="AC649">
        <f t="shared" si="247"/>
        <v>6000</v>
      </c>
      <c r="AD649">
        <f t="shared" si="248"/>
        <v>0</v>
      </c>
      <c r="AE649">
        <f t="shared" si="249"/>
        <v>6.7000407999999982</v>
      </c>
      <c r="AF649">
        <f t="shared" si="250"/>
        <v>6000</v>
      </c>
      <c r="AG649">
        <f t="shared" si="251"/>
        <v>0</v>
      </c>
      <c r="AH649">
        <f t="shared" si="252"/>
        <v>6.7000407999999982</v>
      </c>
      <c r="AI649" cm="1">
        <f t="array" ref="AI649">_xlfn.LET(
    _xlpm.vals,   _xlfn.HSTACK(S649,V649,Y649,AB649,AE649,AH649),
    _xlpm.ints,   _xlfn.HSTACK(R649,U649,X649,AA649,AD649,AG649),
    _xlpm.slopes, _xlfn.HSTACK(Q649,T649,W649,Z649,AC649,AF649),
    _xlpm.limit,  -0.00001*_xlpm.slopes + 0.1086*_xlpm.slopes + 63.253,
    _xlpm.mask,   (_xlpm.vals&gt;=0) * (_xlpm.ints&lt;=_xlpm.limit),
    _xlpm.validVals, _xlfn._xlws.FILTER(_xlpm.vals, _xlpm.mask),
    _xlpm.minVal, MIN(_xlpm.validVals),
    IFERROR( _xlfn.XMATCH(_xlpm.minVal, _xlpm.vals), "" )
)</f>
        <v>4</v>
      </c>
      <c r="AJ649" cm="1">
        <f t="array" ref="AJ649">_xlfn.LET(
    _xlpm.vals, CHOOSE({1,2,3,4,5,6}, S649, V649, Y649, AB649, AE649, AH649),
    _xlpm.slopes, CHOOSE({1,2,3,4,5,6}, Q649, T649, W649, Z649, AC649, AF649),
    _xlpm.ints, CHOOSE({1,2,3,4,5,6}, R649, U649, X649, AA649, AD649, AG649),
    _xlpm.limit, -0.00001*_xlpm.slopes + 0.1086*_xlpm.slopes + 63.253,
    _xlpm.valid, (_xlpm.vals &gt;= 0) * (_xlpm.ints &lt;= _xlpm.limit),
    _xlpm.target, MIN(_xlfn._xlws.FILTER(_xlpm.vals, _xlpm.valid)),
    IFERROR(
        _xlfn.XLOOKUP(_xlpm.target, _xlpm.vals, _xlpm.vals),
        CHOOSE({1,2,3,4,5,6}, S$1, V$1, Y$1, AB$1, AE$1, AH$1)
    )
)</f>
        <v>0.33473298124251372</v>
      </c>
    </row>
    <row r="650" spans="9:36" x14ac:dyDescent="0.45">
      <c r="I650">
        <v>648</v>
      </c>
      <c r="J650">
        <v>15.9</v>
      </c>
      <c r="K650">
        <f t="shared" si="231"/>
        <v>15.9</v>
      </c>
      <c r="L650">
        <f t="shared" si="230"/>
        <v>4.4166666666666668E-3</v>
      </c>
      <c r="M650">
        <v>-0.67</v>
      </c>
      <c r="N650">
        <f t="shared" si="232"/>
        <v>0</v>
      </c>
      <c r="O650">
        <f t="shared" si="233"/>
        <v>206.62340631613412</v>
      </c>
      <c r="P650">
        <f t="shared" si="234"/>
        <v>661.19490021162926</v>
      </c>
      <c r="Q650">
        <f t="shared" si="235"/>
        <v>3028.2726429692621</v>
      </c>
      <c r="R650">
        <f t="shared" si="236"/>
        <v>0</v>
      </c>
      <c r="S650">
        <f t="shared" si="237"/>
        <v>0.99577498831079381</v>
      </c>
      <c r="T650">
        <f t="shared" si="238"/>
        <v>1957.1369046264226</v>
      </c>
      <c r="U650">
        <f t="shared" si="239"/>
        <v>0</v>
      </c>
      <c r="V650">
        <f t="shared" si="240"/>
        <v>0.51309952498925671</v>
      </c>
      <c r="W650">
        <f t="shared" si="241"/>
        <v>1262.8822594042119</v>
      </c>
      <c r="X650">
        <f t="shared" si="242"/>
        <v>0</v>
      </c>
      <c r="Y650">
        <f t="shared" si="243"/>
        <v>0.36611096151133027</v>
      </c>
      <c r="Z650">
        <f t="shared" si="244"/>
        <v>6000</v>
      </c>
      <c r="AA650">
        <f t="shared" si="245"/>
        <v>0</v>
      </c>
      <c r="AB650">
        <f t="shared" si="246"/>
        <v>6.7000407999999982</v>
      </c>
      <c r="AC650">
        <f t="shared" si="247"/>
        <v>6000</v>
      </c>
      <c r="AD650">
        <f t="shared" si="248"/>
        <v>0</v>
      </c>
      <c r="AE650">
        <f t="shared" si="249"/>
        <v>6.7000407999999982</v>
      </c>
      <c r="AF650">
        <f t="shared" si="250"/>
        <v>6000</v>
      </c>
      <c r="AG650">
        <f t="shared" si="251"/>
        <v>0</v>
      </c>
      <c r="AH650">
        <f t="shared" si="252"/>
        <v>6.7000407999999982</v>
      </c>
      <c r="AI650" cm="1">
        <f t="array" ref="AI650">_xlfn.LET(
    _xlpm.vals,   _xlfn.HSTACK(S650,V650,Y650,AB650,AE650,AH650),
    _xlpm.ints,   _xlfn.HSTACK(R650,U650,X650,AA650,AD650,AG650),
    _xlpm.slopes, _xlfn.HSTACK(Q650,T650,W650,Z650,AC650,AF650),
    _xlpm.limit,  -0.00001*_xlpm.slopes + 0.1086*_xlpm.slopes + 63.253,
    _xlpm.mask,   (_xlpm.vals&gt;=0) * (_xlpm.ints&lt;=_xlpm.limit),
    _xlpm.validVals, _xlfn._xlws.FILTER(_xlpm.vals, _xlpm.mask),
    _xlpm.minVal, MIN(_xlpm.validVals),
    IFERROR( _xlfn.XMATCH(_xlpm.minVal, _xlpm.vals), "" )
)</f>
        <v>3</v>
      </c>
      <c r="AJ650" cm="1">
        <f t="array" ref="AJ650">_xlfn.LET(
    _xlpm.vals, CHOOSE({1,2,3,4,5,6}, S650, V650, Y650, AB650, AE650, AH650),
    _xlpm.slopes, CHOOSE({1,2,3,4,5,6}, Q650, T650, W650, Z650, AC650, AF650),
    _xlpm.ints, CHOOSE({1,2,3,4,5,6}, R650, U650, X650, AA650, AD650, AG650),
    _xlpm.limit, -0.00001*_xlpm.slopes + 0.1086*_xlpm.slopes + 63.253,
    _xlpm.valid, (_xlpm.vals &gt;= 0) * (_xlpm.ints &lt;= _xlpm.limit),
    _xlpm.target, MIN(_xlfn._xlws.FILTER(_xlpm.vals, _xlpm.valid)),
    IFERROR(
        _xlfn.XLOOKUP(_xlpm.target, _xlpm.vals, _xlpm.vals),
        CHOOSE({1,2,3,4,5,6}, S$1, V$1, Y$1, AB$1, AE$1, AH$1)
    )
)</f>
        <v>0.36611096151133027</v>
      </c>
    </row>
    <row r="651" spans="9:36" x14ac:dyDescent="0.45">
      <c r="I651">
        <v>649</v>
      </c>
      <c r="J651">
        <v>13.6</v>
      </c>
      <c r="K651">
        <f t="shared" si="231"/>
        <v>13.6</v>
      </c>
      <c r="L651">
        <f t="shared" si="230"/>
        <v>3.7777777777777775E-3</v>
      </c>
      <c r="M651">
        <v>-1.0900000000000001</v>
      </c>
      <c r="N651">
        <f t="shared" si="232"/>
        <v>0</v>
      </c>
      <c r="O651">
        <f t="shared" si="233"/>
        <v>176.73448590562413</v>
      </c>
      <c r="P651">
        <f t="shared" si="234"/>
        <v>565.55035489799718</v>
      </c>
      <c r="Q651">
        <f t="shared" si="235"/>
        <v>2590.2206254328271</v>
      </c>
      <c r="R651">
        <f t="shared" si="236"/>
        <v>0</v>
      </c>
      <c r="S651">
        <f t="shared" si="237"/>
        <v>0.74313404167057451</v>
      </c>
      <c r="T651">
        <f t="shared" si="238"/>
        <v>1674.0290504980717</v>
      </c>
      <c r="U651">
        <f t="shared" si="239"/>
        <v>0</v>
      </c>
      <c r="V651">
        <f t="shared" si="240"/>
        <v>0.44499515959515207</v>
      </c>
      <c r="W651">
        <f t="shared" si="241"/>
        <v>1080.2011778551746</v>
      </c>
      <c r="X651">
        <f t="shared" si="242"/>
        <v>0</v>
      </c>
      <c r="Y651">
        <f t="shared" si="243"/>
        <v>0.33409125683610902</v>
      </c>
      <c r="Z651">
        <f t="shared" si="244"/>
        <v>6000</v>
      </c>
      <c r="AA651">
        <f t="shared" si="245"/>
        <v>0</v>
      </c>
      <c r="AB651">
        <f t="shared" si="246"/>
        <v>6.7000407999999982</v>
      </c>
      <c r="AC651">
        <f t="shared" si="247"/>
        <v>6000</v>
      </c>
      <c r="AD651">
        <f t="shared" si="248"/>
        <v>0</v>
      </c>
      <c r="AE651">
        <f t="shared" si="249"/>
        <v>6.7000407999999982</v>
      </c>
      <c r="AF651">
        <f t="shared" si="250"/>
        <v>6000</v>
      </c>
      <c r="AG651">
        <f t="shared" si="251"/>
        <v>0</v>
      </c>
      <c r="AH651">
        <f t="shared" si="252"/>
        <v>6.7000407999999982</v>
      </c>
      <c r="AI651" cm="1">
        <f t="array" ref="AI651">_xlfn.LET(
    _xlpm.vals,   _xlfn.HSTACK(S651,V651,Y651,AB651,AE651,AH651),
    _xlpm.ints,   _xlfn.HSTACK(R651,U651,X651,AA651,AD651,AG651),
    _xlpm.slopes, _xlfn.HSTACK(Q651,T651,W651,Z651,AC651,AF651),
    _xlpm.limit,  -0.00001*_xlpm.slopes + 0.1086*_xlpm.slopes + 63.253,
    _xlpm.mask,   (_xlpm.vals&gt;=0) * (_xlpm.ints&lt;=_xlpm.limit),
    _xlpm.validVals, _xlfn._xlws.FILTER(_xlpm.vals, _xlpm.mask),
    _xlpm.minVal, MIN(_xlpm.validVals),
    IFERROR( _xlfn.XMATCH(_xlpm.minVal, _xlpm.vals), "" )
)</f>
        <v>3</v>
      </c>
      <c r="AJ651" cm="1">
        <f t="array" ref="AJ651">_xlfn.LET(
    _xlpm.vals, CHOOSE({1,2,3,4,5,6}, S651, V651, Y651, AB651, AE651, AH651),
    _xlpm.slopes, CHOOSE({1,2,3,4,5,6}, Q651, T651, W651, Z651, AC651, AF651),
    _xlpm.ints, CHOOSE({1,2,3,4,5,6}, R651, U651, X651, AA651, AD651, AG651),
    _xlpm.limit, -0.00001*_xlpm.slopes + 0.1086*_xlpm.slopes + 63.253,
    _xlpm.valid, (_xlpm.vals &gt;= 0) * (_xlpm.ints &lt;= _xlpm.limit),
    _xlpm.target, MIN(_xlfn._xlws.FILTER(_xlpm.vals, _xlpm.valid)),
    IFERROR(
        _xlfn.XLOOKUP(_xlpm.target, _xlpm.vals, _xlpm.vals),
        CHOOSE({1,2,3,4,5,6}, S$1, V$1, Y$1, AB$1, AE$1, AH$1)
    )
)</f>
        <v>0.33409125683610902</v>
      </c>
    </row>
    <row r="652" spans="9:36" x14ac:dyDescent="0.45">
      <c r="I652">
        <v>650</v>
      </c>
      <c r="J652">
        <v>11.2</v>
      </c>
      <c r="K652">
        <f t="shared" si="231"/>
        <v>11.2</v>
      </c>
      <c r="L652">
        <f t="shared" si="230"/>
        <v>3.1111111111111109E-3</v>
      </c>
      <c r="M652">
        <v>-0.69</v>
      </c>
      <c r="N652">
        <f t="shared" si="232"/>
        <v>0</v>
      </c>
      <c r="O652">
        <f t="shared" si="233"/>
        <v>145.54604721639635</v>
      </c>
      <c r="P652">
        <f t="shared" si="234"/>
        <v>465.74735109246831</v>
      </c>
      <c r="Q652">
        <f t="shared" si="235"/>
        <v>2133.1228680035047</v>
      </c>
      <c r="R652">
        <f t="shared" si="236"/>
        <v>0</v>
      </c>
      <c r="S652">
        <f t="shared" si="237"/>
        <v>0.56448583628939009</v>
      </c>
      <c r="T652">
        <f t="shared" si="238"/>
        <v>1378.6121592337063</v>
      </c>
      <c r="U652">
        <f t="shared" si="239"/>
        <v>0</v>
      </c>
      <c r="V652">
        <f t="shared" si="240"/>
        <v>0.38686930670423697</v>
      </c>
      <c r="W652">
        <f t="shared" si="241"/>
        <v>6000</v>
      </c>
      <c r="X652">
        <f t="shared" si="242"/>
        <v>0</v>
      </c>
      <c r="Y652">
        <f t="shared" si="243"/>
        <v>6.7000407999999982</v>
      </c>
      <c r="Z652">
        <f t="shared" si="244"/>
        <v>6000</v>
      </c>
      <c r="AA652">
        <f t="shared" si="245"/>
        <v>0</v>
      </c>
      <c r="AB652">
        <f t="shared" si="246"/>
        <v>6.7000407999999982</v>
      </c>
      <c r="AC652">
        <f t="shared" si="247"/>
        <v>6000</v>
      </c>
      <c r="AD652">
        <f t="shared" si="248"/>
        <v>0</v>
      </c>
      <c r="AE652">
        <f t="shared" si="249"/>
        <v>6.7000407999999982</v>
      </c>
      <c r="AF652">
        <f t="shared" si="250"/>
        <v>6000</v>
      </c>
      <c r="AG652">
        <f t="shared" si="251"/>
        <v>0</v>
      </c>
      <c r="AH652">
        <f t="shared" si="252"/>
        <v>6.7000407999999982</v>
      </c>
      <c r="AI652" cm="1">
        <f t="array" ref="AI652">_xlfn.LET(
    _xlpm.vals,   _xlfn.HSTACK(S652,V652,Y652,AB652,AE652,AH652),
    _xlpm.ints,   _xlfn.HSTACK(R652,U652,X652,AA652,AD652,AG652),
    _xlpm.slopes, _xlfn.HSTACK(Q652,T652,W652,Z652,AC652,AF652),
    _xlpm.limit,  -0.00001*_xlpm.slopes + 0.1086*_xlpm.slopes + 63.253,
    _xlpm.mask,   (_xlpm.vals&gt;=0) * (_xlpm.ints&lt;=_xlpm.limit),
    _xlpm.validVals, _xlfn._xlws.FILTER(_xlpm.vals, _xlpm.mask),
    _xlpm.minVal, MIN(_xlpm.validVals),
    IFERROR( _xlfn.XMATCH(_xlpm.minVal, _xlpm.vals), "" )
)</f>
        <v>2</v>
      </c>
      <c r="AJ652" cm="1">
        <f t="array" ref="AJ652">_xlfn.LET(
    _xlpm.vals, CHOOSE({1,2,3,4,5,6}, S652, V652, Y652, AB652, AE652, AH652),
    _xlpm.slopes, CHOOSE({1,2,3,4,5,6}, Q652, T652, W652, Z652, AC652, AF652),
    _xlpm.ints, CHOOSE({1,2,3,4,5,6}, R652, U652, X652, AA652, AD652, AG652),
    _xlpm.limit, -0.00001*_xlpm.slopes + 0.1086*_xlpm.slopes + 63.253,
    _xlpm.valid, (_xlpm.vals &gt;= 0) * (_xlpm.ints &lt;= _xlpm.limit),
    _xlpm.target, MIN(_xlfn._xlws.FILTER(_xlpm.vals, _xlpm.valid)),
    IFERROR(
        _xlfn.XLOOKUP(_xlpm.target, _xlpm.vals, _xlpm.vals),
        CHOOSE({1,2,3,4,5,6}, S$1, V$1, Y$1, AB$1, AE$1, AH$1)
    )
)</f>
        <v>0.38686930670423697</v>
      </c>
    </row>
    <row r="653" spans="9:36" x14ac:dyDescent="0.45">
      <c r="I653">
        <v>651</v>
      </c>
      <c r="J653">
        <v>8.5</v>
      </c>
      <c r="K653">
        <f t="shared" si="231"/>
        <v>8.5</v>
      </c>
      <c r="L653">
        <f t="shared" si="230"/>
        <v>2.3611111111111111E-3</v>
      </c>
      <c r="M653">
        <v>0.59</v>
      </c>
      <c r="N653">
        <f t="shared" si="232"/>
        <v>0.59</v>
      </c>
      <c r="O653">
        <f t="shared" si="233"/>
        <v>110.45905369101509</v>
      </c>
      <c r="P653">
        <f t="shared" si="234"/>
        <v>353.46897181124831</v>
      </c>
      <c r="Q653">
        <f t="shared" si="235"/>
        <v>1618.8878908955173</v>
      </c>
      <c r="R653">
        <f t="shared" si="236"/>
        <v>3.4802193636376502</v>
      </c>
      <c r="S653">
        <f t="shared" si="237"/>
        <v>0.46694326769788674</v>
      </c>
      <c r="T653">
        <f t="shared" si="238"/>
        <v>1046.268156561295</v>
      </c>
      <c r="U653">
        <f t="shared" si="239"/>
        <v>5.3849340153582563</v>
      </c>
      <c r="V653">
        <f t="shared" si="240"/>
        <v>0.36227789326498616</v>
      </c>
      <c r="W653">
        <f t="shared" si="241"/>
        <v>6000</v>
      </c>
      <c r="X653">
        <f t="shared" si="242"/>
        <v>0.93901416424218254</v>
      </c>
      <c r="Y653">
        <f t="shared" si="243"/>
        <v>6.7058115334511479</v>
      </c>
      <c r="Z653">
        <f t="shared" si="244"/>
        <v>6000</v>
      </c>
      <c r="AA653">
        <f t="shared" si="245"/>
        <v>0.93901416424218254</v>
      </c>
      <c r="AB653">
        <f t="shared" si="246"/>
        <v>6.7058115334511479</v>
      </c>
      <c r="AC653">
        <f t="shared" si="247"/>
        <v>6000</v>
      </c>
      <c r="AD653">
        <f t="shared" si="248"/>
        <v>0.93901416424218254</v>
      </c>
      <c r="AE653">
        <f t="shared" si="249"/>
        <v>6.7058115334511479</v>
      </c>
      <c r="AF653">
        <f t="shared" si="250"/>
        <v>6000</v>
      </c>
      <c r="AG653">
        <f t="shared" si="251"/>
        <v>0.93901416424218254</v>
      </c>
      <c r="AH653">
        <f t="shared" si="252"/>
        <v>6.7058115334511479</v>
      </c>
      <c r="AI653" cm="1">
        <f t="array" ref="AI653">_xlfn.LET(
    _xlpm.vals,   _xlfn.HSTACK(S653,V653,Y653,AB653,AE653,AH653),
    _xlpm.ints,   _xlfn.HSTACK(R653,U653,X653,AA653,AD653,AG653),
    _xlpm.slopes, _xlfn.HSTACK(Q653,T653,W653,Z653,AC653,AF653),
    _xlpm.limit,  -0.00001*_xlpm.slopes + 0.1086*_xlpm.slopes + 63.253,
    _xlpm.mask,   (_xlpm.vals&gt;=0) * (_xlpm.ints&lt;=_xlpm.limit),
    _xlpm.validVals, _xlfn._xlws.FILTER(_xlpm.vals, _xlpm.mask),
    _xlpm.minVal, MIN(_xlpm.validVals),
    IFERROR( _xlfn.XMATCH(_xlpm.minVal, _xlpm.vals), "" )
)</f>
        <v>2</v>
      </c>
      <c r="AJ653" cm="1">
        <f t="array" ref="AJ653">_xlfn.LET(
    _xlpm.vals, CHOOSE({1,2,3,4,5,6}, S653, V653, Y653, AB653, AE653, AH653),
    _xlpm.slopes, CHOOSE({1,2,3,4,5,6}, Q653, T653, W653, Z653, AC653, AF653),
    _xlpm.ints, CHOOSE({1,2,3,4,5,6}, R653, U653, X653, AA653, AD653, AG653),
    _xlpm.limit, -0.00001*_xlpm.slopes + 0.1086*_xlpm.slopes + 63.253,
    _xlpm.valid, (_xlpm.vals &gt;= 0) * (_xlpm.ints &lt;= _xlpm.limit),
    _xlpm.target, MIN(_xlfn._xlws.FILTER(_xlpm.vals, _xlpm.valid)),
    IFERROR(
        _xlfn.XLOOKUP(_xlpm.target, _xlpm.vals, _xlpm.vals),
        CHOOSE({1,2,3,4,5,6}, S$1, V$1, Y$1, AB$1, AE$1, AH$1)
    )
)</f>
        <v>0.36227789326498616</v>
      </c>
    </row>
    <row r="654" spans="9:36" x14ac:dyDescent="0.45">
      <c r="I654">
        <v>652</v>
      </c>
      <c r="J654">
        <v>5.4</v>
      </c>
      <c r="K654">
        <f t="shared" si="231"/>
        <v>5.4</v>
      </c>
      <c r="L654">
        <f t="shared" si="230"/>
        <v>1.5E-3</v>
      </c>
      <c r="M654">
        <v>0.44</v>
      </c>
      <c r="N654">
        <f t="shared" si="232"/>
        <v>0.44</v>
      </c>
      <c r="O654">
        <f t="shared" si="233"/>
        <v>70.17398705076252</v>
      </c>
      <c r="P654">
        <f t="shared" si="234"/>
        <v>224.55675856244008</v>
      </c>
      <c r="Q654">
        <f t="shared" si="235"/>
        <v>1028.4699542159756</v>
      </c>
      <c r="R654">
        <f t="shared" si="236"/>
        <v>4.0853799183944801</v>
      </c>
      <c r="S654">
        <f t="shared" si="237"/>
        <v>0.35006440834732239</v>
      </c>
      <c r="T654">
        <f t="shared" si="238"/>
        <v>6000</v>
      </c>
      <c r="U654">
        <f t="shared" si="239"/>
        <v>0.70028174960433953</v>
      </c>
      <c r="V654">
        <f t="shared" si="240"/>
        <v>6.7043165198543333</v>
      </c>
      <c r="W654">
        <f t="shared" si="241"/>
        <v>6000</v>
      </c>
      <c r="X654">
        <f t="shared" si="242"/>
        <v>0.70028174960433953</v>
      </c>
      <c r="Y654">
        <f t="shared" si="243"/>
        <v>6.7043165198543333</v>
      </c>
      <c r="Z654">
        <f t="shared" si="244"/>
        <v>6000</v>
      </c>
      <c r="AA654">
        <f t="shared" si="245"/>
        <v>0.70028174960433953</v>
      </c>
      <c r="AB654">
        <f t="shared" si="246"/>
        <v>6.7043165198543333</v>
      </c>
      <c r="AC654">
        <f t="shared" si="247"/>
        <v>6000</v>
      </c>
      <c r="AD654">
        <f t="shared" si="248"/>
        <v>0.70028174960433953</v>
      </c>
      <c r="AE654">
        <f t="shared" si="249"/>
        <v>6.7043165198543333</v>
      </c>
      <c r="AF654">
        <f t="shared" si="250"/>
        <v>6000</v>
      </c>
      <c r="AG654">
        <f t="shared" si="251"/>
        <v>0.70028174960433953</v>
      </c>
      <c r="AH654">
        <f t="shared" si="252"/>
        <v>6.7043165198543333</v>
      </c>
      <c r="AI654" cm="1">
        <f t="array" ref="AI654">_xlfn.LET(
    _xlpm.vals,   _xlfn.HSTACK(S654,V654,Y654,AB654,AE654,AH654),
    _xlpm.ints,   _xlfn.HSTACK(R654,U654,X654,AA654,AD654,AG654),
    _xlpm.slopes, _xlfn.HSTACK(Q654,T654,W654,Z654,AC654,AF654),
    _xlpm.limit,  -0.00001*_xlpm.slopes + 0.1086*_xlpm.slopes + 63.253,
    _xlpm.mask,   (_xlpm.vals&gt;=0) * (_xlpm.ints&lt;=_xlpm.limit),
    _xlpm.validVals, _xlfn._xlws.FILTER(_xlpm.vals, _xlpm.mask),
    _xlpm.minVal, MIN(_xlpm.validVals),
    IFERROR( _xlfn.XMATCH(_xlpm.minVal, _xlpm.vals), "" )
)</f>
        <v>1</v>
      </c>
      <c r="AJ654" cm="1">
        <f t="array" ref="AJ654">_xlfn.LET(
    _xlpm.vals, CHOOSE({1,2,3,4,5,6}, S654, V654, Y654, AB654, AE654, AH654),
    _xlpm.slopes, CHOOSE({1,2,3,4,5,6}, Q654, T654, W654, Z654, AC654, AF654),
    _xlpm.ints, CHOOSE({1,2,3,4,5,6}, R654, U654, X654, AA654, AD654, AG654),
    _xlpm.limit, -0.00001*_xlpm.slopes + 0.1086*_xlpm.slopes + 63.253,
    _xlpm.valid, (_xlpm.vals &gt;= 0) * (_xlpm.ints &lt;= _xlpm.limit),
    _xlpm.target, MIN(_xlfn._xlws.FILTER(_xlpm.vals, _xlpm.valid)),
    IFERROR(
        _xlfn.XLOOKUP(_xlpm.target, _xlpm.vals, _xlpm.vals),
        CHOOSE({1,2,3,4,5,6}, S$1, V$1, Y$1, AB$1, AE$1, AH$1)
    )
)</f>
        <v>0.35006440834732239</v>
      </c>
    </row>
    <row r="655" spans="9:36" x14ac:dyDescent="0.45">
      <c r="I655">
        <v>653</v>
      </c>
      <c r="J655">
        <v>2.8</v>
      </c>
      <c r="K655">
        <f t="shared" si="231"/>
        <v>2.8</v>
      </c>
      <c r="L655">
        <f t="shared" si="230"/>
        <v>7.7777777777777773E-4</v>
      </c>
      <c r="M655">
        <v>1.33</v>
      </c>
      <c r="N655">
        <f t="shared" si="232"/>
        <v>1.33</v>
      </c>
      <c r="O655">
        <f t="shared" si="233"/>
        <v>36.386511804099086</v>
      </c>
      <c r="P655">
        <f t="shared" si="234"/>
        <v>116.43683777311708</v>
      </c>
      <c r="Q655">
        <f t="shared" si="235"/>
        <v>1000</v>
      </c>
      <c r="R655">
        <f t="shared" si="236"/>
        <v>12.700564458733249</v>
      </c>
      <c r="S655">
        <f t="shared" si="237"/>
        <v>0.40197492302114229</v>
      </c>
      <c r="T655">
        <f t="shared" si="238"/>
        <v>6000</v>
      </c>
      <c r="U655">
        <f t="shared" si="239"/>
        <v>2.116760743122208</v>
      </c>
      <c r="V655">
        <f t="shared" si="240"/>
        <v>6.7134638941344651</v>
      </c>
      <c r="W655">
        <f t="shared" si="241"/>
        <v>6000</v>
      </c>
      <c r="X655">
        <f t="shared" si="242"/>
        <v>2.116760743122208</v>
      </c>
      <c r="Y655">
        <f t="shared" si="243"/>
        <v>6.7134638941344651</v>
      </c>
      <c r="Z655">
        <f t="shared" si="244"/>
        <v>6000</v>
      </c>
      <c r="AA655">
        <f t="shared" si="245"/>
        <v>2.116760743122208</v>
      </c>
      <c r="AB655">
        <f t="shared" si="246"/>
        <v>6.7134638941344651</v>
      </c>
      <c r="AC655">
        <f t="shared" si="247"/>
        <v>6000</v>
      </c>
      <c r="AD655">
        <f t="shared" si="248"/>
        <v>2.116760743122208</v>
      </c>
      <c r="AE655">
        <f t="shared" si="249"/>
        <v>6.7134638941344651</v>
      </c>
      <c r="AF655">
        <f t="shared" si="250"/>
        <v>6000</v>
      </c>
      <c r="AG655">
        <f t="shared" si="251"/>
        <v>2.116760743122208</v>
      </c>
      <c r="AH655">
        <f t="shared" si="252"/>
        <v>6.7134638941344651</v>
      </c>
      <c r="AI655" cm="1">
        <f t="array" ref="AI655">_xlfn.LET(
    _xlpm.vals,   _xlfn.HSTACK(S655,V655,Y655,AB655,AE655,AH655),
    _xlpm.ints,   _xlfn.HSTACK(R655,U655,X655,AA655,AD655,AG655),
    _xlpm.slopes, _xlfn.HSTACK(Q655,T655,W655,Z655,AC655,AF655),
    _xlpm.limit,  -0.00001*_xlpm.slopes + 0.1086*_xlpm.slopes + 63.253,
    _xlpm.mask,   (_xlpm.vals&gt;=0) * (_xlpm.ints&lt;=_xlpm.limit),
    _xlpm.validVals, _xlfn._xlws.FILTER(_xlpm.vals, _xlpm.mask),
    _xlpm.minVal, MIN(_xlpm.validVals),
    IFERROR( _xlfn.XMATCH(_xlpm.minVal, _xlpm.vals), "" )
)</f>
        <v>1</v>
      </c>
      <c r="AJ655" cm="1">
        <f t="array" ref="AJ655">_xlfn.LET(
    _xlpm.vals, CHOOSE({1,2,3,4,5,6}, S655, V655, Y655, AB655, AE655, AH655),
    _xlpm.slopes, CHOOSE({1,2,3,4,5,6}, Q655, T655, W655, Z655, AC655, AF655),
    _xlpm.ints, CHOOSE({1,2,3,4,5,6}, R655, U655, X655, AA655, AD655, AG655),
    _xlpm.limit, -0.00001*_xlpm.slopes + 0.1086*_xlpm.slopes + 63.253,
    _xlpm.valid, (_xlpm.vals &gt;= 0) * (_xlpm.ints &lt;= _xlpm.limit),
    _xlpm.target, MIN(_xlfn._xlws.FILTER(_xlpm.vals, _xlpm.valid)),
    IFERROR(
        _xlfn.XLOOKUP(_xlpm.target, _xlpm.vals, _xlpm.vals),
        CHOOSE({1,2,3,4,5,6}, S$1, V$1, Y$1, AB$1, AE$1, AH$1)
    )
)</f>
        <v>0.40197492302114229</v>
      </c>
    </row>
    <row r="656" spans="9:36" x14ac:dyDescent="0.45">
      <c r="I656">
        <v>654</v>
      </c>
      <c r="J656">
        <v>1.3</v>
      </c>
      <c r="K656">
        <f t="shared" si="231"/>
        <v>1.3</v>
      </c>
      <c r="L656">
        <f t="shared" si="230"/>
        <v>3.6111111111111115E-4</v>
      </c>
      <c r="M656">
        <v>1.1100000000000001</v>
      </c>
      <c r="N656">
        <f t="shared" si="232"/>
        <v>1.1100000000000001</v>
      </c>
      <c r="O656">
        <f t="shared" si="233"/>
        <v>16.89373762333172</v>
      </c>
      <c r="P656">
        <f t="shared" si="234"/>
        <v>54.059960394661509</v>
      </c>
      <c r="Q656">
        <f t="shared" si="235"/>
        <v>1000</v>
      </c>
      <c r="R656">
        <f t="shared" si="236"/>
        <v>10.599719209920231</v>
      </c>
      <c r="S656">
        <f t="shared" si="237"/>
        <v>0.38712173352138263</v>
      </c>
      <c r="T656">
        <f t="shared" si="238"/>
        <v>6000</v>
      </c>
      <c r="U656">
        <f t="shared" si="239"/>
        <v>1.7666198683200383</v>
      </c>
      <c r="V656">
        <f t="shared" si="240"/>
        <v>6.7111408669545369</v>
      </c>
      <c r="W656">
        <f t="shared" si="241"/>
        <v>6000</v>
      </c>
      <c r="X656">
        <f t="shared" si="242"/>
        <v>1.7666198683200383</v>
      </c>
      <c r="Y656">
        <f t="shared" si="243"/>
        <v>6.7111408669545369</v>
      </c>
      <c r="Z656">
        <f t="shared" si="244"/>
        <v>6000</v>
      </c>
      <c r="AA656">
        <f t="shared" si="245"/>
        <v>1.7666198683200383</v>
      </c>
      <c r="AB656">
        <f t="shared" si="246"/>
        <v>6.7111408669545369</v>
      </c>
      <c r="AC656">
        <f t="shared" si="247"/>
        <v>6000</v>
      </c>
      <c r="AD656">
        <f t="shared" si="248"/>
        <v>1.7666198683200383</v>
      </c>
      <c r="AE656">
        <f t="shared" si="249"/>
        <v>6.7111408669545369</v>
      </c>
      <c r="AF656">
        <f t="shared" si="250"/>
        <v>6000</v>
      </c>
      <c r="AG656">
        <f t="shared" si="251"/>
        <v>1.7666198683200383</v>
      </c>
      <c r="AH656">
        <f t="shared" si="252"/>
        <v>6.7111408669545369</v>
      </c>
      <c r="AI656" cm="1">
        <f t="array" ref="AI656">_xlfn.LET(
    _xlpm.vals,   _xlfn.HSTACK(S656,V656,Y656,AB656,AE656,AH656),
    _xlpm.ints,   _xlfn.HSTACK(R656,U656,X656,AA656,AD656,AG656),
    _xlpm.slopes, _xlfn.HSTACK(Q656,T656,W656,Z656,AC656,AF656),
    _xlpm.limit,  -0.00001*_xlpm.slopes + 0.1086*_xlpm.slopes + 63.253,
    _xlpm.mask,   (_xlpm.vals&gt;=0) * (_xlpm.ints&lt;=_xlpm.limit),
    _xlpm.validVals, _xlfn._xlws.FILTER(_xlpm.vals, _xlpm.mask),
    _xlpm.minVal, MIN(_xlpm.validVals),
    IFERROR( _xlfn.XMATCH(_xlpm.minVal, _xlpm.vals), "" )
)</f>
        <v>1</v>
      </c>
      <c r="AJ656" cm="1">
        <f t="array" ref="AJ656">_xlfn.LET(
    _xlpm.vals, CHOOSE({1,2,3,4,5,6}, S656, V656, Y656, AB656, AE656, AH656),
    _xlpm.slopes, CHOOSE({1,2,3,4,5,6}, Q656, T656, W656, Z656, AC656, AF656),
    _xlpm.ints, CHOOSE({1,2,3,4,5,6}, R656, U656, X656, AA656, AD656, AG656),
    _xlpm.limit, -0.00001*_xlpm.slopes + 0.1086*_xlpm.slopes + 63.253,
    _xlpm.valid, (_xlpm.vals &gt;= 0) * (_xlpm.ints &lt;= _xlpm.limit),
    _xlpm.target, MIN(_xlfn._xlws.FILTER(_xlpm.vals, _xlpm.valid)),
    IFERROR(
        _xlfn.XLOOKUP(_xlpm.target, _xlpm.vals, _xlpm.vals),
        CHOOSE({1,2,3,4,5,6}, S$1, V$1, Y$1, AB$1, AE$1, AH$1)
    )
)</f>
        <v>0.38712173352138263</v>
      </c>
    </row>
    <row r="657" spans="9:36" x14ac:dyDescent="0.45">
      <c r="I657">
        <v>655</v>
      </c>
      <c r="J657">
        <v>-0.1</v>
      </c>
      <c r="K657">
        <f t="shared" si="231"/>
        <v>0</v>
      </c>
      <c r="L657">
        <f t="shared" si="230"/>
        <v>0</v>
      </c>
      <c r="M657">
        <v>0.57999999999999996</v>
      </c>
      <c r="N657">
        <f t="shared" si="232"/>
        <v>0.57999999999999996</v>
      </c>
      <c r="O657">
        <f t="shared" si="233"/>
        <v>0</v>
      </c>
      <c r="P657">
        <f t="shared" si="234"/>
        <v>0</v>
      </c>
      <c r="Q657">
        <f t="shared" si="235"/>
        <v>1000</v>
      </c>
      <c r="R657">
        <f t="shared" si="236"/>
        <v>5.5385920195979583</v>
      </c>
      <c r="S657">
        <f t="shared" si="237"/>
        <v>0.35335814609018235</v>
      </c>
      <c r="T657">
        <f t="shared" si="238"/>
        <v>6000</v>
      </c>
      <c r="U657">
        <f t="shared" si="239"/>
        <v>0.92309866993299294</v>
      </c>
      <c r="V657">
        <f t="shared" si="240"/>
        <v>6.7057112756655393</v>
      </c>
      <c r="W657">
        <f t="shared" si="241"/>
        <v>6000</v>
      </c>
      <c r="X657">
        <f t="shared" si="242"/>
        <v>0.92309866993299294</v>
      </c>
      <c r="Y657">
        <f t="shared" si="243"/>
        <v>6.7057112756655393</v>
      </c>
      <c r="Z657">
        <f t="shared" si="244"/>
        <v>6000</v>
      </c>
      <c r="AA657">
        <f t="shared" si="245"/>
        <v>0.92309866993299294</v>
      </c>
      <c r="AB657">
        <f t="shared" si="246"/>
        <v>6.7057112756655393</v>
      </c>
      <c r="AC657">
        <f t="shared" si="247"/>
        <v>6000</v>
      </c>
      <c r="AD657">
        <f t="shared" si="248"/>
        <v>0.92309866993299294</v>
      </c>
      <c r="AE657">
        <f t="shared" si="249"/>
        <v>6.7057112756655393</v>
      </c>
      <c r="AF657">
        <f t="shared" si="250"/>
        <v>6000</v>
      </c>
      <c r="AG657">
        <f t="shared" si="251"/>
        <v>0.92309866993299294</v>
      </c>
      <c r="AH657">
        <f t="shared" si="252"/>
        <v>6.7057112756655393</v>
      </c>
      <c r="AI657" cm="1">
        <f t="array" ref="AI657">_xlfn.LET(
    _xlpm.vals,   _xlfn.HSTACK(S657,V657,Y657,AB657,AE657,AH657),
    _xlpm.ints,   _xlfn.HSTACK(R657,U657,X657,AA657,AD657,AG657),
    _xlpm.slopes, _xlfn.HSTACK(Q657,T657,W657,Z657,AC657,AF657),
    _xlpm.limit,  -0.00001*_xlpm.slopes + 0.1086*_xlpm.slopes + 63.253,
    _xlpm.mask,   (_xlpm.vals&gt;=0) * (_xlpm.ints&lt;=_xlpm.limit),
    _xlpm.validVals, _xlfn._xlws.FILTER(_xlpm.vals, _xlpm.mask),
    _xlpm.minVal, MIN(_xlpm.validVals),
    IFERROR( _xlfn.XMATCH(_xlpm.minVal, _xlpm.vals), "" )
)</f>
        <v>1</v>
      </c>
      <c r="AJ657" cm="1">
        <f t="array" ref="AJ657">_xlfn.LET(
    _xlpm.vals, CHOOSE({1,2,3,4,5,6}, S657, V657, Y657, AB657, AE657, AH657),
    _xlpm.slopes, CHOOSE({1,2,3,4,5,6}, Q657, T657, W657, Z657, AC657, AF657),
    _xlpm.ints, CHOOSE({1,2,3,4,5,6}, R657, U657, X657, AA657, AD657, AG657),
    _xlpm.limit, -0.00001*_xlpm.slopes + 0.1086*_xlpm.slopes + 63.253,
    _xlpm.valid, (_xlpm.vals &gt;= 0) * (_xlpm.ints &lt;= _xlpm.limit),
    _xlpm.target, MIN(_xlfn._xlws.FILTER(_xlpm.vals, _xlpm.valid)),
    IFERROR(
        _xlfn.XLOOKUP(_xlpm.target, _xlpm.vals, _xlpm.vals),
        CHOOSE({1,2,3,4,5,6}, S$1, V$1, Y$1, AB$1, AE$1, AH$1)
    )
)</f>
        <v>0.35335814609018235</v>
      </c>
    </row>
    <row r="658" spans="9:36" x14ac:dyDescent="0.45">
      <c r="I658">
        <v>656</v>
      </c>
      <c r="J658">
        <v>0</v>
      </c>
      <c r="K658">
        <f t="shared" si="231"/>
        <v>0</v>
      </c>
      <c r="L658">
        <f t="shared" si="230"/>
        <v>0</v>
      </c>
      <c r="M658">
        <v>1.21</v>
      </c>
      <c r="N658">
        <f t="shared" si="232"/>
        <v>1.21</v>
      </c>
      <c r="O658">
        <f t="shared" si="233"/>
        <v>0</v>
      </c>
      <c r="P658">
        <f t="shared" si="234"/>
        <v>0</v>
      </c>
      <c r="Q658">
        <f t="shared" si="235"/>
        <v>1000</v>
      </c>
      <c r="R658">
        <f t="shared" si="236"/>
        <v>11.554648868471602</v>
      </c>
      <c r="S658">
        <f t="shared" si="237"/>
        <v>0.39381451894096864</v>
      </c>
      <c r="T658">
        <f t="shared" si="238"/>
        <v>6000</v>
      </c>
      <c r="U658">
        <f t="shared" si="239"/>
        <v>1.9257748114119337</v>
      </c>
      <c r="V658">
        <f t="shared" si="240"/>
        <v>6.7121917637580824</v>
      </c>
      <c r="W658">
        <f t="shared" si="241"/>
        <v>6000</v>
      </c>
      <c r="X658">
        <f t="shared" si="242"/>
        <v>1.9257748114119337</v>
      </c>
      <c r="Y658">
        <f t="shared" si="243"/>
        <v>6.7121917637580824</v>
      </c>
      <c r="Z658">
        <f t="shared" si="244"/>
        <v>6000</v>
      </c>
      <c r="AA658">
        <f t="shared" si="245"/>
        <v>1.9257748114119337</v>
      </c>
      <c r="AB658">
        <f t="shared" si="246"/>
        <v>6.7121917637580824</v>
      </c>
      <c r="AC658">
        <f t="shared" si="247"/>
        <v>6000</v>
      </c>
      <c r="AD658">
        <f t="shared" si="248"/>
        <v>1.9257748114119337</v>
      </c>
      <c r="AE658">
        <f t="shared" si="249"/>
        <v>6.7121917637580824</v>
      </c>
      <c r="AF658">
        <f t="shared" si="250"/>
        <v>6000</v>
      </c>
      <c r="AG658">
        <f t="shared" si="251"/>
        <v>1.9257748114119337</v>
      </c>
      <c r="AH658">
        <f t="shared" si="252"/>
        <v>6.7121917637580824</v>
      </c>
      <c r="AI658" cm="1">
        <f t="array" ref="AI658">_xlfn.LET(
    _xlpm.vals,   _xlfn.HSTACK(S658,V658,Y658,AB658,AE658,AH658),
    _xlpm.ints,   _xlfn.HSTACK(R658,U658,X658,AA658,AD658,AG658),
    _xlpm.slopes, _xlfn.HSTACK(Q658,T658,W658,Z658,AC658,AF658),
    _xlpm.limit,  -0.00001*_xlpm.slopes + 0.1086*_xlpm.slopes + 63.253,
    _xlpm.mask,   (_xlpm.vals&gt;=0) * (_xlpm.ints&lt;=_xlpm.limit),
    _xlpm.validVals, _xlfn._xlws.FILTER(_xlpm.vals, _xlpm.mask),
    _xlpm.minVal, MIN(_xlpm.validVals),
    IFERROR( _xlfn.XMATCH(_xlpm.minVal, _xlpm.vals), "" )
)</f>
        <v>1</v>
      </c>
      <c r="AJ658" cm="1">
        <f t="array" ref="AJ658">_xlfn.LET(
    _xlpm.vals, CHOOSE({1,2,3,4,5,6}, S658, V658, Y658, AB658, AE658, AH658),
    _xlpm.slopes, CHOOSE({1,2,3,4,5,6}, Q658, T658, W658, Z658, AC658, AF658),
    _xlpm.ints, CHOOSE({1,2,3,4,5,6}, R658, U658, X658, AA658, AD658, AG658),
    _xlpm.limit, -0.00001*_xlpm.slopes + 0.1086*_xlpm.slopes + 63.253,
    _xlpm.valid, (_xlpm.vals &gt;= 0) * (_xlpm.ints &lt;= _xlpm.limit),
    _xlpm.target, MIN(_xlfn._xlws.FILTER(_xlpm.vals, _xlpm.valid)),
    IFERROR(
        _xlfn.XLOOKUP(_xlpm.target, _xlpm.vals, _xlpm.vals),
        CHOOSE({1,2,3,4,5,6}, S$1, V$1, Y$1, AB$1, AE$1, AH$1)
    )
)</f>
        <v>0.39381451894096864</v>
      </c>
    </row>
    <row r="659" spans="9:36" x14ac:dyDescent="0.45">
      <c r="I659">
        <v>657</v>
      </c>
      <c r="J659">
        <v>0</v>
      </c>
      <c r="K659">
        <f t="shared" si="231"/>
        <v>0</v>
      </c>
      <c r="L659">
        <f t="shared" si="230"/>
        <v>0</v>
      </c>
      <c r="M659">
        <v>0.97</v>
      </c>
      <c r="N659">
        <f t="shared" si="232"/>
        <v>0.97</v>
      </c>
      <c r="O659">
        <f t="shared" si="233"/>
        <v>0</v>
      </c>
      <c r="P659">
        <f t="shared" si="234"/>
        <v>0</v>
      </c>
      <c r="Q659">
        <f t="shared" si="235"/>
        <v>1000</v>
      </c>
      <c r="R659">
        <f t="shared" si="236"/>
        <v>9.26281768794831</v>
      </c>
      <c r="S659">
        <f t="shared" si="237"/>
        <v>0.37791975732158206</v>
      </c>
      <c r="T659">
        <f t="shared" si="238"/>
        <v>6000</v>
      </c>
      <c r="U659">
        <f t="shared" si="239"/>
        <v>1.5438029479913848</v>
      </c>
      <c r="V659">
        <f t="shared" si="240"/>
        <v>6.7096836973860823</v>
      </c>
      <c r="W659">
        <f t="shared" si="241"/>
        <v>6000</v>
      </c>
      <c r="X659">
        <f t="shared" si="242"/>
        <v>1.5438029479913848</v>
      </c>
      <c r="Y659">
        <f t="shared" si="243"/>
        <v>6.7096836973860823</v>
      </c>
      <c r="Z659">
        <f t="shared" si="244"/>
        <v>6000</v>
      </c>
      <c r="AA659">
        <f t="shared" si="245"/>
        <v>1.5438029479913848</v>
      </c>
      <c r="AB659">
        <f t="shared" si="246"/>
        <v>6.7096836973860823</v>
      </c>
      <c r="AC659">
        <f t="shared" si="247"/>
        <v>6000</v>
      </c>
      <c r="AD659">
        <f t="shared" si="248"/>
        <v>1.5438029479913848</v>
      </c>
      <c r="AE659">
        <f t="shared" si="249"/>
        <v>6.7096836973860823</v>
      </c>
      <c r="AF659">
        <f t="shared" si="250"/>
        <v>6000</v>
      </c>
      <c r="AG659">
        <f t="shared" si="251"/>
        <v>1.5438029479913848</v>
      </c>
      <c r="AH659">
        <f t="shared" si="252"/>
        <v>6.7096836973860823</v>
      </c>
      <c r="AI659" cm="1">
        <f t="array" ref="AI659">_xlfn.LET(
    _xlpm.vals,   _xlfn.HSTACK(S659,V659,Y659,AB659,AE659,AH659),
    _xlpm.ints,   _xlfn.HSTACK(R659,U659,X659,AA659,AD659,AG659),
    _xlpm.slopes, _xlfn.HSTACK(Q659,T659,W659,Z659,AC659,AF659),
    _xlpm.limit,  -0.00001*_xlpm.slopes + 0.1086*_xlpm.slopes + 63.253,
    _xlpm.mask,   (_xlpm.vals&gt;=0) * (_xlpm.ints&lt;=_xlpm.limit),
    _xlpm.validVals, _xlfn._xlws.FILTER(_xlpm.vals, _xlpm.mask),
    _xlpm.minVal, MIN(_xlpm.validVals),
    IFERROR( _xlfn.XMATCH(_xlpm.minVal, _xlpm.vals), "" )
)</f>
        <v>1</v>
      </c>
      <c r="AJ659" cm="1">
        <f t="array" ref="AJ659">_xlfn.LET(
    _xlpm.vals, CHOOSE({1,2,3,4,5,6}, S659, V659, Y659, AB659, AE659, AH659),
    _xlpm.slopes, CHOOSE({1,2,3,4,5,6}, Q659, T659, W659, Z659, AC659, AF659),
    _xlpm.ints, CHOOSE({1,2,3,4,5,6}, R659, U659, X659, AA659, AD659, AG659),
    _xlpm.limit, -0.00001*_xlpm.slopes + 0.1086*_xlpm.slopes + 63.253,
    _xlpm.valid, (_xlpm.vals &gt;= 0) * (_xlpm.ints &lt;= _xlpm.limit),
    _xlpm.target, MIN(_xlfn._xlws.FILTER(_xlpm.vals, _xlpm.valid)),
    IFERROR(
        _xlfn.XLOOKUP(_xlpm.target, _xlpm.vals, _xlpm.vals),
        CHOOSE({1,2,3,4,5,6}, S$1, V$1, Y$1, AB$1, AE$1, AH$1)
    )
)</f>
        <v>0.37791975732158206</v>
      </c>
    </row>
    <row r="660" spans="9:36" x14ac:dyDescent="0.45">
      <c r="I660">
        <v>658</v>
      </c>
      <c r="J660">
        <v>0</v>
      </c>
      <c r="K660">
        <f t="shared" si="231"/>
        <v>0</v>
      </c>
      <c r="L660">
        <f t="shared" si="230"/>
        <v>0</v>
      </c>
      <c r="M660">
        <v>0.41</v>
      </c>
      <c r="N660">
        <f t="shared" si="232"/>
        <v>0.41</v>
      </c>
      <c r="O660">
        <f t="shared" si="233"/>
        <v>0</v>
      </c>
      <c r="P660">
        <f t="shared" si="234"/>
        <v>0</v>
      </c>
      <c r="Q660">
        <f t="shared" si="235"/>
        <v>1000</v>
      </c>
      <c r="R660">
        <f t="shared" si="236"/>
        <v>3.9152116000606259</v>
      </c>
      <c r="S660">
        <f t="shared" si="237"/>
        <v>0.34316593054057326</v>
      </c>
      <c r="T660">
        <f t="shared" si="238"/>
        <v>6000</v>
      </c>
      <c r="U660">
        <f t="shared" si="239"/>
        <v>0.65253526667677086</v>
      </c>
      <c r="V660">
        <f t="shared" si="240"/>
        <v>6.7040197949559364</v>
      </c>
      <c r="W660">
        <f t="shared" si="241"/>
        <v>6000</v>
      </c>
      <c r="X660">
        <f t="shared" si="242"/>
        <v>0.65253526667677086</v>
      </c>
      <c r="Y660">
        <f t="shared" si="243"/>
        <v>6.7040197949559364</v>
      </c>
      <c r="Z660">
        <f t="shared" si="244"/>
        <v>6000</v>
      </c>
      <c r="AA660">
        <f t="shared" si="245"/>
        <v>0.65253526667677086</v>
      </c>
      <c r="AB660">
        <f t="shared" si="246"/>
        <v>6.7040197949559364</v>
      </c>
      <c r="AC660">
        <f t="shared" si="247"/>
        <v>6000</v>
      </c>
      <c r="AD660">
        <f t="shared" si="248"/>
        <v>0.65253526667677086</v>
      </c>
      <c r="AE660">
        <f t="shared" si="249"/>
        <v>6.7040197949559364</v>
      </c>
      <c r="AF660">
        <f t="shared" si="250"/>
        <v>6000</v>
      </c>
      <c r="AG660">
        <f t="shared" si="251"/>
        <v>0.65253526667677086</v>
      </c>
      <c r="AH660">
        <f t="shared" si="252"/>
        <v>6.7040197949559364</v>
      </c>
      <c r="AI660" cm="1">
        <f t="array" ref="AI660">_xlfn.LET(
    _xlpm.vals,   _xlfn.HSTACK(S660,V660,Y660,AB660,AE660,AH660),
    _xlpm.ints,   _xlfn.HSTACK(R660,U660,X660,AA660,AD660,AG660),
    _xlpm.slopes, _xlfn.HSTACK(Q660,T660,W660,Z660,AC660,AF660),
    _xlpm.limit,  -0.00001*_xlpm.slopes + 0.1086*_xlpm.slopes + 63.253,
    _xlpm.mask,   (_xlpm.vals&gt;=0) * (_xlpm.ints&lt;=_xlpm.limit),
    _xlpm.validVals, _xlfn._xlws.FILTER(_xlpm.vals, _xlpm.mask),
    _xlpm.minVal, MIN(_xlpm.validVals),
    IFERROR( _xlfn.XMATCH(_xlpm.minVal, _xlpm.vals), "" )
)</f>
        <v>1</v>
      </c>
      <c r="AJ660" cm="1">
        <f t="array" ref="AJ660">_xlfn.LET(
    _xlpm.vals, CHOOSE({1,2,3,4,5,6}, S660, V660, Y660, AB660, AE660, AH660),
    _xlpm.slopes, CHOOSE({1,2,3,4,5,6}, Q660, T660, W660, Z660, AC660, AF660),
    _xlpm.ints, CHOOSE({1,2,3,4,5,6}, R660, U660, X660, AA660, AD660, AG660),
    _xlpm.limit, -0.00001*_xlpm.slopes + 0.1086*_xlpm.slopes + 63.253,
    _xlpm.valid, (_xlpm.vals &gt;= 0) * (_xlpm.ints &lt;= _xlpm.limit),
    _xlpm.target, MIN(_xlfn._xlws.FILTER(_xlpm.vals, _xlpm.valid)),
    IFERROR(
        _xlfn.XLOOKUP(_xlpm.target, _xlpm.vals, _xlpm.vals),
        CHOOSE({1,2,3,4,5,6}, S$1, V$1, Y$1, AB$1, AE$1, AH$1)
    )
)</f>
        <v>0.34316593054057326</v>
      </c>
    </row>
    <row r="661" spans="9:36" x14ac:dyDescent="0.45">
      <c r="I661">
        <v>659</v>
      </c>
      <c r="J661">
        <v>0</v>
      </c>
      <c r="K661">
        <f t="shared" si="231"/>
        <v>0</v>
      </c>
      <c r="L661">
        <f t="shared" si="230"/>
        <v>0</v>
      </c>
      <c r="M661">
        <v>0.76</v>
      </c>
      <c r="N661">
        <f t="shared" si="232"/>
        <v>0.76</v>
      </c>
      <c r="O661">
        <f t="shared" si="233"/>
        <v>0</v>
      </c>
      <c r="P661">
        <f t="shared" si="234"/>
        <v>0</v>
      </c>
      <c r="Q661">
        <f t="shared" si="235"/>
        <v>1000</v>
      </c>
      <c r="R661">
        <f t="shared" si="236"/>
        <v>7.2574654049904277</v>
      </c>
      <c r="S661">
        <f t="shared" si="237"/>
        <v>0.36449414199242058</v>
      </c>
      <c r="T661">
        <f t="shared" si="238"/>
        <v>6000</v>
      </c>
      <c r="U661">
        <f t="shared" si="239"/>
        <v>1.2095775674984046</v>
      </c>
      <c r="V661">
        <f t="shared" si="240"/>
        <v>6.7075288024362294</v>
      </c>
      <c r="W661">
        <f t="shared" si="241"/>
        <v>6000</v>
      </c>
      <c r="X661">
        <f t="shared" si="242"/>
        <v>1.2095775674984046</v>
      </c>
      <c r="Y661">
        <f t="shared" si="243"/>
        <v>6.7075288024362294</v>
      </c>
      <c r="Z661">
        <f t="shared" si="244"/>
        <v>6000</v>
      </c>
      <c r="AA661">
        <f t="shared" si="245"/>
        <v>1.2095775674984046</v>
      </c>
      <c r="AB661">
        <f t="shared" si="246"/>
        <v>6.7075288024362294</v>
      </c>
      <c r="AC661">
        <f t="shared" si="247"/>
        <v>6000</v>
      </c>
      <c r="AD661">
        <f t="shared" si="248"/>
        <v>1.2095775674984046</v>
      </c>
      <c r="AE661">
        <f t="shared" si="249"/>
        <v>6.7075288024362294</v>
      </c>
      <c r="AF661">
        <f t="shared" si="250"/>
        <v>6000</v>
      </c>
      <c r="AG661">
        <f t="shared" si="251"/>
        <v>1.2095775674984046</v>
      </c>
      <c r="AH661">
        <f t="shared" si="252"/>
        <v>6.7075288024362294</v>
      </c>
      <c r="AI661" cm="1">
        <f t="array" ref="AI661">_xlfn.LET(
    _xlpm.vals,   _xlfn.HSTACK(S661,V661,Y661,AB661,AE661,AH661),
    _xlpm.ints,   _xlfn.HSTACK(R661,U661,X661,AA661,AD661,AG661),
    _xlpm.slopes, _xlfn.HSTACK(Q661,T661,W661,Z661,AC661,AF661),
    _xlpm.limit,  -0.00001*_xlpm.slopes + 0.1086*_xlpm.slopes + 63.253,
    _xlpm.mask,   (_xlpm.vals&gt;=0) * (_xlpm.ints&lt;=_xlpm.limit),
    _xlpm.validVals, _xlfn._xlws.FILTER(_xlpm.vals, _xlpm.mask),
    _xlpm.minVal, MIN(_xlpm.validVals),
    IFERROR( _xlfn.XMATCH(_xlpm.minVal, _xlpm.vals), "" )
)</f>
        <v>1</v>
      </c>
      <c r="AJ661" cm="1">
        <f t="array" ref="AJ661">_xlfn.LET(
    _xlpm.vals, CHOOSE({1,2,3,4,5,6}, S661, V661, Y661, AB661, AE661, AH661),
    _xlpm.slopes, CHOOSE({1,2,3,4,5,6}, Q661, T661, W661, Z661, AC661, AF661),
    _xlpm.ints, CHOOSE({1,2,3,4,5,6}, R661, U661, X661, AA661, AD661, AG661),
    _xlpm.limit, -0.00001*_xlpm.slopes + 0.1086*_xlpm.slopes + 63.253,
    _xlpm.valid, (_xlpm.vals &gt;= 0) * (_xlpm.ints &lt;= _xlpm.limit),
    _xlpm.target, MIN(_xlfn._xlws.FILTER(_xlpm.vals, _xlpm.valid)),
    IFERROR(
        _xlfn.XLOOKUP(_xlpm.target, _xlpm.vals, _xlpm.vals),
        CHOOSE({1,2,3,4,5,6}, S$1, V$1, Y$1, AB$1, AE$1, AH$1)
    )
)</f>
        <v>0.36449414199242058</v>
      </c>
    </row>
    <row r="662" spans="9:36" x14ac:dyDescent="0.45">
      <c r="I662">
        <v>660</v>
      </c>
      <c r="J662">
        <v>0</v>
      </c>
      <c r="K662">
        <f t="shared" si="231"/>
        <v>0</v>
      </c>
      <c r="L662">
        <f t="shared" si="230"/>
        <v>0</v>
      </c>
      <c r="M662">
        <v>0.86</v>
      </c>
      <c r="N662">
        <f t="shared" si="232"/>
        <v>0.86</v>
      </c>
      <c r="O662">
        <f t="shared" si="233"/>
        <v>0</v>
      </c>
      <c r="P662">
        <f t="shared" si="234"/>
        <v>0</v>
      </c>
      <c r="Q662">
        <f t="shared" si="235"/>
        <v>1000</v>
      </c>
      <c r="R662">
        <f t="shared" si="236"/>
        <v>8.2123950635418002</v>
      </c>
      <c r="S662">
        <f t="shared" si="237"/>
        <v>0.37082998533300382</v>
      </c>
      <c r="T662">
        <f t="shared" si="238"/>
        <v>6000</v>
      </c>
      <c r="U662">
        <f t="shared" si="239"/>
        <v>1.3687325105902999</v>
      </c>
      <c r="V662">
        <f t="shared" si="240"/>
        <v>6.7085503206188601</v>
      </c>
      <c r="W662">
        <f t="shared" si="241"/>
        <v>6000</v>
      </c>
      <c r="X662">
        <f t="shared" si="242"/>
        <v>1.3687325105902999</v>
      </c>
      <c r="Y662">
        <f t="shared" si="243"/>
        <v>6.7085503206188601</v>
      </c>
      <c r="Z662">
        <f t="shared" si="244"/>
        <v>6000</v>
      </c>
      <c r="AA662">
        <f t="shared" si="245"/>
        <v>1.3687325105902999</v>
      </c>
      <c r="AB662">
        <f t="shared" si="246"/>
        <v>6.7085503206188601</v>
      </c>
      <c r="AC662">
        <f t="shared" si="247"/>
        <v>6000</v>
      </c>
      <c r="AD662">
        <f t="shared" si="248"/>
        <v>1.3687325105902999</v>
      </c>
      <c r="AE662">
        <f t="shared" si="249"/>
        <v>6.7085503206188601</v>
      </c>
      <c r="AF662">
        <f t="shared" si="250"/>
        <v>6000</v>
      </c>
      <c r="AG662">
        <f t="shared" si="251"/>
        <v>1.3687325105902999</v>
      </c>
      <c r="AH662">
        <f t="shared" si="252"/>
        <v>6.7085503206188601</v>
      </c>
      <c r="AI662" cm="1">
        <f t="array" ref="AI662">_xlfn.LET(
    _xlpm.vals,   _xlfn.HSTACK(S662,V662,Y662,AB662,AE662,AH662),
    _xlpm.ints,   _xlfn.HSTACK(R662,U662,X662,AA662,AD662,AG662),
    _xlpm.slopes, _xlfn.HSTACK(Q662,T662,W662,Z662,AC662,AF662),
    _xlpm.limit,  -0.00001*_xlpm.slopes + 0.1086*_xlpm.slopes + 63.253,
    _xlpm.mask,   (_xlpm.vals&gt;=0) * (_xlpm.ints&lt;=_xlpm.limit),
    _xlpm.validVals, _xlfn._xlws.FILTER(_xlpm.vals, _xlpm.mask),
    _xlpm.minVal, MIN(_xlpm.validVals),
    IFERROR( _xlfn.XMATCH(_xlpm.minVal, _xlpm.vals), "" )
)</f>
        <v>1</v>
      </c>
      <c r="AJ662" cm="1">
        <f t="array" ref="AJ662">_xlfn.LET(
    _xlpm.vals, CHOOSE({1,2,3,4,5,6}, S662, V662, Y662, AB662, AE662, AH662),
    _xlpm.slopes, CHOOSE({1,2,3,4,5,6}, Q662, T662, W662, Z662, AC662, AF662),
    _xlpm.ints, CHOOSE({1,2,3,4,5,6}, R662, U662, X662, AA662, AD662, AG662),
    _xlpm.limit, -0.00001*_xlpm.slopes + 0.1086*_xlpm.slopes + 63.253,
    _xlpm.valid, (_xlpm.vals &gt;= 0) * (_xlpm.ints &lt;= _xlpm.limit),
    _xlpm.target, MIN(_xlfn._xlws.FILTER(_xlpm.vals, _xlpm.valid)),
    IFERROR(
        _xlfn.XLOOKUP(_xlpm.target, _xlpm.vals, _xlpm.vals),
        CHOOSE({1,2,3,4,5,6}, S$1, V$1, Y$1, AB$1, AE$1, AH$1)
    )
)</f>
        <v>0.37082998533300382</v>
      </c>
    </row>
    <row r="663" spans="9:36" x14ac:dyDescent="0.45">
      <c r="I663">
        <v>661</v>
      </c>
      <c r="J663">
        <v>0</v>
      </c>
      <c r="K663">
        <f t="shared" si="231"/>
        <v>0</v>
      </c>
      <c r="L663">
        <f t="shared" si="230"/>
        <v>0</v>
      </c>
      <c r="M663">
        <v>0.54</v>
      </c>
      <c r="N663">
        <f t="shared" si="232"/>
        <v>0.54</v>
      </c>
      <c r="O663">
        <f t="shared" si="233"/>
        <v>0</v>
      </c>
      <c r="P663">
        <f t="shared" si="234"/>
        <v>0</v>
      </c>
      <c r="Q663">
        <f t="shared" si="235"/>
        <v>1000</v>
      </c>
      <c r="R663">
        <f t="shared" si="236"/>
        <v>5.156620156177409</v>
      </c>
      <c r="S663">
        <f t="shared" si="237"/>
        <v>0.35093121795539134</v>
      </c>
      <c r="T663">
        <f t="shared" si="238"/>
        <v>6000</v>
      </c>
      <c r="U663">
        <f t="shared" si="239"/>
        <v>0.85943669269623491</v>
      </c>
      <c r="V663">
        <f t="shared" si="240"/>
        <v>6.7053110874033912</v>
      </c>
      <c r="W663">
        <f t="shared" si="241"/>
        <v>6000</v>
      </c>
      <c r="X663">
        <f t="shared" si="242"/>
        <v>0.85943669269623491</v>
      </c>
      <c r="Y663">
        <f t="shared" si="243"/>
        <v>6.7053110874033912</v>
      </c>
      <c r="Z663">
        <f t="shared" si="244"/>
        <v>6000</v>
      </c>
      <c r="AA663">
        <f t="shared" si="245"/>
        <v>0.85943669269623491</v>
      </c>
      <c r="AB663">
        <f t="shared" si="246"/>
        <v>6.7053110874033912</v>
      </c>
      <c r="AC663">
        <f t="shared" si="247"/>
        <v>6000</v>
      </c>
      <c r="AD663">
        <f t="shared" si="248"/>
        <v>0.85943669269623491</v>
      </c>
      <c r="AE663">
        <f t="shared" si="249"/>
        <v>6.7053110874033912</v>
      </c>
      <c r="AF663">
        <f t="shared" si="250"/>
        <v>6000</v>
      </c>
      <c r="AG663">
        <f t="shared" si="251"/>
        <v>0.85943669269623491</v>
      </c>
      <c r="AH663">
        <f t="shared" si="252"/>
        <v>6.7053110874033912</v>
      </c>
      <c r="AI663" cm="1">
        <f t="array" ref="AI663">_xlfn.LET(
    _xlpm.vals,   _xlfn.HSTACK(S663,V663,Y663,AB663,AE663,AH663),
    _xlpm.ints,   _xlfn.HSTACK(R663,U663,X663,AA663,AD663,AG663),
    _xlpm.slopes, _xlfn.HSTACK(Q663,T663,W663,Z663,AC663,AF663),
    _xlpm.limit,  -0.00001*_xlpm.slopes + 0.1086*_xlpm.slopes + 63.253,
    _xlpm.mask,   (_xlpm.vals&gt;=0) * (_xlpm.ints&lt;=_xlpm.limit),
    _xlpm.validVals, _xlfn._xlws.FILTER(_xlpm.vals, _xlpm.mask),
    _xlpm.minVal, MIN(_xlpm.validVals),
    IFERROR( _xlfn.XMATCH(_xlpm.minVal, _xlpm.vals), "" )
)</f>
        <v>1</v>
      </c>
      <c r="AJ663" cm="1">
        <f t="array" ref="AJ663">_xlfn.LET(
    _xlpm.vals, CHOOSE({1,2,3,4,5,6}, S663, V663, Y663, AB663, AE663, AH663),
    _xlpm.slopes, CHOOSE({1,2,3,4,5,6}, Q663, T663, W663, Z663, AC663, AF663),
    _xlpm.ints, CHOOSE({1,2,3,4,5,6}, R663, U663, X663, AA663, AD663, AG663),
    _xlpm.limit, -0.00001*_xlpm.slopes + 0.1086*_xlpm.slopes + 63.253,
    _xlpm.valid, (_xlpm.vals &gt;= 0) * (_xlpm.ints &lt;= _xlpm.limit),
    _xlpm.target, MIN(_xlfn._xlws.FILTER(_xlpm.vals, _xlpm.valid)),
    IFERROR(
        _xlfn.XLOOKUP(_xlpm.target, _xlpm.vals, _xlpm.vals),
        CHOOSE({1,2,3,4,5,6}, S$1, V$1, Y$1, AB$1, AE$1, AH$1)
    )
)</f>
        <v>0.35093121795539134</v>
      </c>
    </row>
    <row r="664" spans="9:36" x14ac:dyDescent="0.45">
      <c r="I664">
        <v>662</v>
      </c>
      <c r="J664">
        <v>0</v>
      </c>
      <c r="K664">
        <f t="shared" si="231"/>
        <v>0</v>
      </c>
      <c r="L664">
        <f t="shared" si="230"/>
        <v>0</v>
      </c>
      <c r="M664">
        <v>0.48</v>
      </c>
      <c r="N664">
        <f t="shared" si="232"/>
        <v>0.48</v>
      </c>
      <c r="O664">
        <f t="shared" si="233"/>
        <v>0</v>
      </c>
      <c r="P664">
        <f t="shared" si="234"/>
        <v>0</v>
      </c>
      <c r="Q664">
        <f t="shared" si="235"/>
        <v>1000</v>
      </c>
      <c r="R664">
        <f t="shared" si="236"/>
        <v>4.5836623610465859</v>
      </c>
      <c r="S664">
        <f t="shared" si="237"/>
        <v>0.34732388290899496</v>
      </c>
      <c r="T664">
        <f t="shared" si="238"/>
        <v>6000</v>
      </c>
      <c r="U664">
        <f t="shared" si="239"/>
        <v>0.76394372684109768</v>
      </c>
      <c r="V664">
        <f t="shared" si="240"/>
        <v>6.7047133345763807</v>
      </c>
      <c r="W664">
        <f t="shared" si="241"/>
        <v>6000</v>
      </c>
      <c r="X664">
        <f t="shared" si="242"/>
        <v>0.76394372684109768</v>
      </c>
      <c r="Y664">
        <f t="shared" si="243"/>
        <v>6.7047133345763807</v>
      </c>
      <c r="Z664">
        <f t="shared" si="244"/>
        <v>6000</v>
      </c>
      <c r="AA664">
        <f t="shared" si="245"/>
        <v>0.76394372684109768</v>
      </c>
      <c r="AB664">
        <f t="shared" si="246"/>
        <v>6.7047133345763807</v>
      </c>
      <c r="AC664">
        <f t="shared" si="247"/>
        <v>6000</v>
      </c>
      <c r="AD664">
        <f t="shared" si="248"/>
        <v>0.76394372684109768</v>
      </c>
      <c r="AE664">
        <f t="shared" si="249"/>
        <v>6.7047133345763807</v>
      </c>
      <c r="AF664">
        <f t="shared" si="250"/>
        <v>6000</v>
      </c>
      <c r="AG664">
        <f t="shared" si="251"/>
        <v>0.76394372684109768</v>
      </c>
      <c r="AH664">
        <f t="shared" si="252"/>
        <v>6.7047133345763807</v>
      </c>
      <c r="AI664" cm="1">
        <f t="array" ref="AI664">_xlfn.LET(
    _xlpm.vals,   _xlfn.HSTACK(S664,V664,Y664,AB664,AE664,AH664),
    _xlpm.ints,   _xlfn.HSTACK(R664,U664,X664,AA664,AD664,AG664),
    _xlpm.slopes, _xlfn.HSTACK(Q664,T664,W664,Z664,AC664,AF664),
    _xlpm.limit,  -0.00001*_xlpm.slopes + 0.1086*_xlpm.slopes + 63.253,
    _xlpm.mask,   (_xlpm.vals&gt;=0) * (_xlpm.ints&lt;=_xlpm.limit),
    _xlpm.validVals, _xlfn._xlws.FILTER(_xlpm.vals, _xlpm.mask),
    _xlpm.minVal, MIN(_xlpm.validVals),
    IFERROR( _xlfn.XMATCH(_xlpm.minVal, _xlpm.vals), "" )
)</f>
        <v>1</v>
      </c>
      <c r="AJ664" cm="1">
        <f t="array" ref="AJ664">_xlfn.LET(
    _xlpm.vals, CHOOSE({1,2,3,4,5,6}, S664, V664, Y664, AB664, AE664, AH664),
    _xlpm.slopes, CHOOSE({1,2,3,4,5,6}, Q664, T664, W664, Z664, AC664, AF664),
    _xlpm.ints, CHOOSE({1,2,3,4,5,6}, R664, U664, X664, AA664, AD664, AG664),
    _xlpm.limit, -0.00001*_xlpm.slopes + 0.1086*_xlpm.slopes + 63.253,
    _xlpm.valid, (_xlpm.vals &gt;= 0) * (_xlpm.ints &lt;= _xlpm.limit),
    _xlpm.target, MIN(_xlfn._xlws.FILTER(_xlpm.vals, _xlpm.valid)),
    IFERROR(
        _xlfn.XLOOKUP(_xlpm.target, _xlpm.vals, _xlpm.vals),
        CHOOSE({1,2,3,4,5,6}, S$1, V$1, Y$1, AB$1, AE$1, AH$1)
    )
)</f>
        <v>0.34732388290899496</v>
      </c>
    </row>
    <row r="665" spans="9:36" x14ac:dyDescent="0.45">
      <c r="I665">
        <v>663</v>
      </c>
      <c r="J665">
        <v>0</v>
      </c>
      <c r="K665">
        <f t="shared" si="231"/>
        <v>0</v>
      </c>
      <c r="L665">
        <f t="shared" si="230"/>
        <v>0</v>
      </c>
      <c r="M665">
        <v>0.28999999999999998</v>
      </c>
      <c r="N665">
        <f t="shared" si="232"/>
        <v>0.28999999999999998</v>
      </c>
      <c r="O665">
        <f t="shared" si="233"/>
        <v>0</v>
      </c>
      <c r="P665">
        <f t="shared" si="234"/>
        <v>0</v>
      </c>
      <c r="Q665">
        <f t="shared" si="235"/>
        <v>1000</v>
      </c>
      <c r="R665">
        <f t="shared" si="236"/>
        <v>2.7692960097989792</v>
      </c>
      <c r="S665">
        <f t="shared" si="237"/>
        <v>0.33616652941935438</v>
      </c>
      <c r="T665">
        <f t="shared" si="238"/>
        <v>6000</v>
      </c>
      <c r="U665">
        <f t="shared" si="239"/>
        <v>0.46154933496649647</v>
      </c>
      <c r="V665">
        <f t="shared" si="240"/>
        <v>6.7028404956700021</v>
      </c>
      <c r="W665">
        <f t="shared" si="241"/>
        <v>6000</v>
      </c>
      <c r="X665">
        <f t="shared" si="242"/>
        <v>0.46154933496649647</v>
      </c>
      <c r="Y665">
        <f t="shared" si="243"/>
        <v>6.7028404956700021</v>
      </c>
      <c r="Z665">
        <f t="shared" si="244"/>
        <v>6000</v>
      </c>
      <c r="AA665">
        <f t="shared" si="245"/>
        <v>0.46154933496649647</v>
      </c>
      <c r="AB665">
        <f t="shared" si="246"/>
        <v>6.7028404956700021</v>
      </c>
      <c r="AC665">
        <f t="shared" si="247"/>
        <v>6000</v>
      </c>
      <c r="AD665">
        <f t="shared" si="248"/>
        <v>0.46154933496649647</v>
      </c>
      <c r="AE665">
        <f t="shared" si="249"/>
        <v>6.7028404956700021</v>
      </c>
      <c r="AF665">
        <f t="shared" si="250"/>
        <v>6000</v>
      </c>
      <c r="AG665">
        <f t="shared" si="251"/>
        <v>0.46154933496649647</v>
      </c>
      <c r="AH665">
        <f t="shared" si="252"/>
        <v>6.7028404956700021</v>
      </c>
      <c r="AI665" cm="1">
        <f t="array" ref="AI665">_xlfn.LET(
    _xlpm.vals,   _xlfn.HSTACK(S665,V665,Y665,AB665,AE665,AH665),
    _xlpm.ints,   _xlfn.HSTACK(R665,U665,X665,AA665,AD665,AG665),
    _xlpm.slopes, _xlfn.HSTACK(Q665,T665,W665,Z665,AC665,AF665),
    _xlpm.limit,  -0.00001*_xlpm.slopes + 0.1086*_xlpm.slopes + 63.253,
    _xlpm.mask,   (_xlpm.vals&gt;=0) * (_xlpm.ints&lt;=_xlpm.limit),
    _xlpm.validVals, _xlfn._xlws.FILTER(_xlpm.vals, _xlpm.mask),
    _xlpm.minVal, MIN(_xlpm.validVals),
    IFERROR( _xlfn.XMATCH(_xlpm.minVal, _xlpm.vals), "" )
)</f>
        <v>1</v>
      </c>
      <c r="AJ665" cm="1">
        <f t="array" ref="AJ665">_xlfn.LET(
    _xlpm.vals, CHOOSE({1,2,3,4,5,6}, S665, V665, Y665, AB665, AE665, AH665),
    _xlpm.slopes, CHOOSE({1,2,3,4,5,6}, Q665, T665, W665, Z665, AC665, AF665),
    _xlpm.ints, CHOOSE({1,2,3,4,5,6}, R665, U665, X665, AA665, AD665, AG665),
    _xlpm.limit, -0.00001*_xlpm.slopes + 0.1086*_xlpm.slopes + 63.253,
    _xlpm.valid, (_xlpm.vals &gt;= 0) * (_xlpm.ints &lt;= _xlpm.limit),
    _xlpm.target, MIN(_xlfn._xlws.FILTER(_xlpm.vals, _xlpm.valid)),
    IFERROR(
        _xlfn.XLOOKUP(_xlpm.target, _xlpm.vals, _xlpm.vals),
        CHOOSE({1,2,3,4,5,6}, S$1, V$1, Y$1, AB$1, AE$1, AH$1)
    )
)</f>
        <v>0.33616652941935438</v>
      </c>
    </row>
    <row r="666" spans="9:36" x14ac:dyDescent="0.45">
      <c r="I666">
        <v>664</v>
      </c>
      <c r="J666">
        <v>0</v>
      </c>
      <c r="K666">
        <f t="shared" si="231"/>
        <v>0</v>
      </c>
      <c r="L666">
        <f t="shared" si="230"/>
        <v>0</v>
      </c>
      <c r="M666">
        <v>0.31</v>
      </c>
      <c r="N666">
        <f t="shared" si="232"/>
        <v>0.31</v>
      </c>
      <c r="O666">
        <f t="shared" si="233"/>
        <v>0</v>
      </c>
      <c r="P666">
        <f t="shared" si="234"/>
        <v>0</v>
      </c>
      <c r="Q666">
        <f t="shared" si="235"/>
        <v>1000</v>
      </c>
      <c r="R666">
        <f t="shared" si="236"/>
        <v>2.9602819415092534</v>
      </c>
      <c r="S666">
        <f t="shared" si="237"/>
        <v>0.33732171986522552</v>
      </c>
      <c r="T666">
        <f t="shared" si="238"/>
        <v>6000</v>
      </c>
      <c r="U666">
        <f t="shared" si="239"/>
        <v>0.49338032358487555</v>
      </c>
      <c r="V666">
        <f t="shared" si="240"/>
        <v>6.7030362007078299</v>
      </c>
      <c r="W666">
        <f t="shared" si="241"/>
        <v>6000</v>
      </c>
      <c r="X666">
        <f t="shared" si="242"/>
        <v>0.49338032358487555</v>
      </c>
      <c r="Y666">
        <f t="shared" si="243"/>
        <v>6.7030362007078299</v>
      </c>
      <c r="Z666">
        <f t="shared" si="244"/>
        <v>6000</v>
      </c>
      <c r="AA666">
        <f t="shared" si="245"/>
        <v>0.49338032358487555</v>
      </c>
      <c r="AB666">
        <f t="shared" si="246"/>
        <v>6.7030362007078299</v>
      </c>
      <c r="AC666">
        <f t="shared" si="247"/>
        <v>6000</v>
      </c>
      <c r="AD666">
        <f t="shared" si="248"/>
        <v>0.49338032358487555</v>
      </c>
      <c r="AE666">
        <f t="shared" si="249"/>
        <v>6.7030362007078299</v>
      </c>
      <c r="AF666">
        <f t="shared" si="250"/>
        <v>6000</v>
      </c>
      <c r="AG666">
        <f t="shared" si="251"/>
        <v>0.49338032358487555</v>
      </c>
      <c r="AH666">
        <f t="shared" si="252"/>
        <v>6.7030362007078299</v>
      </c>
      <c r="AI666" cm="1">
        <f t="array" ref="AI666">_xlfn.LET(
    _xlpm.vals,   _xlfn.HSTACK(S666,V666,Y666,AB666,AE666,AH666),
    _xlpm.ints,   _xlfn.HSTACK(R666,U666,X666,AA666,AD666,AG666),
    _xlpm.slopes, _xlfn.HSTACK(Q666,T666,W666,Z666,AC666,AF666),
    _xlpm.limit,  -0.00001*_xlpm.slopes + 0.1086*_xlpm.slopes + 63.253,
    _xlpm.mask,   (_xlpm.vals&gt;=0) * (_xlpm.ints&lt;=_xlpm.limit),
    _xlpm.validVals, _xlfn._xlws.FILTER(_xlpm.vals, _xlpm.mask),
    _xlpm.minVal, MIN(_xlpm.validVals),
    IFERROR( _xlfn.XMATCH(_xlpm.minVal, _xlpm.vals), "" )
)</f>
        <v>1</v>
      </c>
      <c r="AJ666" cm="1">
        <f t="array" ref="AJ666">_xlfn.LET(
    _xlpm.vals, CHOOSE({1,2,3,4,5,6}, S666, V666, Y666, AB666, AE666, AH666),
    _xlpm.slopes, CHOOSE({1,2,3,4,5,6}, Q666, T666, W666, Z666, AC666, AF666),
    _xlpm.ints, CHOOSE({1,2,3,4,5,6}, R666, U666, X666, AA666, AD666, AG666),
    _xlpm.limit, -0.00001*_xlpm.slopes + 0.1086*_xlpm.slopes + 63.253,
    _xlpm.valid, (_xlpm.vals &gt;= 0) * (_xlpm.ints &lt;= _xlpm.limit),
    _xlpm.target, MIN(_xlfn._xlws.FILTER(_xlpm.vals, _xlpm.valid)),
    IFERROR(
        _xlfn.XLOOKUP(_xlpm.target, _xlpm.vals, _xlpm.vals),
        CHOOSE({1,2,3,4,5,6}, S$1, V$1, Y$1, AB$1, AE$1, AH$1)
    )
)</f>
        <v>0.33732171986522552</v>
      </c>
    </row>
    <row r="667" spans="9:36" x14ac:dyDescent="0.45">
      <c r="I667">
        <v>665</v>
      </c>
      <c r="J667">
        <v>0</v>
      </c>
      <c r="K667">
        <f t="shared" si="231"/>
        <v>0</v>
      </c>
      <c r="L667">
        <f t="shared" si="230"/>
        <v>0</v>
      </c>
      <c r="M667">
        <v>0.23</v>
      </c>
      <c r="N667">
        <f t="shared" si="232"/>
        <v>0.23</v>
      </c>
      <c r="O667">
        <f t="shared" si="233"/>
        <v>0</v>
      </c>
      <c r="P667">
        <f t="shared" si="234"/>
        <v>0</v>
      </c>
      <c r="Q667">
        <f t="shared" si="235"/>
        <v>1000</v>
      </c>
      <c r="R667">
        <f t="shared" si="236"/>
        <v>2.196338214668156</v>
      </c>
      <c r="S667">
        <f t="shared" si="237"/>
        <v>0.33272852311721807</v>
      </c>
      <c r="T667">
        <f t="shared" si="238"/>
        <v>6000</v>
      </c>
      <c r="U667">
        <f t="shared" si="239"/>
        <v>0.3660563691113593</v>
      </c>
      <c r="V667">
        <f t="shared" si="240"/>
        <v>6.7022554093914879</v>
      </c>
      <c r="W667">
        <f t="shared" si="241"/>
        <v>6000</v>
      </c>
      <c r="X667">
        <f t="shared" si="242"/>
        <v>0.3660563691113593</v>
      </c>
      <c r="Y667">
        <f t="shared" si="243"/>
        <v>6.7022554093914879</v>
      </c>
      <c r="Z667">
        <f t="shared" si="244"/>
        <v>6000</v>
      </c>
      <c r="AA667">
        <f t="shared" si="245"/>
        <v>0.3660563691113593</v>
      </c>
      <c r="AB667">
        <f t="shared" si="246"/>
        <v>6.7022554093914879</v>
      </c>
      <c r="AC667">
        <f t="shared" si="247"/>
        <v>6000</v>
      </c>
      <c r="AD667">
        <f t="shared" si="248"/>
        <v>0.3660563691113593</v>
      </c>
      <c r="AE667">
        <f t="shared" si="249"/>
        <v>6.7022554093914879</v>
      </c>
      <c r="AF667">
        <f t="shared" si="250"/>
        <v>6000</v>
      </c>
      <c r="AG667">
        <f t="shared" si="251"/>
        <v>0.3660563691113593</v>
      </c>
      <c r="AH667">
        <f t="shared" si="252"/>
        <v>6.7022554093914879</v>
      </c>
      <c r="AI667" cm="1">
        <f t="array" ref="AI667">_xlfn.LET(
    _xlpm.vals,   _xlfn.HSTACK(S667,V667,Y667,AB667,AE667,AH667),
    _xlpm.ints,   _xlfn.HSTACK(R667,U667,X667,AA667,AD667,AG667),
    _xlpm.slopes, _xlfn.HSTACK(Q667,T667,W667,Z667,AC667,AF667),
    _xlpm.limit,  -0.00001*_xlpm.slopes + 0.1086*_xlpm.slopes + 63.253,
    _xlpm.mask,   (_xlpm.vals&gt;=0) * (_xlpm.ints&lt;=_xlpm.limit),
    _xlpm.validVals, _xlfn._xlws.FILTER(_xlpm.vals, _xlpm.mask),
    _xlpm.minVal, MIN(_xlpm.validVals),
    IFERROR( _xlfn.XMATCH(_xlpm.minVal, _xlpm.vals), "" )
)</f>
        <v>1</v>
      </c>
      <c r="AJ667" cm="1">
        <f t="array" ref="AJ667">_xlfn.LET(
    _xlpm.vals, CHOOSE({1,2,3,4,5,6}, S667, V667, Y667, AB667, AE667, AH667),
    _xlpm.slopes, CHOOSE({1,2,3,4,5,6}, Q667, T667, W667, Z667, AC667, AF667),
    _xlpm.ints, CHOOSE({1,2,3,4,5,6}, R667, U667, X667, AA667, AD667, AG667),
    _xlpm.limit, -0.00001*_xlpm.slopes + 0.1086*_xlpm.slopes + 63.253,
    _xlpm.valid, (_xlpm.vals &gt;= 0) * (_xlpm.ints &lt;= _xlpm.limit),
    _xlpm.target, MIN(_xlfn._xlws.FILTER(_xlpm.vals, _xlpm.valid)),
    IFERROR(
        _xlfn.XLOOKUP(_xlpm.target, _xlpm.vals, _xlpm.vals),
        CHOOSE({1,2,3,4,5,6}, S$1, V$1, Y$1, AB$1, AE$1, AH$1)
    )
)</f>
        <v>0.33272852311721807</v>
      </c>
    </row>
    <row r="668" spans="9:36" x14ac:dyDescent="0.45">
      <c r="I668">
        <v>666</v>
      </c>
      <c r="J668">
        <v>0</v>
      </c>
      <c r="K668">
        <f t="shared" si="231"/>
        <v>0</v>
      </c>
      <c r="L668">
        <f t="shared" si="230"/>
        <v>0</v>
      </c>
      <c r="M668">
        <v>0.43</v>
      </c>
      <c r="N668">
        <f t="shared" si="232"/>
        <v>0.43</v>
      </c>
      <c r="O668">
        <f t="shared" si="233"/>
        <v>0</v>
      </c>
      <c r="P668">
        <f t="shared" si="234"/>
        <v>0</v>
      </c>
      <c r="Q668">
        <f t="shared" si="235"/>
        <v>1000</v>
      </c>
      <c r="R668">
        <f t="shared" si="236"/>
        <v>4.1061975317709001</v>
      </c>
      <c r="S668">
        <f t="shared" si="237"/>
        <v>0.3443483226093097</v>
      </c>
      <c r="T668">
        <f t="shared" si="238"/>
        <v>6000</v>
      </c>
      <c r="U668">
        <f t="shared" si="239"/>
        <v>0.68436625529514994</v>
      </c>
      <c r="V668">
        <f t="shared" si="240"/>
        <v>6.7042175271462616</v>
      </c>
      <c r="W668">
        <f t="shared" si="241"/>
        <v>6000</v>
      </c>
      <c r="X668">
        <f t="shared" si="242"/>
        <v>0.68436625529514994</v>
      </c>
      <c r="Y668">
        <f t="shared" si="243"/>
        <v>6.7042175271462616</v>
      </c>
      <c r="Z668">
        <f t="shared" si="244"/>
        <v>6000</v>
      </c>
      <c r="AA668">
        <f t="shared" si="245"/>
        <v>0.68436625529514994</v>
      </c>
      <c r="AB668">
        <f t="shared" si="246"/>
        <v>6.7042175271462616</v>
      </c>
      <c r="AC668">
        <f t="shared" si="247"/>
        <v>6000</v>
      </c>
      <c r="AD668">
        <f t="shared" si="248"/>
        <v>0.68436625529514994</v>
      </c>
      <c r="AE668">
        <f t="shared" si="249"/>
        <v>6.7042175271462616</v>
      </c>
      <c r="AF668">
        <f t="shared" si="250"/>
        <v>6000</v>
      </c>
      <c r="AG668">
        <f t="shared" si="251"/>
        <v>0.68436625529514994</v>
      </c>
      <c r="AH668">
        <f t="shared" si="252"/>
        <v>6.7042175271462616</v>
      </c>
      <c r="AI668" cm="1">
        <f t="array" ref="AI668">_xlfn.LET(
    _xlpm.vals,   _xlfn.HSTACK(S668,V668,Y668,AB668,AE668,AH668),
    _xlpm.ints,   _xlfn.HSTACK(R668,U668,X668,AA668,AD668,AG668),
    _xlpm.slopes, _xlfn.HSTACK(Q668,T668,W668,Z668,AC668,AF668),
    _xlpm.limit,  -0.00001*_xlpm.slopes + 0.1086*_xlpm.slopes + 63.253,
    _xlpm.mask,   (_xlpm.vals&gt;=0) * (_xlpm.ints&lt;=_xlpm.limit),
    _xlpm.validVals, _xlfn._xlws.FILTER(_xlpm.vals, _xlpm.mask),
    _xlpm.minVal, MIN(_xlpm.validVals),
    IFERROR( _xlfn.XMATCH(_xlpm.minVal, _xlpm.vals), "" )
)</f>
        <v>1</v>
      </c>
      <c r="AJ668" cm="1">
        <f t="array" ref="AJ668">_xlfn.LET(
    _xlpm.vals, CHOOSE({1,2,3,4,5,6}, S668, V668, Y668, AB668, AE668, AH668),
    _xlpm.slopes, CHOOSE({1,2,3,4,5,6}, Q668, T668, W668, Z668, AC668, AF668),
    _xlpm.ints, CHOOSE({1,2,3,4,5,6}, R668, U668, X668, AA668, AD668, AG668),
    _xlpm.limit, -0.00001*_xlpm.slopes + 0.1086*_xlpm.slopes + 63.253,
    _xlpm.valid, (_xlpm.vals &gt;= 0) * (_xlpm.ints &lt;= _xlpm.limit),
    _xlpm.target, MIN(_xlfn._xlws.FILTER(_xlpm.vals, _xlpm.valid)),
    IFERROR(
        _xlfn.XLOOKUP(_xlpm.target, _xlpm.vals, _xlpm.vals),
        CHOOSE({1,2,3,4,5,6}, S$1, V$1, Y$1, AB$1, AE$1, AH$1)
    )
)</f>
        <v>0.3443483226093097</v>
      </c>
    </row>
    <row r="669" spans="9:36" x14ac:dyDescent="0.45">
      <c r="I669">
        <v>667</v>
      </c>
      <c r="J669">
        <v>0</v>
      </c>
      <c r="K669">
        <f t="shared" si="231"/>
        <v>0</v>
      </c>
      <c r="L669">
        <f t="shared" si="230"/>
        <v>0</v>
      </c>
      <c r="M669">
        <v>0.51</v>
      </c>
      <c r="N669">
        <f t="shared" si="232"/>
        <v>0.51</v>
      </c>
      <c r="O669">
        <f t="shared" si="233"/>
        <v>0</v>
      </c>
      <c r="P669">
        <f t="shared" si="234"/>
        <v>0</v>
      </c>
      <c r="Q669">
        <f t="shared" si="235"/>
        <v>1000</v>
      </c>
      <c r="R669">
        <f t="shared" si="236"/>
        <v>4.8701412586119979</v>
      </c>
      <c r="S669">
        <f t="shared" si="237"/>
        <v>0.34912257277966247</v>
      </c>
      <c r="T669">
        <f t="shared" si="238"/>
        <v>6000</v>
      </c>
      <c r="U669">
        <f t="shared" si="239"/>
        <v>0.81169020976866624</v>
      </c>
      <c r="V669">
        <f t="shared" si="240"/>
        <v>6.7050118314666234</v>
      </c>
      <c r="W669">
        <f t="shared" si="241"/>
        <v>6000</v>
      </c>
      <c r="X669">
        <f t="shared" si="242"/>
        <v>0.81169020976866624</v>
      </c>
      <c r="Y669">
        <f t="shared" si="243"/>
        <v>6.7050118314666234</v>
      </c>
      <c r="Z669">
        <f t="shared" si="244"/>
        <v>6000</v>
      </c>
      <c r="AA669">
        <f t="shared" si="245"/>
        <v>0.81169020976866624</v>
      </c>
      <c r="AB669">
        <f t="shared" si="246"/>
        <v>6.7050118314666234</v>
      </c>
      <c r="AC669">
        <f t="shared" si="247"/>
        <v>6000</v>
      </c>
      <c r="AD669">
        <f t="shared" si="248"/>
        <v>0.81169020976866624</v>
      </c>
      <c r="AE669">
        <f t="shared" si="249"/>
        <v>6.7050118314666234</v>
      </c>
      <c r="AF669">
        <f t="shared" si="250"/>
        <v>6000</v>
      </c>
      <c r="AG669">
        <f t="shared" si="251"/>
        <v>0.81169020976866624</v>
      </c>
      <c r="AH669">
        <f t="shared" si="252"/>
        <v>6.7050118314666234</v>
      </c>
      <c r="AI669" cm="1">
        <f t="array" ref="AI669">_xlfn.LET(
    _xlpm.vals,   _xlfn.HSTACK(S669,V669,Y669,AB669,AE669,AH669),
    _xlpm.ints,   _xlfn.HSTACK(R669,U669,X669,AA669,AD669,AG669),
    _xlpm.slopes, _xlfn.HSTACK(Q669,T669,W669,Z669,AC669,AF669),
    _xlpm.limit,  -0.00001*_xlpm.slopes + 0.1086*_xlpm.slopes + 63.253,
    _xlpm.mask,   (_xlpm.vals&gt;=0) * (_xlpm.ints&lt;=_xlpm.limit),
    _xlpm.validVals, _xlfn._xlws.FILTER(_xlpm.vals, _xlpm.mask),
    _xlpm.minVal, MIN(_xlpm.validVals),
    IFERROR( _xlfn.XMATCH(_xlpm.minVal, _xlpm.vals), "" )
)</f>
        <v>1</v>
      </c>
      <c r="AJ669" cm="1">
        <f t="array" ref="AJ669">_xlfn.LET(
    _xlpm.vals, CHOOSE({1,2,3,4,5,6}, S669, V669, Y669, AB669, AE669, AH669),
    _xlpm.slopes, CHOOSE({1,2,3,4,5,6}, Q669, T669, W669, Z669, AC669, AF669),
    _xlpm.ints, CHOOSE({1,2,3,4,5,6}, R669, U669, X669, AA669, AD669, AG669),
    _xlpm.limit, -0.00001*_xlpm.slopes + 0.1086*_xlpm.slopes + 63.253,
    _xlpm.valid, (_xlpm.vals &gt;= 0) * (_xlpm.ints &lt;= _xlpm.limit),
    _xlpm.target, MIN(_xlfn._xlws.FILTER(_xlpm.vals, _xlpm.valid)),
    IFERROR(
        _xlfn.XLOOKUP(_xlpm.target, _xlpm.vals, _xlpm.vals),
        CHOOSE({1,2,3,4,5,6}, S$1, V$1, Y$1, AB$1, AE$1, AH$1)
    )
)</f>
        <v>0.34912257277966247</v>
      </c>
    </row>
    <row r="670" spans="9:36" x14ac:dyDescent="0.45">
      <c r="I670">
        <v>668</v>
      </c>
      <c r="J670">
        <v>0.4</v>
      </c>
      <c r="K670">
        <f t="shared" si="231"/>
        <v>0.4</v>
      </c>
      <c r="L670">
        <f t="shared" si="230"/>
        <v>1.1111111111111112E-4</v>
      </c>
      <c r="M670">
        <v>0.28999999999999998</v>
      </c>
      <c r="N670">
        <f t="shared" si="232"/>
        <v>0.28999999999999998</v>
      </c>
      <c r="O670">
        <f t="shared" si="233"/>
        <v>5.1980731148712982</v>
      </c>
      <c r="P670">
        <f t="shared" si="234"/>
        <v>16.633833967588156</v>
      </c>
      <c r="Q670">
        <f t="shared" si="235"/>
        <v>1000</v>
      </c>
      <c r="R670">
        <f t="shared" si="236"/>
        <v>2.7692960097989792</v>
      </c>
      <c r="S670">
        <f t="shared" si="237"/>
        <v>0.33616652941935438</v>
      </c>
      <c r="T670">
        <f t="shared" si="238"/>
        <v>6000</v>
      </c>
      <c r="U670">
        <f t="shared" si="239"/>
        <v>0.46154933496649647</v>
      </c>
      <c r="V670">
        <f t="shared" si="240"/>
        <v>6.7028404956700021</v>
      </c>
      <c r="W670">
        <f t="shared" si="241"/>
        <v>6000</v>
      </c>
      <c r="X670">
        <f t="shared" si="242"/>
        <v>0.46154933496649647</v>
      </c>
      <c r="Y670">
        <f t="shared" si="243"/>
        <v>6.7028404956700021</v>
      </c>
      <c r="Z670">
        <f t="shared" si="244"/>
        <v>6000</v>
      </c>
      <c r="AA670">
        <f t="shared" si="245"/>
        <v>0.46154933496649647</v>
      </c>
      <c r="AB670">
        <f t="shared" si="246"/>
        <v>6.7028404956700021</v>
      </c>
      <c r="AC670">
        <f t="shared" si="247"/>
        <v>6000</v>
      </c>
      <c r="AD670">
        <f t="shared" si="248"/>
        <v>0.46154933496649647</v>
      </c>
      <c r="AE670">
        <f t="shared" si="249"/>
        <v>6.7028404956700021</v>
      </c>
      <c r="AF670">
        <f t="shared" si="250"/>
        <v>6000</v>
      </c>
      <c r="AG670">
        <f t="shared" si="251"/>
        <v>0.46154933496649647</v>
      </c>
      <c r="AH670">
        <f t="shared" si="252"/>
        <v>6.7028404956700021</v>
      </c>
      <c r="AI670" cm="1">
        <f t="array" ref="AI670">_xlfn.LET(
    _xlpm.vals,   _xlfn.HSTACK(S670,V670,Y670,AB670,AE670,AH670),
    _xlpm.ints,   _xlfn.HSTACK(R670,U670,X670,AA670,AD670,AG670),
    _xlpm.slopes, _xlfn.HSTACK(Q670,T670,W670,Z670,AC670,AF670),
    _xlpm.limit,  -0.00001*_xlpm.slopes + 0.1086*_xlpm.slopes + 63.253,
    _xlpm.mask,   (_xlpm.vals&gt;=0) * (_xlpm.ints&lt;=_xlpm.limit),
    _xlpm.validVals, _xlfn._xlws.FILTER(_xlpm.vals, _xlpm.mask),
    _xlpm.minVal, MIN(_xlpm.validVals),
    IFERROR( _xlfn.XMATCH(_xlpm.minVal, _xlpm.vals), "" )
)</f>
        <v>1</v>
      </c>
      <c r="AJ670" cm="1">
        <f t="array" ref="AJ670">_xlfn.LET(
    _xlpm.vals, CHOOSE({1,2,3,4,5,6}, S670, V670, Y670, AB670, AE670, AH670),
    _xlpm.slopes, CHOOSE({1,2,3,4,5,6}, Q670, T670, W670, Z670, AC670, AF670),
    _xlpm.ints, CHOOSE({1,2,3,4,5,6}, R670, U670, X670, AA670, AD670, AG670),
    _xlpm.limit, -0.00001*_xlpm.slopes + 0.1086*_xlpm.slopes + 63.253,
    _xlpm.valid, (_xlpm.vals &gt;= 0) * (_xlpm.ints &lt;= _xlpm.limit),
    _xlpm.target, MIN(_xlfn._xlws.FILTER(_xlpm.vals, _xlpm.valid)),
    IFERROR(
        _xlfn.XLOOKUP(_xlpm.target, _xlpm.vals, _xlpm.vals),
        CHOOSE({1,2,3,4,5,6}, S$1, V$1, Y$1, AB$1, AE$1, AH$1)
    )
)</f>
        <v>0.33616652941935438</v>
      </c>
    </row>
    <row r="671" spans="9:36" x14ac:dyDescent="0.45">
      <c r="I671">
        <v>669</v>
      </c>
      <c r="J671">
        <v>1.5</v>
      </c>
      <c r="K671">
        <f t="shared" si="231"/>
        <v>1.5</v>
      </c>
      <c r="L671">
        <f t="shared" si="230"/>
        <v>4.1666666666666664E-4</v>
      </c>
      <c r="M671">
        <v>0.56000000000000005</v>
      </c>
      <c r="N671">
        <f t="shared" si="232"/>
        <v>0.56000000000000005</v>
      </c>
      <c r="O671">
        <f t="shared" si="233"/>
        <v>19.49277418076737</v>
      </c>
      <c r="P671">
        <f t="shared" si="234"/>
        <v>62.376877378455589</v>
      </c>
      <c r="Q671">
        <f t="shared" si="235"/>
        <v>1000</v>
      </c>
      <c r="R671">
        <f t="shared" si="236"/>
        <v>5.3476060878876837</v>
      </c>
      <c r="S671">
        <f t="shared" si="237"/>
        <v>0.3521424879034038</v>
      </c>
      <c r="T671">
        <f t="shared" si="238"/>
        <v>6000</v>
      </c>
      <c r="U671">
        <f t="shared" si="239"/>
        <v>0.89126768131461398</v>
      </c>
      <c r="V671">
        <f t="shared" si="240"/>
        <v>6.7055110129415834</v>
      </c>
      <c r="W671">
        <f t="shared" si="241"/>
        <v>6000</v>
      </c>
      <c r="X671">
        <f t="shared" si="242"/>
        <v>0.89126768131461398</v>
      </c>
      <c r="Y671">
        <f t="shared" si="243"/>
        <v>6.7055110129415834</v>
      </c>
      <c r="Z671">
        <f t="shared" si="244"/>
        <v>6000</v>
      </c>
      <c r="AA671">
        <f t="shared" si="245"/>
        <v>0.89126768131461398</v>
      </c>
      <c r="AB671">
        <f t="shared" si="246"/>
        <v>6.7055110129415834</v>
      </c>
      <c r="AC671">
        <f t="shared" si="247"/>
        <v>6000</v>
      </c>
      <c r="AD671">
        <f t="shared" si="248"/>
        <v>0.89126768131461398</v>
      </c>
      <c r="AE671">
        <f t="shared" si="249"/>
        <v>6.7055110129415834</v>
      </c>
      <c r="AF671">
        <f t="shared" si="250"/>
        <v>6000</v>
      </c>
      <c r="AG671">
        <f t="shared" si="251"/>
        <v>0.89126768131461398</v>
      </c>
      <c r="AH671">
        <f t="shared" si="252"/>
        <v>6.7055110129415834</v>
      </c>
      <c r="AI671" cm="1">
        <f t="array" ref="AI671">_xlfn.LET(
    _xlpm.vals,   _xlfn.HSTACK(S671,V671,Y671,AB671,AE671,AH671),
    _xlpm.ints,   _xlfn.HSTACK(R671,U671,X671,AA671,AD671,AG671),
    _xlpm.slopes, _xlfn.HSTACK(Q671,T671,W671,Z671,AC671,AF671),
    _xlpm.limit,  -0.00001*_xlpm.slopes + 0.1086*_xlpm.slopes + 63.253,
    _xlpm.mask,   (_xlpm.vals&gt;=0) * (_xlpm.ints&lt;=_xlpm.limit),
    _xlpm.validVals, _xlfn._xlws.FILTER(_xlpm.vals, _xlpm.mask),
    _xlpm.minVal, MIN(_xlpm.validVals),
    IFERROR( _xlfn.XMATCH(_xlpm.minVal, _xlpm.vals), "" )
)</f>
        <v>1</v>
      </c>
      <c r="AJ671" cm="1">
        <f t="array" ref="AJ671">_xlfn.LET(
    _xlpm.vals, CHOOSE({1,2,3,4,5,6}, S671, V671, Y671, AB671, AE671, AH671),
    _xlpm.slopes, CHOOSE({1,2,3,4,5,6}, Q671, T671, W671, Z671, AC671, AF671),
    _xlpm.ints, CHOOSE({1,2,3,4,5,6}, R671, U671, X671, AA671, AD671, AG671),
    _xlpm.limit, -0.00001*_xlpm.slopes + 0.1086*_xlpm.slopes + 63.253,
    _xlpm.valid, (_xlpm.vals &gt;= 0) * (_xlpm.ints &lt;= _xlpm.limit),
    _xlpm.target, MIN(_xlfn._xlws.FILTER(_xlpm.vals, _xlpm.valid)),
    IFERROR(
        _xlfn.XLOOKUP(_xlpm.target, _xlpm.vals, _xlpm.vals),
        CHOOSE({1,2,3,4,5,6}, S$1, V$1, Y$1, AB$1, AE$1, AH$1)
    )
)</f>
        <v>0.3521424879034038</v>
      </c>
    </row>
    <row r="672" spans="9:36" x14ac:dyDescent="0.45">
      <c r="I672">
        <v>670</v>
      </c>
      <c r="J672">
        <v>3.6</v>
      </c>
      <c r="K672">
        <f t="shared" si="231"/>
        <v>3.6</v>
      </c>
      <c r="L672">
        <f t="shared" si="230"/>
        <v>1E-3</v>
      </c>
      <c r="M672">
        <v>3.53</v>
      </c>
      <c r="N672">
        <f t="shared" si="232"/>
        <v>3.53</v>
      </c>
      <c r="O672">
        <f t="shared" si="233"/>
        <v>46.782658033841685</v>
      </c>
      <c r="P672">
        <f t="shared" si="234"/>
        <v>149.7045057082934</v>
      </c>
      <c r="Q672">
        <f t="shared" si="235"/>
        <v>1000</v>
      </c>
      <c r="R672">
        <f t="shared" si="236"/>
        <v>33.709016946863436</v>
      </c>
      <c r="S672">
        <f t="shared" si="237"/>
        <v>0.57279360573673255</v>
      </c>
      <c r="T672">
        <f t="shared" si="238"/>
        <v>6000</v>
      </c>
      <c r="U672">
        <f t="shared" si="239"/>
        <v>5.618169491143906</v>
      </c>
      <c r="V672">
        <f t="shared" si="240"/>
        <v>6.7389061143136759</v>
      </c>
      <c r="W672">
        <f t="shared" si="241"/>
        <v>6000</v>
      </c>
      <c r="X672">
        <f t="shared" si="242"/>
        <v>5.618169491143906</v>
      </c>
      <c r="Y672">
        <f t="shared" si="243"/>
        <v>6.7389061143136759</v>
      </c>
      <c r="Z672">
        <f t="shared" si="244"/>
        <v>6000</v>
      </c>
      <c r="AA672">
        <f t="shared" si="245"/>
        <v>5.618169491143906</v>
      </c>
      <c r="AB672">
        <f t="shared" si="246"/>
        <v>6.7389061143136759</v>
      </c>
      <c r="AC672">
        <f t="shared" si="247"/>
        <v>6000</v>
      </c>
      <c r="AD672">
        <f t="shared" si="248"/>
        <v>5.618169491143906</v>
      </c>
      <c r="AE672">
        <f t="shared" si="249"/>
        <v>6.7389061143136759</v>
      </c>
      <c r="AF672">
        <f t="shared" si="250"/>
        <v>6000</v>
      </c>
      <c r="AG672">
        <f t="shared" si="251"/>
        <v>5.618169491143906</v>
      </c>
      <c r="AH672">
        <f t="shared" si="252"/>
        <v>6.7389061143136759</v>
      </c>
      <c r="AI672" cm="1">
        <f t="array" ref="AI672">_xlfn.LET(
    _xlpm.vals,   _xlfn.HSTACK(S672,V672,Y672,AB672,AE672,AH672),
    _xlpm.ints,   _xlfn.HSTACK(R672,U672,X672,AA672,AD672,AG672),
    _xlpm.slopes, _xlfn.HSTACK(Q672,T672,W672,Z672,AC672,AF672),
    _xlpm.limit,  -0.00001*_xlpm.slopes + 0.1086*_xlpm.slopes + 63.253,
    _xlpm.mask,   (_xlpm.vals&gt;=0) * (_xlpm.ints&lt;=_xlpm.limit),
    _xlpm.validVals, _xlfn._xlws.FILTER(_xlpm.vals, _xlpm.mask),
    _xlpm.minVal, MIN(_xlpm.validVals),
    IFERROR( _xlfn.XMATCH(_xlpm.minVal, _xlpm.vals), "" )
)</f>
        <v>1</v>
      </c>
      <c r="AJ672" cm="1">
        <f t="array" ref="AJ672">_xlfn.LET(
    _xlpm.vals, CHOOSE({1,2,3,4,5,6}, S672, V672, Y672, AB672, AE672, AH672),
    _xlpm.slopes, CHOOSE({1,2,3,4,5,6}, Q672, T672, W672, Z672, AC672, AF672),
    _xlpm.ints, CHOOSE({1,2,3,4,5,6}, R672, U672, X672, AA672, AD672, AG672),
    _xlpm.limit, -0.00001*_xlpm.slopes + 0.1086*_xlpm.slopes + 63.253,
    _xlpm.valid, (_xlpm.vals &gt;= 0) * (_xlpm.ints &lt;= _xlpm.limit),
    _xlpm.target, MIN(_xlfn._xlws.FILTER(_xlpm.vals, _xlpm.valid)),
    IFERROR(
        _xlfn.XLOOKUP(_xlpm.target, _xlpm.vals, _xlpm.vals),
        CHOOSE({1,2,3,4,5,6}, S$1, V$1, Y$1, AB$1, AE$1, AH$1)
    )
)</f>
        <v>0.57279360573673255</v>
      </c>
    </row>
    <row r="673" spans="9:36" x14ac:dyDescent="0.45">
      <c r="I673">
        <v>671</v>
      </c>
      <c r="J673">
        <v>5.4</v>
      </c>
      <c r="K673">
        <f t="shared" si="231"/>
        <v>5.4</v>
      </c>
      <c r="L673">
        <f t="shared" si="230"/>
        <v>1.5E-3</v>
      </c>
      <c r="M673">
        <v>4.43</v>
      </c>
      <c r="N673">
        <f t="shared" si="232"/>
        <v>4.43</v>
      </c>
      <c r="O673">
        <f t="shared" si="233"/>
        <v>70.17398705076252</v>
      </c>
      <c r="P673">
        <f t="shared" si="234"/>
        <v>224.55675856244008</v>
      </c>
      <c r="Q673">
        <f t="shared" si="235"/>
        <v>1028.4699542159756</v>
      </c>
      <c r="R673">
        <f t="shared" si="236"/>
        <v>41.132347814744421</v>
      </c>
      <c r="S673">
        <f t="shared" si="237"/>
        <v>0.65456362385053879</v>
      </c>
      <c r="T673">
        <f t="shared" si="238"/>
        <v>6000</v>
      </c>
      <c r="U673">
        <f t="shared" si="239"/>
        <v>7.0505639789709633</v>
      </c>
      <c r="V673">
        <f t="shared" si="240"/>
        <v>6.7504604623583697</v>
      </c>
      <c r="W673">
        <f t="shared" si="241"/>
        <v>6000</v>
      </c>
      <c r="X673">
        <f t="shared" si="242"/>
        <v>7.0505639789709633</v>
      </c>
      <c r="Y673">
        <f t="shared" si="243"/>
        <v>6.7504604623583697</v>
      </c>
      <c r="Z673">
        <f t="shared" si="244"/>
        <v>6000</v>
      </c>
      <c r="AA673">
        <f t="shared" si="245"/>
        <v>7.0505639789709633</v>
      </c>
      <c r="AB673">
        <f t="shared" si="246"/>
        <v>6.7504604623583697</v>
      </c>
      <c r="AC673">
        <f t="shared" si="247"/>
        <v>6000</v>
      </c>
      <c r="AD673">
        <f t="shared" si="248"/>
        <v>7.0505639789709633</v>
      </c>
      <c r="AE673">
        <f t="shared" si="249"/>
        <v>6.7504604623583697</v>
      </c>
      <c r="AF673">
        <f t="shared" si="250"/>
        <v>6000</v>
      </c>
      <c r="AG673">
        <f t="shared" si="251"/>
        <v>7.0505639789709633</v>
      </c>
      <c r="AH673">
        <f t="shared" si="252"/>
        <v>6.7504604623583697</v>
      </c>
      <c r="AI673" cm="1">
        <f t="array" ref="AI673">_xlfn.LET(
    _xlpm.vals,   _xlfn.HSTACK(S673,V673,Y673,AB673,AE673,AH673),
    _xlpm.ints,   _xlfn.HSTACK(R673,U673,X673,AA673,AD673,AG673),
    _xlpm.slopes, _xlfn.HSTACK(Q673,T673,W673,Z673,AC673,AF673),
    _xlpm.limit,  -0.00001*_xlpm.slopes + 0.1086*_xlpm.slopes + 63.253,
    _xlpm.mask,   (_xlpm.vals&gt;=0) * (_xlpm.ints&lt;=_xlpm.limit),
    _xlpm.validVals, _xlfn._xlws.FILTER(_xlpm.vals, _xlpm.mask),
    _xlpm.minVal, MIN(_xlpm.validVals),
    IFERROR( _xlfn.XMATCH(_xlpm.minVal, _xlpm.vals), "" )
)</f>
        <v>1</v>
      </c>
      <c r="AJ673" cm="1">
        <f t="array" ref="AJ673">_xlfn.LET(
    _xlpm.vals, CHOOSE({1,2,3,4,5,6}, S673, V673, Y673, AB673, AE673, AH673),
    _xlpm.slopes, CHOOSE({1,2,3,4,5,6}, Q673, T673, W673, Z673, AC673, AF673),
    _xlpm.ints, CHOOSE({1,2,3,4,5,6}, R673, U673, X673, AA673, AD673, AG673),
    _xlpm.limit, -0.00001*_xlpm.slopes + 0.1086*_xlpm.slopes + 63.253,
    _xlpm.valid, (_xlpm.vals &gt;= 0) * (_xlpm.ints &lt;= _xlpm.limit),
    _xlpm.target, MIN(_xlfn._xlws.FILTER(_xlpm.vals, _xlpm.valid)),
    IFERROR(
        _xlfn.XLOOKUP(_xlpm.target, _xlpm.vals, _xlpm.vals),
        CHOOSE({1,2,3,4,5,6}, S$1, V$1, Y$1, AB$1, AE$1, AH$1)
    )
)</f>
        <v>0.65456362385053879</v>
      </c>
    </row>
    <row r="674" spans="9:36" x14ac:dyDescent="0.45">
      <c r="I674">
        <v>672</v>
      </c>
      <c r="J674">
        <v>7</v>
      </c>
      <c r="K674">
        <f t="shared" si="231"/>
        <v>7</v>
      </c>
      <c r="L674">
        <f t="shared" si="230"/>
        <v>1.9444444444444444E-3</v>
      </c>
      <c r="M674">
        <v>6.43</v>
      </c>
      <c r="N674">
        <f t="shared" si="232"/>
        <v>6.43</v>
      </c>
      <c r="O674">
        <f t="shared" si="233"/>
        <v>90.966279510247716</v>
      </c>
      <c r="P674">
        <f t="shared" si="234"/>
        <v>291.09209443279269</v>
      </c>
      <c r="Q674">
        <f t="shared" si="235"/>
        <v>1333.2017925021905</v>
      </c>
      <c r="R674">
        <f t="shared" si="236"/>
        <v>46.056026469640628</v>
      </c>
      <c r="S674">
        <f t="shared" si="237"/>
        <v>0.85778112266201001</v>
      </c>
      <c r="T674">
        <f t="shared" si="238"/>
        <v>6000</v>
      </c>
      <c r="U674">
        <f t="shared" si="239"/>
        <v>10.23366284080887</v>
      </c>
      <c r="V674">
        <f t="shared" si="240"/>
        <v>6.7784780314540418</v>
      </c>
      <c r="W674">
        <f t="shared" si="241"/>
        <v>6000</v>
      </c>
      <c r="X674">
        <f t="shared" si="242"/>
        <v>10.23366284080887</v>
      </c>
      <c r="Y674">
        <f t="shared" si="243"/>
        <v>6.7784780314540418</v>
      </c>
      <c r="Z674">
        <f t="shared" si="244"/>
        <v>6000</v>
      </c>
      <c r="AA674">
        <f t="shared" si="245"/>
        <v>10.23366284080887</v>
      </c>
      <c r="AB674">
        <f t="shared" si="246"/>
        <v>6.7784780314540418</v>
      </c>
      <c r="AC674">
        <f t="shared" si="247"/>
        <v>6000</v>
      </c>
      <c r="AD674">
        <f t="shared" si="248"/>
        <v>10.23366284080887</v>
      </c>
      <c r="AE674">
        <f t="shared" si="249"/>
        <v>6.7784780314540418</v>
      </c>
      <c r="AF674">
        <f t="shared" si="250"/>
        <v>6000</v>
      </c>
      <c r="AG674">
        <f t="shared" si="251"/>
        <v>10.23366284080887</v>
      </c>
      <c r="AH674">
        <f t="shared" si="252"/>
        <v>6.7784780314540418</v>
      </c>
      <c r="AI674" cm="1">
        <f t="array" ref="AI674">_xlfn.LET(
    _xlpm.vals,   _xlfn.HSTACK(S674,V674,Y674,AB674,AE674,AH674),
    _xlpm.ints,   _xlfn.HSTACK(R674,U674,X674,AA674,AD674,AG674),
    _xlpm.slopes, _xlfn.HSTACK(Q674,T674,W674,Z674,AC674,AF674),
    _xlpm.limit,  -0.00001*_xlpm.slopes + 0.1086*_xlpm.slopes + 63.253,
    _xlpm.mask,   (_xlpm.vals&gt;=0) * (_xlpm.ints&lt;=_xlpm.limit),
    _xlpm.validVals, _xlfn._xlws.FILTER(_xlpm.vals, _xlpm.mask),
    _xlpm.minVal, MIN(_xlpm.validVals),
    IFERROR( _xlfn.XMATCH(_xlpm.minVal, _xlpm.vals), "" )
)</f>
        <v>1</v>
      </c>
      <c r="AJ674" cm="1">
        <f t="array" ref="AJ674">_xlfn.LET(
    _xlpm.vals, CHOOSE({1,2,3,4,5,6}, S674, V674, Y674, AB674, AE674, AH674),
    _xlpm.slopes, CHOOSE({1,2,3,4,5,6}, Q674, T674, W674, Z674, AC674, AF674),
    _xlpm.ints, CHOOSE({1,2,3,4,5,6}, R674, U674, X674, AA674, AD674, AG674),
    _xlpm.limit, -0.00001*_xlpm.slopes + 0.1086*_xlpm.slopes + 63.253,
    _xlpm.valid, (_xlpm.vals &gt;= 0) * (_xlpm.ints &lt;= _xlpm.limit),
    _xlpm.target, MIN(_xlfn._xlws.FILTER(_xlpm.vals, _xlpm.valid)),
    IFERROR(
        _xlfn.XLOOKUP(_xlpm.target, _xlpm.vals, _xlpm.vals),
        CHOOSE({1,2,3,4,5,6}, S$1, V$1, Y$1, AB$1, AE$1, AH$1)
    )
)</f>
        <v>0.85778112266201001</v>
      </c>
    </row>
    <row r="675" spans="9:36" x14ac:dyDescent="0.45">
      <c r="I675">
        <v>673</v>
      </c>
      <c r="J675">
        <v>9.3000000000000007</v>
      </c>
      <c r="K675">
        <f t="shared" si="231"/>
        <v>9.3000000000000007</v>
      </c>
      <c r="L675">
        <f t="shared" si="230"/>
        <v>2.5833333333333333E-3</v>
      </c>
      <c r="M675">
        <v>11.87</v>
      </c>
      <c r="N675">
        <f t="shared" si="232"/>
        <v>11.87</v>
      </c>
      <c r="O675">
        <f t="shared" si="233"/>
        <v>120.8551999207577</v>
      </c>
      <c r="P675">
        <f t="shared" si="234"/>
        <v>386.73663974642466</v>
      </c>
      <c r="Q675">
        <f t="shared" si="235"/>
        <v>1771.253810038625</v>
      </c>
      <c r="R675">
        <f t="shared" si="236"/>
        <v>63.99430156628771</v>
      </c>
      <c r="S675">
        <f t="shared" si="237"/>
        <v>1.3574439272790002</v>
      </c>
      <c r="T675">
        <f t="shared" si="238"/>
        <v>1144.7404536494171</v>
      </c>
      <c r="U675">
        <f t="shared" si="239"/>
        <v>99.018209855945173</v>
      </c>
      <c r="V675">
        <f t="shared" si="240"/>
        <v>1.3384337529518884</v>
      </c>
      <c r="W675">
        <f t="shared" si="241"/>
        <v>6000</v>
      </c>
      <c r="X675">
        <f t="shared" si="242"/>
        <v>18.891691745007979</v>
      </c>
      <c r="Y675">
        <f t="shared" si="243"/>
        <v>6.8705502138973058</v>
      </c>
      <c r="Z675">
        <f t="shared" si="244"/>
        <v>6000</v>
      </c>
      <c r="AA675">
        <f t="shared" si="245"/>
        <v>18.891691745007979</v>
      </c>
      <c r="AB675">
        <f t="shared" si="246"/>
        <v>6.8705502138973058</v>
      </c>
      <c r="AC675">
        <f t="shared" si="247"/>
        <v>6000</v>
      </c>
      <c r="AD675">
        <f t="shared" si="248"/>
        <v>18.891691745007979</v>
      </c>
      <c r="AE675">
        <f t="shared" si="249"/>
        <v>6.8705502138973058</v>
      </c>
      <c r="AF675">
        <f t="shared" si="250"/>
        <v>6000</v>
      </c>
      <c r="AG675">
        <f t="shared" si="251"/>
        <v>18.891691745007979</v>
      </c>
      <c r="AH675">
        <f t="shared" si="252"/>
        <v>6.8705502138973058</v>
      </c>
      <c r="AI675" cm="1">
        <f t="array" ref="AI675">_xlfn.LET(
    _xlpm.vals,   _xlfn.HSTACK(S675,V675,Y675,AB675,AE675,AH675),
    _xlpm.ints,   _xlfn.HSTACK(R675,U675,X675,AA675,AD675,AG675),
    _xlpm.slopes, _xlfn.HSTACK(Q675,T675,W675,Z675,AC675,AF675),
    _xlpm.limit,  -0.00001*_xlpm.slopes + 0.1086*_xlpm.slopes + 63.253,
    _xlpm.mask,   (_xlpm.vals&gt;=0) * (_xlpm.ints&lt;=_xlpm.limit),
    _xlpm.validVals, _xlfn._xlws.FILTER(_xlpm.vals, _xlpm.mask),
    _xlpm.minVal, MIN(_xlpm.validVals),
    IFERROR( _xlfn.XMATCH(_xlpm.minVal, _xlpm.vals), "" )
)</f>
        <v>2</v>
      </c>
      <c r="AJ675" cm="1">
        <f t="array" ref="AJ675">_xlfn.LET(
    _xlpm.vals, CHOOSE({1,2,3,4,5,6}, S675, V675, Y675, AB675, AE675, AH675),
    _xlpm.slopes, CHOOSE({1,2,3,4,5,6}, Q675, T675, W675, Z675, AC675, AF675),
    _xlpm.ints, CHOOSE({1,2,3,4,5,6}, R675, U675, X675, AA675, AD675, AG675),
    _xlpm.limit, -0.00001*_xlpm.slopes + 0.1086*_xlpm.slopes + 63.253,
    _xlpm.valid, (_xlpm.vals &gt;= 0) * (_xlpm.ints &lt;= _xlpm.limit),
    _xlpm.target, MIN(_xlfn._xlws.FILTER(_xlpm.vals, _xlpm.valid)),
    IFERROR(
        _xlfn.XLOOKUP(_xlpm.target, _xlpm.vals, _xlpm.vals),
        CHOOSE({1,2,3,4,5,6}, S$1, V$1, Y$1, AB$1, AE$1, AH$1)
    )
)</f>
        <v>1.3384337529518884</v>
      </c>
    </row>
    <row r="676" spans="9:36" x14ac:dyDescent="0.45">
      <c r="I676">
        <v>674</v>
      </c>
      <c r="J676">
        <v>11.6</v>
      </c>
      <c r="K676">
        <f t="shared" si="231"/>
        <v>11.6</v>
      </c>
      <c r="L676">
        <f t="shared" si="230"/>
        <v>3.2222222222222222E-3</v>
      </c>
      <c r="M676">
        <v>10.06</v>
      </c>
      <c r="N676">
        <f t="shared" si="232"/>
        <v>10.06</v>
      </c>
      <c r="O676">
        <f t="shared" si="233"/>
        <v>150.74412033126765</v>
      </c>
      <c r="P676">
        <f t="shared" si="234"/>
        <v>482.38118506005651</v>
      </c>
      <c r="Q676">
        <f t="shared" si="235"/>
        <v>2209.3058275750586</v>
      </c>
      <c r="R676">
        <f t="shared" si="236"/>
        <v>43.482401780341249</v>
      </c>
      <c r="S676">
        <f t="shared" si="237"/>
        <v>1.2510719388586105</v>
      </c>
      <c r="T676">
        <f t="shared" si="238"/>
        <v>1427.8483077777673</v>
      </c>
      <c r="U676">
        <f t="shared" si="239"/>
        <v>67.280202754717195</v>
      </c>
      <c r="V676">
        <f t="shared" si="240"/>
        <v>1.1887044898904837</v>
      </c>
      <c r="W676">
        <f t="shared" si="241"/>
        <v>6000</v>
      </c>
      <c r="X676">
        <f t="shared" si="242"/>
        <v>16.010987275044673</v>
      </c>
      <c r="Y676">
        <f t="shared" si="243"/>
        <v>6.8373924127155474</v>
      </c>
      <c r="Z676">
        <f t="shared" si="244"/>
        <v>6000</v>
      </c>
      <c r="AA676">
        <f t="shared" si="245"/>
        <v>16.010987275044673</v>
      </c>
      <c r="AB676">
        <f t="shared" si="246"/>
        <v>6.8373924127155474</v>
      </c>
      <c r="AC676">
        <f t="shared" si="247"/>
        <v>6000</v>
      </c>
      <c r="AD676">
        <f t="shared" si="248"/>
        <v>16.010987275044673</v>
      </c>
      <c r="AE676">
        <f t="shared" si="249"/>
        <v>6.8373924127155474</v>
      </c>
      <c r="AF676">
        <f t="shared" si="250"/>
        <v>6000</v>
      </c>
      <c r="AG676">
        <f t="shared" si="251"/>
        <v>16.010987275044673</v>
      </c>
      <c r="AH676">
        <f t="shared" si="252"/>
        <v>6.8373924127155474</v>
      </c>
      <c r="AI676" cm="1">
        <f t="array" ref="AI676">_xlfn.LET(
    _xlpm.vals,   _xlfn.HSTACK(S676,V676,Y676,AB676,AE676,AH676),
    _xlpm.ints,   _xlfn.HSTACK(R676,U676,X676,AA676,AD676,AG676),
    _xlpm.slopes, _xlfn.HSTACK(Q676,T676,W676,Z676,AC676,AF676),
    _xlpm.limit,  -0.00001*_xlpm.slopes + 0.1086*_xlpm.slopes + 63.253,
    _xlpm.mask,   (_xlpm.vals&gt;=0) * (_xlpm.ints&lt;=_xlpm.limit),
    _xlpm.validVals, _xlfn._xlws.FILTER(_xlpm.vals, _xlpm.mask),
    _xlpm.minVal, MIN(_xlpm.validVals),
    IFERROR( _xlfn.XMATCH(_xlpm.minVal, _xlpm.vals), "" )
)</f>
        <v>2</v>
      </c>
      <c r="AJ676" cm="1">
        <f t="array" ref="AJ676">_xlfn.LET(
    _xlpm.vals, CHOOSE({1,2,3,4,5,6}, S676, V676, Y676, AB676, AE676, AH676),
    _xlpm.slopes, CHOOSE({1,2,3,4,5,6}, Q676, T676, W676, Z676, AC676, AF676),
    _xlpm.ints, CHOOSE({1,2,3,4,5,6}, R676, U676, X676, AA676, AD676, AG676),
    _xlpm.limit, -0.00001*_xlpm.slopes + 0.1086*_xlpm.slopes + 63.253,
    _xlpm.valid, (_xlpm.vals &gt;= 0) * (_xlpm.ints &lt;= _xlpm.limit),
    _xlpm.target, MIN(_xlfn._xlws.FILTER(_xlpm.vals, _xlpm.valid)),
    IFERROR(
        _xlfn.XLOOKUP(_xlpm.target, _xlpm.vals, _xlpm.vals),
        CHOOSE({1,2,3,4,5,6}, S$1, V$1, Y$1, AB$1, AE$1, AH$1)
    )
)</f>
        <v>1.1887044898904837</v>
      </c>
    </row>
    <row r="677" spans="9:36" x14ac:dyDescent="0.45">
      <c r="I677">
        <v>675</v>
      </c>
      <c r="J677">
        <v>13.8</v>
      </c>
      <c r="K677">
        <f t="shared" si="231"/>
        <v>13.8</v>
      </c>
      <c r="L677">
        <f t="shared" si="230"/>
        <v>3.8333333333333336E-3</v>
      </c>
      <c r="M677">
        <v>13.64</v>
      </c>
      <c r="N677">
        <f t="shared" si="232"/>
        <v>13.64</v>
      </c>
      <c r="O677">
        <f t="shared" si="233"/>
        <v>179.33352246305981</v>
      </c>
      <c r="P677">
        <f t="shared" si="234"/>
        <v>573.86727188179145</v>
      </c>
      <c r="Q677">
        <f t="shared" si="235"/>
        <v>2628.3121052186048</v>
      </c>
      <c r="R677">
        <f t="shared" si="236"/>
        <v>49.557434662263468</v>
      </c>
      <c r="S677">
        <f t="shared" si="237"/>
        <v>1.6160157210234072</v>
      </c>
      <c r="T677">
        <f t="shared" si="238"/>
        <v>1698.6471247701027</v>
      </c>
      <c r="U677">
        <f t="shared" si="239"/>
        <v>76.680084713907661</v>
      </c>
      <c r="V677">
        <f t="shared" si="240"/>
        <v>1.5137110587548688</v>
      </c>
      <c r="W677">
        <f t="shared" si="241"/>
        <v>1096.0864892942216</v>
      </c>
      <c r="X677">
        <f t="shared" si="242"/>
        <v>118.83405798595115</v>
      </c>
      <c r="Y677">
        <f t="shared" si="243"/>
        <v>1.4604650211424106</v>
      </c>
      <c r="Z677">
        <f t="shared" si="244"/>
        <v>6000</v>
      </c>
      <c r="AA677">
        <f t="shared" si="245"/>
        <v>21.708734237734525</v>
      </c>
      <c r="AB677">
        <f t="shared" si="246"/>
        <v>6.9053449225354298</v>
      </c>
      <c r="AC677">
        <f t="shared" si="247"/>
        <v>6000</v>
      </c>
      <c r="AD677">
        <f t="shared" si="248"/>
        <v>21.708734237734525</v>
      </c>
      <c r="AE677">
        <f t="shared" si="249"/>
        <v>6.9053449225354298</v>
      </c>
      <c r="AF677">
        <f t="shared" si="250"/>
        <v>6000</v>
      </c>
      <c r="AG677">
        <f t="shared" si="251"/>
        <v>21.708734237734525</v>
      </c>
      <c r="AH677">
        <f t="shared" si="252"/>
        <v>6.9053449225354298</v>
      </c>
      <c r="AI677" cm="1">
        <f t="array" ref="AI677">_xlfn.LET(
    _xlpm.vals,   _xlfn.HSTACK(S677,V677,Y677,AB677,AE677,AH677),
    _xlpm.ints,   _xlfn.HSTACK(R677,U677,X677,AA677,AD677,AG677),
    _xlpm.slopes, _xlfn.HSTACK(Q677,T677,W677,Z677,AC677,AF677),
    _xlpm.limit,  -0.00001*_xlpm.slopes + 0.1086*_xlpm.slopes + 63.253,
    _xlpm.mask,   (_xlpm.vals&gt;=0) * (_xlpm.ints&lt;=_xlpm.limit),
    _xlpm.validVals, _xlfn._xlws.FILTER(_xlpm.vals, _xlpm.mask),
    _xlpm.minVal, MIN(_xlpm.validVals),
    IFERROR( _xlfn.XMATCH(_xlpm.minVal, _xlpm.vals), "" )
)</f>
        <v>3</v>
      </c>
      <c r="AJ677" cm="1">
        <f t="array" ref="AJ677">_xlfn.LET(
    _xlpm.vals, CHOOSE({1,2,3,4,5,6}, S677, V677, Y677, AB677, AE677, AH677),
    _xlpm.slopes, CHOOSE({1,2,3,4,5,6}, Q677, T677, W677, Z677, AC677, AF677),
    _xlpm.ints, CHOOSE({1,2,3,4,5,6}, R677, U677, X677, AA677, AD677, AG677),
    _xlpm.limit, -0.00001*_xlpm.slopes + 0.1086*_xlpm.slopes + 63.253,
    _xlpm.valid, (_xlpm.vals &gt;= 0) * (_xlpm.ints &lt;= _xlpm.limit),
    _xlpm.target, MIN(_xlfn._xlws.FILTER(_xlpm.vals, _xlpm.valid)),
    IFERROR(
        _xlfn.XLOOKUP(_xlpm.target, _xlpm.vals, _xlpm.vals),
        CHOOSE({1,2,3,4,5,6}, S$1, V$1, Y$1, AB$1, AE$1, AH$1)
    )
)</f>
        <v>1.4604650211424106</v>
      </c>
    </row>
    <row r="678" spans="9:36" x14ac:dyDescent="0.45">
      <c r="I678">
        <v>676</v>
      </c>
      <c r="J678">
        <v>14.9</v>
      </c>
      <c r="K678">
        <f t="shared" si="231"/>
        <v>14.9</v>
      </c>
      <c r="L678">
        <f t="shared" si="230"/>
        <v>4.138888888888889E-3</v>
      </c>
      <c r="M678">
        <v>7.98</v>
      </c>
      <c r="N678">
        <f t="shared" si="232"/>
        <v>7.98</v>
      </c>
      <c r="O678">
        <f t="shared" si="233"/>
        <v>193.62822352895589</v>
      </c>
      <c r="P678">
        <f t="shared" si="234"/>
        <v>619.61031529265892</v>
      </c>
      <c r="Q678">
        <f t="shared" si="235"/>
        <v>2837.8152440403778</v>
      </c>
      <c r="R678">
        <f t="shared" si="236"/>
        <v>26.852835790642906</v>
      </c>
      <c r="S678">
        <f t="shared" si="237"/>
        <v>1.3085483150470059</v>
      </c>
      <c r="T678">
        <f t="shared" si="238"/>
        <v>1834.0465332662704</v>
      </c>
      <c r="U678">
        <f t="shared" si="239"/>
        <v>41.5493202436299</v>
      </c>
      <c r="V678">
        <f t="shared" si="240"/>
        <v>1.032558730254715</v>
      </c>
      <c r="W678">
        <f t="shared" si="241"/>
        <v>1183.4557022089784</v>
      </c>
      <c r="X678">
        <f t="shared" si="242"/>
        <v>64.390569592222263</v>
      </c>
      <c r="Y678">
        <f t="shared" si="243"/>
        <v>0.99066773917686479</v>
      </c>
      <c r="Z678">
        <f t="shared" si="244"/>
        <v>6000</v>
      </c>
      <c r="AA678">
        <f t="shared" si="245"/>
        <v>12.700564458733249</v>
      </c>
      <c r="AB678">
        <f t="shared" si="246"/>
        <v>6.8023784672497785</v>
      </c>
      <c r="AC678">
        <f t="shared" si="247"/>
        <v>6000</v>
      </c>
      <c r="AD678">
        <f t="shared" si="248"/>
        <v>12.700564458733249</v>
      </c>
      <c r="AE678">
        <f t="shared" si="249"/>
        <v>6.8023784672497785</v>
      </c>
      <c r="AF678">
        <f t="shared" si="250"/>
        <v>6000</v>
      </c>
      <c r="AG678">
        <f t="shared" si="251"/>
        <v>12.700564458733249</v>
      </c>
      <c r="AH678">
        <f t="shared" si="252"/>
        <v>6.8023784672497785</v>
      </c>
      <c r="AI678" cm="1">
        <f t="array" ref="AI678">_xlfn.LET(
    _xlpm.vals,   _xlfn.HSTACK(S678,V678,Y678,AB678,AE678,AH678),
    _xlpm.ints,   _xlfn.HSTACK(R678,U678,X678,AA678,AD678,AG678),
    _xlpm.slopes, _xlfn.HSTACK(Q678,T678,W678,Z678,AC678,AF678),
    _xlpm.limit,  -0.00001*_xlpm.slopes + 0.1086*_xlpm.slopes + 63.253,
    _xlpm.mask,   (_xlpm.vals&gt;=0) * (_xlpm.ints&lt;=_xlpm.limit),
    _xlpm.validVals, _xlfn._xlws.FILTER(_xlpm.vals, _xlpm.mask),
    _xlpm.minVal, MIN(_xlpm.validVals),
    IFERROR( _xlfn.XMATCH(_xlpm.minVal, _xlpm.vals), "" )
)</f>
        <v>3</v>
      </c>
      <c r="AJ678" cm="1">
        <f t="array" ref="AJ678">_xlfn.LET(
    _xlpm.vals, CHOOSE({1,2,3,4,5,6}, S678, V678, Y678, AB678, AE678, AH678),
    _xlpm.slopes, CHOOSE({1,2,3,4,5,6}, Q678, T678, W678, Z678, AC678, AF678),
    _xlpm.ints, CHOOSE({1,2,3,4,5,6}, R678, U678, X678, AA678, AD678, AG678),
    _xlpm.limit, -0.00001*_xlpm.slopes + 0.1086*_xlpm.slopes + 63.253,
    _xlpm.valid, (_xlpm.vals &gt;= 0) * (_xlpm.ints &lt;= _xlpm.limit),
    _xlpm.target, MIN(_xlfn._xlws.FILTER(_xlpm.vals, _xlpm.valid)),
    IFERROR(
        _xlfn.XLOOKUP(_xlpm.target, _xlpm.vals, _xlpm.vals),
        CHOOSE({1,2,3,4,5,6}, S$1, V$1, Y$1, AB$1, AE$1, AH$1)
    )
)</f>
        <v>0.99066773917686479</v>
      </c>
    </row>
    <row r="679" spans="9:36" x14ac:dyDescent="0.45">
      <c r="I679">
        <v>677</v>
      </c>
      <c r="J679">
        <v>16.2</v>
      </c>
      <c r="K679">
        <f t="shared" si="231"/>
        <v>16.2</v>
      </c>
      <c r="L679">
        <f t="shared" si="230"/>
        <v>4.4999999999999997E-3</v>
      </c>
      <c r="M679">
        <v>16.03</v>
      </c>
      <c r="N679">
        <f t="shared" si="232"/>
        <v>16.03</v>
      </c>
      <c r="O679">
        <f t="shared" si="233"/>
        <v>210.52196115228756</v>
      </c>
      <c r="P679">
        <f t="shared" si="234"/>
        <v>673.67027568732021</v>
      </c>
      <c r="Q679">
        <f t="shared" si="235"/>
        <v>3085.4098626479267</v>
      </c>
      <c r="R679">
        <f t="shared" si="236"/>
        <v>49.612606130199637</v>
      </c>
      <c r="S679">
        <f t="shared" si="237"/>
        <v>1.9551370383791591</v>
      </c>
      <c r="T679">
        <f t="shared" si="238"/>
        <v>1994.0640160344678</v>
      </c>
      <c r="U679">
        <f t="shared" si="239"/>
        <v>76.765451377133232</v>
      </c>
      <c r="V679">
        <f t="shared" si="240"/>
        <v>1.7260609445971837</v>
      </c>
      <c r="W679">
        <f t="shared" si="241"/>
        <v>1286.7102265627816</v>
      </c>
      <c r="X679">
        <f t="shared" si="242"/>
        <v>118.96635396665673</v>
      </c>
      <c r="Y679">
        <f t="shared" si="243"/>
        <v>1.692619101709</v>
      </c>
      <c r="Z679">
        <f t="shared" si="244"/>
        <v>6000</v>
      </c>
      <c r="AA679">
        <f t="shared" si="245"/>
        <v>25.512537377630828</v>
      </c>
      <c r="AB679">
        <f t="shared" si="246"/>
        <v>6.955962512852234</v>
      </c>
      <c r="AC679">
        <f t="shared" si="247"/>
        <v>6000</v>
      </c>
      <c r="AD679">
        <f t="shared" si="248"/>
        <v>25.512537377630828</v>
      </c>
      <c r="AE679">
        <f t="shared" si="249"/>
        <v>6.955962512852234</v>
      </c>
      <c r="AF679">
        <f t="shared" si="250"/>
        <v>6000</v>
      </c>
      <c r="AG679">
        <f t="shared" si="251"/>
        <v>25.512537377630828</v>
      </c>
      <c r="AH679">
        <f t="shared" si="252"/>
        <v>6.955962512852234</v>
      </c>
      <c r="AI679" cm="1">
        <f t="array" ref="AI679">_xlfn.LET(
    _xlpm.vals,   _xlfn.HSTACK(S679,V679,Y679,AB679,AE679,AH679),
    _xlpm.ints,   _xlfn.HSTACK(R679,U679,X679,AA679,AD679,AG679),
    _xlpm.slopes, _xlfn.HSTACK(Q679,T679,W679,Z679,AC679,AF679),
    _xlpm.limit,  -0.00001*_xlpm.slopes + 0.1086*_xlpm.slopes + 63.253,
    _xlpm.mask,   (_xlpm.vals&gt;=0) * (_xlpm.ints&lt;=_xlpm.limit),
    _xlpm.validVals, _xlfn._xlws.FILTER(_xlpm.vals, _xlpm.mask),
    _xlpm.minVal, MIN(_xlpm.validVals),
    IFERROR( _xlfn.XMATCH(_xlpm.minVal, _xlpm.vals), "" )
)</f>
        <v>3</v>
      </c>
      <c r="AJ679" cm="1">
        <f t="array" ref="AJ679">_xlfn.LET(
    _xlpm.vals, CHOOSE({1,2,3,4,5,6}, S679, V679, Y679, AB679, AE679, AH679),
    _xlpm.slopes, CHOOSE({1,2,3,4,5,6}, Q679, T679, W679, Z679, AC679, AF679),
    _xlpm.ints, CHOOSE({1,2,3,4,5,6}, R679, U679, X679, AA679, AD679, AG679),
    _xlpm.limit, -0.00001*_xlpm.slopes + 0.1086*_xlpm.slopes + 63.253,
    _xlpm.valid, (_xlpm.vals &gt;= 0) * (_xlpm.ints &lt;= _xlpm.limit),
    _xlpm.target, MIN(_xlfn._xlws.FILTER(_xlpm.vals, _xlpm.valid)),
    IFERROR(
        _xlfn.XLOOKUP(_xlpm.target, _xlpm.vals, _xlpm.vals),
        CHOOSE({1,2,3,4,5,6}, S$1, V$1, Y$1, AB$1, AE$1, AH$1)
    )
)</f>
        <v>1.692619101709</v>
      </c>
    </row>
    <row r="680" spans="9:36" x14ac:dyDescent="0.45">
      <c r="I680">
        <v>678</v>
      </c>
      <c r="J680">
        <v>16.8</v>
      </c>
      <c r="K680">
        <f t="shared" si="231"/>
        <v>16.8</v>
      </c>
      <c r="L680">
        <f t="shared" si="230"/>
        <v>4.6666666666666671E-3</v>
      </c>
      <c r="M680">
        <v>5.33</v>
      </c>
      <c r="N680">
        <f t="shared" si="232"/>
        <v>5.33</v>
      </c>
      <c r="O680">
        <f t="shared" si="233"/>
        <v>218.31907082459455</v>
      </c>
      <c r="P680">
        <f t="shared" si="234"/>
        <v>698.62102663870257</v>
      </c>
      <c r="Q680">
        <f t="shared" si="235"/>
        <v>3199.6843020052579</v>
      </c>
      <c r="R680">
        <f t="shared" si="236"/>
        <v>15.907116451735646</v>
      </c>
      <c r="S680">
        <f t="shared" si="237"/>
        <v>1.3731365571681564</v>
      </c>
      <c r="T680">
        <f t="shared" si="238"/>
        <v>2067.9182388505596</v>
      </c>
      <c r="U680">
        <f t="shared" si="239"/>
        <v>24.613038293563942</v>
      </c>
      <c r="V680">
        <f t="shared" si="240"/>
        <v>0.87335236956207241</v>
      </c>
      <c r="W680">
        <f t="shared" si="241"/>
        <v>1334.3661608799218</v>
      </c>
      <c r="X680">
        <f t="shared" si="242"/>
        <v>38.143766151282342</v>
      </c>
      <c r="Y680">
        <f t="shared" si="243"/>
        <v>0.76292942700213229</v>
      </c>
      <c r="Z680">
        <f t="shared" si="244"/>
        <v>1006.0142783597316</v>
      </c>
      <c r="AA680">
        <f t="shared" si="245"/>
        <v>50.593467603436991</v>
      </c>
      <c r="AB680">
        <f t="shared" si="246"/>
        <v>0.73400516153360773</v>
      </c>
      <c r="AC680">
        <f t="shared" si="247"/>
        <v>6000</v>
      </c>
      <c r="AD680">
        <f t="shared" si="248"/>
        <v>8.4829584667980225</v>
      </c>
      <c r="AE680">
        <f t="shared" si="249"/>
        <v>6.7626712414465135</v>
      </c>
      <c r="AF680">
        <f t="shared" si="250"/>
        <v>6000</v>
      </c>
      <c r="AG680">
        <f t="shared" si="251"/>
        <v>8.4829584667980225</v>
      </c>
      <c r="AH680">
        <f t="shared" si="252"/>
        <v>6.7626712414465135</v>
      </c>
      <c r="AI680" cm="1">
        <f t="array" ref="AI680">_xlfn.LET(
    _xlpm.vals,   _xlfn.HSTACK(S680,V680,Y680,AB680,AE680,AH680),
    _xlpm.ints,   _xlfn.HSTACK(R680,U680,X680,AA680,AD680,AG680),
    _xlpm.slopes, _xlfn.HSTACK(Q680,T680,W680,Z680,AC680,AF680),
    _xlpm.limit,  -0.00001*_xlpm.slopes + 0.1086*_xlpm.slopes + 63.253,
    _xlpm.mask,   (_xlpm.vals&gt;=0) * (_xlpm.ints&lt;=_xlpm.limit),
    _xlpm.validVals, _xlfn._xlws.FILTER(_xlpm.vals, _xlpm.mask),
    _xlpm.minVal, MIN(_xlpm.validVals),
    IFERROR( _xlfn.XMATCH(_xlpm.minVal, _xlpm.vals), "" )
)</f>
        <v>4</v>
      </c>
      <c r="AJ680" cm="1">
        <f t="array" ref="AJ680">_xlfn.LET(
    _xlpm.vals, CHOOSE({1,2,3,4,5,6}, S680, V680, Y680, AB680, AE680, AH680),
    _xlpm.slopes, CHOOSE({1,2,3,4,5,6}, Q680, T680, W680, Z680, AC680, AF680),
    _xlpm.ints, CHOOSE({1,2,3,4,5,6}, R680, U680, X680, AA680, AD680, AG680),
    _xlpm.limit, -0.00001*_xlpm.slopes + 0.1086*_xlpm.slopes + 63.253,
    _xlpm.valid, (_xlpm.vals &gt;= 0) * (_xlpm.ints &lt;= _xlpm.limit),
    _xlpm.target, MIN(_xlfn._xlws.FILTER(_xlpm.vals, _xlpm.valid)),
    IFERROR(
        _xlfn.XLOOKUP(_xlpm.target, _xlpm.vals, _xlpm.vals),
        CHOOSE({1,2,3,4,5,6}, S$1, V$1, Y$1, AB$1, AE$1, AH$1)
    )
)</f>
        <v>0.73400516153360773</v>
      </c>
    </row>
    <row r="681" spans="9:36" x14ac:dyDescent="0.45">
      <c r="I681">
        <v>679</v>
      </c>
      <c r="J681">
        <v>16.8</v>
      </c>
      <c r="K681">
        <f t="shared" si="231"/>
        <v>16.8</v>
      </c>
      <c r="L681">
        <f t="shared" si="230"/>
        <v>4.6666666666666671E-3</v>
      </c>
      <c r="M681">
        <v>1.23</v>
      </c>
      <c r="N681">
        <f t="shared" si="232"/>
        <v>1.23</v>
      </c>
      <c r="O681">
        <f t="shared" si="233"/>
        <v>218.31907082459455</v>
      </c>
      <c r="P681">
        <f t="shared" si="234"/>
        <v>698.62102663870257</v>
      </c>
      <c r="Q681">
        <f t="shared" si="235"/>
        <v>3199.6843020052579</v>
      </c>
      <c r="R681">
        <f t="shared" si="236"/>
        <v>3.6708730273236108</v>
      </c>
      <c r="S681">
        <f t="shared" si="237"/>
        <v>1.1750647537260628</v>
      </c>
      <c r="T681">
        <f t="shared" si="238"/>
        <v>2067.9182388505596</v>
      </c>
      <c r="U681">
        <f t="shared" si="239"/>
        <v>5.6799319138993711</v>
      </c>
      <c r="V681">
        <f t="shared" si="240"/>
        <v>0.61212014709819162</v>
      </c>
      <c r="W681">
        <f t="shared" si="241"/>
        <v>1334.3661608799218</v>
      </c>
      <c r="X681">
        <f t="shared" si="242"/>
        <v>8.8024075733728484</v>
      </c>
      <c r="Y681">
        <f t="shared" si="243"/>
        <v>0.45296955525269006</v>
      </c>
      <c r="Z681">
        <f t="shared" si="244"/>
        <v>1006.0142783597316</v>
      </c>
      <c r="AA681">
        <f t="shared" si="245"/>
        <v>11.675415600793151</v>
      </c>
      <c r="AB681">
        <f t="shared" si="246"/>
        <v>0.39623153069451972</v>
      </c>
      <c r="AC681">
        <f t="shared" si="247"/>
        <v>6000</v>
      </c>
      <c r="AD681">
        <f t="shared" si="248"/>
        <v>1.9576058000303127</v>
      </c>
      <c r="AE681">
        <f t="shared" si="249"/>
        <v>6.7124029483836596</v>
      </c>
      <c r="AF681">
        <f t="shared" si="250"/>
        <v>6000</v>
      </c>
      <c r="AG681">
        <f t="shared" si="251"/>
        <v>1.9576058000303127</v>
      </c>
      <c r="AH681">
        <f t="shared" si="252"/>
        <v>6.7124029483836596</v>
      </c>
      <c r="AI681" cm="1">
        <f t="array" ref="AI681">_xlfn.LET(
    _xlpm.vals,   _xlfn.HSTACK(S681,V681,Y681,AB681,AE681,AH681),
    _xlpm.ints,   _xlfn.HSTACK(R681,U681,X681,AA681,AD681,AG681),
    _xlpm.slopes, _xlfn.HSTACK(Q681,T681,W681,Z681,AC681,AF681),
    _xlpm.limit,  -0.00001*_xlpm.slopes + 0.1086*_xlpm.slopes + 63.253,
    _xlpm.mask,   (_xlpm.vals&gt;=0) * (_xlpm.ints&lt;=_xlpm.limit),
    _xlpm.validVals, _xlfn._xlws.FILTER(_xlpm.vals, _xlpm.mask),
    _xlpm.minVal, MIN(_xlpm.validVals),
    IFERROR( _xlfn.XMATCH(_xlpm.minVal, _xlpm.vals), "" )
)</f>
        <v>4</v>
      </c>
      <c r="AJ681" cm="1">
        <f t="array" ref="AJ681">_xlfn.LET(
    _xlpm.vals, CHOOSE({1,2,3,4,5,6}, S681, V681, Y681, AB681, AE681, AH681),
    _xlpm.slopes, CHOOSE({1,2,3,4,5,6}, Q681, T681, W681, Z681, AC681, AF681),
    _xlpm.ints, CHOOSE({1,2,3,4,5,6}, R681, U681, X681, AA681, AD681, AG681),
    _xlpm.limit, -0.00001*_xlpm.slopes + 0.1086*_xlpm.slopes + 63.253,
    _xlpm.valid, (_xlpm.vals &gt;= 0) * (_xlpm.ints &lt;= _xlpm.limit),
    _xlpm.target, MIN(_xlfn._xlws.FILTER(_xlpm.vals, _xlpm.valid)),
    IFERROR(
        _xlfn.XLOOKUP(_xlpm.target, _xlpm.vals, _xlpm.vals),
        CHOOSE({1,2,3,4,5,6}, S$1, V$1, Y$1, AB$1, AE$1, AH$1)
    )
)</f>
        <v>0.39623153069451972</v>
      </c>
    </row>
    <row r="682" spans="9:36" x14ac:dyDescent="0.45">
      <c r="I682">
        <v>680</v>
      </c>
      <c r="J682">
        <v>17.100000000000001</v>
      </c>
      <c r="K682">
        <f t="shared" si="231"/>
        <v>17.100000000000001</v>
      </c>
      <c r="L682">
        <f t="shared" si="230"/>
        <v>4.7500000000000007E-3</v>
      </c>
      <c r="M682">
        <v>7.14</v>
      </c>
      <c r="N682">
        <f t="shared" si="232"/>
        <v>7.14</v>
      </c>
      <c r="O682">
        <f t="shared" si="233"/>
        <v>222.21762566074801</v>
      </c>
      <c r="P682">
        <f t="shared" si="234"/>
        <v>711.09640211439364</v>
      </c>
      <c r="Q682">
        <f t="shared" si="235"/>
        <v>3256.821521683923</v>
      </c>
      <c r="R682">
        <f t="shared" si="236"/>
        <v>20.935128672729608</v>
      </c>
      <c r="S682">
        <f t="shared" si="237"/>
        <v>1.5101242353728261</v>
      </c>
      <c r="T682">
        <f t="shared" si="238"/>
        <v>2104.8453502586053</v>
      </c>
      <c r="U682">
        <f t="shared" si="239"/>
        <v>32.392868013885675</v>
      </c>
      <c r="V682">
        <f t="shared" si="240"/>
        <v>1.0109391738272724</v>
      </c>
      <c r="W682">
        <f t="shared" si="241"/>
        <v>1358.1941280384917</v>
      </c>
      <c r="X682">
        <f t="shared" si="242"/>
        <v>50.200465613142207</v>
      </c>
      <c r="Y682">
        <f t="shared" si="243"/>
        <v>0.92219023551930124</v>
      </c>
      <c r="Z682">
        <f t="shared" si="244"/>
        <v>1023.9788190447268</v>
      </c>
      <c r="AA682">
        <f t="shared" si="245"/>
        <v>66.585339806320562</v>
      </c>
      <c r="AB682">
        <f t="shared" si="246"/>
        <v>0.90418537338357596</v>
      </c>
      <c r="AC682">
        <f t="shared" si="247"/>
        <v>6000</v>
      </c>
      <c r="AD682">
        <f t="shared" si="248"/>
        <v>11.363662936761328</v>
      </c>
      <c r="AE682">
        <f t="shared" si="249"/>
        <v>6.7891912160312957</v>
      </c>
      <c r="AF682">
        <f t="shared" si="250"/>
        <v>6000</v>
      </c>
      <c r="AG682">
        <f t="shared" si="251"/>
        <v>11.363662936761328</v>
      </c>
      <c r="AH682">
        <f t="shared" si="252"/>
        <v>6.7891912160312957</v>
      </c>
      <c r="AI682" cm="1">
        <f t="array" ref="AI682">_xlfn.LET(
    _xlpm.vals,   _xlfn.HSTACK(S682,V682,Y682,AB682,AE682,AH682),
    _xlpm.ints,   _xlfn.HSTACK(R682,U682,X682,AA682,AD682,AG682),
    _xlpm.slopes, _xlfn.HSTACK(Q682,T682,W682,Z682,AC682,AF682),
    _xlpm.limit,  -0.00001*_xlpm.slopes + 0.1086*_xlpm.slopes + 63.253,
    _xlpm.mask,   (_xlpm.vals&gt;=0) * (_xlpm.ints&lt;=_xlpm.limit),
    _xlpm.validVals, _xlfn._xlws.FILTER(_xlpm.vals, _xlpm.mask),
    _xlpm.minVal, MIN(_xlpm.validVals),
    IFERROR( _xlfn.XMATCH(_xlpm.minVal, _xlpm.vals), "" )
)</f>
        <v>4</v>
      </c>
      <c r="AJ682" cm="1">
        <f t="array" ref="AJ682">_xlfn.LET(
    _xlpm.vals, CHOOSE({1,2,3,4,5,6}, S682, V682, Y682, AB682, AE682, AH682),
    _xlpm.slopes, CHOOSE({1,2,3,4,5,6}, Q682, T682, W682, Z682, AC682, AF682),
    _xlpm.ints, CHOOSE({1,2,3,4,5,6}, R682, U682, X682, AA682, AD682, AG682),
    _xlpm.limit, -0.00001*_xlpm.slopes + 0.1086*_xlpm.slopes + 63.253,
    _xlpm.valid, (_xlpm.vals &gt;= 0) * (_xlpm.ints &lt;= _xlpm.limit),
    _xlpm.target, MIN(_xlfn._xlws.FILTER(_xlpm.vals, _xlpm.valid)),
    IFERROR(
        _xlfn.XLOOKUP(_xlpm.target, _xlpm.vals, _xlpm.vals),
        CHOOSE({1,2,3,4,5,6}, S$1, V$1, Y$1, AB$1, AE$1, AH$1)
    )
)</f>
        <v>0.90418537338357596</v>
      </c>
    </row>
    <row r="683" spans="9:36" x14ac:dyDescent="0.45">
      <c r="I683">
        <v>681</v>
      </c>
      <c r="J683">
        <v>18.3</v>
      </c>
      <c r="K683">
        <f t="shared" si="231"/>
        <v>18.3</v>
      </c>
      <c r="L683">
        <f t="shared" si="230"/>
        <v>5.0833333333333338E-3</v>
      </c>
      <c r="M683">
        <v>9.8800000000000008</v>
      </c>
      <c r="N683">
        <f t="shared" si="232"/>
        <v>9.8800000000000008</v>
      </c>
      <c r="O683">
        <f t="shared" si="233"/>
        <v>237.81184500536193</v>
      </c>
      <c r="P683">
        <f t="shared" si="234"/>
        <v>760.99790401715825</v>
      </c>
      <c r="Q683">
        <f t="shared" si="235"/>
        <v>3485.3704003985849</v>
      </c>
      <c r="R683">
        <f t="shared" si="236"/>
        <v>27.069447268527352</v>
      </c>
      <c r="S683">
        <f t="shared" si="237"/>
        <v>1.835764667845994</v>
      </c>
      <c r="T683">
        <f t="shared" si="238"/>
        <v>2252.5537958907885</v>
      </c>
      <c r="U683">
        <f t="shared" si="239"/>
        <v>41.884482597924077</v>
      </c>
      <c r="V683">
        <f t="shared" si="240"/>
        <v>1.2454795517947843</v>
      </c>
      <c r="W683">
        <f t="shared" si="241"/>
        <v>1453.5059966727722</v>
      </c>
      <c r="X683">
        <f t="shared" si="242"/>
        <v>64.909983502542033</v>
      </c>
      <c r="Y683">
        <f t="shared" si="243"/>
        <v>1.1727727285694025</v>
      </c>
      <c r="Z683">
        <f t="shared" si="244"/>
        <v>1095.8369817847079</v>
      </c>
      <c r="AA683">
        <f t="shared" si="245"/>
        <v>86.095880895732833</v>
      </c>
      <c r="AB683">
        <f t="shared" si="246"/>
        <v>1.1608066752669415</v>
      </c>
      <c r="AC683">
        <f t="shared" si="247"/>
        <v>6000</v>
      </c>
      <c r="AD683">
        <f t="shared" si="248"/>
        <v>15.72450837747926</v>
      </c>
      <c r="AE683">
        <f t="shared" si="249"/>
        <v>6.8342307949808614</v>
      </c>
      <c r="AF683">
        <f t="shared" si="250"/>
        <v>6000</v>
      </c>
      <c r="AG683">
        <f t="shared" si="251"/>
        <v>15.72450837747926</v>
      </c>
      <c r="AH683">
        <f t="shared" si="252"/>
        <v>6.8342307949808614</v>
      </c>
      <c r="AI683" cm="1">
        <f t="array" ref="AI683">_xlfn.LET(
    _xlpm.vals,   _xlfn.HSTACK(S683,V683,Y683,AB683,AE683,AH683),
    _xlpm.ints,   _xlfn.HSTACK(R683,U683,X683,AA683,AD683,AG683),
    _xlpm.slopes, _xlfn.HSTACK(Q683,T683,W683,Z683,AC683,AF683),
    _xlpm.limit,  -0.00001*_xlpm.slopes + 0.1086*_xlpm.slopes + 63.253,
    _xlpm.mask,   (_xlpm.vals&gt;=0) * (_xlpm.ints&lt;=_xlpm.limit),
    _xlpm.validVals, _xlfn._xlws.FILTER(_xlpm.vals, _xlpm.mask),
    _xlpm.minVal, MIN(_xlpm.validVals),
    IFERROR( _xlfn.XMATCH(_xlpm.minVal, _xlpm.vals), "" )
)</f>
        <v>4</v>
      </c>
      <c r="AJ683" cm="1">
        <f t="array" ref="AJ683">_xlfn.LET(
    _xlpm.vals, CHOOSE({1,2,3,4,5,6}, S683, V683, Y683, AB683, AE683, AH683),
    _xlpm.slopes, CHOOSE({1,2,3,4,5,6}, Q683, T683, W683, Z683, AC683, AF683),
    _xlpm.ints, CHOOSE({1,2,3,4,5,6}, R683, U683, X683, AA683, AD683, AG683),
    _xlpm.limit, -0.00001*_xlpm.slopes + 0.1086*_xlpm.slopes + 63.253,
    _xlpm.valid, (_xlpm.vals &gt;= 0) * (_xlpm.ints &lt;= _xlpm.limit),
    _xlpm.target, MIN(_xlfn._xlws.FILTER(_xlpm.vals, _xlpm.valid)),
    IFERROR(
        _xlfn.XLOOKUP(_xlpm.target, _xlpm.vals, _xlpm.vals),
        CHOOSE({1,2,3,4,5,6}, S$1, V$1, Y$1, AB$1, AE$1, AH$1)
    )
)</f>
        <v>1.1608066752669415</v>
      </c>
    </row>
    <row r="684" spans="9:36" x14ac:dyDescent="0.45">
      <c r="I684">
        <v>682</v>
      </c>
      <c r="J684">
        <v>19.3</v>
      </c>
      <c r="K684">
        <f t="shared" si="231"/>
        <v>19.3</v>
      </c>
      <c r="L684">
        <f t="shared" si="230"/>
        <v>5.3611111111111116E-3</v>
      </c>
      <c r="M684">
        <v>11.06</v>
      </c>
      <c r="N684">
        <f t="shared" si="232"/>
        <v>11.06</v>
      </c>
      <c r="O684">
        <f t="shared" si="233"/>
        <v>250.80702779254014</v>
      </c>
      <c r="P684">
        <f t="shared" si="234"/>
        <v>802.58248893612847</v>
      </c>
      <c r="Q684">
        <f t="shared" si="235"/>
        <v>3675.8277993274683</v>
      </c>
      <c r="R684">
        <f t="shared" si="236"/>
        <v>28.732363429838898</v>
      </c>
      <c r="S684">
        <f t="shared" si="237"/>
        <v>2.0677143683943733</v>
      </c>
      <c r="T684">
        <f t="shared" si="238"/>
        <v>2375.6441672509404</v>
      </c>
      <c r="U684">
        <f t="shared" si="239"/>
        <v>44.45750827995343</v>
      </c>
      <c r="V684">
        <f t="shared" si="240"/>
        <v>1.3604844346434188</v>
      </c>
      <c r="W684">
        <f t="shared" si="241"/>
        <v>1532.9325538680052</v>
      </c>
      <c r="X684">
        <f t="shared" si="242"/>
        <v>68.897499742755059</v>
      </c>
      <c r="Y684">
        <f t="shared" si="243"/>
        <v>1.2809500731994337</v>
      </c>
      <c r="Z684">
        <f t="shared" si="244"/>
        <v>1155.7187840680249</v>
      </c>
      <c r="AA684">
        <f t="shared" si="245"/>
        <v>91.384878131015398</v>
      </c>
      <c r="AB684">
        <f t="shared" si="246"/>
        <v>1.2703804634848801</v>
      </c>
      <c r="AC684">
        <f t="shared" si="247"/>
        <v>6000</v>
      </c>
      <c r="AD684">
        <f t="shared" si="248"/>
        <v>17.602536705963626</v>
      </c>
      <c r="AE684">
        <f t="shared" si="249"/>
        <v>6.8554057969549991</v>
      </c>
      <c r="AF684">
        <f t="shared" si="250"/>
        <v>6000</v>
      </c>
      <c r="AG684">
        <f t="shared" si="251"/>
        <v>17.602536705963626</v>
      </c>
      <c r="AH684">
        <f t="shared" si="252"/>
        <v>6.8554057969549991</v>
      </c>
      <c r="AI684" cm="1">
        <f t="array" ref="AI684">_xlfn.LET(
    _xlpm.vals,   _xlfn.HSTACK(S684,V684,Y684,AB684,AE684,AH684),
    _xlpm.ints,   _xlfn.HSTACK(R684,U684,X684,AA684,AD684,AG684),
    _xlpm.slopes, _xlfn.HSTACK(Q684,T684,W684,Z684,AC684,AF684),
    _xlpm.limit,  -0.00001*_xlpm.slopes + 0.1086*_xlpm.slopes + 63.253,
    _xlpm.mask,   (_xlpm.vals&gt;=0) * (_xlpm.ints&lt;=_xlpm.limit),
    _xlpm.validVals, _xlfn._xlws.FILTER(_xlpm.vals, _xlpm.mask),
    _xlpm.minVal, MIN(_xlpm.validVals),
    IFERROR( _xlfn.XMATCH(_xlpm.minVal, _xlpm.vals), "" )
)</f>
        <v>4</v>
      </c>
      <c r="AJ684" cm="1">
        <f t="array" ref="AJ684">_xlfn.LET(
    _xlpm.vals, CHOOSE({1,2,3,4,5,6}, S684, V684, Y684, AB684, AE684, AH684),
    _xlpm.slopes, CHOOSE({1,2,3,4,5,6}, Q684, T684, W684, Z684, AC684, AF684),
    _xlpm.ints, CHOOSE({1,2,3,4,5,6}, R684, U684, X684, AA684, AD684, AG684),
    _xlpm.limit, -0.00001*_xlpm.slopes + 0.1086*_xlpm.slopes + 63.253,
    _xlpm.valid, (_xlpm.vals &gt;= 0) * (_xlpm.ints &lt;= _xlpm.limit),
    _xlpm.target, MIN(_xlfn._xlws.FILTER(_xlpm.vals, _xlpm.valid)),
    IFERROR(
        _xlfn.XLOOKUP(_xlpm.target, _xlpm.vals, _xlpm.vals),
        CHOOSE({1,2,3,4,5,6}, S$1, V$1, Y$1, AB$1, AE$1, AH$1)
    )
)</f>
        <v>1.2703804634848801</v>
      </c>
    </row>
    <row r="685" spans="9:36" x14ac:dyDescent="0.45">
      <c r="I685">
        <v>683</v>
      </c>
      <c r="J685">
        <v>20.6</v>
      </c>
      <c r="K685">
        <f t="shared" si="231"/>
        <v>20.6</v>
      </c>
      <c r="L685">
        <f t="shared" si="230"/>
        <v>5.7222222222222223E-3</v>
      </c>
      <c r="M685">
        <v>11.21</v>
      </c>
      <c r="N685">
        <f t="shared" si="232"/>
        <v>11.21</v>
      </c>
      <c r="O685">
        <f t="shared" si="233"/>
        <v>267.7007654158719</v>
      </c>
      <c r="P685">
        <f t="shared" si="234"/>
        <v>856.6424493307901</v>
      </c>
      <c r="Q685">
        <f t="shared" si="235"/>
        <v>3923.4224179350185</v>
      </c>
      <c r="R685">
        <f t="shared" si="236"/>
        <v>27.284244040168957</v>
      </c>
      <c r="S685">
        <f t="shared" si="237"/>
        <v>2.3325037901810597</v>
      </c>
      <c r="T685">
        <f t="shared" si="238"/>
        <v>2535.6616500191385</v>
      </c>
      <c r="U685">
        <f t="shared" si="239"/>
        <v>42.216837062153317</v>
      </c>
      <c r="V685">
        <f t="shared" si="240"/>
        <v>1.4116172531988207</v>
      </c>
      <c r="W685">
        <f t="shared" si="241"/>
        <v>1636.1870782218091</v>
      </c>
      <c r="X685">
        <f t="shared" si="242"/>
        <v>65.4250459183109</v>
      </c>
      <c r="Y685">
        <f t="shared" si="243"/>
        <v>1.2958710704557168</v>
      </c>
      <c r="Z685">
        <f t="shared" si="244"/>
        <v>1233.5651270363378</v>
      </c>
      <c r="AA685">
        <f t="shared" si="245"/>
        <v>86.779053961092927</v>
      </c>
      <c r="AB685">
        <f t="shared" si="246"/>
        <v>1.2891336420159265</v>
      </c>
      <c r="AC685">
        <f t="shared" si="247"/>
        <v>6000</v>
      </c>
      <c r="AD685">
        <f t="shared" si="248"/>
        <v>17.841269120601467</v>
      </c>
      <c r="AE685">
        <f t="shared" si="249"/>
        <v>6.8581730974320276</v>
      </c>
      <c r="AF685">
        <f t="shared" si="250"/>
        <v>6000</v>
      </c>
      <c r="AG685">
        <f t="shared" si="251"/>
        <v>17.841269120601467</v>
      </c>
      <c r="AH685">
        <f t="shared" si="252"/>
        <v>6.8581730974320276</v>
      </c>
      <c r="AI685" cm="1">
        <f t="array" ref="AI685">_xlfn.LET(
    _xlpm.vals,   _xlfn.HSTACK(S685,V685,Y685,AB685,AE685,AH685),
    _xlpm.ints,   _xlfn.HSTACK(R685,U685,X685,AA685,AD685,AG685),
    _xlpm.slopes, _xlfn.HSTACK(Q685,T685,W685,Z685,AC685,AF685),
    _xlpm.limit,  -0.00001*_xlpm.slopes + 0.1086*_xlpm.slopes + 63.253,
    _xlpm.mask,   (_xlpm.vals&gt;=0) * (_xlpm.ints&lt;=_xlpm.limit),
    _xlpm.validVals, _xlfn._xlws.FILTER(_xlpm.vals, _xlpm.mask),
    _xlpm.minVal, MIN(_xlpm.validVals),
    IFERROR( _xlfn.XMATCH(_xlpm.minVal, _xlpm.vals), "" )
)</f>
        <v>4</v>
      </c>
      <c r="AJ685" cm="1">
        <f t="array" ref="AJ685">_xlfn.LET(
    _xlpm.vals, CHOOSE({1,2,3,4,5,6}, S685, V685, Y685, AB685, AE685, AH685),
    _xlpm.slopes, CHOOSE({1,2,3,4,5,6}, Q685, T685, W685, Z685, AC685, AF685),
    _xlpm.ints, CHOOSE({1,2,3,4,5,6}, R685, U685, X685, AA685, AD685, AG685),
    _xlpm.limit, -0.00001*_xlpm.slopes + 0.1086*_xlpm.slopes + 63.253,
    _xlpm.valid, (_xlpm.vals &gt;= 0) * (_xlpm.ints &lt;= _xlpm.limit),
    _xlpm.target, MIN(_xlfn._xlws.FILTER(_xlpm.vals, _xlpm.valid)),
    IFERROR(
        _xlfn.XLOOKUP(_xlpm.target, _xlpm.vals, _xlpm.vals),
        CHOOSE({1,2,3,4,5,6}, S$1, V$1, Y$1, AB$1, AE$1, AH$1)
    )
)</f>
        <v>1.2891336420159265</v>
      </c>
    </row>
    <row r="686" spans="9:36" x14ac:dyDescent="0.45">
      <c r="I686">
        <v>684</v>
      </c>
      <c r="J686">
        <v>21.9</v>
      </c>
      <c r="K686">
        <f t="shared" si="231"/>
        <v>21.9</v>
      </c>
      <c r="L686">
        <f t="shared" si="230"/>
        <v>6.083333333333333E-3</v>
      </c>
      <c r="M686">
        <v>12.34</v>
      </c>
      <c r="N686">
        <f t="shared" si="232"/>
        <v>12.34</v>
      </c>
      <c r="O686">
        <f t="shared" si="233"/>
        <v>284.59450303920352</v>
      </c>
      <c r="P686">
        <f t="shared" si="234"/>
        <v>910.70240972545128</v>
      </c>
      <c r="Q686">
        <f t="shared" si="235"/>
        <v>4171.0170365425665</v>
      </c>
      <c r="R686">
        <f t="shared" si="236"/>
        <v>28.251699485485123</v>
      </c>
      <c r="S686">
        <f t="shared" si="237"/>
        <v>2.6906217617417503</v>
      </c>
      <c r="T686">
        <f t="shared" si="238"/>
        <v>2695.6791327873357</v>
      </c>
      <c r="U686">
        <f t="shared" si="239"/>
        <v>43.713778257946579</v>
      </c>
      <c r="V686">
        <f t="shared" si="240"/>
        <v>1.5419179826670073</v>
      </c>
      <c r="W686">
        <f t="shared" si="241"/>
        <v>1739.4416025756118</v>
      </c>
      <c r="X686">
        <f t="shared" si="242"/>
        <v>67.744912902367474</v>
      </c>
      <c r="Y686">
        <f t="shared" si="243"/>
        <v>1.3981653053331515</v>
      </c>
      <c r="Z686">
        <f t="shared" si="244"/>
        <v>1311.4114700046498</v>
      </c>
      <c r="AA686">
        <f t="shared" si="245"/>
        <v>89.856099752445729</v>
      </c>
      <c r="AB686">
        <f t="shared" si="246"/>
        <v>1.3936448323558945</v>
      </c>
      <c r="AC686">
        <f t="shared" si="247"/>
        <v>6000</v>
      </c>
      <c r="AD686">
        <f t="shared" si="248"/>
        <v>19.639719977539887</v>
      </c>
      <c r="AE686">
        <f t="shared" si="249"/>
        <v>6.8795629464151222</v>
      </c>
      <c r="AF686">
        <f t="shared" si="250"/>
        <v>6000</v>
      </c>
      <c r="AG686">
        <f t="shared" si="251"/>
        <v>19.639719977539887</v>
      </c>
      <c r="AH686">
        <f t="shared" si="252"/>
        <v>6.8795629464151222</v>
      </c>
      <c r="AI686" cm="1">
        <f t="array" ref="AI686">_xlfn.LET(
    _xlpm.vals,   _xlfn.HSTACK(S686,V686,Y686,AB686,AE686,AH686),
    _xlpm.ints,   _xlfn.HSTACK(R686,U686,X686,AA686,AD686,AG686),
    _xlpm.slopes, _xlfn.HSTACK(Q686,T686,W686,Z686,AC686,AF686),
    _xlpm.limit,  -0.00001*_xlpm.slopes + 0.1086*_xlpm.slopes + 63.253,
    _xlpm.mask,   (_xlpm.vals&gt;=0) * (_xlpm.ints&lt;=_xlpm.limit),
    _xlpm.validVals, _xlfn._xlws.FILTER(_xlpm.vals, _xlpm.mask),
    _xlpm.minVal, MIN(_xlpm.validVals),
    IFERROR( _xlfn.XMATCH(_xlpm.minVal, _xlpm.vals), "" )
)</f>
        <v>4</v>
      </c>
      <c r="AJ686" cm="1">
        <f t="array" ref="AJ686">_xlfn.LET(
    _xlpm.vals, CHOOSE({1,2,3,4,5,6}, S686, V686, Y686, AB686, AE686, AH686),
    _xlpm.slopes, CHOOSE({1,2,3,4,5,6}, Q686, T686, W686, Z686, AC686, AF686),
    _xlpm.ints, CHOOSE({1,2,3,4,5,6}, R686, U686, X686, AA686, AD686, AG686),
    _xlpm.limit, -0.00001*_xlpm.slopes + 0.1086*_xlpm.slopes + 63.253,
    _xlpm.valid, (_xlpm.vals &gt;= 0) * (_xlpm.ints &lt;= _xlpm.limit),
    _xlpm.target, MIN(_xlfn._xlws.FILTER(_xlpm.vals, _xlpm.valid)),
    IFERROR(
        _xlfn.XLOOKUP(_xlpm.target, _xlpm.vals, _xlpm.vals),
        CHOOSE({1,2,3,4,5,6}, S$1, V$1, Y$1, AB$1, AE$1, AH$1)
    )
)</f>
        <v>1.3936448323558945</v>
      </c>
    </row>
    <row r="687" spans="9:36" x14ac:dyDescent="0.45">
      <c r="I687">
        <v>685</v>
      </c>
      <c r="J687">
        <v>22.4</v>
      </c>
      <c r="K687">
        <f t="shared" si="231"/>
        <v>22.4</v>
      </c>
      <c r="L687">
        <f t="shared" si="230"/>
        <v>6.2222222222222219E-3</v>
      </c>
      <c r="M687">
        <v>6.32</v>
      </c>
      <c r="N687">
        <f t="shared" si="232"/>
        <v>6.32</v>
      </c>
      <c r="O687">
        <f t="shared" si="233"/>
        <v>291.09209443279269</v>
      </c>
      <c r="P687">
        <f t="shared" si="234"/>
        <v>931.49470218493661</v>
      </c>
      <c r="Q687">
        <f t="shared" si="235"/>
        <v>4266.2457360070093</v>
      </c>
      <c r="R687">
        <f t="shared" si="236"/>
        <v>14.146291178466603</v>
      </c>
      <c r="S687">
        <f t="shared" si="237"/>
        <v>2.5705903242510524</v>
      </c>
      <c r="T687">
        <f t="shared" si="238"/>
        <v>2757.2243184674126</v>
      </c>
      <c r="U687">
        <f t="shared" si="239"/>
        <v>21.888518107221969</v>
      </c>
      <c r="V687">
        <f t="shared" si="240"/>
        <v>1.1688648588681194</v>
      </c>
      <c r="W687">
        <f t="shared" si="241"/>
        <v>1779.1548811732289</v>
      </c>
      <c r="X687">
        <f t="shared" si="242"/>
        <v>33.921473087631952</v>
      </c>
      <c r="Y687">
        <f t="shared" si="243"/>
        <v>0.89382569681786106</v>
      </c>
      <c r="Z687">
        <f t="shared" si="244"/>
        <v>1341.3523711463088</v>
      </c>
      <c r="AA687">
        <f t="shared" si="245"/>
        <v>44.993064998178497</v>
      </c>
      <c r="AB687">
        <f t="shared" si="246"/>
        <v>0.84873834094826273</v>
      </c>
      <c r="AC687">
        <f t="shared" si="247"/>
        <v>6000</v>
      </c>
      <c r="AD687">
        <f t="shared" si="248"/>
        <v>10.058592403407786</v>
      </c>
      <c r="AE687">
        <f t="shared" si="249"/>
        <v>6.776853957055077</v>
      </c>
      <c r="AF687">
        <f t="shared" si="250"/>
        <v>6000</v>
      </c>
      <c r="AG687">
        <f t="shared" si="251"/>
        <v>10.058592403407786</v>
      </c>
      <c r="AH687">
        <f t="shared" si="252"/>
        <v>6.776853957055077</v>
      </c>
      <c r="AI687" cm="1">
        <f t="array" ref="AI687">_xlfn.LET(
    _xlpm.vals,   _xlfn.HSTACK(S687,V687,Y687,AB687,AE687,AH687),
    _xlpm.ints,   _xlfn.HSTACK(R687,U687,X687,AA687,AD687,AG687),
    _xlpm.slopes, _xlfn.HSTACK(Q687,T687,W687,Z687,AC687,AF687),
    _xlpm.limit,  -0.00001*_xlpm.slopes + 0.1086*_xlpm.slopes + 63.253,
    _xlpm.mask,   (_xlpm.vals&gt;=0) * (_xlpm.ints&lt;=_xlpm.limit),
    _xlpm.validVals, _xlfn._xlws.FILTER(_xlpm.vals, _xlpm.mask),
    _xlpm.minVal, MIN(_xlpm.validVals),
    IFERROR( _xlfn.XMATCH(_xlpm.minVal, _xlpm.vals), "" )
)</f>
        <v>4</v>
      </c>
      <c r="AJ687" cm="1">
        <f t="array" ref="AJ687">_xlfn.LET(
    _xlpm.vals, CHOOSE({1,2,3,4,5,6}, S687, V687, Y687, AB687, AE687, AH687),
    _xlpm.slopes, CHOOSE({1,2,3,4,5,6}, Q687, T687, W687, Z687, AC687, AF687),
    _xlpm.ints, CHOOSE({1,2,3,4,5,6}, R687, U687, X687, AA687, AD687, AG687),
    _xlpm.limit, -0.00001*_xlpm.slopes + 0.1086*_xlpm.slopes + 63.253,
    _xlpm.valid, (_xlpm.vals &gt;= 0) * (_xlpm.ints &lt;= _xlpm.limit),
    _xlpm.target, MIN(_xlfn._xlws.FILTER(_xlpm.vals, _xlpm.valid)),
    IFERROR(
        _xlfn.XLOOKUP(_xlpm.target, _xlpm.vals, _xlpm.vals),
        CHOOSE({1,2,3,4,5,6}, S$1, V$1, Y$1, AB$1, AE$1, AH$1)
    )
)</f>
        <v>0.84873834094826273</v>
      </c>
    </row>
    <row r="688" spans="9:36" x14ac:dyDescent="0.45">
      <c r="I688">
        <v>686</v>
      </c>
      <c r="J688">
        <v>22.5</v>
      </c>
      <c r="K688">
        <f t="shared" si="231"/>
        <v>22.5</v>
      </c>
      <c r="L688">
        <f t="shared" si="230"/>
        <v>6.2500000000000003E-3</v>
      </c>
      <c r="M688">
        <v>1.98</v>
      </c>
      <c r="N688">
        <f t="shared" si="232"/>
        <v>1.98</v>
      </c>
      <c r="O688">
        <f t="shared" si="233"/>
        <v>292.39161271151056</v>
      </c>
      <c r="P688">
        <f t="shared" si="234"/>
        <v>935.65316067683386</v>
      </c>
      <c r="Q688">
        <f t="shared" si="235"/>
        <v>4285.2914758998995</v>
      </c>
      <c r="R688">
        <f t="shared" si="236"/>
        <v>4.412210311866037</v>
      </c>
      <c r="S688">
        <f t="shared" si="237"/>
        <v>2.4460641808158052</v>
      </c>
      <c r="T688">
        <f t="shared" si="238"/>
        <v>2769.5333556034284</v>
      </c>
      <c r="U688">
        <f t="shared" si="239"/>
        <v>6.8270010906575855</v>
      </c>
      <c r="V688">
        <f t="shared" si="240"/>
        <v>0.93237449742792655</v>
      </c>
      <c r="W688">
        <f t="shared" si="241"/>
        <v>1787.0975368927527</v>
      </c>
      <c r="X688">
        <f t="shared" si="242"/>
        <v>10.580064517458876</v>
      </c>
      <c r="Y688">
        <f t="shared" si="243"/>
        <v>0.58711035477986562</v>
      </c>
      <c r="Z688">
        <f t="shared" si="244"/>
        <v>1347.3405513746407</v>
      </c>
      <c r="AA688">
        <f t="shared" si="245"/>
        <v>14.033280019685037</v>
      </c>
      <c r="AB688">
        <f t="shared" si="246"/>
        <v>0.50522032283073148</v>
      </c>
      <c r="AC688">
        <f t="shared" si="247"/>
        <v>6000</v>
      </c>
      <c r="AD688">
        <f t="shared" si="248"/>
        <v>3.1512678732195276</v>
      </c>
      <c r="AE688">
        <f t="shared" si="249"/>
        <v>6.7205635592743924</v>
      </c>
      <c r="AF688">
        <f t="shared" si="250"/>
        <v>6000</v>
      </c>
      <c r="AG688">
        <f t="shared" si="251"/>
        <v>3.1512678732195276</v>
      </c>
      <c r="AH688">
        <f t="shared" si="252"/>
        <v>6.7205635592743924</v>
      </c>
      <c r="AI688" cm="1">
        <f t="array" ref="AI688">_xlfn.LET(
    _xlpm.vals,   _xlfn.HSTACK(S688,V688,Y688,AB688,AE688,AH688),
    _xlpm.ints,   _xlfn.HSTACK(R688,U688,X688,AA688,AD688,AG688),
    _xlpm.slopes, _xlfn.HSTACK(Q688,T688,W688,Z688,AC688,AF688),
    _xlpm.limit,  -0.00001*_xlpm.slopes + 0.1086*_xlpm.slopes + 63.253,
    _xlpm.mask,   (_xlpm.vals&gt;=0) * (_xlpm.ints&lt;=_xlpm.limit),
    _xlpm.validVals, _xlfn._xlws.FILTER(_xlpm.vals, _xlpm.mask),
    _xlpm.minVal, MIN(_xlpm.validVals),
    IFERROR( _xlfn.XMATCH(_xlpm.minVal, _xlpm.vals), "" )
)</f>
        <v>4</v>
      </c>
      <c r="AJ688" cm="1">
        <f t="array" ref="AJ688">_xlfn.LET(
    _xlpm.vals, CHOOSE({1,2,3,4,5,6}, S688, V688, Y688, AB688, AE688, AH688),
    _xlpm.slopes, CHOOSE({1,2,3,4,5,6}, Q688, T688, W688, Z688, AC688, AF688),
    _xlpm.ints, CHOOSE({1,2,3,4,5,6}, R688, U688, X688, AA688, AD688, AG688),
    _xlpm.limit, -0.00001*_xlpm.slopes + 0.1086*_xlpm.slopes + 63.253,
    _xlpm.valid, (_xlpm.vals &gt;= 0) * (_xlpm.ints &lt;= _xlpm.limit),
    _xlpm.target, MIN(_xlfn._xlws.FILTER(_xlpm.vals, _xlpm.valid)),
    IFERROR(
        _xlfn.XLOOKUP(_xlpm.target, _xlpm.vals, _xlpm.vals),
        CHOOSE({1,2,3,4,5,6}, S$1, V$1, Y$1, AB$1, AE$1, AH$1)
    )
)</f>
        <v>0.50522032283073148</v>
      </c>
    </row>
    <row r="689" spans="9:36" x14ac:dyDescent="0.45">
      <c r="I689">
        <v>687</v>
      </c>
      <c r="J689">
        <v>22.1</v>
      </c>
      <c r="K689">
        <f t="shared" si="231"/>
        <v>22.1</v>
      </c>
      <c r="L689">
        <f t="shared" si="230"/>
        <v>6.138888888888889E-3</v>
      </c>
      <c r="M689">
        <v>7.0000000000000007E-2</v>
      </c>
      <c r="N689">
        <f t="shared" si="232"/>
        <v>7.0000000000000007E-2</v>
      </c>
      <c r="O689">
        <f t="shared" si="233"/>
        <v>287.19353959663925</v>
      </c>
      <c r="P689">
        <f t="shared" si="234"/>
        <v>919.01932670924566</v>
      </c>
      <c r="Q689">
        <f t="shared" si="235"/>
        <v>4209.1085163283451</v>
      </c>
      <c r="R689">
        <f t="shared" si="236"/>
        <v>0.15881053158711572</v>
      </c>
      <c r="S689">
        <f t="shared" si="237"/>
        <v>2.2670019475035965</v>
      </c>
      <c r="T689">
        <f t="shared" si="238"/>
        <v>2720.2972070593673</v>
      </c>
      <c r="U689">
        <f t="shared" si="239"/>
        <v>0.24572710630709119</v>
      </c>
      <c r="V689">
        <f t="shared" si="240"/>
        <v>0.81200319863648618</v>
      </c>
      <c r="W689">
        <f t="shared" si="241"/>
        <v>1755.3269140146592</v>
      </c>
      <c r="X689">
        <f t="shared" si="242"/>
        <v>0.38081268830837173</v>
      </c>
      <c r="Y689">
        <f t="shared" si="243"/>
        <v>0.46685471890280433</v>
      </c>
      <c r="Z689">
        <f t="shared" si="244"/>
        <v>1323.3878304613138</v>
      </c>
      <c r="AA689">
        <f t="shared" si="245"/>
        <v>0.50510571852013186</v>
      </c>
      <c r="AB689">
        <f t="shared" si="246"/>
        <v>0.38080865049244467</v>
      </c>
      <c r="AC689">
        <f t="shared" si="247"/>
        <v>6000</v>
      </c>
      <c r="AD689">
        <f t="shared" si="248"/>
        <v>0.11140846016432675</v>
      </c>
      <c r="AE689">
        <f t="shared" si="249"/>
        <v>6.7007100692830805</v>
      </c>
      <c r="AF689">
        <f t="shared" si="250"/>
        <v>6000</v>
      </c>
      <c r="AG689">
        <f t="shared" si="251"/>
        <v>0.11140846016432675</v>
      </c>
      <c r="AH689">
        <f t="shared" si="252"/>
        <v>6.7007100692830805</v>
      </c>
      <c r="AI689" cm="1">
        <f t="array" ref="AI689">_xlfn.LET(
    _xlpm.vals,   _xlfn.HSTACK(S689,V689,Y689,AB689,AE689,AH689),
    _xlpm.ints,   _xlfn.HSTACK(R689,U689,X689,AA689,AD689,AG689),
    _xlpm.slopes, _xlfn.HSTACK(Q689,T689,W689,Z689,AC689,AF689),
    _xlpm.limit,  -0.00001*_xlpm.slopes + 0.1086*_xlpm.slopes + 63.253,
    _xlpm.mask,   (_xlpm.vals&gt;=0) * (_xlpm.ints&lt;=_xlpm.limit),
    _xlpm.validVals, _xlfn._xlws.FILTER(_xlpm.vals, _xlpm.mask),
    _xlpm.minVal, MIN(_xlpm.validVals),
    IFERROR( _xlfn.XMATCH(_xlpm.minVal, _xlpm.vals), "" )
)</f>
        <v>4</v>
      </c>
      <c r="AJ689" cm="1">
        <f t="array" ref="AJ689">_xlfn.LET(
    _xlpm.vals, CHOOSE({1,2,3,4,5,6}, S689, V689, Y689, AB689, AE689, AH689),
    _xlpm.slopes, CHOOSE({1,2,3,4,5,6}, Q689, T689, W689, Z689, AC689, AF689),
    _xlpm.ints, CHOOSE({1,2,3,4,5,6}, R689, U689, X689, AA689, AD689, AG689),
    _xlpm.limit, -0.00001*_xlpm.slopes + 0.1086*_xlpm.slopes + 63.253,
    _xlpm.valid, (_xlpm.vals &gt;= 0) * (_xlpm.ints &lt;= _xlpm.limit),
    _xlpm.target, MIN(_xlfn._xlws.FILTER(_xlpm.vals, _xlpm.valid)),
    IFERROR(
        _xlfn.XLOOKUP(_xlpm.target, _xlpm.vals, _xlpm.vals),
        CHOOSE({1,2,3,4,5,6}, S$1, V$1, Y$1, AB$1, AE$1, AH$1)
    )
)</f>
        <v>0.38080865049244467</v>
      </c>
    </row>
    <row r="690" spans="9:36" x14ac:dyDescent="0.45">
      <c r="I690">
        <v>688</v>
      </c>
      <c r="J690">
        <v>22.6</v>
      </c>
      <c r="K690">
        <f t="shared" si="231"/>
        <v>22.6</v>
      </c>
      <c r="L690">
        <f t="shared" si="230"/>
        <v>6.277777777777778E-3</v>
      </c>
      <c r="M690">
        <v>7.62</v>
      </c>
      <c r="N690">
        <f t="shared" si="232"/>
        <v>7.62</v>
      </c>
      <c r="O690">
        <f t="shared" si="233"/>
        <v>293.69113099022837</v>
      </c>
      <c r="P690">
        <f t="shared" si="234"/>
        <v>939.81161916873089</v>
      </c>
      <c r="Q690">
        <f t="shared" si="235"/>
        <v>4304.3372157927879</v>
      </c>
      <c r="R690">
        <f t="shared" si="236"/>
        <v>16.905190354193085</v>
      </c>
      <c r="S690">
        <f t="shared" si="237"/>
        <v>2.6783189927064268</v>
      </c>
      <c r="T690">
        <f t="shared" si="238"/>
        <v>2781.8423927394433</v>
      </c>
      <c r="U690">
        <f t="shared" si="239"/>
        <v>26.157355345339305</v>
      </c>
      <c r="V690">
        <f t="shared" si="240"/>
        <v>1.2599988716789072</v>
      </c>
      <c r="W690">
        <f t="shared" si="241"/>
        <v>1795.0401926122759</v>
      </c>
      <c r="X690">
        <f t="shared" si="242"/>
        <v>40.537053310054624</v>
      </c>
      <c r="Y690">
        <f t="shared" si="243"/>
        <v>0.99897394704984588</v>
      </c>
      <c r="Z690">
        <f t="shared" si="244"/>
        <v>1353.3287316029723</v>
      </c>
      <c r="AA690">
        <f t="shared" si="245"/>
        <v>53.767897098753018</v>
      </c>
      <c r="AB690">
        <f t="shared" si="246"/>
        <v>0.96486584426593014</v>
      </c>
      <c r="AC690">
        <f t="shared" si="247"/>
        <v>6000</v>
      </c>
      <c r="AD690">
        <f t="shared" si="248"/>
        <v>12.127606663602425</v>
      </c>
      <c r="AE690">
        <f t="shared" si="249"/>
        <v>6.7966590583442992</v>
      </c>
      <c r="AF690">
        <f t="shared" si="250"/>
        <v>6000</v>
      </c>
      <c r="AG690">
        <f t="shared" si="251"/>
        <v>12.127606663602425</v>
      </c>
      <c r="AH690">
        <f t="shared" si="252"/>
        <v>6.7966590583442992</v>
      </c>
      <c r="AI690" cm="1">
        <f t="array" ref="AI690">_xlfn.LET(
    _xlpm.vals,   _xlfn.HSTACK(S690,V690,Y690,AB690,AE690,AH690),
    _xlpm.ints,   _xlfn.HSTACK(R690,U690,X690,AA690,AD690,AG690),
    _xlpm.slopes, _xlfn.HSTACK(Q690,T690,W690,Z690,AC690,AF690),
    _xlpm.limit,  -0.00001*_xlpm.slopes + 0.1086*_xlpm.slopes + 63.253,
    _xlpm.mask,   (_xlpm.vals&gt;=0) * (_xlpm.ints&lt;=_xlpm.limit),
    _xlpm.validVals, _xlfn._xlws.FILTER(_xlpm.vals, _xlpm.mask),
    _xlpm.minVal, MIN(_xlpm.validVals),
    IFERROR( _xlfn.XMATCH(_xlpm.minVal, _xlpm.vals), "" )
)</f>
        <v>4</v>
      </c>
      <c r="AJ690" cm="1">
        <f t="array" ref="AJ690">_xlfn.LET(
    _xlpm.vals, CHOOSE({1,2,3,4,5,6}, S690, V690, Y690, AB690, AE690, AH690),
    _xlpm.slopes, CHOOSE({1,2,3,4,5,6}, Q690, T690, W690, Z690, AC690, AF690),
    _xlpm.ints, CHOOSE({1,2,3,4,5,6}, R690, U690, X690, AA690, AD690, AG690),
    _xlpm.limit, -0.00001*_xlpm.slopes + 0.1086*_xlpm.slopes + 63.253,
    _xlpm.valid, (_xlpm.vals &gt;= 0) * (_xlpm.ints &lt;= _xlpm.limit),
    _xlpm.target, MIN(_xlfn._xlws.FILTER(_xlpm.vals, _xlpm.valid)),
    IFERROR(
        _xlfn.XLOOKUP(_xlpm.target, _xlpm.vals, _xlpm.vals),
        CHOOSE({1,2,3,4,5,6}, S$1, V$1, Y$1, AB$1, AE$1, AH$1)
    )
)</f>
        <v>0.96486584426593014</v>
      </c>
    </row>
    <row r="691" spans="9:36" x14ac:dyDescent="0.45">
      <c r="I691">
        <v>689</v>
      </c>
      <c r="J691">
        <v>23.2</v>
      </c>
      <c r="K691">
        <f t="shared" si="231"/>
        <v>23.2</v>
      </c>
      <c r="L691">
        <f t="shared" si="230"/>
        <v>6.4444444444444445E-3</v>
      </c>
      <c r="M691">
        <v>9.9700000000000006</v>
      </c>
      <c r="N691">
        <f t="shared" si="232"/>
        <v>9.9700000000000006</v>
      </c>
      <c r="O691">
        <f t="shared" si="233"/>
        <v>301.4882406625353</v>
      </c>
      <c r="P691">
        <f t="shared" si="234"/>
        <v>964.76237012011302</v>
      </c>
      <c r="Q691">
        <f t="shared" si="235"/>
        <v>4418.6116551501173</v>
      </c>
      <c r="R691">
        <f t="shared" si="236"/>
        <v>21.546697104870887</v>
      </c>
      <c r="S691">
        <f t="shared" si="237"/>
        <v>2.9488198197381092</v>
      </c>
      <c r="T691">
        <f t="shared" si="238"/>
        <v>2855.6966155555347</v>
      </c>
      <c r="U691">
        <f t="shared" si="239"/>
        <v>33.339146196050223</v>
      </c>
      <c r="V691">
        <f t="shared" si="240"/>
        <v>1.4432366496773155</v>
      </c>
      <c r="W691">
        <f t="shared" si="241"/>
        <v>1842.6961269294159</v>
      </c>
      <c r="X691">
        <f t="shared" si="242"/>
        <v>51.66694907869563</v>
      </c>
      <c r="Y691">
        <f t="shared" si="243"/>
        <v>1.1976181484041375</v>
      </c>
      <c r="Z691">
        <f t="shared" si="244"/>
        <v>1389.2578129729627</v>
      </c>
      <c r="AA691">
        <f t="shared" si="245"/>
        <v>68.530467180769904</v>
      </c>
      <c r="AB691">
        <f t="shared" si="246"/>
        <v>1.1798442882939688</v>
      </c>
      <c r="AC691">
        <f t="shared" si="247"/>
        <v>6000</v>
      </c>
      <c r="AD691">
        <f t="shared" si="248"/>
        <v>15.867747826261965</v>
      </c>
      <c r="AE691">
        <f t="shared" si="249"/>
        <v>6.8358085104404136</v>
      </c>
      <c r="AF691">
        <f t="shared" si="250"/>
        <v>6000</v>
      </c>
      <c r="AG691">
        <f t="shared" si="251"/>
        <v>15.867747826261965</v>
      </c>
      <c r="AH691">
        <f t="shared" si="252"/>
        <v>6.8358085104404136</v>
      </c>
      <c r="AI691" cm="1">
        <f t="array" ref="AI691">_xlfn.LET(
    _xlpm.vals,   _xlfn.HSTACK(S691,V691,Y691,AB691,AE691,AH691),
    _xlpm.ints,   _xlfn.HSTACK(R691,U691,X691,AA691,AD691,AG691),
    _xlpm.slopes, _xlfn.HSTACK(Q691,T691,W691,Z691,AC691,AF691),
    _xlpm.limit,  -0.00001*_xlpm.slopes + 0.1086*_xlpm.slopes + 63.253,
    _xlpm.mask,   (_xlpm.vals&gt;=0) * (_xlpm.ints&lt;=_xlpm.limit),
    _xlpm.validVals, _xlfn._xlws.FILTER(_xlpm.vals, _xlpm.mask),
    _xlpm.minVal, MIN(_xlpm.validVals),
    IFERROR( _xlfn.XMATCH(_xlpm.minVal, _xlpm.vals), "" )
)</f>
        <v>4</v>
      </c>
      <c r="AJ691" cm="1">
        <f t="array" ref="AJ691">_xlfn.LET(
    _xlpm.vals, CHOOSE({1,2,3,4,5,6}, S691, V691, Y691, AB691, AE691, AH691),
    _xlpm.slopes, CHOOSE({1,2,3,4,5,6}, Q691, T691, W691, Z691, AC691, AF691),
    _xlpm.ints, CHOOSE({1,2,3,4,5,6}, R691, U691, X691, AA691, AD691, AG691),
    _xlpm.limit, -0.00001*_xlpm.slopes + 0.1086*_xlpm.slopes + 63.253,
    _xlpm.valid, (_xlpm.vals &gt;= 0) * (_xlpm.ints &lt;= _xlpm.limit),
    _xlpm.target, MIN(_xlfn._xlws.FILTER(_xlpm.vals, _xlpm.valid)),
    IFERROR(
        _xlfn.XLOOKUP(_xlpm.target, _xlpm.vals, _xlpm.vals),
        CHOOSE({1,2,3,4,5,6}, S$1, V$1, Y$1, AB$1, AE$1, AH$1)
    )
)</f>
        <v>1.1798442882939688</v>
      </c>
    </row>
    <row r="692" spans="9:36" x14ac:dyDescent="0.45">
      <c r="I692">
        <v>690</v>
      </c>
      <c r="J692">
        <v>23.3</v>
      </c>
      <c r="K692">
        <f t="shared" si="231"/>
        <v>23.3</v>
      </c>
      <c r="L692">
        <f t="shared" si="230"/>
        <v>6.4722222222222221E-3</v>
      </c>
      <c r="M692">
        <v>0.77</v>
      </c>
      <c r="N692">
        <f t="shared" si="232"/>
        <v>0.77</v>
      </c>
      <c r="O692">
        <f t="shared" si="233"/>
        <v>302.78775894125312</v>
      </c>
      <c r="P692">
        <f t="shared" si="234"/>
        <v>968.92082861201004</v>
      </c>
      <c r="Q692">
        <f t="shared" si="235"/>
        <v>4437.6573950430056</v>
      </c>
      <c r="R692">
        <f t="shared" si="236"/>
        <v>1.6569459325677185</v>
      </c>
      <c r="S692">
        <f t="shared" si="237"/>
        <v>2.6603384250836051</v>
      </c>
      <c r="T692">
        <f t="shared" si="238"/>
        <v>2868.0056526915496</v>
      </c>
      <c r="U692">
        <f t="shared" si="239"/>
        <v>2.5637879632297804</v>
      </c>
      <c r="V692">
        <f t="shared" si="240"/>
        <v>0.92832233152040622</v>
      </c>
      <c r="W692">
        <f t="shared" si="241"/>
        <v>1850.638782648939</v>
      </c>
      <c r="X692">
        <f t="shared" si="242"/>
        <v>3.973200194324686</v>
      </c>
      <c r="Y692">
        <f t="shared" si="243"/>
        <v>0.5286428886435699</v>
      </c>
      <c r="Z692">
        <f t="shared" si="244"/>
        <v>1395.2459932012944</v>
      </c>
      <c r="AA692">
        <f t="shared" si="245"/>
        <v>5.270008591083438</v>
      </c>
      <c r="AB692">
        <f t="shared" si="246"/>
        <v>0.43493758358479229</v>
      </c>
      <c r="AC692">
        <f t="shared" si="247"/>
        <v>6000</v>
      </c>
      <c r="AD692">
        <f t="shared" si="248"/>
        <v>1.2254930618075941</v>
      </c>
      <c r="AE692">
        <f t="shared" si="249"/>
        <v>6.7076305758164212</v>
      </c>
      <c r="AF692">
        <f t="shared" si="250"/>
        <v>6000</v>
      </c>
      <c r="AG692">
        <f t="shared" si="251"/>
        <v>1.2254930618075941</v>
      </c>
      <c r="AH692">
        <f t="shared" si="252"/>
        <v>6.7076305758164212</v>
      </c>
      <c r="AI692" cm="1">
        <f t="array" ref="AI692">_xlfn.LET(
    _xlpm.vals,   _xlfn.HSTACK(S692,V692,Y692,AB692,AE692,AH692),
    _xlpm.ints,   _xlfn.HSTACK(R692,U692,X692,AA692,AD692,AG692),
    _xlpm.slopes, _xlfn.HSTACK(Q692,T692,W692,Z692,AC692,AF692),
    _xlpm.limit,  -0.00001*_xlpm.slopes + 0.1086*_xlpm.slopes + 63.253,
    _xlpm.mask,   (_xlpm.vals&gt;=0) * (_xlpm.ints&lt;=_xlpm.limit),
    _xlpm.validVals, _xlfn._xlws.FILTER(_xlpm.vals, _xlpm.mask),
    _xlpm.minVal, MIN(_xlpm.validVals),
    IFERROR( _xlfn.XMATCH(_xlpm.minVal, _xlpm.vals), "" )
)</f>
        <v>4</v>
      </c>
      <c r="AJ692" cm="1">
        <f t="array" ref="AJ692">_xlfn.LET(
    _xlpm.vals, CHOOSE({1,2,3,4,5,6}, S692, V692, Y692, AB692, AE692, AH692),
    _xlpm.slopes, CHOOSE({1,2,3,4,5,6}, Q692, T692, W692, Z692, AC692, AF692),
    _xlpm.ints, CHOOSE({1,2,3,4,5,6}, R692, U692, X692, AA692, AD692, AG692),
    _xlpm.limit, -0.00001*_xlpm.slopes + 0.1086*_xlpm.slopes + 63.253,
    _xlpm.valid, (_xlpm.vals &gt;= 0) * (_xlpm.ints &lt;= _xlpm.limit),
    _xlpm.target, MIN(_xlfn._xlws.FILTER(_xlpm.vals, _xlpm.valid)),
    IFERROR(
        _xlfn.XLOOKUP(_xlpm.target, _xlpm.vals, _xlpm.vals),
        CHOOSE({1,2,3,4,5,6}, S$1, V$1, Y$1, AB$1, AE$1, AH$1)
    )
)</f>
        <v>0.43493758358479229</v>
      </c>
    </row>
    <row r="693" spans="9:36" x14ac:dyDescent="0.45">
      <c r="I693">
        <v>691</v>
      </c>
      <c r="J693">
        <v>22.4</v>
      </c>
      <c r="K693">
        <f t="shared" si="231"/>
        <v>22.4</v>
      </c>
      <c r="L693">
        <f t="shared" si="230"/>
        <v>6.2222222222222219E-3</v>
      </c>
      <c r="M693">
        <v>-1.1100000000000001</v>
      </c>
      <c r="N693">
        <f t="shared" si="232"/>
        <v>0</v>
      </c>
      <c r="O693">
        <f t="shared" si="233"/>
        <v>291.09209443279269</v>
      </c>
      <c r="P693">
        <f t="shared" si="234"/>
        <v>931.49470218493661</v>
      </c>
      <c r="Q693">
        <f t="shared" si="235"/>
        <v>4266.2457360070093</v>
      </c>
      <c r="R693">
        <f t="shared" si="236"/>
        <v>0</v>
      </c>
      <c r="S693">
        <f t="shared" si="237"/>
        <v>2.3537021475343352</v>
      </c>
      <c r="T693">
        <f t="shared" si="238"/>
        <v>2757.2243184674126</v>
      </c>
      <c r="U693">
        <f t="shared" si="239"/>
        <v>0</v>
      </c>
      <c r="V693">
        <f t="shared" si="240"/>
        <v>0.82869063712426039</v>
      </c>
      <c r="W693">
        <f t="shared" si="241"/>
        <v>1779.1548811732289</v>
      </c>
      <c r="X693">
        <f t="shared" si="242"/>
        <v>0</v>
      </c>
      <c r="Y693">
        <f t="shared" si="243"/>
        <v>0.46850688699479581</v>
      </c>
      <c r="Z693">
        <f t="shared" si="244"/>
        <v>1341.3523711463088</v>
      </c>
      <c r="AA693">
        <f t="shared" si="245"/>
        <v>0</v>
      </c>
      <c r="AB693">
        <f t="shared" si="246"/>
        <v>0.38010921197025638</v>
      </c>
      <c r="AC693">
        <f t="shared" si="247"/>
        <v>6000</v>
      </c>
      <c r="AD693">
        <f t="shared" si="248"/>
        <v>0</v>
      </c>
      <c r="AE693">
        <f t="shared" si="249"/>
        <v>6.7000407999999982</v>
      </c>
      <c r="AF693">
        <f t="shared" si="250"/>
        <v>6000</v>
      </c>
      <c r="AG693">
        <f t="shared" si="251"/>
        <v>0</v>
      </c>
      <c r="AH693">
        <f t="shared" si="252"/>
        <v>6.7000407999999982</v>
      </c>
      <c r="AI693" cm="1">
        <f t="array" ref="AI693">_xlfn.LET(
    _xlpm.vals,   _xlfn.HSTACK(S693,V693,Y693,AB693,AE693,AH693),
    _xlpm.ints,   _xlfn.HSTACK(R693,U693,X693,AA693,AD693,AG693),
    _xlpm.slopes, _xlfn.HSTACK(Q693,T693,W693,Z693,AC693,AF693),
    _xlpm.limit,  -0.00001*_xlpm.slopes + 0.1086*_xlpm.slopes + 63.253,
    _xlpm.mask,   (_xlpm.vals&gt;=0) * (_xlpm.ints&lt;=_xlpm.limit),
    _xlpm.validVals, _xlfn._xlws.FILTER(_xlpm.vals, _xlpm.mask),
    _xlpm.minVal, MIN(_xlpm.validVals),
    IFERROR( _xlfn.XMATCH(_xlpm.minVal, _xlpm.vals), "" )
)</f>
        <v>4</v>
      </c>
      <c r="AJ693" cm="1">
        <f t="array" ref="AJ693">_xlfn.LET(
    _xlpm.vals, CHOOSE({1,2,3,4,5,6}, S693, V693, Y693, AB693, AE693, AH693),
    _xlpm.slopes, CHOOSE({1,2,3,4,5,6}, Q693, T693, W693, Z693, AC693, AF693),
    _xlpm.ints, CHOOSE({1,2,3,4,5,6}, R693, U693, X693, AA693, AD693, AG693),
    _xlpm.limit, -0.00001*_xlpm.slopes + 0.1086*_xlpm.slopes + 63.253,
    _xlpm.valid, (_xlpm.vals &gt;= 0) * (_xlpm.ints &lt;= _xlpm.limit),
    _xlpm.target, MIN(_xlfn._xlws.FILTER(_xlpm.vals, _xlpm.valid)),
    IFERROR(
        _xlfn.XLOOKUP(_xlpm.target, _xlpm.vals, _xlpm.vals),
        CHOOSE({1,2,3,4,5,6}, S$1, V$1, Y$1, AB$1, AE$1, AH$1)
    )
)</f>
        <v>0.38010921197025638</v>
      </c>
    </row>
    <row r="694" spans="9:36" x14ac:dyDescent="0.45">
      <c r="I694">
        <v>692</v>
      </c>
      <c r="J694">
        <v>21.3</v>
      </c>
      <c r="K694">
        <f t="shared" si="231"/>
        <v>21.3</v>
      </c>
      <c r="L694">
        <f t="shared" si="230"/>
        <v>5.9166666666666664E-3</v>
      </c>
      <c r="M694">
        <v>-0.96</v>
      </c>
      <c r="N694">
        <f t="shared" si="232"/>
        <v>0</v>
      </c>
      <c r="O694">
        <f t="shared" si="233"/>
        <v>276.79739336689664</v>
      </c>
      <c r="P694">
        <f t="shared" si="234"/>
        <v>885.75165877406926</v>
      </c>
      <c r="Q694">
        <f t="shared" si="235"/>
        <v>4056.7425971852372</v>
      </c>
      <c r="R694">
        <f t="shared" si="236"/>
        <v>0</v>
      </c>
      <c r="S694">
        <f t="shared" si="237"/>
        <v>2.0418191271197035</v>
      </c>
      <c r="T694">
        <f t="shared" si="238"/>
        <v>2621.8249099712448</v>
      </c>
      <c r="U694">
        <f t="shared" si="239"/>
        <v>0</v>
      </c>
      <c r="V694">
        <f t="shared" si="240"/>
        <v>0.75839149180761933</v>
      </c>
      <c r="W694">
        <f t="shared" si="241"/>
        <v>1691.7856682584722</v>
      </c>
      <c r="X694">
        <f t="shared" si="242"/>
        <v>0</v>
      </c>
      <c r="Y694">
        <f t="shared" si="243"/>
        <v>0.44883893129683383</v>
      </c>
      <c r="Z694">
        <f t="shared" si="244"/>
        <v>1275.4823886346596</v>
      </c>
      <c r="AA694">
        <f t="shared" si="245"/>
        <v>0</v>
      </c>
      <c r="AB694">
        <f t="shared" si="246"/>
        <v>0.36834099853159064</v>
      </c>
      <c r="AC694">
        <f t="shared" si="247"/>
        <v>6000</v>
      </c>
      <c r="AD694">
        <f t="shared" si="248"/>
        <v>0</v>
      </c>
      <c r="AE694">
        <f t="shared" si="249"/>
        <v>6.7000407999999982</v>
      </c>
      <c r="AF694">
        <f t="shared" si="250"/>
        <v>6000</v>
      </c>
      <c r="AG694">
        <f t="shared" si="251"/>
        <v>0</v>
      </c>
      <c r="AH694">
        <f t="shared" si="252"/>
        <v>6.7000407999999982</v>
      </c>
      <c r="AI694" cm="1">
        <f t="array" ref="AI694">_xlfn.LET(
    _xlpm.vals,   _xlfn.HSTACK(S694,V694,Y694,AB694,AE694,AH694),
    _xlpm.ints,   _xlfn.HSTACK(R694,U694,X694,AA694,AD694,AG694),
    _xlpm.slopes, _xlfn.HSTACK(Q694,T694,W694,Z694,AC694,AF694),
    _xlpm.limit,  -0.00001*_xlpm.slopes + 0.1086*_xlpm.slopes + 63.253,
    _xlpm.mask,   (_xlpm.vals&gt;=0) * (_xlpm.ints&lt;=_xlpm.limit),
    _xlpm.validVals, _xlfn._xlws.FILTER(_xlpm.vals, _xlpm.mask),
    _xlpm.minVal, MIN(_xlpm.validVals),
    IFERROR( _xlfn.XMATCH(_xlpm.minVal, _xlpm.vals), "" )
)</f>
        <v>4</v>
      </c>
      <c r="AJ694" cm="1">
        <f t="array" ref="AJ694">_xlfn.LET(
    _xlpm.vals, CHOOSE({1,2,3,4,5,6}, S694, V694, Y694, AB694, AE694, AH694),
    _xlpm.slopes, CHOOSE({1,2,3,4,5,6}, Q694, T694, W694, Z694, AC694, AF694),
    _xlpm.ints, CHOOSE({1,2,3,4,5,6}, R694, U694, X694, AA694, AD694, AG694),
    _xlpm.limit, -0.00001*_xlpm.slopes + 0.1086*_xlpm.slopes + 63.253,
    _xlpm.valid, (_xlpm.vals &gt;= 0) * (_xlpm.ints &lt;= _xlpm.limit),
    _xlpm.target, MIN(_xlfn._xlws.FILTER(_xlpm.vals, _xlpm.valid)),
    IFERROR(
        _xlfn.XLOOKUP(_xlpm.target, _xlpm.vals, _xlpm.vals),
        CHOOSE({1,2,3,4,5,6}, S$1, V$1, Y$1, AB$1, AE$1, AH$1)
    )
)</f>
        <v>0.36834099853159064</v>
      </c>
    </row>
    <row r="695" spans="9:36" x14ac:dyDescent="0.45">
      <c r="I695">
        <v>693</v>
      </c>
      <c r="J695">
        <v>20.100000000000001</v>
      </c>
      <c r="K695">
        <f t="shared" si="231"/>
        <v>20.100000000000001</v>
      </c>
      <c r="L695">
        <f t="shared" si="230"/>
        <v>5.5833333333333334E-3</v>
      </c>
      <c r="M695">
        <v>-1</v>
      </c>
      <c r="N695">
        <f t="shared" si="232"/>
        <v>0</v>
      </c>
      <c r="O695">
        <f t="shared" si="233"/>
        <v>261.20317402228278</v>
      </c>
      <c r="P695">
        <f t="shared" si="234"/>
        <v>835.85015687130499</v>
      </c>
      <c r="Q695">
        <f t="shared" si="235"/>
        <v>3828.1937184705771</v>
      </c>
      <c r="R695">
        <f t="shared" si="236"/>
        <v>0</v>
      </c>
      <c r="S695">
        <f t="shared" si="237"/>
        <v>1.7435759110999864</v>
      </c>
      <c r="T695">
        <f t="shared" si="238"/>
        <v>2474.1164643390625</v>
      </c>
      <c r="U695">
        <f t="shared" si="239"/>
        <v>0</v>
      </c>
      <c r="V695">
        <f t="shared" si="240"/>
        <v>0.69059060250057702</v>
      </c>
      <c r="W695">
        <f t="shared" si="241"/>
        <v>1596.4737996241925</v>
      </c>
      <c r="X695">
        <f t="shared" si="242"/>
        <v>0</v>
      </c>
      <c r="Y695">
        <f t="shared" si="243"/>
        <v>0.42874954843409968</v>
      </c>
      <c r="Z695">
        <f t="shared" si="244"/>
        <v>1203.6242258946791</v>
      </c>
      <c r="AA695">
        <f t="shared" si="245"/>
        <v>0</v>
      </c>
      <c r="AB695">
        <f t="shared" si="246"/>
        <v>0.35568571902198903</v>
      </c>
      <c r="AC695">
        <f t="shared" si="247"/>
        <v>6000</v>
      </c>
      <c r="AD695">
        <f t="shared" si="248"/>
        <v>0</v>
      </c>
      <c r="AE695">
        <f t="shared" si="249"/>
        <v>6.7000407999999982</v>
      </c>
      <c r="AF695">
        <f t="shared" si="250"/>
        <v>6000</v>
      </c>
      <c r="AG695">
        <f t="shared" si="251"/>
        <v>0</v>
      </c>
      <c r="AH695">
        <f t="shared" si="252"/>
        <v>6.7000407999999982</v>
      </c>
      <c r="AI695" cm="1">
        <f t="array" ref="AI695">_xlfn.LET(
    _xlpm.vals,   _xlfn.HSTACK(S695,V695,Y695,AB695,AE695,AH695),
    _xlpm.ints,   _xlfn.HSTACK(R695,U695,X695,AA695,AD695,AG695),
    _xlpm.slopes, _xlfn.HSTACK(Q695,T695,W695,Z695,AC695,AF695),
    _xlpm.limit,  -0.00001*_xlpm.slopes + 0.1086*_xlpm.slopes + 63.253,
    _xlpm.mask,   (_xlpm.vals&gt;=0) * (_xlpm.ints&lt;=_xlpm.limit),
    _xlpm.validVals, _xlfn._xlws.FILTER(_xlpm.vals, _xlpm.mask),
    _xlpm.minVal, MIN(_xlpm.validVals),
    IFERROR( _xlfn.XMATCH(_xlpm.minVal, _xlpm.vals), "" )
)</f>
        <v>4</v>
      </c>
      <c r="AJ695" cm="1">
        <f t="array" ref="AJ695">_xlfn.LET(
    _xlpm.vals, CHOOSE({1,2,3,4,5,6}, S695, V695, Y695, AB695, AE695, AH695),
    _xlpm.slopes, CHOOSE({1,2,3,4,5,6}, Q695, T695, W695, Z695, AC695, AF695),
    _xlpm.ints, CHOOSE({1,2,3,4,5,6}, R695, U695, X695, AA695, AD695, AG695),
    _xlpm.limit, -0.00001*_xlpm.slopes + 0.1086*_xlpm.slopes + 63.253,
    _xlpm.valid, (_xlpm.vals &gt;= 0) * (_xlpm.ints &lt;= _xlpm.limit),
    _xlpm.target, MIN(_xlfn._xlws.FILTER(_xlpm.vals, _xlpm.valid)),
    IFERROR(
        _xlfn.XLOOKUP(_xlpm.target, _xlpm.vals, _xlpm.vals),
        CHOOSE({1,2,3,4,5,6}, S$1, V$1, Y$1, AB$1, AE$1, AH$1)
    )
)</f>
        <v>0.35568571902198903</v>
      </c>
    </row>
    <row r="696" spans="9:36" x14ac:dyDescent="0.45">
      <c r="I696">
        <v>694</v>
      </c>
      <c r="J696">
        <v>17.5</v>
      </c>
      <c r="K696">
        <f t="shared" si="231"/>
        <v>17.5</v>
      </c>
      <c r="L696">
        <f t="shared" si="230"/>
        <v>4.8611111111111112E-3</v>
      </c>
      <c r="M696">
        <v>-1.28</v>
      </c>
      <c r="N696">
        <f t="shared" si="232"/>
        <v>0</v>
      </c>
      <c r="O696">
        <f t="shared" si="233"/>
        <v>227.41569877561929</v>
      </c>
      <c r="P696">
        <f t="shared" si="234"/>
        <v>727.73023608198173</v>
      </c>
      <c r="Q696">
        <f t="shared" si="235"/>
        <v>3333.0044812554765</v>
      </c>
      <c r="R696">
        <f t="shared" si="236"/>
        <v>0</v>
      </c>
      <c r="S696">
        <f t="shared" si="237"/>
        <v>1.2316061006750245</v>
      </c>
      <c r="T696">
        <f t="shared" si="238"/>
        <v>2154.0814988026659</v>
      </c>
      <c r="U696">
        <f t="shared" si="239"/>
        <v>0</v>
      </c>
      <c r="V696">
        <f t="shared" si="240"/>
        <v>0.57116335571744403</v>
      </c>
      <c r="W696">
        <f t="shared" si="241"/>
        <v>1389.964750916585</v>
      </c>
      <c r="X696">
        <f t="shared" si="242"/>
        <v>0</v>
      </c>
      <c r="Y696">
        <f t="shared" si="243"/>
        <v>0.38894690402939236</v>
      </c>
      <c r="Z696">
        <f t="shared" si="244"/>
        <v>1047.9315399580537</v>
      </c>
      <c r="AA696">
        <f t="shared" si="245"/>
        <v>0</v>
      </c>
      <c r="AB696">
        <f t="shared" si="246"/>
        <v>0.3284198706194516</v>
      </c>
      <c r="AC696">
        <f t="shared" si="247"/>
        <v>6000</v>
      </c>
      <c r="AD696">
        <f t="shared" si="248"/>
        <v>0</v>
      </c>
      <c r="AE696">
        <f t="shared" si="249"/>
        <v>6.7000407999999982</v>
      </c>
      <c r="AF696">
        <f t="shared" si="250"/>
        <v>6000</v>
      </c>
      <c r="AG696">
        <f t="shared" si="251"/>
        <v>0</v>
      </c>
      <c r="AH696">
        <f t="shared" si="252"/>
        <v>6.7000407999999982</v>
      </c>
      <c r="AI696" cm="1">
        <f t="array" ref="AI696">_xlfn.LET(
    _xlpm.vals,   _xlfn.HSTACK(S696,V696,Y696,AB696,AE696,AH696),
    _xlpm.ints,   _xlfn.HSTACK(R696,U696,X696,AA696,AD696,AG696),
    _xlpm.slopes, _xlfn.HSTACK(Q696,T696,W696,Z696,AC696,AF696),
    _xlpm.limit,  -0.00001*_xlpm.slopes + 0.1086*_xlpm.slopes + 63.253,
    _xlpm.mask,   (_xlpm.vals&gt;=0) * (_xlpm.ints&lt;=_xlpm.limit),
    _xlpm.validVals, _xlfn._xlws.FILTER(_xlpm.vals, _xlpm.mask),
    _xlpm.minVal, MIN(_xlpm.validVals),
    IFERROR( _xlfn.XMATCH(_xlpm.minVal, _xlpm.vals), "" )
)</f>
        <v>4</v>
      </c>
      <c r="AJ696" cm="1">
        <f t="array" ref="AJ696">_xlfn.LET(
    _xlpm.vals, CHOOSE({1,2,3,4,5,6}, S696, V696, Y696, AB696, AE696, AH696),
    _xlpm.slopes, CHOOSE({1,2,3,4,5,6}, Q696, T696, W696, Z696, AC696, AF696),
    _xlpm.ints, CHOOSE({1,2,3,4,5,6}, R696, U696, X696, AA696, AD696, AG696),
    _xlpm.limit, -0.00001*_xlpm.slopes + 0.1086*_xlpm.slopes + 63.253,
    _xlpm.valid, (_xlpm.vals &gt;= 0) * (_xlpm.ints &lt;= _xlpm.limit),
    _xlpm.target, MIN(_xlfn._xlws.FILTER(_xlpm.vals, _xlpm.valid)),
    IFERROR(
        _xlfn.XLOOKUP(_xlpm.target, _xlpm.vals, _xlpm.vals),
        CHOOSE({1,2,3,4,5,6}, S$1, V$1, Y$1, AB$1, AE$1, AH$1)
    )
)</f>
        <v>0.3284198706194516</v>
      </c>
    </row>
    <row r="697" spans="9:36" x14ac:dyDescent="0.45">
      <c r="I697">
        <v>695</v>
      </c>
      <c r="J697">
        <v>14.5</v>
      </c>
      <c r="K697">
        <f t="shared" si="231"/>
        <v>14.5</v>
      </c>
      <c r="L697">
        <f t="shared" si="230"/>
        <v>4.0277777777777777E-3</v>
      </c>
      <c r="M697">
        <v>-0.24</v>
      </c>
      <c r="N697">
        <f t="shared" si="232"/>
        <v>0</v>
      </c>
      <c r="O697">
        <f t="shared" si="233"/>
        <v>188.43015041408455</v>
      </c>
      <c r="P697">
        <f t="shared" si="234"/>
        <v>602.97648132507061</v>
      </c>
      <c r="Q697">
        <f t="shared" si="235"/>
        <v>2761.6322844688234</v>
      </c>
      <c r="R697">
        <f t="shared" si="236"/>
        <v>0</v>
      </c>
      <c r="S697">
        <f t="shared" si="237"/>
        <v>0.83111877303777226</v>
      </c>
      <c r="T697">
        <f t="shared" si="238"/>
        <v>1784.8103847222089</v>
      </c>
      <c r="U697">
        <f t="shared" si="239"/>
        <v>0</v>
      </c>
      <c r="V697">
        <f t="shared" si="240"/>
        <v>0.46982607560950007</v>
      </c>
      <c r="W697">
        <f t="shared" si="241"/>
        <v>1151.6850793308847</v>
      </c>
      <c r="X697">
        <f t="shared" si="242"/>
        <v>0</v>
      </c>
      <c r="Y697">
        <f t="shared" si="243"/>
        <v>0.34659851739902831</v>
      </c>
      <c r="Z697">
        <f t="shared" si="244"/>
        <v>6000</v>
      </c>
      <c r="AA697">
        <f t="shared" si="245"/>
        <v>0</v>
      </c>
      <c r="AB697">
        <f t="shared" si="246"/>
        <v>6.7000407999999982</v>
      </c>
      <c r="AC697">
        <f t="shared" si="247"/>
        <v>6000</v>
      </c>
      <c r="AD697">
        <f t="shared" si="248"/>
        <v>0</v>
      </c>
      <c r="AE697">
        <f t="shared" si="249"/>
        <v>6.7000407999999982</v>
      </c>
      <c r="AF697">
        <f t="shared" si="250"/>
        <v>6000</v>
      </c>
      <c r="AG697">
        <f t="shared" si="251"/>
        <v>0</v>
      </c>
      <c r="AH697">
        <f t="shared" si="252"/>
        <v>6.7000407999999982</v>
      </c>
      <c r="AI697" cm="1">
        <f t="array" ref="AI697">_xlfn.LET(
    _xlpm.vals,   _xlfn.HSTACK(S697,V697,Y697,AB697,AE697,AH697),
    _xlpm.ints,   _xlfn.HSTACK(R697,U697,X697,AA697,AD697,AG697),
    _xlpm.slopes, _xlfn.HSTACK(Q697,T697,W697,Z697,AC697,AF697),
    _xlpm.limit,  -0.00001*_xlpm.slopes + 0.1086*_xlpm.slopes + 63.253,
    _xlpm.mask,   (_xlpm.vals&gt;=0) * (_xlpm.ints&lt;=_xlpm.limit),
    _xlpm.validVals, _xlfn._xlws.FILTER(_xlpm.vals, _xlpm.mask),
    _xlpm.minVal, MIN(_xlpm.validVals),
    IFERROR( _xlfn.XMATCH(_xlpm.minVal, _xlpm.vals), "" )
)</f>
        <v>3</v>
      </c>
      <c r="AJ697" cm="1">
        <f t="array" ref="AJ697">_xlfn.LET(
    _xlpm.vals, CHOOSE({1,2,3,4,5,6}, S697, V697, Y697, AB697, AE697, AH697),
    _xlpm.slopes, CHOOSE({1,2,3,4,5,6}, Q697, T697, W697, Z697, AC697, AF697),
    _xlpm.ints, CHOOSE({1,2,3,4,5,6}, R697, U697, X697, AA697, AD697, AG697),
    _xlpm.limit, -0.00001*_xlpm.slopes + 0.1086*_xlpm.slopes + 63.253,
    _xlpm.valid, (_xlpm.vals &gt;= 0) * (_xlpm.ints &lt;= _xlpm.limit),
    _xlpm.target, MIN(_xlfn._xlws.FILTER(_xlpm.vals, _xlpm.valid)),
    IFERROR(
        _xlfn.XLOOKUP(_xlpm.target, _xlpm.vals, _xlpm.vals),
        CHOOSE({1,2,3,4,5,6}, S$1, V$1, Y$1, AB$1, AE$1, AH$1)
    )
)</f>
        <v>0.34659851739902831</v>
      </c>
    </row>
    <row r="698" spans="9:36" x14ac:dyDescent="0.45">
      <c r="I698">
        <v>696</v>
      </c>
      <c r="J698">
        <v>11.2</v>
      </c>
      <c r="K698">
        <f t="shared" si="231"/>
        <v>11.2</v>
      </c>
      <c r="L698">
        <f t="shared" si="230"/>
        <v>3.1111111111111109E-3</v>
      </c>
      <c r="M698">
        <v>-0.5</v>
      </c>
      <c r="N698">
        <f t="shared" si="232"/>
        <v>0</v>
      </c>
      <c r="O698">
        <f t="shared" si="233"/>
        <v>145.54604721639635</v>
      </c>
      <c r="P698">
        <f t="shared" si="234"/>
        <v>465.74735109246831</v>
      </c>
      <c r="Q698">
        <f t="shared" si="235"/>
        <v>2133.1228680035047</v>
      </c>
      <c r="R698">
        <f t="shared" si="236"/>
        <v>0</v>
      </c>
      <c r="S698">
        <f t="shared" si="237"/>
        <v>0.56448583628939009</v>
      </c>
      <c r="T698">
        <f t="shared" si="238"/>
        <v>1378.6121592337063</v>
      </c>
      <c r="U698">
        <f t="shared" si="239"/>
        <v>0</v>
      </c>
      <c r="V698">
        <f t="shared" si="240"/>
        <v>0.38686930670423697</v>
      </c>
      <c r="W698">
        <f t="shared" si="241"/>
        <v>6000</v>
      </c>
      <c r="X698">
        <f t="shared" si="242"/>
        <v>0</v>
      </c>
      <c r="Y698">
        <f t="shared" si="243"/>
        <v>6.7000407999999982</v>
      </c>
      <c r="Z698">
        <f t="shared" si="244"/>
        <v>6000</v>
      </c>
      <c r="AA698">
        <f t="shared" si="245"/>
        <v>0</v>
      </c>
      <c r="AB698">
        <f t="shared" si="246"/>
        <v>6.7000407999999982</v>
      </c>
      <c r="AC698">
        <f t="shared" si="247"/>
        <v>6000</v>
      </c>
      <c r="AD698">
        <f t="shared" si="248"/>
        <v>0</v>
      </c>
      <c r="AE698">
        <f t="shared" si="249"/>
        <v>6.7000407999999982</v>
      </c>
      <c r="AF698">
        <f t="shared" si="250"/>
        <v>6000</v>
      </c>
      <c r="AG698">
        <f t="shared" si="251"/>
        <v>0</v>
      </c>
      <c r="AH698">
        <f t="shared" si="252"/>
        <v>6.7000407999999982</v>
      </c>
      <c r="AI698" cm="1">
        <f t="array" ref="AI698">_xlfn.LET(
    _xlpm.vals,   _xlfn.HSTACK(S698,V698,Y698,AB698,AE698,AH698),
    _xlpm.ints,   _xlfn.HSTACK(R698,U698,X698,AA698,AD698,AG698),
    _xlpm.slopes, _xlfn.HSTACK(Q698,T698,W698,Z698,AC698,AF698),
    _xlpm.limit,  -0.00001*_xlpm.slopes + 0.1086*_xlpm.slopes + 63.253,
    _xlpm.mask,   (_xlpm.vals&gt;=0) * (_xlpm.ints&lt;=_xlpm.limit),
    _xlpm.validVals, _xlfn._xlws.FILTER(_xlpm.vals, _xlpm.mask),
    _xlpm.minVal, MIN(_xlpm.validVals),
    IFERROR( _xlfn.XMATCH(_xlpm.minVal, _xlpm.vals), "" )
)</f>
        <v>2</v>
      </c>
      <c r="AJ698" cm="1">
        <f t="array" ref="AJ698">_xlfn.LET(
    _xlpm.vals, CHOOSE({1,2,3,4,5,6}, S698, V698, Y698, AB698, AE698, AH698),
    _xlpm.slopes, CHOOSE({1,2,3,4,5,6}, Q698, T698, W698, Z698, AC698, AF698),
    _xlpm.ints, CHOOSE({1,2,3,4,5,6}, R698, U698, X698, AA698, AD698, AG698),
    _xlpm.limit, -0.00001*_xlpm.slopes + 0.1086*_xlpm.slopes + 63.253,
    _xlpm.valid, (_xlpm.vals &gt;= 0) * (_xlpm.ints &lt;= _xlpm.limit),
    _xlpm.target, MIN(_xlfn._xlws.FILTER(_xlpm.vals, _xlpm.valid)),
    IFERROR(
        _xlfn.XLOOKUP(_xlpm.target, _xlpm.vals, _xlpm.vals),
        CHOOSE({1,2,3,4,5,6}, S$1, V$1, Y$1, AB$1, AE$1, AH$1)
    )
)</f>
        <v>0.38686930670423697</v>
      </c>
    </row>
    <row r="699" spans="9:36" x14ac:dyDescent="0.45">
      <c r="I699">
        <v>697</v>
      </c>
      <c r="J699">
        <v>8</v>
      </c>
      <c r="K699">
        <f t="shared" si="231"/>
        <v>8</v>
      </c>
      <c r="L699">
        <f t="shared" si="230"/>
        <v>2.2222222222222222E-3</v>
      </c>
      <c r="M699">
        <v>-0.32</v>
      </c>
      <c r="N699">
        <f t="shared" si="232"/>
        <v>0</v>
      </c>
      <c r="O699">
        <f t="shared" si="233"/>
        <v>103.96146229742595</v>
      </c>
      <c r="P699">
        <f t="shared" si="234"/>
        <v>332.67667935176308</v>
      </c>
      <c r="Q699">
        <f t="shared" si="235"/>
        <v>1523.659191431075</v>
      </c>
      <c r="R699">
        <f t="shared" si="236"/>
        <v>0</v>
      </c>
      <c r="S699">
        <f t="shared" si="237"/>
        <v>0.41421231270098757</v>
      </c>
      <c r="T699">
        <f t="shared" si="238"/>
        <v>6000</v>
      </c>
      <c r="U699">
        <f t="shared" si="239"/>
        <v>0</v>
      </c>
      <c r="V699">
        <f t="shared" si="240"/>
        <v>6.7000407999999982</v>
      </c>
      <c r="W699">
        <f t="shared" si="241"/>
        <v>6000</v>
      </c>
      <c r="X699">
        <f t="shared" si="242"/>
        <v>0</v>
      </c>
      <c r="Y699">
        <f t="shared" si="243"/>
        <v>6.7000407999999982</v>
      </c>
      <c r="Z699">
        <f t="shared" si="244"/>
        <v>6000</v>
      </c>
      <c r="AA699">
        <f t="shared" si="245"/>
        <v>0</v>
      </c>
      <c r="AB699">
        <f t="shared" si="246"/>
        <v>6.7000407999999982</v>
      </c>
      <c r="AC699">
        <f t="shared" si="247"/>
        <v>6000</v>
      </c>
      <c r="AD699">
        <f t="shared" si="248"/>
        <v>0</v>
      </c>
      <c r="AE699">
        <f t="shared" si="249"/>
        <v>6.7000407999999982</v>
      </c>
      <c r="AF699">
        <f t="shared" si="250"/>
        <v>6000</v>
      </c>
      <c r="AG699">
        <f t="shared" si="251"/>
        <v>0</v>
      </c>
      <c r="AH699">
        <f t="shared" si="252"/>
        <v>6.7000407999999982</v>
      </c>
      <c r="AI699" cm="1">
        <f t="array" ref="AI699">_xlfn.LET(
    _xlpm.vals,   _xlfn.HSTACK(S699,V699,Y699,AB699,AE699,AH699),
    _xlpm.ints,   _xlfn.HSTACK(R699,U699,X699,AA699,AD699,AG699),
    _xlpm.slopes, _xlfn.HSTACK(Q699,T699,W699,Z699,AC699,AF699),
    _xlpm.limit,  -0.00001*_xlpm.slopes + 0.1086*_xlpm.slopes + 63.253,
    _xlpm.mask,   (_xlpm.vals&gt;=0) * (_xlpm.ints&lt;=_xlpm.limit),
    _xlpm.validVals, _xlfn._xlws.FILTER(_xlpm.vals, _xlpm.mask),
    _xlpm.minVal, MIN(_xlpm.validVals),
    IFERROR( _xlfn.XMATCH(_xlpm.minVal, _xlpm.vals), "" )
)</f>
        <v>1</v>
      </c>
      <c r="AJ699" cm="1">
        <f t="array" ref="AJ699">_xlfn.LET(
    _xlpm.vals, CHOOSE({1,2,3,4,5,6}, S699, V699, Y699, AB699, AE699, AH699),
    _xlpm.slopes, CHOOSE({1,2,3,4,5,6}, Q699, T699, W699, Z699, AC699, AF699),
    _xlpm.ints, CHOOSE({1,2,3,4,5,6}, R699, U699, X699, AA699, AD699, AG699),
    _xlpm.limit, -0.00001*_xlpm.slopes + 0.1086*_xlpm.slopes + 63.253,
    _xlpm.valid, (_xlpm.vals &gt;= 0) * (_xlpm.ints &lt;= _xlpm.limit),
    _xlpm.target, MIN(_xlfn._xlws.FILTER(_xlpm.vals, _xlpm.valid)),
    IFERROR(
        _xlfn.XLOOKUP(_xlpm.target, _xlpm.vals, _xlpm.vals),
        CHOOSE({1,2,3,4,5,6}, S$1, V$1, Y$1, AB$1, AE$1, AH$1)
    )
)</f>
        <v>0.41421231270098757</v>
      </c>
    </row>
    <row r="700" spans="9:36" x14ac:dyDescent="0.45">
      <c r="I700">
        <v>698</v>
      </c>
      <c r="J700">
        <v>5.5</v>
      </c>
      <c r="K700">
        <f t="shared" si="231"/>
        <v>5.5</v>
      </c>
      <c r="L700">
        <f t="shared" si="230"/>
        <v>1.5277777777777779E-3</v>
      </c>
      <c r="M700">
        <v>-0.04</v>
      </c>
      <c r="N700">
        <f t="shared" si="232"/>
        <v>0</v>
      </c>
      <c r="O700">
        <f t="shared" si="233"/>
        <v>71.473505329480346</v>
      </c>
      <c r="P700">
        <f t="shared" si="234"/>
        <v>228.71521705433713</v>
      </c>
      <c r="Q700">
        <f t="shared" si="235"/>
        <v>1047.5156941088642</v>
      </c>
      <c r="R700">
        <f t="shared" si="236"/>
        <v>0</v>
      </c>
      <c r="S700">
        <f t="shared" si="237"/>
        <v>0.32834661491529915</v>
      </c>
      <c r="T700">
        <f t="shared" si="238"/>
        <v>6000</v>
      </c>
      <c r="U700">
        <f t="shared" si="239"/>
        <v>0</v>
      </c>
      <c r="V700">
        <f t="shared" si="240"/>
        <v>6.7000407999999982</v>
      </c>
      <c r="W700">
        <f t="shared" si="241"/>
        <v>6000</v>
      </c>
      <c r="X700">
        <f t="shared" si="242"/>
        <v>0</v>
      </c>
      <c r="Y700">
        <f t="shared" si="243"/>
        <v>6.7000407999999982</v>
      </c>
      <c r="Z700">
        <f t="shared" si="244"/>
        <v>6000</v>
      </c>
      <c r="AA700">
        <f t="shared" si="245"/>
        <v>0</v>
      </c>
      <c r="AB700">
        <f t="shared" si="246"/>
        <v>6.7000407999999982</v>
      </c>
      <c r="AC700">
        <f t="shared" si="247"/>
        <v>6000</v>
      </c>
      <c r="AD700">
        <f t="shared" si="248"/>
        <v>0</v>
      </c>
      <c r="AE700">
        <f t="shared" si="249"/>
        <v>6.7000407999999982</v>
      </c>
      <c r="AF700">
        <f t="shared" si="250"/>
        <v>6000</v>
      </c>
      <c r="AG700">
        <f t="shared" si="251"/>
        <v>0</v>
      </c>
      <c r="AH700">
        <f t="shared" si="252"/>
        <v>6.7000407999999982</v>
      </c>
      <c r="AI700" cm="1">
        <f t="array" ref="AI700">_xlfn.LET(
    _xlpm.vals,   _xlfn.HSTACK(S700,V700,Y700,AB700,AE700,AH700),
    _xlpm.ints,   _xlfn.HSTACK(R700,U700,X700,AA700,AD700,AG700),
    _xlpm.slopes, _xlfn.HSTACK(Q700,T700,W700,Z700,AC700,AF700),
    _xlpm.limit,  -0.00001*_xlpm.slopes + 0.1086*_xlpm.slopes + 63.253,
    _xlpm.mask,   (_xlpm.vals&gt;=0) * (_xlpm.ints&lt;=_xlpm.limit),
    _xlpm.validVals, _xlfn._xlws.FILTER(_xlpm.vals, _xlpm.mask),
    _xlpm.minVal, MIN(_xlpm.validVals),
    IFERROR( _xlfn.XMATCH(_xlpm.minVal, _xlpm.vals), "" )
)</f>
        <v>1</v>
      </c>
      <c r="AJ700" cm="1">
        <f t="array" ref="AJ700">_xlfn.LET(
    _xlpm.vals, CHOOSE({1,2,3,4,5,6}, S700, V700, Y700, AB700, AE700, AH700),
    _xlpm.slopes, CHOOSE({1,2,3,4,5,6}, Q700, T700, W700, Z700, AC700, AF700),
    _xlpm.ints, CHOOSE({1,2,3,4,5,6}, R700, U700, X700, AA700, AD700, AG700),
    _xlpm.limit, -0.00001*_xlpm.slopes + 0.1086*_xlpm.slopes + 63.253,
    _xlpm.valid, (_xlpm.vals &gt;= 0) * (_xlpm.ints &lt;= _xlpm.limit),
    _xlpm.target, MIN(_xlfn._xlws.FILTER(_xlpm.vals, _xlpm.valid)),
    IFERROR(
        _xlfn.XLOOKUP(_xlpm.target, _xlpm.vals, _xlpm.vals),
        CHOOSE({1,2,3,4,5,6}, S$1, V$1, Y$1, AB$1, AE$1, AH$1)
    )
)</f>
        <v>0.32834661491529915</v>
      </c>
    </row>
    <row r="701" spans="9:36" x14ac:dyDescent="0.45">
      <c r="I701">
        <v>699</v>
      </c>
      <c r="J701">
        <v>3.6</v>
      </c>
      <c r="K701">
        <f t="shared" si="231"/>
        <v>3.6</v>
      </c>
      <c r="L701">
        <f t="shared" si="230"/>
        <v>1E-3</v>
      </c>
      <c r="M701">
        <v>0.22</v>
      </c>
      <c r="N701">
        <f t="shared" si="232"/>
        <v>0.22</v>
      </c>
      <c r="O701">
        <f t="shared" si="233"/>
        <v>46.782658033841685</v>
      </c>
      <c r="P701">
        <f t="shared" si="234"/>
        <v>149.7045057082934</v>
      </c>
      <c r="Q701">
        <f t="shared" si="235"/>
        <v>1000</v>
      </c>
      <c r="R701">
        <f t="shared" si="236"/>
        <v>2.1008452488130187</v>
      </c>
      <c r="S701">
        <f t="shared" si="237"/>
        <v>0.33215956104703126</v>
      </c>
      <c r="T701">
        <f t="shared" si="238"/>
        <v>6000</v>
      </c>
      <c r="U701">
        <f t="shared" si="239"/>
        <v>0.35014087480216977</v>
      </c>
      <c r="V701">
        <f t="shared" si="240"/>
        <v>6.7021581909718293</v>
      </c>
      <c r="W701">
        <f t="shared" si="241"/>
        <v>6000</v>
      </c>
      <c r="X701">
        <f t="shared" si="242"/>
        <v>0.35014087480216977</v>
      </c>
      <c r="Y701">
        <f t="shared" si="243"/>
        <v>6.7021581909718293</v>
      </c>
      <c r="Z701">
        <f t="shared" si="244"/>
        <v>6000</v>
      </c>
      <c r="AA701">
        <f t="shared" si="245"/>
        <v>0.35014087480216977</v>
      </c>
      <c r="AB701">
        <f t="shared" si="246"/>
        <v>6.7021581909718293</v>
      </c>
      <c r="AC701">
        <f t="shared" si="247"/>
        <v>6000</v>
      </c>
      <c r="AD701">
        <f t="shared" si="248"/>
        <v>0.35014087480216977</v>
      </c>
      <c r="AE701">
        <f t="shared" si="249"/>
        <v>6.7021581909718293</v>
      </c>
      <c r="AF701">
        <f t="shared" si="250"/>
        <v>6000</v>
      </c>
      <c r="AG701">
        <f t="shared" si="251"/>
        <v>0.35014087480216977</v>
      </c>
      <c r="AH701">
        <f t="shared" si="252"/>
        <v>6.7021581909718293</v>
      </c>
      <c r="AI701" cm="1">
        <f t="array" ref="AI701">_xlfn.LET(
    _xlpm.vals,   _xlfn.HSTACK(S701,V701,Y701,AB701,AE701,AH701),
    _xlpm.ints,   _xlfn.HSTACK(R701,U701,X701,AA701,AD701,AG701),
    _xlpm.slopes, _xlfn.HSTACK(Q701,T701,W701,Z701,AC701,AF701),
    _xlpm.limit,  -0.00001*_xlpm.slopes + 0.1086*_xlpm.slopes + 63.253,
    _xlpm.mask,   (_xlpm.vals&gt;=0) * (_xlpm.ints&lt;=_xlpm.limit),
    _xlpm.validVals, _xlfn._xlws.FILTER(_xlpm.vals, _xlpm.mask),
    _xlpm.minVal, MIN(_xlpm.validVals),
    IFERROR( _xlfn.XMATCH(_xlpm.minVal, _xlpm.vals), "" )
)</f>
        <v>1</v>
      </c>
      <c r="AJ701" cm="1">
        <f t="array" ref="AJ701">_xlfn.LET(
    _xlpm.vals, CHOOSE({1,2,3,4,5,6}, S701, V701, Y701, AB701, AE701, AH701),
    _xlpm.slopes, CHOOSE({1,2,3,4,5,6}, Q701, T701, W701, Z701, AC701, AF701),
    _xlpm.ints, CHOOSE({1,2,3,4,5,6}, R701, U701, X701, AA701, AD701, AG701),
    _xlpm.limit, -0.00001*_xlpm.slopes + 0.1086*_xlpm.slopes + 63.253,
    _xlpm.valid, (_xlpm.vals &gt;= 0) * (_xlpm.ints &lt;= _xlpm.limit),
    _xlpm.target, MIN(_xlfn._xlws.FILTER(_xlpm.vals, _xlpm.valid)),
    IFERROR(
        _xlfn.XLOOKUP(_xlpm.target, _xlpm.vals, _xlpm.vals),
        CHOOSE({1,2,3,4,5,6}, S$1, V$1, Y$1, AB$1, AE$1, AH$1)
    )
)</f>
        <v>0.33215956104703126</v>
      </c>
    </row>
    <row r="702" spans="9:36" x14ac:dyDescent="0.45">
      <c r="I702">
        <v>700</v>
      </c>
      <c r="J702">
        <v>2.8</v>
      </c>
      <c r="K702">
        <f t="shared" si="231"/>
        <v>2.8</v>
      </c>
      <c r="L702">
        <f t="shared" si="230"/>
        <v>7.7777777777777773E-4</v>
      </c>
      <c r="M702">
        <v>0.57999999999999996</v>
      </c>
      <c r="N702">
        <f t="shared" si="232"/>
        <v>0.57999999999999996</v>
      </c>
      <c r="O702">
        <f t="shared" si="233"/>
        <v>36.386511804099086</v>
      </c>
      <c r="P702">
        <f t="shared" si="234"/>
        <v>116.43683777311708</v>
      </c>
      <c r="Q702">
        <f t="shared" si="235"/>
        <v>1000</v>
      </c>
      <c r="R702">
        <f t="shared" si="236"/>
        <v>5.5385920195979583</v>
      </c>
      <c r="S702">
        <f t="shared" si="237"/>
        <v>0.35335814609018235</v>
      </c>
      <c r="T702">
        <f t="shared" si="238"/>
        <v>6000</v>
      </c>
      <c r="U702">
        <f t="shared" si="239"/>
        <v>0.92309866993299294</v>
      </c>
      <c r="V702">
        <f t="shared" si="240"/>
        <v>6.7057112756655393</v>
      </c>
      <c r="W702">
        <f t="shared" si="241"/>
        <v>6000</v>
      </c>
      <c r="X702">
        <f t="shared" si="242"/>
        <v>0.92309866993299294</v>
      </c>
      <c r="Y702">
        <f t="shared" si="243"/>
        <v>6.7057112756655393</v>
      </c>
      <c r="Z702">
        <f t="shared" si="244"/>
        <v>6000</v>
      </c>
      <c r="AA702">
        <f t="shared" si="245"/>
        <v>0.92309866993299294</v>
      </c>
      <c r="AB702">
        <f t="shared" si="246"/>
        <v>6.7057112756655393</v>
      </c>
      <c r="AC702">
        <f t="shared" si="247"/>
        <v>6000</v>
      </c>
      <c r="AD702">
        <f t="shared" si="248"/>
        <v>0.92309866993299294</v>
      </c>
      <c r="AE702">
        <f t="shared" si="249"/>
        <v>6.7057112756655393</v>
      </c>
      <c r="AF702">
        <f t="shared" si="250"/>
        <v>6000</v>
      </c>
      <c r="AG702">
        <f t="shared" si="251"/>
        <v>0.92309866993299294</v>
      </c>
      <c r="AH702">
        <f t="shared" si="252"/>
        <v>6.7057112756655393</v>
      </c>
      <c r="AI702" cm="1">
        <f t="array" ref="AI702">_xlfn.LET(
    _xlpm.vals,   _xlfn.HSTACK(S702,V702,Y702,AB702,AE702,AH702),
    _xlpm.ints,   _xlfn.HSTACK(R702,U702,X702,AA702,AD702,AG702),
    _xlpm.slopes, _xlfn.HSTACK(Q702,T702,W702,Z702,AC702,AF702),
    _xlpm.limit,  -0.00001*_xlpm.slopes + 0.1086*_xlpm.slopes + 63.253,
    _xlpm.mask,   (_xlpm.vals&gt;=0) * (_xlpm.ints&lt;=_xlpm.limit),
    _xlpm.validVals, _xlfn._xlws.FILTER(_xlpm.vals, _xlpm.mask),
    _xlpm.minVal, MIN(_xlpm.validVals),
    IFERROR( _xlfn.XMATCH(_xlpm.minVal, _xlpm.vals), "" )
)</f>
        <v>1</v>
      </c>
      <c r="AJ702" cm="1">
        <f t="array" ref="AJ702">_xlfn.LET(
    _xlpm.vals, CHOOSE({1,2,3,4,5,6}, S702, V702, Y702, AB702, AE702, AH702),
    _xlpm.slopes, CHOOSE({1,2,3,4,5,6}, Q702, T702, W702, Z702, AC702, AF702),
    _xlpm.ints, CHOOSE({1,2,3,4,5,6}, R702, U702, X702, AA702, AD702, AG702),
    _xlpm.limit, -0.00001*_xlpm.slopes + 0.1086*_xlpm.slopes + 63.253,
    _xlpm.valid, (_xlpm.vals &gt;= 0) * (_xlpm.ints &lt;= _xlpm.limit),
    _xlpm.target, MIN(_xlfn._xlws.FILTER(_xlpm.vals, _xlpm.valid)),
    IFERROR(
        _xlfn.XLOOKUP(_xlpm.target, _xlpm.vals, _xlpm.vals),
        CHOOSE({1,2,3,4,5,6}, S$1, V$1, Y$1, AB$1, AE$1, AH$1)
    )
)</f>
        <v>0.35335814609018235</v>
      </c>
    </row>
    <row r="703" spans="9:36" x14ac:dyDescent="0.45">
      <c r="I703">
        <v>701</v>
      </c>
      <c r="J703">
        <v>1.8</v>
      </c>
      <c r="K703">
        <f t="shared" si="231"/>
        <v>1.8</v>
      </c>
      <c r="L703">
        <f t="shared" si="230"/>
        <v>5.0000000000000001E-4</v>
      </c>
      <c r="M703">
        <v>0.47</v>
      </c>
      <c r="N703">
        <f t="shared" si="232"/>
        <v>0.47</v>
      </c>
      <c r="O703">
        <f t="shared" si="233"/>
        <v>23.391329016920842</v>
      </c>
      <c r="P703">
        <f t="shared" si="234"/>
        <v>74.852252854146698</v>
      </c>
      <c r="Q703">
        <f t="shared" si="235"/>
        <v>1000</v>
      </c>
      <c r="R703">
        <f t="shared" si="236"/>
        <v>4.4881693951914485</v>
      </c>
      <c r="S703">
        <f t="shared" si="237"/>
        <v>0.34672654038841372</v>
      </c>
      <c r="T703">
        <f t="shared" si="238"/>
        <v>6000</v>
      </c>
      <c r="U703">
        <f t="shared" si="239"/>
        <v>0.74802823253190809</v>
      </c>
      <c r="V703">
        <f t="shared" si="240"/>
        <v>6.7046140043292288</v>
      </c>
      <c r="W703">
        <f t="shared" si="241"/>
        <v>6000</v>
      </c>
      <c r="X703">
        <f t="shared" si="242"/>
        <v>0.74802823253190809</v>
      </c>
      <c r="Y703">
        <f t="shared" si="243"/>
        <v>6.7046140043292288</v>
      </c>
      <c r="Z703">
        <f t="shared" si="244"/>
        <v>6000</v>
      </c>
      <c r="AA703">
        <f t="shared" si="245"/>
        <v>0.74802823253190809</v>
      </c>
      <c r="AB703">
        <f t="shared" si="246"/>
        <v>6.7046140043292288</v>
      </c>
      <c r="AC703">
        <f t="shared" si="247"/>
        <v>6000</v>
      </c>
      <c r="AD703">
        <f t="shared" si="248"/>
        <v>0.74802823253190809</v>
      </c>
      <c r="AE703">
        <f t="shared" si="249"/>
        <v>6.7046140043292288</v>
      </c>
      <c r="AF703">
        <f t="shared" si="250"/>
        <v>6000</v>
      </c>
      <c r="AG703">
        <f t="shared" si="251"/>
        <v>0.74802823253190809</v>
      </c>
      <c r="AH703">
        <f t="shared" si="252"/>
        <v>6.7046140043292288</v>
      </c>
      <c r="AI703" cm="1">
        <f t="array" ref="AI703">_xlfn.LET(
    _xlpm.vals,   _xlfn.HSTACK(S703,V703,Y703,AB703,AE703,AH703),
    _xlpm.ints,   _xlfn.HSTACK(R703,U703,X703,AA703,AD703,AG703),
    _xlpm.slopes, _xlfn.HSTACK(Q703,T703,W703,Z703,AC703,AF703),
    _xlpm.limit,  -0.00001*_xlpm.slopes + 0.1086*_xlpm.slopes + 63.253,
    _xlpm.mask,   (_xlpm.vals&gt;=0) * (_xlpm.ints&lt;=_xlpm.limit),
    _xlpm.validVals, _xlfn._xlws.FILTER(_xlpm.vals, _xlpm.mask),
    _xlpm.minVal, MIN(_xlpm.validVals),
    IFERROR( _xlfn.XMATCH(_xlpm.minVal, _xlpm.vals), "" )
)</f>
        <v>1</v>
      </c>
      <c r="AJ703" cm="1">
        <f t="array" ref="AJ703">_xlfn.LET(
    _xlpm.vals, CHOOSE({1,2,3,4,5,6}, S703, V703, Y703, AB703, AE703, AH703),
    _xlpm.slopes, CHOOSE({1,2,3,4,5,6}, Q703, T703, W703, Z703, AC703, AF703),
    _xlpm.ints, CHOOSE({1,2,3,4,5,6}, R703, U703, X703, AA703, AD703, AG703),
    _xlpm.limit, -0.00001*_xlpm.slopes + 0.1086*_xlpm.slopes + 63.253,
    _xlpm.valid, (_xlpm.vals &gt;= 0) * (_xlpm.ints &lt;= _xlpm.limit),
    _xlpm.target, MIN(_xlfn._xlws.FILTER(_xlpm.vals, _xlpm.valid)),
    IFERROR(
        _xlfn.XLOOKUP(_xlpm.target, _xlpm.vals, _xlpm.vals),
        CHOOSE({1,2,3,4,5,6}, S$1, V$1, Y$1, AB$1, AE$1, AH$1)
    )
)</f>
        <v>0.34672654038841372</v>
      </c>
    </row>
    <row r="704" spans="9:36" x14ac:dyDescent="0.45">
      <c r="I704">
        <v>702</v>
      </c>
      <c r="J704">
        <v>0.6</v>
      </c>
      <c r="K704">
        <f t="shared" si="231"/>
        <v>0.6</v>
      </c>
      <c r="L704">
        <f t="shared" si="230"/>
        <v>1.6666666666666666E-4</v>
      </c>
      <c r="M704">
        <v>1.03</v>
      </c>
      <c r="N704">
        <f t="shared" si="232"/>
        <v>1.03</v>
      </c>
      <c r="O704">
        <f t="shared" si="233"/>
        <v>7.797109672306946</v>
      </c>
      <c r="P704">
        <f t="shared" si="234"/>
        <v>24.950750951382229</v>
      </c>
      <c r="Q704">
        <f t="shared" si="235"/>
        <v>1000</v>
      </c>
      <c r="R704">
        <f t="shared" si="236"/>
        <v>9.8357754830791322</v>
      </c>
      <c r="S704">
        <f t="shared" si="237"/>
        <v>0.3818392106947559</v>
      </c>
      <c r="T704">
        <f t="shared" si="238"/>
        <v>6000</v>
      </c>
      <c r="U704">
        <f t="shared" si="239"/>
        <v>1.639295913846522</v>
      </c>
      <c r="V704">
        <f t="shared" si="240"/>
        <v>6.7103061851388288</v>
      </c>
      <c r="W704">
        <f t="shared" si="241"/>
        <v>6000</v>
      </c>
      <c r="X704">
        <f t="shared" si="242"/>
        <v>1.639295913846522</v>
      </c>
      <c r="Y704">
        <f t="shared" si="243"/>
        <v>6.7103061851388288</v>
      </c>
      <c r="Z704">
        <f t="shared" si="244"/>
        <v>6000</v>
      </c>
      <c r="AA704">
        <f t="shared" si="245"/>
        <v>1.639295913846522</v>
      </c>
      <c r="AB704">
        <f t="shared" si="246"/>
        <v>6.7103061851388288</v>
      </c>
      <c r="AC704">
        <f t="shared" si="247"/>
        <v>6000</v>
      </c>
      <c r="AD704">
        <f t="shared" si="248"/>
        <v>1.639295913846522</v>
      </c>
      <c r="AE704">
        <f t="shared" si="249"/>
        <v>6.7103061851388288</v>
      </c>
      <c r="AF704">
        <f t="shared" si="250"/>
        <v>6000</v>
      </c>
      <c r="AG704">
        <f t="shared" si="251"/>
        <v>1.639295913846522</v>
      </c>
      <c r="AH704">
        <f t="shared" si="252"/>
        <v>6.7103061851388288</v>
      </c>
      <c r="AI704" cm="1">
        <f t="array" ref="AI704">_xlfn.LET(
    _xlpm.vals,   _xlfn.HSTACK(S704,V704,Y704,AB704,AE704,AH704),
    _xlpm.ints,   _xlfn.HSTACK(R704,U704,X704,AA704,AD704,AG704),
    _xlpm.slopes, _xlfn.HSTACK(Q704,T704,W704,Z704,AC704,AF704),
    _xlpm.limit,  -0.00001*_xlpm.slopes + 0.1086*_xlpm.slopes + 63.253,
    _xlpm.mask,   (_xlpm.vals&gt;=0) * (_xlpm.ints&lt;=_xlpm.limit),
    _xlpm.validVals, _xlfn._xlws.FILTER(_xlpm.vals, _xlpm.mask),
    _xlpm.minVal, MIN(_xlpm.validVals),
    IFERROR( _xlfn.XMATCH(_xlpm.minVal, _xlpm.vals), "" )
)</f>
        <v>1</v>
      </c>
      <c r="AJ704" cm="1">
        <f t="array" ref="AJ704">_xlfn.LET(
    _xlpm.vals, CHOOSE({1,2,3,4,5,6}, S704, V704, Y704, AB704, AE704, AH704),
    _xlpm.slopes, CHOOSE({1,2,3,4,5,6}, Q704, T704, W704, Z704, AC704, AF704),
    _xlpm.ints, CHOOSE({1,2,3,4,5,6}, R704, U704, X704, AA704, AD704, AG704),
    _xlpm.limit, -0.00001*_xlpm.slopes + 0.1086*_xlpm.slopes + 63.253,
    _xlpm.valid, (_xlpm.vals &gt;= 0) * (_xlpm.ints &lt;= _xlpm.limit),
    _xlpm.target, MIN(_xlfn._xlws.FILTER(_xlpm.vals, _xlpm.valid)),
    IFERROR(
        _xlfn.XLOOKUP(_xlpm.target, _xlpm.vals, _xlpm.vals),
        CHOOSE({1,2,3,4,5,6}, S$1, V$1, Y$1, AB$1, AE$1, AH$1)
    )
)</f>
        <v>0.3818392106947559</v>
      </c>
    </row>
    <row r="705" spans="9:36" x14ac:dyDescent="0.45">
      <c r="I705">
        <v>703</v>
      </c>
      <c r="J705">
        <v>0.7</v>
      </c>
      <c r="K705">
        <f t="shared" si="231"/>
        <v>0.7</v>
      </c>
      <c r="L705">
        <f t="shared" si="230"/>
        <v>1.9444444444444443E-4</v>
      </c>
      <c r="M705">
        <v>0.75</v>
      </c>
      <c r="N705">
        <f t="shared" si="232"/>
        <v>0.75</v>
      </c>
      <c r="O705">
        <f t="shared" si="233"/>
        <v>9.0966279510247716</v>
      </c>
      <c r="P705">
        <f t="shared" si="234"/>
        <v>29.109209443279269</v>
      </c>
      <c r="Q705">
        <f t="shared" si="235"/>
        <v>1000</v>
      </c>
      <c r="R705">
        <f t="shared" si="236"/>
        <v>7.1619724391352912</v>
      </c>
      <c r="S705">
        <f t="shared" si="237"/>
        <v>0.36386636162818831</v>
      </c>
      <c r="T705">
        <f t="shared" si="238"/>
        <v>6000</v>
      </c>
      <c r="U705">
        <f t="shared" si="239"/>
        <v>1.1936620731892151</v>
      </c>
      <c r="V705">
        <f t="shared" si="240"/>
        <v>6.7074271131842309</v>
      </c>
      <c r="W705">
        <f t="shared" si="241"/>
        <v>6000</v>
      </c>
      <c r="X705">
        <f t="shared" si="242"/>
        <v>1.1936620731892151</v>
      </c>
      <c r="Y705">
        <f t="shared" si="243"/>
        <v>6.7074271131842309</v>
      </c>
      <c r="Z705">
        <f t="shared" si="244"/>
        <v>6000</v>
      </c>
      <c r="AA705">
        <f t="shared" si="245"/>
        <v>1.1936620731892151</v>
      </c>
      <c r="AB705">
        <f t="shared" si="246"/>
        <v>6.7074271131842309</v>
      </c>
      <c r="AC705">
        <f t="shared" si="247"/>
        <v>6000</v>
      </c>
      <c r="AD705">
        <f t="shared" si="248"/>
        <v>1.1936620731892151</v>
      </c>
      <c r="AE705">
        <f t="shared" si="249"/>
        <v>6.7074271131842309</v>
      </c>
      <c r="AF705">
        <f t="shared" si="250"/>
        <v>6000</v>
      </c>
      <c r="AG705">
        <f t="shared" si="251"/>
        <v>1.1936620731892151</v>
      </c>
      <c r="AH705">
        <f t="shared" si="252"/>
        <v>6.7074271131842309</v>
      </c>
      <c r="AI705" cm="1">
        <f t="array" ref="AI705">_xlfn.LET(
    _xlpm.vals,   _xlfn.HSTACK(S705,V705,Y705,AB705,AE705,AH705),
    _xlpm.ints,   _xlfn.HSTACK(R705,U705,X705,AA705,AD705,AG705),
    _xlpm.slopes, _xlfn.HSTACK(Q705,T705,W705,Z705,AC705,AF705),
    _xlpm.limit,  -0.00001*_xlpm.slopes + 0.1086*_xlpm.slopes + 63.253,
    _xlpm.mask,   (_xlpm.vals&gt;=0) * (_xlpm.ints&lt;=_xlpm.limit),
    _xlpm.validVals, _xlfn._xlws.FILTER(_xlpm.vals, _xlpm.mask),
    _xlpm.minVal, MIN(_xlpm.validVals),
    IFERROR( _xlfn.XMATCH(_xlpm.minVal, _xlpm.vals), "" )
)</f>
        <v>1</v>
      </c>
      <c r="AJ705" cm="1">
        <f t="array" ref="AJ705">_xlfn.LET(
    _xlpm.vals, CHOOSE({1,2,3,4,5,6}, S705, V705, Y705, AB705, AE705, AH705),
    _xlpm.slopes, CHOOSE({1,2,3,4,5,6}, Q705, T705, W705, Z705, AC705, AF705),
    _xlpm.ints, CHOOSE({1,2,3,4,5,6}, R705, U705, X705, AA705, AD705, AG705),
    _xlpm.limit, -0.00001*_xlpm.slopes + 0.1086*_xlpm.slopes + 63.253,
    _xlpm.valid, (_xlpm.vals &gt;= 0) * (_xlpm.ints &lt;= _xlpm.limit),
    _xlpm.target, MIN(_xlfn._xlws.FILTER(_xlpm.vals, _xlpm.valid)),
    IFERROR(
        _xlfn.XLOOKUP(_xlpm.target, _xlpm.vals, _xlpm.vals),
        CHOOSE({1,2,3,4,5,6}, S$1, V$1, Y$1, AB$1, AE$1, AH$1)
    )
)</f>
        <v>0.36386636162818831</v>
      </c>
    </row>
    <row r="706" spans="9:36" x14ac:dyDescent="0.45">
      <c r="I706">
        <v>704</v>
      </c>
      <c r="J706">
        <v>3.7</v>
      </c>
      <c r="K706">
        <f t="shared" si="231"/>
        <v>3.7</v>
      </c>
      <c r="L706">
        <f t="shared" ref="L706:L769" si="253">K706*(1/3600)</f>
        <v>1.0277777777777778E-3</v>
      </c>
      <c r="M706">
        <v>6.94</v>
      </c>
      <c r="N706">
        <f t="shared" si="232"/>
        <v>6.94</v>
      </c>
      <c r="O706">
        <f t="shared" si="233"/>
        <v>48.082176312559511</v>
      </c>
      <c r="P706">
        <f t="shared" si="234"/>
        <v>153.86296420019045</v>
      </c>
      <c r="Q706">
        <f t="shared" si="235"/>
        <v>1000</v>
      </c>
      <c r="R706">
        <f t="shared" si="236"/>
        <v>66.27211830346522</v>
      </c>
      <c r="S706">
        <f t="shared" si="237"/>
        <v>0.88386732991737238</v>
      </c>
      <c r="T706">
        <f t="shared" si="238"/>
        <v>6000</v>
      </c>
      <c r="U706">
        <f t="shared" si="239"/>
        <v>11.045353050577537</v>
      </c>
      <c r="V706">
        <f t="shared" si="240"/>
        <v>6.7861331192446137</v>
      </c>
      <c r="W706">
        <f t="shared" si="241"/>
        <v>6000</v>
      </c>
      <c r="X706">
        <f t="shared" si="242"/>
        <v>11.045353050577537</v>
      </c>
      <c r="Y706">
        <f t="shared" si="243"/>
        <v>6.7861331192446137</v>
      </c>
      <c r="Z706">
        <f t="shared" si="244"/>
        <v>6000</v>
      </c>
      <c r="AA706">
        <f t="shared" si="245"/>
        <v>11.045353050577537</v>
      </c>
      <c r="AB706">
        <f t="shared" si="246"/>
        <v>6.7861331192446137</v>
      </c>
      <c r="AC706">
        <f t="shared" si="247"/>
        <v>6000</v>
      </c>
      <c r="AD706">
        <f t="shared" si="248"/>
        <v>11.045353050577537</v>
      </c>
      <c r="AE706">
        <f t="shared" si="249"/>
        <v>6.7861331192446137</v>
      </c>
      <c r="AF706">
        <f t="shared" si="250"/>
        <v>6000</v>
      </c>
      <c r="AG706">
        <f t="shared" si="251"/>
        <v>11.045353050577537</v>
      </c>
      <c r="AH706">
        <f t="shared" si="252"/>
        <v>6.7861331192446137</v>
      </c>
      <c r="AI706" cm="1">
        <f t="array" ref="AI706">_xlfn.LET(
    _xlpm.vals,   _xlfn.HSTACK(S706,V706,Y706,AB706,AE706,AH706),
    _xlpm.ints,   _xlfn.HSTACK(R706,U706,X706,AA706,AD706,AG706),
    _xlpm.slopes, _xlfn.HSTACK(Q706,T706,W706,Z706,AC706,AF706),
    _xlpm.limit,  -0.00001*_xlpm.slopes + 0.1086*_xlpm.slopes + 63.253,
    _xlpm.mask,   (_xlpm.vals&gt;=0) * (_xlpm.ints&lt;=_xlpm.limit),
    _xlpm.validVals, _xlfn._xlws.FILTER(_xlpm.vals, _xlpm.mask),
    _xlpm.minVal, MIN(_xlpm.validVals),
    IFERROR( _xlfn.XMATCH(_xlpm.minVal, _xlpm.vals), "" )
)</f>
        <v>1</v>
      </c>
      <c r="AJ706" cm="1">
        <f t="array" ref="AJ706">_xlfn.LET(
    _xlpm.vals, CHOOSE({1,2,3,4,5,6}, S706, V706, Y706, AB706, AE706, AH706),
    _xlpm.slopes, CHOOSE({1,2,3,4,5,6}, Q706, T706, W706, Z706, AC706, AF706),
    _xlpm.ints, CHOOSE({1,2,3,4,5,6}, R706, U706, X706, AA706, AD706, AG706),
    _xlpm.limit, -0.00001*_xlpm.slopes + 0.1086*_xlpm.slopes + 63.253,
    _xlpm.valid, (_xlpm.vals &gt;= 0) * (_xlpm.ints &lt;= _xlpm.limit),
    _xlpm.target, MIN(_xlfn._xlws.FILTER(_xlpm.vals, _xlpm.valid)),
    IFERROR(
        _xlfn.XLOOKUP(_xlpm.target, _xlpm.vals, _xlpm.vals),
        CHOOSE({1,2,3,4,5,6}, S$1, V$1, Y$1, AB$1, AE$1, AH$1)
    )
)</f>
        <v>0.88386732991737238</v>
      </c>
    </row>
    <row r="707" spans="9:36" x14ac:dyDescent="0.45">
      <c r="I707">
        <v>705</v>
      </c>
      <c r="J707">
        <v>6.9</v>
      </c>
      <c r="K707">
        <f t="shared" ref="K707:K770" si="254">IF(J707&lt;0,0,J707)</f>
        <v>6.9</v>
      </c>
      <c r="L707">
        <f t="shared" si="253"/>
        <v>1.9166666666666668E-3</v>
      </c>
      <c r="M707">
        <v>13.14</v>
      </c>
      <c r="N707">
        <f t="shared" ref="N707:N770" si="255">IF(M707&lt;0,0,M707)</f>
        <v>13.14</v>
      </c>
      <c r="O707">
        <f t="shared" ref="O707:O770" si="256">(K707*0.44704*60)/(PI()*$B$2)</f>
        <v>89.666761231529904</v>
      </c>
      <c r="P707">
        <f t="shared" ref="P707:P770" si="257">O707*3.2</f>
        <v>286.93363594089573</v>
      </c>
      <c r="Q707">
        <f t="shared" ref="Q707:Q770" si="258">IF(4.58*P707&lt;1000,1000,4.58*P707)</f>
        <v>1314.1560526093024</v>
      </c>
      <c r="R707">
        <f t="shared" ref="R707:R770" si="259">(1000*N707*60)/(Q707*2*PI())</f>
        <v>95.48162631409707</v>
      </c>
      <c r="S707">
        <f t="shared" ref="S707:S770" si="260">(0.072946 + (0.000364279 * Q707) + (-0.00248749 * R707) + (0.00000951906 * Q707 * R707) + (-0.000000165418 * Q707^2) + (0.000045414 * R707^2) + (-0.00000000135106 * Q707^2 * R707) + (0.0000000203184 * Q707 * R707^2) + (0.0000000000481318 * Q707^3) + (-0.00000034778 * R707^3))</f>
        <v>1.46408263910905</v>
      </c>
      <c r="T707">
        <f t="shared" ref="T707:T770" si="261">IF(2.96*P707&lt;1000,6000,2.96*P707)</f>
        <v>6000</v>
      </c>
      <c r="U707">
        <f t="shared" ref="U707:U770" si="262">(1000*N707*60)/(T707*2*PI())</f>
        <v>20.912959522275049</v>
      </c>
      <c r="V707">
        <f t="shared" ref="V707:V770" si="263">(0.072946 + (0.000364279 * T707) + (-0.00248749 * U707) + (0.00000951906 * T707 * U707) + (-0.000000165418 * T707^2) + (0.000045414 * U707^2) + (-0.00000000135106 * T707^2 * U707) + (0.0000000203184 * T707 * U707^2) + (0.0000000000481318 * T707^3) + (-0.00000034778 * U707^3))</f>
        <v>6.8952811821651609</v>
      </c>
      <c r="W707">
        <f t="shared" ref="W707:W770" si="264">IF(1.91*P707&lt;1000,6000,1.91*P707)</f>
        <v>6000</v>
      </c>
      <c r="X707">
        <f t="shared" ref="X707:X770" si="265">(1000*N707*60)/(W707*2*PI())</f>
        <v>20.912959522275049</v>
      </c>
      <c r="Y707">
        <f t="shared" ref="Y707:Y770" si="266">(0.072946 + (0.000364279 * W707) + (-0.00248749 * X707) + (0.00000951906 * W707 * X707) + (-0.000000165418 * W707^2) + (0.000045414 * X707^2) + (-0.00000000135106 * W707^2 * X707) + (0.0000000203184 * W707 * X707^2) + (0.0000000000481318 * W707^3) + (-0.00000034778 * X707^3))</f>
        <v>6.8952811821651609</v>
      </c>
      <c r="Z707">
        <f t="shared" ref="Z707:Z770" si="267">IF(1.44*P707&lt;1000,6000,1.44*P707)</f>
        <v>6000</v>
      </c>
      <c r="AA707">
        <f t="shared" ref="AA707:AA770" si="268">(1000*N707*60)/(Z707*2*PI())</f>
        <v>20.912959522275049</v>
      </c>
      <c r="AB707">
        <f t="shared" ref="AB707:AB770" si="269">(0.072946 + (0.000364279 * Z707) + (-0.00248749 * AA707) + (0.00000951906 * Z707 * AA707) + (-0.000000165418 * Z707^2) + (0.000045414 * AA707^2) + (-0.00000000135106 * Z707^2 * AA707) + (0.0000000203184 * Z707 * AA707^2) + (0.0000000000481318 * Z707^3) + (-0.00000034778 * AA707^3))</f>
        <v>6.8952811821651609</v>
      </c>
      <c r="AC707">
        <f t="shared" ref="AC707:AC770" si="270">IF(0.74*P707&lt;1000,6000,0.74*P707)</f>
        <v>6000</v>
      </c>
      <c r="AD707">
        <f t="shared" ref="AD707:AD770" si="271">(1000*N707*60)/(AC707*2*PI())</f>
        <v>20.912959522275049</v>
      </c>
      <c r="AE707">
        <f t="shared" ref="AE707:AE770" si="272">(0.072946 + (0.000364279 * AC707) + (-0.00248749 * AD707) + (0.00000951906 * AC707 * AD707) + (-0.000000165418 * AC707^2) + (0.000045414 * AD707^2) + (-0.00000000135106 * AC707^2 * AD707) + (0.0000000203184 * AC707 * AD707^2) + (0.0000000000481318 * AC707^3) + (-0.00000034778 * AD707^3))</f>
        <v>6.8952811821651609</v>
      </c>
      <c r="AF707">
        <f t="shared" ref="AF707:AF770" si="273">IF(0.68*P707&lt;1000,6000,0.68*P707)</f>
        <v>6000</v>
      </c>
      <c r="AG707">
        <f t="shared" ref="AG707:AG770" si="274">(1000*N707*60)/(AF707*2*PI())</f>
        <v>20.912959522275049</v>
      </c>
      <c r="AH707">
        <f t="shared" ref="AH707:AH770" si="275">(0.072946 + (0.000364279 * AF707) + (-0.00248749 * AG707) + (0.00000951906 * AF707 * AG707) + (-0.000000165418 * AF707^2) + (0.000045414 * AG707^2) + (-0.00000000135106 * AF707^2 * AG707) + (0.0000000203184 * AF707 * AG707^2) + (0.0000000000481318 * AF707^3) + (-0.00000034778 * AG707^3))</f>
        <v>6.8952811821651609</v>
      </c>
      <c r="AI707" cm="1">
        <f t="array" ref="AI707">_xlfn.LET(
    _xlpm.vals,   _xlfn.HSTACK(S707,V707,Y707,AB707,AE707,AH707),
    _xlpm.ints,   _xlfn.HSTACK(R707,U707,X707,AA707,AD707,AG707),
    _xlpm.slopes, _xlfn.HSTACK(Q707,T707,W707,Z707,AC707,AF707),
    _xlpm.limit,  -0.00001*_xlpm.slopes + 0.1086*_xlpm.slopes + 63.253,
    _xlpm.mask,   (_xlpm.vals&gt;=0) * (_xlpm.ints&lt;=_xlpm.limit),
    _xlpm.validVals, _xlfn._xlws.FILTER(_xlpm.vals, _xlpm.mask),
    _xlpm.minVal, MIN(_xlpm.validVals),
    IFERROR( _xlfn.XMATCH(_xlpm.minVal, _xlpm.vals), "" )
)</f>
        <v>1</v>
      </c>
      <c r="AJ707" cm="1">
        <f t="array" ref="AJ707">_xlfn.LET(
    _xlpm.vals, CHOOSE({1,2,3,4,5,6}, S707, V707, Y707, AB707, AE707, AH707),
    _xlpm.slopes, CHOOSE({1,2,3,4,5,6}, Q707, T707, W707, Z707, AC707, AF707),
    _xlpm.ints, CHOOSE({1,2,3,4,5,6}, R707, U707, X707, AA707, AD707, AG707),
    _xlpm.limit, -0.00001*_xlpm.slopes + 0.1086*_xlpm.slopes + 63.253,
    _xlpm.valid, (_xlpm.vals &gt;= 0) * (_xlpm.ints &lt;= _xlpm.limit),
    _xlpm.target, MIN(_xlfn._xlws.FILTER(_xlpm.vals, _xlpm.valid)),
    IFERROR(
        _xlfn.XLOOKUP(_xlpm.target, _xlpm.vals, _xlpm.vals),
        CHOOSE({1,2,3,4,5,6}, S$1, V$1, Y$1, AB$1, AE$1, AH$1)
    )
)</f>
        <v>1.46408263910905</v>
      </c>
    </row>
    <row r="708" spans="9:36" x14ac:dyDescent="0.45">
      <c r="I708">
        <v>706</v>
      </c>
      <c r="J708">
        <v>9.6</v>
      </c>
      <c r="K708">
        <f t="shared" si="254"/>
        <v>9.6</v>
      </c>
      <c r="L708">
        <f t="shared" si="253"/>
        <v>2.6666666666666666E-3</v>
      </c>
      <c r="M708">
        <v>10.91</v>
      </c>
      <c r="N708">
        <f t="shared" si="255"/>
        <v>10.91</v>
      </c>
      <c r="O708">
        <f t="shared" si="256"/>
        <v>124.75375475691114</v>
      </c>
      <c r="P708">
        <f t="shared" si="257"/>
        <v>399.21201522211567</v>
      </c>
      <c r="Q708">
        <f t="shared" si="258"/>
        <v>1828.3910297172897</v>
      </c>
      <c r="R708">
        <f t="shared" si="259"/>
        <v>56.980604287948026</v>
      </c>
      <c r="S708">
        <f t="shared" si="260"/>
        <v>1.276545301783218</v>
      </c>
      <c r="T708">
        <f t="shared" si="261"/>
        <v>1181.6675650574623</v>
      </c>
      <c r="U708">
        <f t="shared" si="262"/>
        <v>88.165935013108765</v>
      </c>
      <c r="V708">
        <f t="shared" si="263"/>
        <v>1.2592236058272674</v>
      </c>
      <c r="W708">
        <f t="shared" si="264"/>
        <v>6000</v>
      </c>
      <c r="X708">
        <f t="shared" si="265"/>
        <v>17.363804291325781</v>
      </c>
      <c r="Y708">
        <f t="shared" si="266"/>
        <v>6.8526554757644451</v>
      </c>
      <c r="Z708">
        <f t="shared" si="267"/>
        <v>6000</v>
      </c>
      <c r="AA708">
        <f t="shared" si="268"/>
        <v>17.363804291325781</v>
      </c>
      <c r="AB708">
        <f t="shared" si="269"/>
        <v>6.8526554757644451</v>
      </c>
      <c r="AC708">
        <f t="shared" si="270"/>
        <v>6000</v>
      </c>
      <c r="AD708">
        <f t="shared" si="271"/>
        <v>17.363804291325781</v>
      </c>
      <c r="AE708">
        <f t="shared" si="272"/>
        <v>6.8526554757644451</v>
      </c>
      <c r="AF708">
        <f t="shared" si="273"/>
        <v>6000</v>
      </c>
      <c r="AG708">
        <f t="shared" si="274"/>
        <v>17.363804291325781</v>
      </c>
      <c r="AH708">
        <f t="shared" si="275"/>
        <v>6.8526554757644451</v>
      </c>
      <c r="AI708" cm="1">
        <f t="array" ref="AI708">_xlfn.LET(
    _xlpm.vals,   _xlfn.HSTACK(S708,V708,Y708,AB708,AE708,AH708),
    _xlpm.ints,   _xlfn.HSTACK(R708,U708,X708,AA708,AD708,AG708),
    _xlpm.slopes, _xlfn.HSTACK(Q708,T708,W708,Z708,AC708,AF708),
    _xlpm.limit,  -0.00001*_xlpm.slopes + 0.1086*_xlpm.slopes + 63.253,
    _xlpm.mask,   (_xlpm.vals&gt;=0) * (_xlpm.ints&lt;=_xlpm.limit),
    _xlpm.validVals, _xlfn._xlws.FILTER(_xlpm.vals, _xlpm.mask),
    _xlpm.minVal, MIN(_xlpm.validVals),
    IFERROR( _xlfn.XMATCH(_xlpm.minVal, _xlpm.vals), "" )
)</f>
        <v>2</v>
      </c>
      <c r="AJ708" cm="1">
        <f t="array" ref="AJ708">_xlfn.LET(
    _xlpm.vals, CHOOSE({1,2,3,4,5,6}, S708, V708, Y708, AB708, AE708, AH708),
    _xlpm.slopes, CHOOSE({1,2,3,4,5,6}, Q708, T708, W708, Z708, AC708, AF708),
    _xlpm.ints, CHOOSE({1,2,3,4,5,6}, R708, U708, X708, AA708, AD708, AG708),
    _xlpm.limit, -0.00001*_xlpm.slopes + 0.1086*_xlpm.slopes + 63.253,
    _xlpm.valid, (_xlpm.vals &gt;= 0) * (_xlpm.ints &lt;= _xlpm.limit),
    _xlpm.target, MIN(_xlfn._xlws.FILTER(_xlpm.vals, _xlpm.valid)),
    IFERROR(
        _xlfn.XLOOKUP(_xlpm.target, _xlpm.vals, _xlpm.vals),
        CHOOSE({1,2,3,4,5,6}, S$1, V$1, Y$1, AB$1, AE$1, AH$1)
    )
)</f>
        <v>1.2592236058272674</v>
      </c>
    </row>
    <row r="709" spans="9:36" x14ac:dyDescent="0.45">
      <c r="I709">
        <v>707</v>
      </c>
      <c r="J709">
        <v>12.3</v>
      </c>
      <c r="K709">
        <f t="shared" si="254"/>
        <v>12.3</v>
      </c>
      <c r="L709">
        <f t="shared" si="253"/>
        <v>3.4166666666666668E-3</v>
      </c>
      <c r="M709">
        <v>14.51</v>
      </c>
      <c r="N709">
        <f t="shared" si="255"/>
        <v>14.51</v>
      </c>
      <c r="O709">
        <f t="shared" si="256"/>
        <v>159.84074828229242</v>
      </c>
      <c r="P709">
        <f t="shared" si="257"/>
        <v>511.49039450333578</v>
      </c>
      <c r="Q709">
        <f t="shared" si="258"/>
        <v>2342.6260068252777</v>
      </c>
      <c r="R709">
        <f t="shared" si="259"/>
        <v>59.147423896134718</v>
      </c>
      <c r="S709">
        <f t="shared" si="260"/>
        <v>1.6240259731517512</v>
      </c>
      <c r="T709">
        <f t="shared" si="261"/>
        <v>1514.0115677298738</v>
      </c>
      <c r="U709">
        <f t="shared" si="262"/>
        <v>91.518649136586831</v>
      </c>
      <c r="V709">
        <f t="shared" si="263"/>
        <v>1.5916595269829117</v>
      </c>
      <c r="W709">
        <f t="shared" si="264"/>
        <v>6000</v>
      </c>
      <c r="X709">
        <f t="shared" si="265"/>
        <v>23.093382242634014</v>
      </c>
      <c r="Y709">
        <f t="shared" si="266"/>
        <v>6.9232920027855762</v>
      </c>
      <c r="Z709">
        <f t="shared" si="267"/>
        <v>6000</v>
      </c>
      <c r="AA709">
        <f t="shared" si="268"/>
        <v>23.093382242634014</v>
      </c>
      <c r="AB709">
        <f t="shared" si="269"/>
        <v>6.9232920027855762</v>
      </c>
      <c r="AC709">
        <f t="shared" si="270"/>
        <v>6000</v>
      </c>
      <c r="AD709">
        <f t="shared" si="271"/>
        <v>23.093382242634014</v>
      </c>
      <c r="AE709">
        <f t="shared" si="272"/>
        <v>6.9232920027855762</v>
      </c>
      <c r="AF709">
        <f t="shared" si="273"/>
        <v>6000</v>
      </c>
      <c r="AG709">
        <f t="shared" si="274"/>
        <v>23.093382242634014</v>
      </c>
      <c r="AH709">
        <f t="shared" si="275"/>
        <v>6.9232920027855762</v>
      </c>
      <c r="AI709" cm="1">
        <f t="array" ref="AI709">_xlfn.LET(
    _xlpm.vals,   _xlfn.HSTACK(S709,V709,Y709,AB709,AE709,AH709),
    _xlpm.ints,   _xlfn.HSTACK(R709,U709,X709,AA709,AD709,AG709),
    _xlpm.slopes, _xlfn.HSTACK(Q709,T709,W709,Z709,AC709,AF709),
    _xlpm.limit,  -0.00001*_xlpm.slopes + 0.1086*_xlpm.slopes + 63.253,
    _xlpm.mask,   (_xlpm.vals&gt;=0) * (_xlpm.ints&lt;=_xlpm.limit),
    _xlpm.validVals, _xlfn._xlws.FILTER(_xlpm.vals, _xlpm.mask),
    _xlpm.minVal, MIN(_xlpm.validVals),
    IFERROR( _xlfn.XMATCH(_xlpm.minVal, _xlpm.vals), "" )
)</f>
        <v>2</v>
      </c>
      <c r="AJ709" cm="1">
        <f t="array" ref="AJ709">_xlfn.LET(
    _xlpm.vals, CHOOSE({1,2,3,4,5,6}, S709, V709, Y709, AB709, AE709, AH709),
    _xlpm.slopes, CHOOSE({1,2,3,4,5,6}, Q709, T709, W709, Z709, AC709, AF709),
    _xlpm.ints, CHOOSE({1,2,3,4,5,6}, R709, U709, X709, AA709, AD709, AG709),
    _xlpm.limit, -0.00001*_xlpm.slopes + 0.1086*_xlpm.slopes + 63.253,
    _xlpm.valid, (_xlpm.vals &gt;= 0) * (_xlpm.ints &lt;= _xlpm.limit),
    _xlpm.target, MIN(_xlfn._xlws.FILTER(_xlpm.vals, _xlpm.valid)),
    IFERROR(
        _xlfn.XLOOKUP(_xlpm.target, _xlpm.vals, _xlpm.vals),
        CHOOSE({1,2,3,4,5,6}, S$1, V$1, Y$1, AB$1, AE$1, AH$1)
    )
)</f>
        <v>1.5916595269829117</v>
      </c>
    </row>
    <row r="710" spans="9:36" x14ac:dyDescent="0.45">
      <c r="I710">
        <v>708</v>
      </c>
      <c r="J710">
        <v>14.2</v>
      </c>
      <c r="K710">
        <f t="shared" si="254"/>
        <v>14.2</v>
      </c>
      <c r="L710">
        <f t="shared" si="253"/>
        <v>3.944444444444444E-3</v>
      </c>
      <c r="M710">
        <v>12.44</v>
      </c>
      <c r="N710">
        <f t="shared" si="255"/>
        <v>12.44</v>
      </c>
      <c r="O710">
        <f t="shared" si="256"/>
        <v>184.53159557793109</v>
      </c>
      <c r="P710">
        <f t="shared" si="257"/>
        <v>590.50110584937954</v>
      </c>
      <c r="Q710">
        <f t="shared" si="258"/>
        <v>2704.4950647901583</v>
      </c>
      <c r="R710">
        <f t="shared" si="259"/>
        <v>43.924372822994165</v>
      </c>
      <c r="S710">
        <f t="shared" si="260"/>
        <v>1.5519810468002875</v>
      </c>
      <c r="T710">
        <f t="shared" si="261"/>
        <v>1747.8832733141635</v>
      </c>
      <c r="U710">
        <f t="shared" si="262"/>
        <v>67.964063354497739</v>
      </c>
      <c r="V710">
        <f t="shared" si="263"/>
        <v>1.4071638803864439</v>
      </c>
      <c r="W710">
        <f t="shared" si="264"/>
        <v>1127.8571121723148</v>
      </c>
      <c r="X710">
        <f t="shared" si="265"/>
        <v>105.3265065598499</v>
      </c>
      <c r="Y710">
        <f t="shared" si="266"/>
        <v>1.3818848218176836</v>
      </c>
      <c r="Z710">
        <f t="shared" si="267"/>
        <v>6000</v>
      </c>
      <c r="AA710">
        <f t="shared" si="268"/>
        <v>19.798874920631782</v>
      </c>
      <c r="AB710">
        <f t="shared" si="269"/>
        <v>6.8815017788622628</v>
      </c>
      <c r="AC710">
        <f t="shared" si="270"/>
        <v>6000</v>
      </c>
      <c r="AD710">
        <f t="shared" si="271"/>
        <v>19.798874920631782</v>
      </c>
      <c r="AE710">
        <f t="shared" si="272"/>
        <v>6.8815017788622628</v>
      </c>
      <c r="AF710">
        <f t="shared" si="273"/>
        <v>6000</v>
      </c>
      <c r="AG710">
        <f t="shared" si="274"/>
        <v>19.798874920631782</v>
      </c>
      <c r="AH710">
        <f t="shared" si="275"/>
        <v>6.8815017788622628</v>
      </c>
      <c r="AI710" cm="1">
        <f t="array" ref="AI710">_xlfn.LET(
    _xlpm.vals,   _xlfn.HSTACK(S710,V710,Y710,AB710,AE710,AH710),
    _xlpm.ints,   _xlfn.HSTACK(R710,U710,X710,AA710,AD710,AG710),
    _xlpm.slopes, _xlfn.HSTACK(Q710,T710,W710,Z710,AC710,AF710),
    _xlpm.limit,  -0.00001*_xlpm.slopes + 0.1086*_xlpm.slopes + 63.253,
    _xlpm.mask,   (_xlpm.vals&gt;=0) * (_xlpm.ints&lt;=_xlpm.limit),
    _xlpm.validVals, _xlfn._xlws.FILTER(_xlpm.vals, _xlpm.mask),
    _xlpm.minVal, MIN(_xlpm.validVals),
    IFERROR( _xlfn.XMATCH(_xlpm.minVal, _xlpm.vals), "" )
)</f>
        <v>3</v>
      </c>
      <c r="AJ710" cm="1">
        <f t="array" ref="AJ710">_xlfn.LET(
    _xlpm.vals, CHOOSE({1,2,3,4,5,6}, S710, V710, Y710, AB710, AE710, AH710),
    _xlpm.slopes, CHOOSE({1,2,3,4,5,6}, Q710, T710, W710, Z710, AC710, AF710),
    _xlpm.ints, CHOOSE({1,2,3,4,5,6}, R710, U710, X710, AA710, AD710, AG710),
    _xlpm.limit, -0.00001*_xlpm.slopes + 0.1086*_xlpm.slopes + 63.253,
    _xlpm.valid, (_xlpm.vals &gt;= 0) * (_xlpm.ints &lt;= _xlpm.limit),
    _xlpm.target, MIN(_xlfn._xlws.FILTER(_xlpm.vals, _xlpm.valid)),
    IFERROR(
        _xlfn.XLOOKUP(_xlpm.target, _xlpm.vals, _xlpm.vals),
        CHOOSE({1,2,3,4,5,6}, S$1, V$1, Y$1, AB$1, AE$1, AH$1)
    )
)</f>
        <v>1.3818848218176836</v>
      </c>
    </row>
    <row r="711" spans="9:36" x14ac:dyDescent="0.45">
      <c r="I711">
        <v>709</v>
      </c>
      <c r="J711">
        <v>16.100000000000001</v>
      </c>
      <c r="K711">
        <f t="shared" si="254"/>
        <v>16.100000000000001</v>
      </c>
      <c r="L711">
        <f t="shared" si="253"/>
        <v>4.4722222222222229E-3</v>
      </c>
      <c r="M711">
        <v>17.04</v>
      </c>
      <c r="N711">
        <f t="shared" si="255"/>
        <v>17.04</v>
      </c>
      <c r="O711">
        <f t="shared" si="256"/>
        <v>209.22244287356975</v>
      </c>
      <c r="P711">
        <f t="shared" si="257"/>
        <v>669.51181719542319</v>
      </c>
      <c r="Q711">
        <f t="shared" si="258"/>
        <v>3066.3641227550384</v>
      </c>
      <c r="R711">
        <f t="shared" si="259"/>
        <v>53.066109340907182</v>
      </c>
      <c r="S711">
        <f t="shared" si="260"/>
        <v>2.0165056888416446</v>
      </c>
      <c r="T711">
        <f t="shared" si="261"/>
        <v>1981.7549788984527</v>
      </c>
      <c r="U711">
        <f t="shared" si="262"/>
        <v>82.109047561268554</v>
      </c>
      <c r="V711">
        <f t="shared" si="263"/>
        <v>1.8139587700148612</v>
      </c>
      <c r="W711">
        <f t="shared" si="264"/>
        <v>1278.7675708432582</v>
      </c>
      <c r="X711">
        <f t="shared" si="265"/>
        <v>127.24752920489786</v>
      </c>
      <c r="Y711">
        <f t="shared" si="266"/>
        <v>1.7596953605752617</v>
      </c>
      <c r="Z711">
        <f t="shared" si="267"/>
        <v>6000</v>
      </c>
      <c r="AA711">
        <f t="shared" si="268"/>
        <v>27.120002302858968</v>
      </c>
      <c r="AB711">
        <f t="shared" si="269"/>
        <v>6.9785837759326128</v>
      </c>
      <c r="AC711">
        <f t="shared" si="270"/>
        <v>6000</v>
      </c>
      <c r="AD711">
        <f t="shared" si="271"/>
        <v>27.120002302858968</v>
      </c>
      <c r="AE711">
        <f t="shared" si="272"/>
        <v>6.9785837759326128</v>
      </c>
      <c r="AF711">
        <f t="shared" si="273"/>
        <v>6000</v>
      </c>
      <c r="AG711">
        <f t="shared" si="274"/>
        <v>27.120002302858968</v>
      </c>
      <c r="AH711">
        <f t="shared" si="275"/>
        <v>6.9785837759326128</v>
      </c>
      <c r="AI711" cm="1">
        <f t="array" ref="AI711">_xlfn.LET(
    _xlpm.vals,   _xlfn.HSTACK(S711,V711,Y711,AB711,AE711,AH711),
    _xlpm.ints,   _xlfn.HSTACK(R711,U711,X711,AA711,AD711,AG711),
    _xlpm.slopes, _xlfn.HSTACK(Q711,T711,W711,Z711,AC711,AF711),
    _xlpm.limit,  -0.00001*_xlpm.slopes + 0.1086*_xlpm.slopes + 63.253,
    _xlpm.mask,   (_xlpm.vals&gt;=0) * (_xlpm.ints&lt;=_xlpm.limit),
    _xlpm.validVals, _xlfn._xlws.FILTER(_xlpm.vals, _xlpm.mask),
    _xlpm.minVal, MIN(_xlpm.validVals),
    IFERROR( _xlfn.XMATCH(_xlpm.minVal, _xlpm.vals), "" )
)</f>
        <v>3</v>
      </c>
      <c r="AJ711" cm="1">
        <f t="array" ref="AJ711">_xlfn.LET(
    _xlpm.vals, CHOOSE({1,2,3,4,5,6}, S711, V711, Y711, AB711, AE711, AH711),
    _xlpm.slopes, CHOOSE({1,2,3,4,5,6}, Q711, T711, W711, Z711, AC711, AF711),
    _xlpm.ints, CHOOSE({1,2,3,4,5,6}, R711, U711, X711, AA711, AD711, AG711),
    _xlpm.limit, -0.00001*_xlpm.slopes + 0.1086*_xlpm.slopes + 63.253,
    _xlpm.valid, (_xlpm.vals &gt;= 0) * (_xlpm.ints &lt;= _xlpm.limit),
    _xlpm.target, MIN(_xlfn._xlws.FILTER(_xlpm.vals, _xlpm.valid)),
    IFERROR(
        _xlfn.XLOOKUP(_xlpm.target, _xlpm.vals, _xlpm.vals),
        CHOOSE({1,2,3,4,5,6}, S$1, V$1, Y$1, AB$1, AE$1, AH$1)
    )
)</f>
        <v>1.7596953605752617</v>
      </c>
    </row>
    <row r="712" spans="9:36" x14ac:dyDescent="0.45">
      <c r="I712">
        <v>710</v>
      </c>
      <c r="J712">
        <v>17.5</v>
      </c>
      <c r="K712">
        <f t="shared" si="254"/>
        <v>17.5</v>
      </c>
      <c r="L712">
        <f t="shared" si="253"/>
        <v>4.8611111111111112E-3</v>
      </c>
      <c r="M712">
        <v>11.49</v>
      </c>
      <c r="N712">
        <f t="shared" si="255"/>
        <v>11.49</v>
      </c>
      <c r="O712">
        <f t="shared" si="256"/>
        <v>227.41569877561929</v>
      </c>
      <c r="P712">
        <f t="shared" si="257"/>
        <v>727.73023608198173</v>
      </c>
      <c r="Q712">
        <f t="shared" si="258"/>
        <v>3333.0044812554765</v>
      </c>
      <c r="R712">
        <f t="shared" si="259"/>
        <v>32.919673041130373</v>
      </c>
      <c r="S712">
        <f t="shared" si="260"/>
        <v>1.8102763601493908</v>
      </c>
      <c r="T712">
        <f t="shared" si="261"/>
        <v>2154.0814988026659</v>
      </c>
      <c r="U712">
        <f t="shared" si="262"/>
        <v>50.936521124451737</v>
      </c>
      <c r="V712">
        <f t="shared" si="263"/>
        <v>1.3550051778671135</v>
      </c>
      <c r="W712">
        <f t="shared" si="264"/>
        <v>1389.964750916585</v>
      </c>
      <c r="X712">
        <f t="shared" si="265"/>
        <v>78.938273575066574</v>
      </c>
      <c r="Y712">
        <f t="shared" si="266"/>
        <v>1.3188854841458264</v>
      </c>
      <c r="Z712">
        <f t="shared" si="267"/>
        <v>1047.9315399580537</v>
      </c>
      <c r="AA712">
        <f t="shared" si="268"/>
        <v>104.70284897803968</v>
      </c>
      <c r="AB712">
        <f t="shared" si="269"/>
        <v>1.2891615029642884</v>
      </c>
      <c r="AC712">
        <f t="shared" si="270"/>
        <v>6000</v>
      </c>
      <c r="AD712">
        <f t="shared" si="271"/>
        <v>18.286902961258775</v>
      </c>
      <c r="AE712">
        <f t="shared" si="272"/>
        <v>6.8633840561051116</v>
      </c>
      <c r="AF712">
        <f t="shared" si="273"/>
        <v>6000</v>
      </c>
      <c r="AG712">
        <f t="shared" si="274"/>
        <v>18.286902961258775</v>
      </c>
      <c r="AH712">
        <f t="shared" si="275"/>
        <v>6.8633840561051116</v>
      </c>
      <c r="AI712" cm="1">
        <f t="array" ref="AI712">_xlfn.LET(
    _xlpm.vals,   _xlfn.HSTACK(S712,V712,Y712,AB712,AE712,AH712),
    _xlpm.ints,   _xlfn.HSTACK(R712,U712,X712,AA712,AD712,AG712),
    _xlpm.slopes, _xlfn.HSTACK(Q712,T712,W712,Z712,AC712,AF712),
    _xlpm.limit,  -0.00001*_xlpm.slopes + 0.1086*_xlpm.slopes + 63.253,
    _xlpm.mask,   (_xlpm.vals&gt;=0) * (_xlpm.ints&lt;=_xlpm.limit),
    _xlpm.validVals, _xlfn._xlws.FILTER(_xlpm.vals, _xlpm.mask),
    _xlpm.minVal, MIN(_xlpm.validVals),
    IFERROR( _xlfn.XMATCH(_xlpm.minVal, _xlpm.vals), "" )
)</f>
        <v>4</v>
      </c>
      <c r="AJ712" cm="1">
        <f t="array" ref="AJ712">_xlfn.LET(
    _xlpm.vals, CHOOSE({1,2,3,4,5,6}, S712, V712, Y712, AB712, AE712, AH712),
    _xlpm.slopes, CHOOSE({1,2,3,4,5,6}, Q712, T712, W712, Z712, AC712, AF712),
    _xlpm.ints, CHOOSE({1,2,3,4,5,6}, R712, U712, X712, AA712, AD712, AG712),
    _xlpm.limit, -0.00001*_xlpm.slopes + 0.1086*_xlpm.slopes + 63.253,
    _xlpm.valid, (_xlpm.vals &gt;= 0) * (_xlpm.ints &lt;= _xlpm.limit),
    _xlpm.target, MIN(_xlfn._xlws.FILTER(_xlpm.vals, _xlpm.valid)),
    IFERROR(
        _xlfn.XLOOKUP(_xlpm.target, _xlpm.vals, _xlpm.vals),
        CHOOSE({1,2,3,4,5,6}, S$1, V$1, Y$1, AB$1, AE$1, AH$1)
    )
)</f>
        <v>1.2891615029642884</v>
      </c>
    </row>
    <row r="713" spans="9:36" x14ac:dyDescent="0.45">
      <c r="I713">
        <v>711</v>
      </c>
      <c r="J713">
        <v>19.2</v>
      </c>
      <c r="K713">
        <f t="shared" si="254"/>
        <v>19.2</v>
      </c>
      <c r="L713">
        <f t="shared" si="253"/>
        <v>5.3333333333333332E-3</v>
      </c>
      <c r="M713">
        <v>15.16</v>
      </c>
      <c r="N713">
        <f t="shared" si="255"/>
        <v>15.16</v>
      </c>
      <c r="O713">
        <f t="shared" si="256"/>
        <v>249.50750951382227</v>
      </c>
      <c r="P713">
        <f t="shared" si="257"/>
        <v>798.42403044423133</v>
      </c>
      <c r="Q713">
        <f t="shared" si="258"/>
        <v>3656.7820594345794</v>
      </c>
      <c r="R713">
        <f t="shared" si="259"/>
        <v>39.588724152396516</v>
      </c>
      <c r="S713">
        <f t="shared" si="260"/>
        <v>2.2770284318875356</v>
      </c>
      <c r="T713">
        <f t="shared" si="261"/>
        <v>2363.3351301149246</v>
      </c>
      <c r="U713">
        <f t="shared" si="262"/>
        <v>61.255525884451366</v>
      </c>
      <c r="V713">
        <f t="shared" si="263"/>
        <v>1.6793654475202071</v>
      </c>
      <c r="W713">
        <f t="shared" si="264"/>
        <v>1524.9898981484819</v>
      </c>
      <c r="X713">
        <f t="shared" si="265"/>
        <v>94.930029642919379</v>
      </c>
      <c r="Y713">
        <f t="shared" si="266"/>
        <v>1.6490814761551931</v>
      </c>
      <c r="Z713">
        <f t="shared" si="267"/>
        <v>1149.730603839693</v>
      </c>
      <c r="AA713">
        <f t="shared" si="268"/>
        <v>125.91413654026114</v>
      </c>
      <c r="AB713">
        <f t="shared" si="269"/>
        <v>1.5823304673822582</v>
      </c>
      <c r="AC713">
        <f t="shared" si="270"/>
        <v>6000</v>
      </c>
      <c r="AD713">
        <f t="shared" si="271"/>
        <v>24.127889372731335</v>
      </c>
      <c r="AE713">
        <f t="shared" si="272"/>
        <v>6.9370594981893507</v>
      </c>
      <c r="AF713">
        <f t="shared" si="273"/>
        <v>6000</v>
      </c>
      <c r="AG713">
        <f t="shared" si="274"/>
        <v>24.127889372731335</v>
      </c>
      <c r="AH713">
        <f t="shared" si="275"/>
        <v>6.9370594981893507</v>
      </c>
      <c r="AI713" cm="1">
        <f t="array" ref="AI713">_xlfn.LET(
    _xlpm.vals,   _xlfn.HSTACK(S713,V713,Y713,AB713,AE713,AH713),
    _xlpm.ints,   _xlfn.HSTACK(R713,U713,X713,AA713,AD713,AG713),
    _xlpm.slopes, _xlfn.HSTACK(Q713,T713,W713,Z713,AC713,AF713),
    _xlpm.limit,  -0.00001*_xlpm.slopes + 0.1086*_xlpm.slopes + 63.253,
    _xlpm.mask,   (_xlpm.vals&gt;=0) * (_xlpm.ints&lt;=_xlpm.limit),
    _xlpm.validVals, _xlfn._xlws.FILTER(_xlpm.vals, _xlpm.mask),
    _xlpm.minVal, MIN(_xlpm.validVals),
    IFERROR( _xlfn.XMATCH(_xlpm.minVal, _xlpm.vals), "" )
)</f>
        <v>4</v>
      </c>
      <c r="AJ713" cm="1">
        <f t="array" ref="AJ713">_xlfn.LET(
    _xlpm.vals, CHOOSE({1,2,3,4,5,6}, S713, V713, Y713, AB713, AE713, AH713),
    _xlpm.slopes, CHOOSE({1,2,3,4,5,6}, Q713, T713, W713, Z713, AC713, AF713),
    _xlpm.ints, CHOOSE({1,2,3,4,5,6}, R713, U713, X713, AA713, AD713, AG713),
    _xlpm.limit, -0.00001*_xlpm.slopes + 0.1086*_xlpm.slopes + 63.253,
    _xlpm.valid, (_xlpm.vals &gt;= 0) * (_xlpm.ints &lt;= _xlpm.limit),
    _xlpm.target, MIN(_xlfn._xlws.FILTER(_xlpm.vals, _xlpm.valid)),
    IFERROR(
        _xlfn.XLOOKUP(_xlpm.target, _xlpm.vals, _xlpm.vals),
        CHOOSE({1,2,3,4,5,6}, S$1, V$1, Y$1, AB$1, AE$1, AH$1)
    )
)</f>
        <v>1.5823304673822582</v>
      </c>
    </row>
    <row r="714" spans="9:36" x14ac:dyDescent="0.45">
      <c r="I714">
        <v>712</v>
      </c>
      <c r="J714">
        <v>21.1</v>
      </c>
      <c r="K714">
        <f t="shared" si="254"/>
        <v>21.1</v>
      </c>
      <c r="L714">
        <f t="shared" si="253"/>
        <v>5.8611111111111112E-3</v>
      </c>
      <c r="M714">
        <v>17.260000000000002</v>
      </c>
      <c r="N714">
        <f t="shared" si="255"/>
        <v>17.260000000000002</v>
      </c>
      <c r="O714">
        <f t="shared" si="256"/>
        <v>274.19835680946096</v>
      </c>
      <c r="P714">
        <f t="shared" si="257"/>
        <v>877.4347417902751</v>
      </c>
      <c r="Q714">
        <f t="shared" si="258"/>
        <v>4018.65111739946</v>
      </c>
      <c r="R714">
        <f t="shared" si="259"/>
        <v>41.013975647785344</v>
      </c>
      <c r="S714">
        <f t="shared" si="260"/>
        <v>2.7509391202287601</v>
      </c>
      <c r="T714">
        <f t="shared" si="261"/>
        <v>2597.2068356992145</v>
      </c>
      <c r="U714">
        <f t="shared" si="262"/>
        <v>63.460813671235428</v>
      </c>
      <c r="V714">
        <f t="shared" si="263"/>
        <v>1.8857333417722582</v>
      </c>
      <c r="W714">
        <f t="shared" si="264"/>
        <v>1675.9003568194253</v>
      </c>
      <c r="X714">
        <f t="shared" si="265"/>
        <v>98.347648411966958</v>
      </c>
      <c r="Y714">
        <f t="shared" si="266"/>
        <v>1.8342929264960413</v>
      </c>
      <c r="Z714">
        <f t="shared" si="267"/>
        <v>1263.5060281779961</v>
      </c>
      <c r="AA714">
        <f t="shared" si="268"/>
        <v>130.44722810198397</v>
      </c>
      <c r="AB714">
        <f t="shared" si="269"/>
        <v>1.7669686167316678</v>
      </c>
      <c r="AC714">
        <f t="shared" si="270"/>
        <v>6000</v>
      </c>
      <c r="AD714">
        <f t="shared" si="271"/>
        <v>27.470143177661136</v>
      </c>
      <c r="AE714">
        <f t="shared" si="272"/>
        <v>6.9836067752392017</v>
      </c>
      <c r="AF714">
        <f t="shared" si="273"/>
        <v>6000</v>
      </c>
      <c r="AG714">
        <f t="shared" si="274"/>
        <v>27.470143177661136</v>
      </c>
      <c r="AH714">
        <f t="shared" si="275"/>
        <v>6.9836067752392017</v>
      </c>
      <c r="AI714" cm="1">
        <f t="array" ref="AI714">_xlfn.LET(
    _xlpm.vals,   _xlfn.HSTACK(S714,V714,Y714,AB714,AE714,AH714),
    _xlpm.ints,   _xlfn.HSTACK(R714,U714,X714,AA714,AD714,AG714),
    _xlpm.slopes, _xlfn.HSTACK(Q714,T714,W714,Z714,AC714,AF714),
    _xlpm.limit,  -0.00001*_xlpm.slopes + 0.1086*_xlpm.slopes + 63.253,
    _xlpm.mask,   (_xlpm.vals&gt;=0) * (_xlpm.ints&lt;=_xlpm.limit),
    _xlpm.validVals, _xlfn._xlws.FILTER(_xlpm.vals, _xlpm.mask),
    _xlpm.minVal, MIN(_xlpm.validVals),
    IFERROR( _xlfn.XMATCH(_xlpm.minVal, _xlpm.vals), "" )
)</f>
        <v>4</v>
      </c>
      <c r="AJ714" cm="1">
        <f t="array" ref="AJ714">_xlfn.LET(
    _xlpm.vals, CHOOSE({1,2,3,4,5,6}, S714, V714, Y714, AB714, AE714, AH714),
    _xlpm.slopes, CHOOSE({1,2,3,4,5,6}, Q714, T714, W714, Z714, AC714, AF714),
    _xlpm.ints, CHOOSE({1,2,3,4,5,6}, R714, U714, X714, AA714, AD714, AG714),
    _xlpm.limit, -0.00001*_xlpm.slopes + 0.1086*_xlpm.slopes + 63.253,
    _xlpm.valid, (_xlpm.vals &gt;= 0) * (_xlpm.ints &lt;= _xlpm.limit),
    _xlpm.target, MIN(_xlfn._xlws.FILTER(_xlpm.vals, _xlpm.valid)),
    IFERROR(
        _xlfn.XLOOKUP(_xlpm.target, _xlpm.vals, _xlpm.vals),
        CHOOSE({1,2,3,4,5,6}, S$1, V$1, Y$1, AB$1, AE$1, AH$1)
    )
)</f>
        <v>1.7669686167316678</v>
      </c>
    </row>
    <row r="715" spans="9:36" x14ac:dyDescent="0.45">
      <c r="I715">
        <v>713</v>
      </c>
      <c r="J715">
        <v>23</v>
      </c>
      <c r="K715">
        <f t="shared" si="254"/>
        <v>23</v>
      </c>
      <c r="L715">
        <f t="shared" si="253"/>
        <v>6.3888888888888893E-3</v>
      </c>
      <c r="M715">
        <v>17.53</v>
      </c>
      <c r="N715">
        <f t="shared" si="255"/>
        <v>17.53</v>
      </c>
      <c r="O715">
        <f t="shared" si="256"/>
        <v>298.88920410509962</v>
      </c>
      <c r="P715">
        <f t="shared" si="257"/>
        <v>956.44545313631886</v>
      </c>
      <c r="Q715">
        <f t="shared" si="258"/>
        <v>4380.5201753643405</v>
      </c>
      <c r="R715">
        <f t="shared" si="259"/>
        <v>38.214449983701407</v>
      </c>
      <c r="S715">
        <f t="shared" si="260"/>
        <v>3.2249113329848145</v>
      </c>
      <c r="T715">
        <f t="shared" si="261"/>
        <v>2831.0785412835039</v>
      </c>
      <c r="U715">
        <f t="shared" si="262"/>
        <v>59.129115177483939</v>
      </c>
      <c r="V715">
        <f t="shared" si="263"/>
        <v>1.9646882853522643</v>
      </c>
      <c r="W715">
        <f t="shared" si="264"/>
        <v>1826.8108154903689</v>
      </c>
      <c r="X715">
        <f t="shared" si="265"/>
        <v>91.634649699137427</v>
      </c>
      <c r="Y715">
        <f t="shared" si="266"/>
        <v>1.8576046826966248</v>
      </c>
      <c r="Z715">
        <f t="shared" si="267"/>
        <v>1377.2814525162992</v>
      </c>
      <c r="AA715">
        <f t="shared" si="268"/>
        <v>121.54318119816143</v>
      </c>
      <c r="AB715">
        <f t="shared" si="269"/>
        <v>1.8261210140916626</v>
      </c>
      <c r="AC715">
        <f t="shared" si="270"/>
        <v>6000</v>
      </c>
      <c r="AD715">
        <f t="shared" si="271"/>
        <v>27.899861524009253</v>
      </c>
      <c r="AE715">
        <f t="shared" si="272"/>
        <v>6.9898178249764475</v>
      </c>
      <c r="AF715">
        <f t="shared" si="273"/>
        <v>6000</v>
      </c>
      <c r="AG715">
        <f t="shared" si="274"/>
        <v>27.899861524009253</v>
      </c>
      <c r="AH715">
        <f t="shared" si="275"/>
        <v>6.9898178249764475</v>
      </c>
      <c r="AI715" cm="1">
        <f t="array" ref="AI715">_xlfn.LET(
    _xlpm.vals,   _xlfn.HSTACK(S715,V715,Y715,AB715,AE715,AH715),
    _xlpm.ints,   _xlfn.HSTACK(R715,U715,X715,AA715,AD715,AG715),
    _xlpm.slopes, _xlfn.HSTACK(Q715,T715,W715,Z715,AC715,AF715),
    _xlpm.limit,  -0.00001*_xlpm.slopes + 0.1086*_xlpm.slopes + 63.253,
    _xlpm.mask,   (_xlpm.vals&gt;=0) * (_xlpm.ints&lt;=_xlpm.limit),
    _xlpm.validVals, _xlfn._xlws.FILTER(_xlpm.vals, _xlpm.mask),
    _xlpm.minVal, MIN(_xlpm.validVals),
    IFERROR( _xlfn.XMATCH(_xlpm.minVal, _xlpm.vals), "" )
)</f>
        <v>4</v>
      </c>
      <c r="AJ715" cm="1">
        <f t="array" ref="AJ715">_xlfn.LET(
    _xlpm.vals, CHOOSE({1,2,3,4,5,6}, S715, V715, Y715, AB715, AE715, AH715),
    _xlpm.slopes, CHOOSE({1,2,3,4,5,6}, Q715, T715, W715, Z715, AC715, AF715),
    _xlpm.ints, CHOOSE({1,2,3,4,5,6}, R715, U715, X715, AA715, AD715, AG715),
    _xlpm.limit, -0.00001*_xlpm.slopes + 0.1086*_xlpm.slopes + 63.253,
    _xlpm.valid, (_xlpm.vals &gt;= 0) * (_xlpm.ints &lt;= _xlpm.limit),
    _xlpm.target, MIN(_xlfn._xlws.FILTER(_xlpm.vals, _xlpm.valid)),
    IFERROR(
        _xlfn.XLOOKUP(_xlpm.target, _xlpm.vals, _xlpm.vals),
        CHOOSE({1,2,3,4,5,6}, S$1, V$1, Y$1, AB$1, AE$1, AH$1)
    )
)</f>
        <v>1.8261210140916626</v>
      </c>
    </row>
    <row r="716" spans="9:36" x14ac:dyDescent="0.45">
      <c r="I716">
        <v>714</v>
      </c>
      <c r="J716">
        <v>24.4</v>
      </c>
      <c r="K716">
        <f t="shared" si="254"/>
        <v>24.4</v>
      </c>
      <c r="L716">
        <f t="shared" si="253"/>
        <v>6.7777777777777775E-3</v>
      </c>
      <c r="M716">
        <v>15.77</v>
      </c>
      <c r="N716">
        <f t="shared" si="255"/>
        <v>15.77</v>
      </c>
      <c r="O716">
        <f t="shared" si="256"/>
        <v>317.08246000714911</v>
      </c>
      <c r="P716">
        <f t="shared" si="257"/>
        <v>1014.6638720228772</v>
      </c>
      <c r="Q716">
        <f t="shared" si="258"/>
        <v>4647.1605338647778</v>
      </c>
      <c r="R716">
        <f t="shared" si="259"/>
        <v>32.405251778189012</v>
      </c>
      <c r="S716">
        <f t="shared" si="260"/>
        <v>3.5663492418124068</v>
      </c>
      <c r="T716">
        <f t="shared" si="261"/>
        <v>3003.4050611877165</v>
      </c>
      <c r="U716">
        <f t="shared" si="262"/>
        <v>50.140558494630291</v>
      </c>
      <c r="V716">
        <f t="shared" si="263"/>
        <v>1.9003257127388233</v>
      </c>
      <c r="W716">
        <f t="shared" si="264"/>
        <v>1938.0079955636952</v>
      </c>
      <c r="X716">
        <f t="shared" si="265"/>
        <v>77.704739866023928</v>
      </c>
      <c r="Y716">
        <f t="shared" si="266"/>
        <v>1.7026811867534188</v>
      </c>
      <c r="Z716">
        <f t="shared" si="267"/>
        <v>1461.1159757129431</v>
      </c>
      <c r="AA716">
        <f t="shared" si="268"/>
        <v>103.06670357229561</v>
      </c>
      <c r="AB716">
        <f t="shared" si="269"/>
        <v>1.6990522128800154</v>
      </c>
      <c r="AC716">
        <f t="shared" si="270"/>
        <v>6000</v>
      </c>
      <c r="AD716">
        <f t="shared" si="271"/>
        <v>25.098734525591897</v>
      </c>
      <c r="AE716">
        <f t="shared" si="272"/>
        <v>6.9502565577065916</v>
      </c>
      <c r="AF716">
        <f t="shared" si="273"/>
        <v>6000</v>
      </c>
      <c r="AG716">
        <f t="shared" si="274"/>
        <v>25.098734525591897</v>
      </c>
      <c r="AH716">
        <f t="shared" si="275"/>
        <v>6.9502565577065916</v>
      </c>
      <c r="AI716" cm="1">
        <f t="array" ref="AI716">_xlfn.LET(
    _xlpm.vals,   _xlfn.HSTACK(S716,V716,Y716,AB716,AE716,AH716),
    _xlpm.ints,   _xlfn.HSTACK(R716,U716,X716,AA716,AD716,AG716),
    _xlpm.slopes, _xlfn.HSTACK(Q716,T716,W716,Z716,AC716,AF716),
    _xlpm.limit,  -0.00001*_xlpm.slopes + 0.1086*_xlpm.slopes + 63.253,
    _xlpm.mask,   (_xlpm.vals&gt;=0) * (_xlpm.ints&lt;=_xlpm.limit),
    _xlpm.validVals, _xlfn._xlws.FILTER(_xlpm.vals, _xlpm.mask),
    _xlpm.minVal, MIN(_xlpm.validVals),
    IFERROR( _xlfn.XMATCH(_xlpm.minVal, _xlpm.vals), "" )
)</f>
        <v>4</v>
      </c>
      <c r="AJ716" cm="1">
        <f t="array" ref="AJ716">_xlfn.LET(
    _xlpm.vals, CHOOSE({1,2,3,4,5,6}, S716, V716, Y716, AB716, AE716, AH716),
    _xlpm.slopes, CHOOSE({1,2,3,4,5,6}, Q716, T716, W716, Z716, AC716, AF716),
    _xlpm.ints, CHOOSE({1,2,3,4,5,6}, R716, U716, X716, AA716, AD716, AG716),
    _xlpm.limit, -0.00001*_xlpm.slopes + 0.1086*_xlpm.slopes + 63.253,
    _xlpm.valid, (_xlpm.vals &gt;= 0) * (_xlpm.ints &lt;= _xlpm.limit),
    _xlpm.target, MIN(_xlfn._xlws.FILTER(_xlpm.vals, _xlpm.valid)),
    IFERROR(
        _xlfn.XLOOKUP(_xlpm.target, _xlpm.vals, _xlpm.vals),
        CHOOSE({1,2,3,4,5,6}, S$1, V$1, Y$1, AB$1, AE$1, AH$1)
    )
)</f>
        <v>1.6990522128800154</v>
      </c>
    </row>
    <row r="717" spans="9:36" x14ac:dyDescent="0.45">
      <c r="I717">
        <v>715</v>
      </c>
      <c r="J717">
        <v>25.4</v>
      </c>
      <c r="K717">
        <f t="shared" si="254"/>
        <v>25.4</v>
      </c>
      <c r="L717">
        <f t="shared" si="253"/>
        <v>7.0555555555555554E-3</v>
      </c>
      <c r="M717">
        <v>12.38</v>
      </c>
      <c r="N717">
        <f t="shared" si="255"/>
        <v>12.38</v>
      </c>
      <c r="O717">
        <f t="shared" si="256"/>
        <v>330.0776427943274</v>
      </c>
      <c r="P717">
        <f t="shared" si="257"/>
        <v>1056.2484569418477</v>
      </c>
      <c r="Q717">
        <f t="shared" si="258"/>
        <v>4837.6179327936625</v>
      </c>
      <c r="R717">
        <f t="shared" si="259"/>
        <v>24.437707435979583</v>
      </c>
      <c r="S717">
        <f t="shared" si="260"/>
        <v>3.7857377466406588</v>
      </c>
      <c r="T717">
        <f t="shared" si="261"/>
        <v>3126.4954325478693</v>
      </c>
      <c r="U717">
        <f t="shared" si="262"/>
        <v>37.812398667833271</v>
      </c>
      <c r="V717">
        <f t="shared" si="263"/>
        <v>1.7347544461901414</v>
      </c>
      <c r="W717">
        <f t="shared" si="264"/>
        <v>2017.4345527589292</v>
      </c>
      <c r="X717">
        <f t="shared" si="265"/>
        <v>58.599319401458892</v>
      </c>
      <c r="Y717">
        <f t="shared" si="266"/>
        <v>1.4138830555066053</v>
      </c>
      <c r="Z717">
        <f t="shared" si="267"/>
        <v>1520.9977779962608</v>
      </c>
      <c r="AA717">
        <f t="shared" si="268"/>
        <v>77.725486150546161</v>
      </c>
      <c r="AB717">
        <f t="shared" si="269"/>
        <v>1.4005137832612424</v>
      </c>
      <c r="AC717">
        <f t="shared" si="270"/>
        <v>6000</v>
      </c>
      <c r="AD717">
        <f t="shared" si="271"/>
        <v>19.703381954776642</v>
      </c>
      <c r="AE717">
        <f t="shared" si="272"/>
        <v>6.8803375872244619</v>
      </c>
      <c r="AF717">
        <f t="shared" si="273"/>
        <v>6000</v>
      </c>
      <c r="AG717">
        <f t="shared" si="274"/>
        <v>19.703381954776642</v>
      </c>
      <c r="AH717">
        <f t="shared" si="275"/>
        <v>6.8803375872244619</v>
      </c>
      <c r="AI717" cm="1">
        <f t="array" ref="AI717">_xlfn.LET(
    _xlpm.vals,   _xlfn.HSTACK(S717,V717,Y717,AB717,AE717,AH717),
    _xlpm.ints,   _xlfn.HSTACK(R717,U717,X717,AA717,AD717,AG717),
    _xlpm.slopes, _xlfn.HSTACK(Q717,T717,W717,Z717,AC717,AF717),
    _xlpm.limit,  -0.00001*_xlpm.slopes + 0.1086*_xlpm.slopes + 63.253,
    _xlpm.mask,   (_xlpm.vals&gt;=0) * (_xlpm.ints&lt;=_xlpm.limit),
    _xlpm.validVals, _xlfn._xlws.FILTER(_xlpm.vals, _xlpm.mask),
    _xlpm.minVal, MIN(_xlpm.validVals),
    IFERROR( _xlfn.XMATCH(_xlpm.minVal, _xlpm.vals), "" )
)</f>
        <v>4</v>
      </c>
      <c r="AJ717" cm="1">
        <f t="array" ref="AJ717">_xlfn.LET(
    _xlpm.vals, CHOOSE({1,2,3,4,5,6}, S717, V717, Y717, AB717, AE717, AH717),
    _xlpm.slopes, CHOOSE({1,2,3,4,5,6}, Q717, T717, W717, Z717, AC717, AF717),
    _xlpm.ints, CHOOSE({1,2,3,4,5,6}, R717, U717, X717, AA717, AD717, AG717),
    _xlpm.limit, -0.00001*_xlpm.slopes + 0.1086*_xlpm.slopes + 63.253,
    _xlpm.valid, (_xlpm.vals &gt;= 0) * (_xlpm.ints &lt;= _xlpm.limit),
    _xlpm.target, MIN(_xlfn._xlws.FILTER(_xlpm.vals, _xlpm.valid)),
    IFERROR(
        _xlfn.XLOOKUP(_xlpm.target, _xlpm.vals, _xlpm.vals),
        CHOOSE({1,2,3,4,5,6}, S$1, V$1, Y$1, AB$1, AE$1, AH$1)
    )
)</f>
        <v>1.4005137832612424</v>
      </c>
    </row>
    <row r="718" spans="9:36" x14ac:dyDescent="0.45">
      <c r="I718">
        <v>716</v>
      </c>
      <c r="J718">
        <v>26.5</v>
      </c>
      <c r="K718">
        <f t="shared" si="254"/>
        <v>26.5</v>
      </c>
      <c r="L718">
        <f t="shared" si="253"/>
        <v>7.3611111111111108E-3</v>
      </c>
      <c r="M718">
        <v>13.84</v>
      </c>
      <c r="N718">
        <f t="shared" si="255"/>
        <v>13.84</v>
      </c>
      <c r="O718">
        <f t="shared" si="256"/>
        <v>344.37234386022351</v>
      </c>
      <c r="P718">
        <f t="shared" si="257"/>
        <v>1101.9915003527153</v>
      </c>
      <c r="Q718">
        <f t="shared" si="258"/>
        <v>5047.1210716154364</v>
      </c>
      <c r="R718">
        <f t="shared" si="259"/>
        <v>26.185673548981974</v>
      </c>
      <c r="S718">
        <f t="shared" si="260"/>
        <v>4.2728537231911439</v>
      </c>
      <c r="T718">
        <f t="shared" si="261"/>
        <v>3261.8948410440371</v>
      </c>
      <c r="U718">
        <f t="shared" si="262"/>
        <v>40.517021910249142</v>
      </c>
      <c r="V718">
        <f t="shared" si="263"/>
        <v>1.9066836890337291</v>
      </c>
      <c r="W718">
        <f t="shared" si="264"/>
        <v>2104.803765673686</v>
      </c>
      <c r="X718">
        <f t="shared" si="265"/>
        <v>62.790777410647884</v>
      </c>
      <c r="Y718">
        <f t="shared" si="266"/>
        <v>1.5432676742608211</v>
      </c>
      <c r="Z718">
        <f t="shared" si="267"/>
        <v>1586.8677605079099</v>
      </c>
      <c r="AA718">
        <f t="shared" si="268"/>
        <v>83.284989482178787</v>
      </c>
      <c r="AB718">
        <f t="shared" si="269"/>
        <v>1.5320798120663062</v>
      </c>
      <c r="AC718">
        <f t="shared" si="270"/>
        <v>6000</v>
      </c>
      <c r="AD718">
        <f t="shared" si="271"/>
        <v>22.027044123918316</v>
      </c>
      <c r="AE718">
        <f t="shared" si="272"/>
        <v>6.9094217827500382</v>
      </c>
      <c r="AF718">
        <f t="shared" si="273"/>
        <v>6000</v>
      </c>
      <c r="AG718">
        <f t="shared" si="274"/>
        <v>22.027044123918316</v>
      </c>
      <c r="AH718">
        <f t="shared" si="275"/>
        <v>6.9094217827500382</v>
      </c>
      <c r="AI718" cm="1">
        <f t="array" ref="AI718">_xlfn.LET(
    _xlpm.vals,   _xlfn.HSTACK(S718,V718,Y718,AB718,AE718,AH718),
    _xlpm.ints,   _xlfn.HSTACK(R718,U718,X718,AA718,AD718,AG718),
    _xlpm.slopes, _xlfn.HSTACK(Q718,T718,W718,Z718,AC718,AF718),
    _xlpm.limit,  -0.00001*_xlpm.slopes + 0.1086*_xlpm.slopes + 63.253,
    _xlpm.mask,   (_xlpm.vals&gt;=0) * (_xlpm.ints&lt;=_xlpm.limit),
    _xlpm.validVals, _xlfn._xlws.FILTER(_xlpm.vals, _xlpm.mask),
    _xlpm.minVal, MIN(_xlpm.validVals),
    IFERROR( _xlfn.XMATCH(_xlpm.minVal, _xlpm.vals), "" )
)</f>
        <v>4</v>
      </c>
      <c r="AJ718" cm="1">
        <f t="array" ref="AJ718">_xlfn.LET(
    _xlpm.vals, CHOOSE({1,2,3,4,5,6}, S718, V718, Y718, AB718, AE718, AH718),
    _xlpm.slopes, CHOOSE({1,2,3,4,5,6}, Q718, T718, W718, Z718, AC718, AF718),
    _xlpm.ints, CHOOSE({1,2,3,4,5,6}, R718, U718, X718, AA718, AD718, AG718),
    _xlpm.limit, -0.00001*_xlpm.slopes + 0.1086*_xlpm.slopes + 63.253,
    _xlpm.valid, (_xlpm.vals &gt;= 0) * (_xlpm.ints &lt;= _xlpm.limit),
    _xlpm.target, MIN(_xlfn._xlws.FILTER(_xlpm.vals, _xlpm.valid)),
    IFERROR(
        _xlfn.XLOOKUP(_xlpm.target, _xlpm.vals, _xlpm.vals),
        CHOOSE({1,2,3,4,5,6}, S$1, V$1, Y$1, AB$1, AE$1, AH$1)
    )
)</f>
        <v>1.5320798120663062</v>
      </c>
    </row>
    <row r="719" spans="9:36" x14ac:dyDescent="0.45">
      <c r="I719">
        <v>717</v>
      </c>
      <c r="J719">
        <v>27.2</v>
      </c>
      <c r="K719">
        <f t="shared" si="254"/>
        <v>27.2</v>
      </c>
      <c r="L719">
        <f t="shared" si="253"/>
        <v>7.5555555555555549E-3</v>
      </c>
      <c r="M719">
        <v>9.58</v>
      </c>
      <c r="N719">
        <f t="shared" si="255"/>
        <v>9.58</v>
      </c>
      <c r="O719">
        <f t="shared" si="256"/>
        <v>353.46897181124825</v>
      </c>
      <c r="P719">
        <f t="shared" si="257"/>
        <v>1131.1007097959944</v>
      </c>
      <c r="Q719">
        <f t="shared" si="258"/>
        <v>5180.4412508656542</v>
      </c>
      <c r="R719">
        <f t="shared" si="259"/>
        <v>17.659163932017318</v>
      </c>
      <c r="S719">
        <f t="shared" si="260"/>
        <v>4.444067811101057</v>
      </c>
      <c r="T719">
        <f t="shared" si="261"/>
        <v>3348.0581009961434</v>
      </c>
      <c r="U719">
        <f t="shared" si="262"/>
        <v>27.323976624540311</v>
      </c>
      <c r="V719">
        <f t="shared" si="263"/>
        <v>1.7113534933050725</v>
      </c>
      <c r="W719">
        <f t="shared" si="264"/>
        <v>2160.4023557103492</v>
      </c>
      <c r="X719">
        <f t="shared" si="265"/>
        <v>42.345010894575566</v>
      </c>
      <c r="Y719">
        <f t="shared" si="266"/>
        <v>1.2054081603091176</v>
      </c>
      <c r="Z719">
        <f t="shared" si="267"/>
        <v>1628.7850221062317</v>
      </c>
      <c r="AA719">
        <f t="shared" si="268"/>
        <v>56.165951950443976</v>
      </c>
      <c r="AB719">
        <f t="shared" si="269"/>
        <v>1.1512562884377087</v>
      </c>
      <c r="AC719">
        <f t="shared" si="270"/>
        <v>6000</v>
      </c>
      <c r="AD719">
        <f t="shared" si="271"/>
        <v>15.247043548203575</v>
      </c>
      <c r="AE719">
        <f t="shared" si="272"/>
        <v>6.8290165047454154</v>
      </c>
      <c r="AF719">
        <f t="shared" si="273"/>
        <v>6000</v>
      </c>
      <c r="AG719">
        <f t="shared" si="274"/>
        <v>15.247043548203575</v>
      </c>
      <c r="AH719">
        <f t="shared" si="275"/>
        <v>6.8290165047454154</v>
      </c>
      <c r="AI719" cm="1">
        <f t="array" ref="AI719">_xlfn.LET(
    _xlpm.vals,   _xlfn.HSTACK(S719,V719,Y719,AB719,AE719,AH719),
    _xlpm.ints,   _xlfn.HSTACK(R719,U719,X719,AA719,AD719,AG719),
    _xlpm.slopes, _xlfn.HSTACK(Q719,T719,W719,Z719,AC719,AF719),
    _xlpm.limit,  -0.00001*_xlpm.slopes + 0.1086*_xlpm.slopes + 63.253,
    _xlpm.mask,   (_xlpm.vals&gt;=0) * (_xlpm.ints&lt;=_xlpm.limit),
    _xlpm.validVals, _xlfn._xlws.FILTER(_xlpm.vals, _xlpm.mask),
    _xlpm.minVal, MIN(_xlpm.validVals),
    IFERROR( _xlfn.XMATCH(_xlpm.minVal, _xlpm.vals), "" )
)</f>
        <v>4</v>
      </c>
      <c r="AJ719" cm="1">
        <f t="array" ref="AJ719">_xlfn.LET(
    _xlpm.vals, CHOOSE({1,2,3,4,5,6}, S719, V719, Y719, AB719, AE719, AH719),
    _xlpm.slopes, CHOOSE({1,2,3,4,5,6}, Q719, T719, W719, Z719, AC719, AF719),
    _xlpm.ints, CHOOSE({1,2,3,4,5,6}, R719, U719, X719, AA719, AD719, AG719),
    _xlpm.limit, -0.00001*_xlpm.slopes + 0.1086*_xlpm.slopes + 63.253,
    _xlpm.valid, (_xlpm.vals &gt;= 0) * (_xlpm.ints &lt;= _xlpm.limit),
    _xlpm.target, MIN(_xlfn._xlws.FILTER(_xlpm.vals, _xlpm.valid)),
    IFERROR(
        _xlfn.XLOOKUP(_xlpm.target, _xlpm.vals, _xlpm.vals),
        CHOOSE({1,2,3,4,5,6}, S$1, V$1, Y$1, AB$1, AE$1, AH$1)
    )
)</f>
        <v>1.1512562884377087</v>
      </c>
    </row>
    <row r="720" spans="9:36" x14ac:dyDescent="0.45">
      <c r="I720">
        <v>718</v>
      </c>
      <c r="J720">
        <v>27.6</v>
      </c>
      <c r="K720">
        <f t="shared" si="254"/>
        <v>27.6</v>
      </c>
      <c r="L720">
        <f t="shared" si="253"/>
        <v>7.6666666666666671E-3</v>
      </c>
      <c r="M720">
        <v>7.14</v>
      </c>
      <c r="N720">
        <f t="shared" si="255"/>
        <v>7.14</v>
      </c>
      <c r="O720">
        <f t="shared" si="256"/>
        <v>358.66704492611962</v>
      </c>
      <c r="P720">
        <f t="shared" si="257"/>
        <v>1147.7345437635829</v>
      </c>
      <c r="Q720">
        <f t="shared" si="258"/>
        <v>5256.6242104372095</v>
      </c>
      <c r="R720">
        <f t="shared" si="259"/>
        <v>12.970677547234647</v>
      </c>
      <c r="S720">
        <f t="shared" si="260"/>
        <v>4.5655811193520535</v>
      </c>
      <c r="T720">
        <f t="shared" si="261"/>
        <v>3397.2942495402053</v>
      </c>
      <c r="U720">
        <f t="shared" si="262"/>
        <v>20.069494312950905</v>
      </c>
      <c r="V720">
        <f t="shared" si="263"/>
        <v>1.6180164730688888</v>
      </c>
      <c r="W720">
        <f t="shared" si="264"/>
        <v>2192.1729785884431</v>
      </c>
      <c r="X720">
        <f t="shared" si="265"/>
        <v>31.102462390751143</v>
      </c>
      <c r="Y720">
        <f t="shared" si="266"/>
        <v>1.0299074900190723</v>
      </c>
      <c r="Z720">
        <f t="shared" si="267"/>
        <v>1652.7377430195593</v>
      </c>
      <c r="AA720">
        <f t="shared" si="268"/>
        <v>41.253960532176862</v>
      </c>
      <c r="AB720">
        <f t="shared" si="269"/>
        <v>0.94463545089312173</v>
      </c>
      <c r="AC720">
        <f t="shared" si="270"/>
        <v>6000</v>
      </c>
      <c r="AD720">
        <f t="shared" si="271"/>
        <v>11.363662936761328</v>
      </c>
      <c r="AE720">
        <f t="shared" si="272"/>
        <v>6.7891912160312957</v>
      </c>
      <c r="AF720">
        <f t="shared" si="273"/>
        <v>6000</v>
      </c>
      <c r="AG720">
        <f t="shared" si="274"/>
        <v>11.363662936761328</v>
      </c>
      <c r="AH720">
        <f t="shared" si="275"/>
        <v>6.7891912160312957</v>
      </c>
      <c r="AI720" cm="1">
        <f t="array" ref="AI720">_xlfn.LET(
    _xlpm.vals,   _xlfn.HSTACK(S720,V720,Y720,AB720,AE720,AH720),
    _xlpm.ints,   _xlfn.HSTACK(R720,U720,X720,AA720,AD720,AG720),
    _xlpm.slopes, _xlfn.HSTACK(Q720,T720,W720,Z720,AC720,AF720),
    _xlpm.limit,  -0.00001*_xlpm.slopes + 0.1086*_xlpm.slopes + 63.253,
    _xlpm.mask,   (_xlpm.vals&gt;=0) * (_xlpm.ints&lt;=_xlpm.limit),
    _xlpm.validVals, _xlfn._xlws.FILTER(_xlpm.vals, _xlpm.mask),
    _xlpm.minVal, MIN(_xlpm.validVals),
    IFERROR( _xlfn.XMATCH(_xlpm.minVal, _xlpm.vals), "" )
)</f>
        <v>4</v>
      </c>
      <c r="AJ720" cm="1">
        <f t="array" ref="AJ720">_xlfn.LET(
    _xlpm.vals, CHOOSE({1,2,3,4,5,6}, S720, V720, Y720, AB720, AE720, AH720),
    _xlpm.slopes, CHOOSE({1,2,3,4,5,6}, Q720, T720, W720, Z720, AC720, AF720),
    _xlpm.ints, CHOOSE({1,2,3,4,5,6}, R720, U720, X720, AA720, AD720, AG720),
    _xlpm.limit, -0.00001*_xlpm.slopes + 0.1086*_xlpm.slopes + 63.253,
    _xlpm.valid, (_xlpm.vals &gt;= 0) * (_xlpm.ints &lt;= _xlpm.limit),
    _xlpm.target, MIN(_xlfn._xlws.FILTER(_xlpm.vals, _xlpm.valid)),
    IFERROR(
        _xlfn.XLOOKUP(_xlpm.target, _xlpm.vals, _xlpm.vals),
        CHOOSE({1,2,3,4,5,6}, S$1, V$1, Y$1, AB$1, AE$1, AH$1)
    )
)</f>
        <v>0.94463545089312173</v>
      </c>
    </row>
    <row r="721" spans="9:36" x14ac:dyDescent="0.45">
      <c r="I721">
        <v>719</v>
      </c>
      <c r="J721">
        <v>28.1</v>
      </c>
      <c r="K721">
        <f t="shared" si="254"/>
        <v>28.1</v>
      </c>
      <c r="L721">
        <f t="shared" si="253"/>
        <v>7.805555555555556E-3</v>
      </c>
      <c r="M721">
        <v>8.1999999999999993</v>
      </c>
      <c r="N721">
        <f t="shared" si="255"/>
        <v>8.1999999999999993</v>
      </c>
      <c r="O721">
        <f t="shared" si="256"/>
        <v>365.16463631970868</v>
      </c>
      <c r="P721">
        <f t="shared" si="257"/>
        <v>1168.5268362230679</v>
      </c>
      <c r="Q721">
        <f t="shared" si="258"/>
        <v>5351.8529099016514</v>
      </c>
      <c r="R721">
        <f t="shared" si="259"/>
        <v>14.631237688976672</v>
      </c>
      <c r="S721">
        <f t="shared" si="260"/>
        <v>4.8373643665033663</v>
      </c>
      <c r="T721">
        <f t="shared" si="261"/>
        <v>3458.8394352202808</v>
      </c>
      <c r="U721">
        <f t="shared" si="262"/>
        <v>22.638874532267959</v>
      </c>
      <c r="V721">
        <f t="shared" si="263"/>
        <v>1.7240402357216771</v>
      </c>
      <c r="W721">
        <f t="shared" si="264"/>
        <v>2231.8862571860595</v>
      </c>
      <c r="X721">
        <f t="shared" si="265"/>
        <v>35.084329118069718</v>
      </c>
      <c r="Y721">
        <f t="shared" si="266"/>
        <v>1.1157847643494045</v>
      </c>
      <c r="Z721">
        <f t="shared" si="267"/>
        <v>1682.6786441612178</v>
      </c>
      <c r="AA721">
        <f t="shared" si="268"/>
        <v>46.535464316328579</v>
      </c>
      <c r="AB721">
        <f t="shared" si="269"/>
        <v>1.0358082658088521</v>
      </c>
      <c r="AC721">
        <f t="shared" si="270"/>
        <v>6000</v>
      </c>
      <c r="AD721">
        <f t="shared" si="271"/>
        <v>13.050705333535419</v>
      </c>
      <c r="AE721">
        <f t="shared" si="272"/>
        <v>6.8059234853936017</v>
      </c>
      <c r="AF721">
        <f t="shared" si="273"/>
        <v>6000</v>
      </c>
      <c r="AG721">
        <f t="shared" si="274"/>
        <v>13.050705333535419</v>
      </c>
      <c r="AH721">
        <f t="shared" si="275"/>
        <v>6.8059234853936017</v>
      </c>
      <c r="AI721" cm="1">
        <f t="array" ref="AI721">_xlfn.LET(
    _xlpm.vals,   _xlfn.HSTACK(S721,V721,Y721,AB721,AE721,AH721),
    _xlpm.ints,   _xlfn.HSTACK(R721,U721,X721,AA721,AD721,AG721),
    _xlpm.slopes, _xlfn.HSTACK(Q721,T721,W721,Z721,AC721,AF721),
    _xlpm.limit,  -0.00001*_xlpm.slopes + 0.1086*_xlpm.slopes + 63.253,
    _xlpm.mask,   (_xlpm.vals&gt;=0) * (_xlpm.ints&lt;=_xlpm.limit),
    _xlpm.validVals, _xlfn._xlws.FILTER(_xlpm.vals, _xlpm.mask),
    _xlpm.minVal, MIN(_xlpm.validVals),
    IFERROR( _xlfn.XMATCH(_xlpm.minVal, _xlpm.vals), "" )
)</f>
        <v>4</v>
      </c>
      <c r="AJ721" cm="1">
        <f t="array" ref="AJ721">_xlfn.LET(
    _xlpm.vals, CHOOSE({1,2,3,4,5,6}, S721, V721, Y721, AB721, AE721, AH721),
    _xlpm.slopes, CHOOSE({1,2,3,4,5,6}, Q721, T721, W721, Z721, AC721, AF721),
    _xlpm.ints, CHOOSE({1,2,3,4,5,6}, R721, U721, X721, AA721, AD721, AG721),
    _xlpm.limit, -0.00001*_xlpm.slopes + 0.1086*_xlpm.slopes + 63.253,
    _xlpm.valid, (_xlpm.vals &gt;= 0) * (_xlpm.ints &lt;= _xlpm.limit),
    _xlpm.target, MIN(_xlfn._xlws.FILTER(_xlpm.vals, _xlpm.valid)),
    IFERROR(
        _xlfn.XLOOKUP(_xlpm.target, _xlpm.vals, _xlpm.vals),
        CHOOSE({1,2,3,4,5,6}, S$1, V$1, Y$1, AB$1, AE$1, AH$1)
    )
)</f>
        <v>1.0358082658088521</v>
      </c>
    </row>
    <row r="722" spans="9:36" x14ac:dyDescent="0.45">
      <c r="I722">
        <v>720</v>
      </c>
      <c r="J722">
        <v>28.4</v>
      </c>
      <c r="K722">
        <f t="shared" si="254"/>
        <v>28.4</v>
      </c>
      <c r="L722">
        <f t="shared" si="253"/>
        <v>7.888888888888888E-3</v>
      </c>
      <c r="M722">
        <v>8.64</v>
      </c>
      <c r="N722">
        <f t="shared" si="255"/>
        <v>8.64</v>
      </c>
      <c r="O722">
        <f t="shared" si="256"/>
        <v>369.06319115586217</v>
      </c>
      <c r="P722">
        <f t="shared" si="257"/>
        <v>1181.0022116987591</v>
      </c>
      <c r="Q722">
        <f t="shared" si="258"/>
        <v>5408.9901295803165</v>
      </c>
      <c r="R722">
        <f t="shared" si="259"/>
        <v>15.253479951393473</v>
      </c>
      <c r="S722">
        <f t="shared" si="260"/>
        <v>5.0000029204332535</v>
      </c>
      <c r="T722">
        <f t="shared" si="261"/>
        <v>3495.766546628327</v>
      </c>
      <c r="U722">
        <f t="shared" si="262"/>
        <v>23.601668303169632</v>
      </c>
      <c r="V722">
        <f t="shared" si="263"/>
        <v>1.7783664418484524</v>
      </c>
      <c r="W722">
        <f t="shared" si="264"/>
        <v>2255.7142243446297</v>
      </c>
      <c r="X722">
        <f t="shared" si="265"/>
        <v>36.576407422713146</v>
      </c>
      <c r="Y722">
        <f t="shared" si="266"/>
        <v>1.1534113081190005</v>
      </c>
      <c r="Z722">
        <f t="shared" si="267"/>
        <v>1700.643184846213</v>
      </c>
      <c r="AA722">
        <f t="shared" si="268"/>
        <v>48.514540400959802</v>
      </c>
      <c r="AB722">
        <f t="shared" si="269"/>
        <v>1.0744092166656909</v>
      </c>
      <c r="AC722">
        <f t="shared" si="270"/>
        <v>6000</v>
      </c>
      <c r="AD722">
        <f t="shared" si="271"/>
        <v>13.750987083139758</v>
      </c>
      <c r="AE722">
        <f t="shared" si="272"/>
        <v>6.8131264985068363</v>
      </c>
      <c r="AF722">
        <f t="shared" si="273"/>
        <v>6000</v>
      </c>
      <c r="AG722">
        <f t="shared" si="274"/>
        <v>13.750987083139758</v>
      </c>
      <c r="AH722">
        <f t="shared" si="275"/>
        <v>6.8131264985068363</v>
      </c>
      <c r="AI722" cm="1">
        <f t="array" ref="AI722">_xlfn.LET(
    _xlpm.vals,   _xlfn.HSTACK(S722,V722,Y722,AB722,AE722,AH722),
    _xlpm.ints,   _xlfn.HSTACK(R722,U722,X722,AA722,AD722,AG722),
    _xlpm.slopes, _xlfn.HSTACK(Q722,T722,W722,Z722,AC722,AF722),
    _xlpm.limit,  -0.00001*_xlpm.slopes + 0.1086*_xlpm.slopes + 63.253,
    _xlpm.mask,   (_xlpm.vals&gt;=0) * (_xlpm.ints&lt;=_xlpm.limit),
    _xlpm.validVals, _xlfn._xlws.FILTER(_xlpm.vals, _xlpm.mask),
    _xlpm.minVal, MIN(_xlpm.validVals),
    IFERROR( _xlfn.XMATCH(_xlpm.minVal, _xlpm.vals), "" )
)</f>
        <v>4</v>
      </c>
      <c r="AJ722" cm="1">
        <f t="array" ref="AJ722">_xlfn.LET(
    _xlpm.vals, CHOOSE({1,2,3,4,5,6}, S722, V722, Y722, AB722, AE722, AH722),
    _xlpm.slopes, CHOOSE({1,2,3,4,5,6}, Q722, T722, W722, Z722, AC722, AF722),
    _xlpm.ints, CHOOSE({1,2,3,4,5,6}, R722, U722, X722, AA722, AD722, AG722),
    _xlpm.limit, -0.00001*_xlpm.slopes + 0.1086*_xlpm.slopes + 63.253,
    _xlpm.valid, (_xlpm.vals &gt;= 0) * (_xlpm.ints &lt;= _xlpm.limit),
    _xlpm.target, MIN(_xlfn._xlws.FILTER(_xlpm.vals, _xlpm.valid)),
    IFERROR(
        _xlfn.XLOOKUP(_xlpm.target, _xlpm.vals, _xlpm.vals),
        CHOOSE({1,2,3,4,5,6}, S$1, V$1, Y$1, AB$1, AE$1, AH$1)
    )
)</f>
        <v>1.0744092166656909</v>
      </c>
    </row>
    <row r="723" spans="9:36" x14ac:dyDescent="0.45">
      <c r="I723">
        <v>721</v>
      </c>
      <c r="J723">
        <v>28.5</v>
      </c>
      <c r="K723">
        <f t="shared" si="254"/>
        <v>28.5</v>
      </c>
      <c r="L723">
        <f t="shared" si="253"/>
        <v>7.9166666666666673E-3</v>
      </c>
      <c r="M723">
        <v>3.59</v>
      </c>
      <c r="N723">
        <f t="shared" si="255"/>
        <v>3.59</v>
      </c>
      <c r="O723">
        <f t="shared" si="256"/>
        <v>370.36270943457998</v>
      </c>
      <c r="P723">
        <f t="shared" si="257"/>
        <v>1185.160670190656</v>
      </c>
      <c r="Q723">
        <f t="shared" si="258"/>
        <v>5428.0358694732049</v>
      </c>
      <c r="R723">
        <f t="shared" si="259"/>
        <v>6.3157236920251512</v>
      </c>
      <c r="S723">
        <f t="shared" si="260"/>
        <v>4.9394814121999966</v>
      </c>
      <c r="T723">
        <f t="shared" si="261"/>
        <v>3508.0755837643419</v>
      </c>
      <c r="U723">
        <f t="shared" si="262"/>
        <v>9.7723021991470223</v>
      </c>
      <c r="V723">
        <f t="shared" si="263"/>
        <v>1.5434598460589763</v>
      </c>
      <c r="W723">
        <f t="shared" si="264"/>
        <v>2263.656880064153</v>
      </c>
      <c r="X723">
        <f t="shared" si="265"/>
        <v>15.144510214384916</v>
      </c>
      <c r="Y723">
        <f t="shared" si="266"/>
        <v>0.81178997564642086</v>
      </c>
      <c r="Z723">
        <f t="shared" si="267"/>
        <v>1706.6313650745446</v>
      </c>
      <c r="AA723">
        <f t="shared" si="268"/>
        <v>20.08751007602444</v>
      </c>
      <c r="AB723">
        <f t="shared" si="269"/>
        <v>0.67890736910352556</v>
      </c>
      <c r="AC723">
        <f t="shared" si="270"/>
        <v>6000</v>
      </c>
      <c r="AD723">
        <f t="shared" si="271"/>
        <v>5.7136624569990433</v>
      </c>
      <c r="AE723">
        <f t="shared" si="272"/>
        <v>6.7396558589295914</v>
      </c>
      <c r="AF723">
        <f t="shared" si="273"/>
        <v>6000</v>
      </c>
      <c r="AG723">
        <f t="shared" si="274"/>
        <v>5.7136624569990433</v>
      </c>
      <c r="AH723">
        <f t="shared" si="275"/>
        <v>6.7396558589295914</v>
      </c>
      <c r="AI723" cm="1">
        <f t="array" ref="AI723">_xlfn.LET(
    _xlpm.vals,   _xlfn.HSTACK(S723,V723,Y723,AB723,AE723,AH723),
    _xlpm.ints,   _xlfn.HSTACK(R723,U723,X723,AA723,AD723,AG723),
    _xlpm.slopes, _xlfn.HSTACK(Q723,T723,W723,Z723,AC723,AF723),
    _xlpm.limit,  -0.00001*_xlpm.slopes + 0.1086*_xlpm.slopes + 63.253,
    _xlpm.mask,   (_xlpm.vals&gt;=0) * (_xlpm.ints&lt;=_xlpm.limit),
    _xlpm.validVals, _xlfn._xlws.FILTER(_xlpm.vals, _xlpm.mask),
    _xlpm.minVal, MIN(_xlpm.validVals),
    IFERROR( _xlfn.XMATCH(_xlpm.minVal, _xlpm.vals), "" )
)</f>
        <v>4</v>
      </c>
      <c r="AJ723" cm="1">
        <f t="array" ref="AJ723">_xlfn.LET(
    _xlpm.vals, CHOOSE({1,2,3,4,5,6}, S723, V723, Y723, AB723, AE723, AH723),
    _xlpm.slopes, CHOOSE({1,2,3,4,5,6}, Q723, T723, W723, Z723, AC723, AF723),
    _xlpm.ints, CHOOSE({1,2,3,4,5,6}, R723, U723, X723, AA723, AD723, AG723),
    _xlpm.limit, -0.00001*_xlpm.slopes + 0.1086*_xlpm.slopes + 63.253,
    _xlpm.valid, (_xlpm.vals &gt;= 0) * (_xlpm.ints &lt;= _xlpm.limit),
    _xlpm.target, MIN(_xlfn._xlws.FILTER(_xlpm.vals, _xlpm.valid)),
    IFERROR(
        _xlfn.XLOOKUP(_xlpm.target, _xlpm.vals, _xlpm.vals),
        CHOOSE({1,2,3,4,5,6}, S$1, V$1, Y$1, AB$1, AE$1, AH$1)
    )
)</f>
        <v>0.67890736910352556</v>
      </c>
    </row>
    <row r="724" spans="9:36" x14ac:dyDescent="0.45">
      <c r="I724">
        <v>722</v>
      </c>
      <c r="J724">
        <v>28.5</v>
      </c>
      <c r="K724">
        <f t="shared" si="254"/>
        <v>28.5</v>
      </c>
      <c r="L724">
        <f t="shared" si="253"/>
        <v>7.9166666666666673E-3</v>
      </c>
      <c r="M724">
        <v>3.56</v>
      </c>
      <c r="N724">
        <f t="shared" si="255"/>
        <v>3.56</v>
      </c>
      <c r="O724">
        <f t="shared" si="256"/>
        <v>370.36270943457998</v>
      </c>
      <c r="P724">
        <f t="shared" si="257"/>
        <v>1185.160670190656</v>
      </c>
      <c r="Q724">
        <f t="shared" si="258"/>
        <v>5428.0358694732049</v>
      </c>
      <c r="R724">
        <f t="shared" si="259"/>
        <v>6.262946056715748</v>
      </c>
      <c r="S724">
        <f t="shared" si="260"/>
        <v>4.9388854196981882</v>
      </c>
      <c r="T724">
        <f t="shared" si="261"/>
        <v>3508.0755837643419</v>
      </c>
      <c r="U724">
        <f t="shared" si="262"/>
        <v>9.6906395066750424</v>
      </c>
      <c r="V724">
        <f t="shared" si="263"/>
        <v>1.5421163708696937</v>
      </c>
      <c r="W724">
        <f t="shared" si="264"/>
        <v>2263.656880064153</v>
      </c>
      <c r="X724">
        <f t="shared" si="265"/>
        <v>15.017954418721533</v>
      </c>
      <c r="Y724">
        <f t="shared" si="266"/>
        <v>0.80993502754383495</v>
      </c>
      <c r="Z724">
        <f t="shared" si="267"/>
        <v>1706.6313650745446</v>
      </c>
      <c r="AA724">
        <f t="shared" si="268"/>
        <v>19.919647874832034</v>
      </c>
      <c r="AB724">
        <f t="shared" si="269"/>
        <v>0.67679068753161398</v>
      </c>
      <c r="AC724">
        <f t="shared" si="270"/>
        <v>6000</v>
      </c>
      <c r="AD724">
        <f t="shared" si="271"/>
        <v>5.6659159740714742</v>
      </c>
      <c r="AE724">
        <f t="shared" si="272"/>
        <v>6.7392806186442948</v>
      </c>
      <c r="AF724">
        <f t="shared" si="273"/>
        <v>6000</v>
      </c>
      <c r="AG724">
        <f t="shared" si="274"/>
        <v>5.6659159740714742</v>
      </c>
      <c r="AH724">
        <f t="shared" si="275"/>
        <v>6.7392806186442948</v>
      </c>
      <c r="AI724" cm="1">
        <f t="array" ref="AI724">_xlfn.LET(
    _xlpm.vals,   _xlfn.HSTACK(S724,V724,Y724,AB724,AE724,AH724),
    _xlpm.ints,   _xlfn.HSTACK(R724,U724,X724,AA724,AD724,AG724),
    _xlpm.slopes, _xlfn.HSTACK(Q724,T724,W724,Z724,AC724,AF724),
    _xlpm.limit,  -0.00001*_xlpm.slopes + 0.1086*_xlpm.slopes + 63.253,
    _xlpm.mask,   (_xlpm.vals&gt;=0) * (_xlpm.ints&lt;=_xlpm.limit),
    _xlpm.validVals, _xlfn._xlws.FILTER(_xlpm.vals, _xlpm.mask),
    _xlpm.minVal, MIN(_xlpm.validVals),
    IFERROR( _xlfn.XMATCH(_xlpm.minVal, _xlpm.vals), "" )
)</f>
        <v>4</v>
      </c>
      <c r="AJ724" cm="1">
        <f t="array" ref="AJ724">_xlfn.LET(
    _xlpm.vals, CHOOSE({1,2,3,4,5,6}, S724, V724, Y724, AB724, AE724, AH724),
    _xlpm.slopes, CHOOSE({1,2,3,4,5,6}, Q724, T724, W724, Z724, AC724, AF724),
    _xlpm.ints, CHOOSE({1,2,3,4,5,6}, R724, U724, X724, AA724, AD724, AG724),
    _xlpm.limit, -0.00001*_xlpm.slopes + 0.1086*_xlpm.slopes + 63.253,
    _xlpm.valid, (_xlpm.vals &gt;= 0) * (_xlpm.ints &lt;= _xlpm.limit),
    _xlpm.target, MIN(_xlfn._xlws.FILTER(_xlpm.vals, _xlpm.valid)),
    IFERROR(
        _xlfn.XLOOKUP(_xlpm.target, _xlpm.vals, _xlpm.vals),
        CHOOSE({1,2,3,4,5,6}, S$1, V$1, Y$1, AB$1, AE$1, AH$1)
    )
)</f>
        <v>0.67679068753161398</v>
      </c>
    </row>
    <row r="725" spans="9:36" x14ac:dyDescent="0.45">
      <c r="I725">
        <v>723</v>
      </c>
      <c r="J725">
        <v>28.5</v>
      </c>
      <c r="K725">
        <f t="shared" si="254"/>
        <v>28.5</v>
      </c>
      <c r="L725">
        <f t="shared" si="253"/>
        <v>7.9166666666666673E-3</v>
      </c>
      <c r="M725">
        <v>3.35</v>
      </c>
      <c r="N725">
        <f t="shared" si="255"/>
        <v>3.35</v>
      </c>
      <c r="O725">
        <f t="shared" si="256"/>
        <v>370.36270943457998</v>
      </c>
      <c r="P725">
        <f t="shared" si="257"/>
        <v>1185.160670190656</v>
      </c>
      <c r="Q725">
        <f t="shared" si="258"/>
        <v>5428.0358694732049</v>
      </c>
      <c r="R725">
        <f t="shared" si="259"/>
        <v>5.8935026095499321</v>
      </c>
      <c r="S725">
        <f t="shared" si="260"/>
        <v>4.934736757702165</v>
      </c>
      <c r="T725">
        <f t="shared" si="261"/>
        <v>3508.0755837643419</v>
      </c>
      <c r="U725">
        <f t="shared" si="262"/>
        <v>9.1190006593711779</v>
      </c>
      <c r="V725">
        <f t="shared" si="263"/>
        <v>1.532751911445412</v>
      </c>
      <c r="W725">
        <f t="shared" si="264"/>
        <v>2263.656880064153</v>
      </c>
      <c r="X725">
        <f t="shared" si="265"/>
        <v>14.132063849077847</v>
      </c>
      <c r="Y725">
        <f t="shared" si="266"/>
        <v>0.79701855930565513</v>
      </c>
      <c r="Z725">
        <f t="shared" si="267"/>
        <v>1706.6313650745446</v>
      </c>
      <c r="AA725">
        <f t="shared" si="268"/>
        <v>18.744612466485201</v>
      </c>
      <c r="AB725">
        <f t="shared" si="269"/>
        <v>0.66206805294266091</v>
      </c>
      <c r="AC725">
        <f t="shared" si="270"/>
        <v>6000</v>
      </c>
      <c r="AD725">
        <f t="shared" si="271"/>
        <v>5.331690593578494</v>
      </c>
      <c r="AE725">
        <f t="shared" si="272"/>
        <v>6.7366745560976788</v>
      </c>
      <c r="AF725">
        <f t="shared" si="273"/>
        <v>6000</v>
      </c>
      <c r="AG725">
        <f t="shared" si="274"/>
        <v>5.331690593578494</v>
      </c>
      <c r="AH725">
        <f t="shared" si="275"/>
        <v>6.7366745560976788</v>
      </c>
      <c r="AI725" cm="1">
        <f t="array" ref="AI725">_xlfn.LET(
    _xlpm.vals,   _xlfn.HSTACK(S725,V725,Y725,AB725,AE725,AH725),
    _xlpm.ints,   _xlfn.HSTACK(R725,U725,X725,AA725,AD725,AG725),
    _xlpm.slopes, _xlfn.HSTACK(Q725,T725,W725,Z725,AC725,AF725),
    _xlpm.limit,  -0.00001*_xlpm.slopes + 0.1086*_xlpm.slopes + 63.253,
    _xlpm.mask,   (_xlpm.vals&gt;=0) * (_xlpm.ints&lt;=_xlpm.limit),
    _xlpm.validVals, _xlfn._xlws.FILTER(_xlpm.vals, _xlpm.mask),
    _xlpm.minVal, MIN(_xlpm.validVals),
    IFERROR( _xlfn.XMATCH(_xlpm.minVal, _xlpm.vals), "" )
)</f>
        <v>4</v>
      </c>
      <c r="AJ725" cm="1">
        <f t="array" ref="AJ725">_xlfn.LET(
    _xlpm.vals, CHOOSE({1,2,3,4,5,6}, S725, V725, Y725, AB725, AE725, AH725),
    _xlpm.slopes, CHOOSE({1,2,3,4,5,6}, Q725, T725, W725, Z725, AC725, AF725),
    _xlpm.ints, CHOOSE({1,2,3,4,5,6}, R725, U725, X725, AA725, AD725, AG725),
    _xlpm.limit, -0.00001*_xlpm.slopes + 0.1086*_xlpm.slopes + 63.253,
    _xlpm.valid, (_xlpm.vals &gt;= 0) * (_xlpm.ints &lt;= _xlpm.limit),
    _xlpm.target, MIN(_xlfn._xlws.FILTER(_xlpm.vals, _xlpm.valid)),
    IFERROR(
        _xlfn.XLOOKUP(_xlpm.target, _xlpm.vals, _xlpm.vals),
        CHOOSE({1,2,3,4,5,6}, S$1, V$1, Y$1, AB$1, AE$1, AH$1)
    )
)</f>
        <v>0.66206805294266091</v>
      </c>
    </row>
    <row r="726" spans="9:36" x14ac:dyDescent="0.45">
      <c r="I726">
        <v>724</v>
      </c>
      <c r="J726">
        <v>28.3</v>
      </c>
      <c r="K726">
        <f t="shared" si="254"/>
        <v>28.3</v>
      </c>
      <c r="L726">
        <f t="shared" si="253"/>
        <v>7.8611111111111121E-3</v>
      </c>
      <c r="M726">
        <v>2.78</v>
      </c>
      <c r="N726">
        <f t="shared" si="255"/>
        <v>2.78</v>
      </c>
      <c r="O726">
        <f t="shared" si="256"/>
        <v>367.76367287714436</v>
      </c>
      <c r="P726">
        <f t="shared" si="257"/>
        <v>1176.8437532068619</v>
      </c>
      <c r="Q726">
        <f t="shared" si="258"/>
        <v>5389.9443896874282</v>
      </c>
      <c r="R726">
        <f t="shared" si="259"/>
        <v>4.9252909841742634</v>
      </c>
      <c r="S726">
        <f t="shared" si="260"/>
        <v>4.8183619791796515</v>
      </c>
      <c r="T726">
        <f t="shared" si="261"/>
        <v>3483.4575094923111</v>
      </c>
      <c r="U726">
        <f t="shared" si="262"/>
        <v>7.6208894282155839</v>
      </c>
      <c r="V726">
        <f t="shared" si="263"/>
        <v>1.4845639118042224</v>
      </c>
      <c r="W726">
        <f t="shared" si="264"/>
        <v>2247.7715686251063</v>
      </c>
      <c r="X726">
        <f t="shared" si="265"/>
        <v>11.810383616501639</v>
      </c>
      <c r="Y726">
        <f t="shared" si="266"/>
        <v>0.75745200658589362</v>
      </c>
      <c r="Z726">
        <f t="shared" si="267"/>
        <v>1694.6550046178811</v>
      </c>
      <c r="AA726">
        <f t="shared" si="268"/>
        <v>15.665161602443147</v>
      </c>
      <c r="AB726">
        <f t="shared" si="269"/>
        <v>0.62067628657653029</v>
      </c>
      <c r="AC726">
        <f t="shared" si="270"/>
        <v>6000</v>
      </c>
      <c r="AD726">
        <f t="shared" si="271"/>
        <v>4.4245074179546906</v>
      </c>
      <c r="AE726">
        <f t="shared" si="272"/>
        <v>6.7297833556827813</v>
      </c>
      <c r="AF726">
        <f t="shared" si="273"/>
        <v>6000</v>
      </c>
      <c r="AG726">
        <f t="shared" si="274"/>
        <v>4.4245074179546906</v>
      </c>
      <c r="AH726">
        <f t="shared" si="275"/>
        <v>6.7297833556827813</v>
      </c>
      <c r="AI726" cm="1">
        <f t="array" ref="AI726">_xlfn.LET(
    _xlpm.vals,   _xlfn.HSTACK(S726,V726,Y726,AB726,AE726,AH726),
    _xlpm.ints,   _xlfn.HSTACK(R726,U726,X726,AA726,AD726,AG726),
    _xlpm.slopes, _xlfn.HSTACK(Q726,T726,W726,Z726,AC726,AF726),
    _xlpm.limit,  -0.00001*_xlpm.slopes + 0.1086*_xlpm.slopes + 63.253,
    _xlpm.mask,   (_xlpm.vals&gt;=0) * (_xlpm.ints&lt;=_xlpm.limit),
    _xlpm.validVals, _xlfn._xlws.FILTER(_xlpm.vals, _xlpm.mask),
    _xlpm.minVal, MIN(_xlpm.validVals),
    IFERROR( _xlfn.XMATCH(_xlpm.minVal, _xlpm.vals), "" )
)</f>
        <v>4</v>
      </c>
      <c r="AJ726" cm="1">
        <f t="array" ref="AJ726">_xlfn.LET(
    _xlpm.vals, CHOOSE({1,2,3,4,5,6}, S726, V726, Y726, AB726, AE726, AH726),
    _xlpm.slopes, CHOOSE({1,2,3,4,5,6}, Q726, T726, W726, Z726, AC726, AF726),
    _xlpm.ints, CHOOSE({1,2,3,4,5,6}, R726, U726, X726, AA726, AD726, AG726),
    _xlpm.limit, -0.00001*_xlpm.slopes + 0.1086*_xlpm.slopes + 63.253,
    _xlpm.valid, (_xlpm.vals &gt;= 0) * (_xlpm.ints &lt;= _xlpm.limit),
    _xlpm.target, MIN(_xlfn._xlws.FILTER(_xlpm.vals, _xlpm.valid)),
    IFERROR(
        _xlfn.XLOOKUP(_xlpm.target, _xlpm.vals, _xlpm.vals),
        CHOOSE({1,2,3,4,5,6}, S$1, V$1, Y$1, AB$1, AE$1, AH$1)
    )
)</f>
        <v>0.62067628657653029</v>
      </c>
    </row>
    <row r="727" spans="9:36" x14ac:dyDescent="0.45">
      <c r="I727">
        <v>725</v>
      </c>
      <c r="J727">
        <v>28.2</v>
      </c>
      <c r="K727">
        <f t="shared" si="254"/>
        <v>28.2</v>
      </c>
      <c r="L727">
        <f t="shared" si="253"/>
        <v>7.8333333333333328E-3</v>
      </c>
      <c r="M727">
        <v>2.98</v>
      </c>
      <c r="N727">
        <f t="shared" si="255"/>
        <v>2.98</v>
      </c>
      <c r="O727">
        <f t="shared" si="256"/>
        <v>366.46415459842649</v>
      </c>
      <c r="P727">
        <f t="shared" si="257"/>
        <v>1172.6852947149648</v>
      </c>
      <c r="Q727">
        <f t="shared" si="258"/>
        <v>5370.8986497945389</v>
      </c>
      <c r="R727">
        <f t="shared" si="259"/>
        <v>5.2983505518056075</v>
      </c>
      <c r="S727">
        <f t="shared" si="260"/>
        <v>4.7703594302257493</v>
      </c>
      <c r="T727">
        <f t="shared" si="261"/>
        <v>3471.1484723562958</v>
      </c>
      <c r="U727">
        <f t="shared" si="262"/>
        <v>8.1981234889424606</v>
      </c>
      <c r="V727">
        <f t="shared" si="263"/>
        <v>1.4819846420139884</v>
      </c>
      <c r="W727">
        <f t="shared" si="264"/>
        <v>2239.8289129055829</v>
      </c>
      <c r="X727">
        <f t="shared" si="265"/>
        <v>12.704945302235435</v>
      </c>
      <c r="Y727">
        <f t="shared" si="266"/>
        <v>0.76697200181884773</v>
      </c>
      <c r="Z727">
        <f t="shared" si="267"/>
        <v>1688.6668243895492</v>
      </c>
      <c r="AA727">
        <f t="shared" si="268"/>
        <v>16.85169828282617</v>
      </c>
      <c r="AB727">
        <f t="shared" si="269"/>
        <v>0.63317660909713547</v>
      </c>
      <c r="AC727">
        <f t="shared" si="270"/>
        <v>6000</v>
      </c>
      <c r="AD727">
        <f t="shared" si="271"/>
        <v>4.7428173041384811</v>
      </c>
      <c r="AE727">
        <f t="shared" si="272"/>
        <v>6.7321709019353024</v>
      </c>
      <c r="AF727">
        <f t="shared" si="273"/>
        <v>6000</v>
      </c>
      <c r="AG727">
        <f t="shared" si="274"/>
        <v>4.7428173041384811</v>
      </c>
      <c r="AH727">
        <f t="shared" si="275"/>
        <v>6.7321709019353024</v>
      </c>
      <c r="AI727" cm="1">
        <f t="array" ref="AI727">_xlfn.LET(
    _xlpm.vals,   _xlfn.HSTACK(S727,V727,Y727,AB727,AE727,AH727),
    _xlpm.ints,   _xlfn.HSTACK(R727,U727,X727,AA727,AD727,AG727),
    _xlpm.slopes, _xlfn.HSTACK(Q727,T727,W727,Z727,AC727,AF727),
    _xlpm.limit,  -0.00001*_xlpm.slopes + 0.1086*_xlpm.slopes + 63.253,
    _xlpm.mask,   (_xlpm.vals&gt;=0) * (_xlpm.ints&lt;=_xlpm.limit),
    _xlpm.validVals, _xlfn._xlws.FILTER(_xlpm.vals, _xlpm.mask),
    _xlpm.minVal, MIN(_xlpm.validVals),
    IFERROR( _xlfn.XMATCH(_xlpm.minVal, _xlpm.vals), "" )
)</f>
        <v>4</v>
      </c>
      <c r="AJ727" cm="1">
        <f t="array" ref="AJ727">_xlfn.LET(
    _xlpm.vals, CHOOSE({1,2,3,4,5,6}, S727, V727, Y727, AB727, AE727, AH727),
    _xlpm.slopes, CHOOSE({1,2,3,4,5,6}, Q727, T727, W727, Z727, AC727, AF727),
    _xlpm.ints, CHOOSE({1,2,3,4,5,6}, R727, U727, X727, AA727, AD727, AG727),
    _xlpm.limit, -0.00001*_xlpm.slopes + 0.1086*_xlpm.slopes + 63.253,
    _xlpm.valid, (_xlpm.vals &gt;= 0) * (_xlpm.ints &lt;= _xlpm.limit),
    _xlpm.target, MIN(_xlfn._xlws.FILTER(_xlpm.vals, _xlpm.valid)),
    IFERROR(
        _xlfn.XLOOKUP(_xlpm.target, _xlpm.vals, _xlpm.vals),
        CHOOSE({1,2,3,4,5,6}, S$1, V$1, Y$1, AB$1, AE$1, AH$1)
    )
)</f>
        <v>0.63317660909713547</v>
      </c>
    </row>
    <row r="728" spans="9:36" x14ac:dyDescent="0.45">
      <c r="I728">
        <v>726</v>
      </c>
      <c r="J728">
        <v>27.7</v>
      </c>
      <c r="K728">
        <f t="shared" si="254"/>
        <v>27.7</v>
      </c>
      <c r="L728">
        <f t="shared" si="253"/>
        <v>7.6944444444444439E-3</v>
      </c>
      <c r="M728">
        <v>-0.25</v>
      </c>
      <c r="N728">
        <f t="shared" si="255"/>
        <v>0</v>
      </c>
      <c r="O728">
        <f t="shared" si="256"/>
        <v>359.96656320483743</v>
      </c>
      <c r="P728">
        <f t="shared" si="257"/>
        <v>1151.8930022554798</v>
      </c>
      <c r="Q728">
        <f t="shared" si="258"/>
        <v>5275.6699503300979</v>
      </c>
      <c r="R728">
        <f t="shared" si="259"/>
        <v>0</v>
      </c>
      <c r="S728">
        <f t="shared" si="260"/>
        <v>4.4582192996683272</v>
      </c>
      <c r="T728">
        <f t="shared" si="261"/>
        <v>3409.6032866762203</v>
      </c>
      <c r="U728">
        <f t="shared" si="262"/>
        <v>0</v>
      </c>
      <c r="V728">
        <f t="shared" si="263"/>
        <v>1.2997908525828987</v>
      </c>
      <c r="W728">
        <f t="shared" si="264"/>
        <v>2200.1156343079665</v>
      </c>
      <c r="X728">
        <f t="shared" si="265"/>
        <v>0</v>
      </c>
      <c r="Y728">
        <f t="shared" si="266"/>
        <v>0.58628286218456604</v>
      </c>
      <c r="Z728">
        <f t="shared" si="267"/>
        <v>1658.7259232478909</v>
      </c>
      <c r="AA728">
        <f t="shared" si="268"/>
        <v>0</v>
      </c>
      <c r="AB728">
        <f t="shared" si="269"/>
        <v>0.44172115784179278</v>
      </c>
      <c r="AC728">
        <f t="shared" si="270"/>
        <v>6000</v>
      </c>
      <c r="AD728">
        <f t="shared" si="271"/>
        <v>0</v>
      </c>
      <c r="AE728">
        <f t="shared" si="272"/>
        <v>6.7000407999999982</v>
      </c>
      <c r="AF728">
        <f t="shared" si="273"/>
        <v>6000</v>
      </c>
      <c r="AG728">
        <f t="shared" si="274"/>
        <v>0</v>
      </c>
      <c r="AH728">
        <f t="shared" si="275"/>
        <v>6.7000407999999982</v>
      </c>
      <c r="AI728" cm="1">
        <f t="array" ref="AI728">_xlfn.LET(
    _xlpm.vals,   _xlfn.HSTACK(S728,V728,Y728,AB728,AE728,AH728),
    _xlpm.ints,   _xlfn.HSTACK(R728,U728,X728,AA728,AD728,AG728),
    _xlpm.slopes, _xlfn.HSTACK(Q728,T728,W728,Z728,AC728,AF728),
    _xlpm.limit,  -0.00001*_xlpm.slopes + 0.1086*_xlpm.slopes + 63.253,
    _xlpm.mask,   (_xlpm.vals&gt;=0) * (_xlpm.ints&lt;=_xlpm.limit),
    _xlpm.validVals, _xlfn._xlws.FILTER(_xlpm.vals, _xlpm.mask),
    _xlpm.minVal, MIN(_xlpm.validVals),
    IFERROR( _xlfn.XMATCH(_xlpm.minVal, _xlpm.vals), "" )
)</f>
        <v>4</v>
      </c>
      <c r="AJ728" cm="1">
        <f t="array" ref="AJ728">_xlfn.LET(
    _xlpm.vals, CHOOSE({1,2,3,4,5,6}, S728, V728, Y728, AB728, AE728, AH728),
    _xlpm.slopes, CHOOSE({1,2,3,4,5,6}, Q728, T728, W728, Z728, AC728, AF728),
    _xlpm.ints, CHOOSE({1,2,3,4,5,6}, R728, U728, X728, AA728, AD728, AG728),
    _xlpm.limit, -0.00001*_xlpm.slopes + 0.1086*_xlpm.slopes + 63.253,
    _xlpm.valid, (_xlpm.vals &gt;= 0) * (_xlpm.ints &lt;= _xlpm.limit),
    _xlpm.target, MIN(_xlfn._xlws.FILTER(_xlpm.vals, _xlpm.valid)),
    IFERROR(
        _xlfn.XLOOKUP(_xlpm.target, _xlpm.vals, _xlpm.vals),
        CHOOSE({1,2,3,4,5,6}, S$1, V$1, Y$1, AB$1, AE$1, AH$1)
    )
)</f>
        <v>0.44172115784179278</v>
      </c>
    </row>
    <row r="729" spans="9:36" x14ac:dyDescent="0.45">
      <c r="I729">
        <v>727</v>
      </c>
      <c r="J729">
        <v>26.6</v>
      </c>
      <c r="K729">
        <f t="shared" si="254"/>
        <v>26.6</v>
      </c>
      <c r="L729">
        <f t="shared" si="253"/>
        <v>7.3888888888888893E-3</v>
      </c>
      <c r="M729">
        <v>-0.59</v>
      </c>
      <c r="N729">
        <f t="shared" si="255"/>
        <v>0</v>
      </c>
      <c r="O729">
        <f t="shared" si="256"/>
        <v>345.67186213894132</v>
      </c>
      <c r="P729">
        <f t="shared" si="257"/>
        <v>1106.1499588446122</v>
      </c>
      <c r="Q729">
        <f t="shared" si="258"/>
        <v>5066.1668115083239</v>
      </c>
      <c r="R729">
        <f t="shared" si="259"/>
        <v>0</v>
      </c>
      <c r="S729">
        <f t="shared" si="260"/>
        <v>3.9313225283476334</v>
      </c>
      <c r="T729">
        <f t="shared" si="261"/>
        <v>3274.203878180052</v>
      </c>
      <c r="U729">
        <f t="shared" si="262"/>
        <v>0</v>
      </c>
      <c r="V729">
        <f t="shared" si="263"/>
        <v>1.1817859954367997</v>
      </c>
      <c r="W729">
        <f t="shared" si="264"/>
        <v>2112.7464213932094</v>
      </c>
      <c r="X729">
        <f t="shared" si="265"/>
        <v>0</v>
      </c>
      <c r="Y729">
        <f t="shared" si="266"/>
        <v>0.5581139295725257</v>
      </c>
      <c r="Z729">
        <f t="shared" si="267"/>
        <v>1592.8559407362416</v>
      </c>
      <c r="AA729">
        <f t="shared" si="268"/>
        <v>0</v>
      </c>
      <c r="AB729">
        <f t="shared" si="269"/>
        <v>0.42801187508817529</v>
      </c>
      <c r="AC729">
        <f t="shared" si="270"/>
        <v>6000</v>
      </c>
      <c r="AD729">
        <f t="shared" si="271"/>
        <v>0</v>
      </c>
      <c r="AE729">
        <f t="shared" si="272"/>
        <v>6.7000407999999982</v>
      </c>
      <c r="AF729">
        <f t="shared" si="273"/>
        <v>6000</v>
      </c>
      <c r="AG729">
        <f t="shared" si="274"/>
        <v>0</v>
      </c>
      <c r="AH729">
        <f t="shared" si="275"/>
        <v>6.7000407999999982</v>
      </c>
      <c r="AI729" cm="1">
        <f t="array" ref="AI729">_xlfn.LET(
    _xlpm.vals,   _xlfn.HSTACK(S729,V729,Y729,AB729,AE729,AH729),
    _xlpm.ints,   _xlfn.HSTACK(R729,U729,X729,AA729,AD729,AG729),
    _xlpm.slopes, _xlfn.HSTACK(Q729,T729,W729,Z729,AC729,AF729),
    _xlpm.limit,  -0.00001*_xlpm.slopes + 0.1086*_xlpm.slopes + 63.253,
    _xlpm.mask,   (_xlpm.vals&gt;=0) * (_xlpm.ints&lt;=_xlpm.limit),
    _xlpm.validVals, _xlfn._xlws.FILTER(_xlpm.vals, _xlpm.mask),
    _xlpm.minVal, MIN(_xlpm.validVals),
    IFERROR( _xlfn.XMATCH(_xlpm.minVal, _xlpm.vals), "" )
)</f>
        <v>4</v>
      </c>
      <c r="AJ729" cm="1">
        <f t="array" ref="AJ729">_xlfn.LET(
    _xlpm.vals, CHOOSE({1,2,3,4,5,6}, S729, V729, Y729, AB729, AE729, AH729),
    _xlpm.slopes, CHOOSE({1,2,3,4,5,6}, Q729, T729, W729, Z729, AC729, AF729),
    _xlpm.ints, CHOOSE({1,2,3,4,5,6}, R729, U729, X729, AA729, AD729, AG729),
    _xlpm.limit, -0.00001*_xlpm.slopes + 0.1086*_xlpm.slopes + 63.253,
    _xlpm.valid, (_xlpm.vals &gt;= 0) * (_xlpm.ints &lt;= _xlpm.limit),
    _xlpm.target, MIN(_xlfn._xlws.FILTER(_xlpm.vals, _xlpm.valid)),
    IFERROR(
        _xlfn.XLOOKUP(_xlpm.target, _xlpm.vals, _xlpm.vals),
        CHOOSE({1,2,3,4,5,6}, S$1, V$1, Y$1, AB$1, AE$1, AH$1)
    )
)</f>
        <v>0.42801187508817529</v>
      </c>
    </row>
    <row r="730" spans="9:36" x14ac:dyDescent="0.45">
      <c r="I730">
        <v>728</v>
      </c>
      <c r="J730">
        <v>25</v>
      </c>
      <c r="K730">
        <f t="shared" si="254"/>
        <v>25</v>
      </c>
      <c r="L730">
        <f t="shared" si="253"/>
        <v>6.9444444444444441E-3</v>
      </c>
      <c r="M730">
        <v>-0.55000000000000004</v>
      </c>
      <c r="N730">
        <f t="shared" si="255"/>
        <v>0</v>
      </c>
      <c r="O730">
        <f t="shared" si="256"/>
        <v>324.87956967945615</v>
      </c>
      <c r="P730">
        <f t="shared" si="257"/>
        <v>1039.6146229742596</v>
      </c>
      <c r="Q730">
        <f t="shared" si="258"/>
        <v>4761.434973222109</v>
      </c>
      <c r="R730">
        <f t="shared" si="259"/>
        <v>0</v>
      </c>
      <c r="S730">
        <f t="shared" si="260"/>
        <v>3.2529210383705456</v>
      </c>
      <c r="T730">
        <f t="shared" si="261"/>
        <v>3077.2592840038087</v>
      </c>
      <c r="U730">
        <f t="shared" si="262"/>
        <v>0</v>
      </c>
      <c r="V730">
        <f t="shared" si="263"/>
        <v>1.0300665482812956</v>
      </c>
      <c r="W730">
        <f t="shared" si="264"/>
        <v>1985.6639298808359</v>
      </c>
      <c r="X730">
        <f t="shared" si="265"/>
        <v>0</v>
      </c>
      <c r="Y730">
        <f t="shared" si="266"/>
        <v>0.5208948107051512</v>
      </c>
      <c r="Z730">
        <f t="shared" si="267"/>
        <v>1497.0450570829339</v>
      </c>
      <c r="AA730">
        <f t="shared" si="268"/>
        <v>0</v>
      </c>
      <c r="AB730">
        <f t="shared" si="269"/>
        <v>0.40904921882449319</v>
      </c>
      <c r="AC730">
        <f t="shared" si="270"/>
        <v>6000</v>
      </c>
      <c r="AD730">
        <f t="shared" si="271"/>
        <v>0</v>
      </c>
      <c r="AE730">
        <f t="shared" si="272"/>
        <v>6.7000407999999982</v>
      </c>
      <c r="AF730">
        <f t="shared" si="273"/>
        <v>6000</v>
      </c>
      <c r="AG730">
        <f t="shared" si="274"/>
        <v>0</v>
      </c>
      <c r="AH730">
        <f t="shared" si="275"/>
        <v>6.7000407999999982</v>
      </c>
      <c r="AI730" cm="1">
        <f t="array" ref="AI730">_xlfn.LET(
    _xlpm.vals,   _xlfn.HSTACK(S730,V730,Y730,AB730,AE730,AH730),
    _xlpm.ints,   _xlfn.HSTACK(R730,U730,X730,AA730,AD730,AG730),
    _xlpm.slopes, _xlfn.HSTACK(Q730,T730,W730,Z730,AC730,AF730),
    _xlpm.limit,  -0.00001*_xlpm.slopes + 0.1086*_xlpm.slopes + 63.253,
    _xlpm.mask,   (_xlpm.vals&gt;=0) * (_xlpm.ints&lt;=_xlpm.limit),
    _xlpm.validVals, _xlfn._xlws.FILTER(_xlpm.vals, _xlpm.mask),
    _xlpm.minVal, MIN(_xlpm.validVals),
    IFERROR( _xlfn.XMATCH(_xlpm.minVal, _xlpm.vals), "" )
)</f>
        <v>4</v>
      </c>
      <c r="AJ730" cm="1">
        <f t="array" ref="AJ730">_xlfn.LET(
    _xlpm.vals, CHOOSE({1,2,3,4,5,6}, S730, V730, Y730, AB730, AE730, AH730),
    _xlpm.slopes, CHOOSE({1,2,3,4,5,6}, Q730, T730, W730, Z730, AC730, AF730),
    _xlpm.ints, CHOOSE({1,2,3,4,5,6}, R730, U730, X730, AA730, AD730, AG730),
    _xlpm.limit, -0.00001*_xlpm.slopes + 0.1086*_xlpm.slopes + 63.253,
    _xlpm.valid, (_xlpm.vals &gt;= 0) * (_xlpm.ints &lt;= _xlpm.limit),
    _xlpm.target, MIN(_xlfn._xlws.FILTER(_xlpm.vals, _xlpm.valid)),
    IFERROR(
        _xlfn.XLOOKUP(_xlpm.target, _xlpm.vals, _xlpm.vals),
        CHOOSE({1,2,3,4,5,6}, S$1, V$1, Y$1, AB$1, AE$1, AH$1)
    )
)</f>
        <v>0.40904921882449319</v>
      </c>
    </row>
    <row r="731" spans="9:36" x14ac:dyDescent="0.45">
      <c r="I731">
        <v>729</v>
      </c>
      <c r="J731">
        <v>23</v>
      </c>
      <c r="K731">
        <f t="shared" si="254"/>
        <v>23</v>
      </c>
      <c r="L731">
        <f t="shared" si="253"/>
        <v>6.3888888888888893E-3</v>
      </c>
      <c r="M731">
        <v>-1.05</v>
      </c>
      <c r="N731">
        <f t="shared" si="255"/>
        <v>0</v>
      </c>
      <c r="O731">
        <f t="shared" si="256"/>
        <v>298.88920410509962</v>
      </c>
      <c r="P731">
        <f t="shared" si="257"/>
        <v>956.44545313631886</v>
      </c>
      <c r="Q731">
        <f t="shared" si="258"/>
        <v>4380.5201753643405</v>
      </c>
      <c r="R731">
        <f t="shared" si="259"/>
        <v>0</v>
      </c>
      <c r="S731">
        <f t="shared" si="260"/>
        <v>2.5403228512434541</v>
      </c>
      <c r="T731">
        <f t="shared" si="261"/>
        <v>2831.0785412835039</v>
      </c>
      <c r="U731">
        <f t="shared" si="262"/>
        <v>0</v>
      </c>
      <c r="V731">
        <f t="shared" si="263"/>
        <v>0.87058624622475267</v>
      </c>
      <c r="W731">
        <f t="shared" si="264"/>
        <v>1826.8108154903689</v>
      </c>
      <c r="X731">
        <f t="shared" si="265"/>
        <v>0</v>
      </c>
      <c r="Y731">
        <f t="shared" si="266"/>
        <v>0.47981123820580768</v>
      </c>
      <c r="Z731">
        <f t="shared" si="267"/>
        <v>1377.2814525162992</v>
      </c>
      <c r="AA731">
        <f t="shared" si="268"/>
        <v>0</v>
      </c>
      <c r="AB731">
        <f t="shared" si="269"/>
        <v>0.38662635484394414</v>
      </c>
      <c r="AC731">
        <f t="shared" si="270"/>
        <v>6000</v>
      </c>
      <c r="AD731">
        <f t="shared" si="271"/>
        <v>0</v>
      </c>
      <c r="AE731">
        <f t="shared" si="272"/>
        <v>6.7000407999999982</v>
      </c>
      <c r="AF731">
        <f t="shared" si="273"/>
        <v>6000</v>
      </c>
      <c r="AG731">
        <f t="shared" si="274"/>
        <v>0</v>
      </c>
      <c r="AH731">
        <f t="shared" si="275"/>
        <v>6.7000407999999982</v>
      </c>
      <c r="AI731" cm="1">
        <f t="array" ref="AI731">_xlfn.LET(
    _xlpm.vals,   _xlfn.HSTACK(S731,V731,Y731,AB731,AE731,AH731),
    _xlpm.ints,   _xlfn.HSTACK(R731,U731,X731,AA731,AD731,AG731),
    _xlpm.slopes, _xlfn.HSTACK(Q731,T731,W731,Z731,AC731,AF731),
    _xlpm.limit,  -0.00001*_xlpm.slopes + 0.1086*_xlpm.slopes + 63.253,
    _xlpm.mask,   (_xlpm.vals&gt;=0) * (_xlpm.ints&lt;=_xlpm.limit),
    _xlpm.validVals, _xlfn._xlws.FILTER(_xlpm.vals, _xlpm.mask),
    _xlpm.minVal, MIN(_xlpm.validVals),
    IFERROR( _xlfn.XMATCH(_xlpm.minVal, _xlpm.vals), "" )
)</f>
        <v>4</v>
      </c>
      <c r="AJ731" cm="1">
        <f t="array" ref="AJ731">_xlfn.LET(
    _xlpm.vals, CHOOSE({1,2,3,4,5,6}, S731, V731, Y731, AB731, AE731, AH731),
    _xlpm.slopes, CHOOSE({1,2,3,4,5,6}, Q731, T731, W731, Z731, AC731, AF731),
    _xlpm.ints, CHOOSE({1,2,3,4,5,6}, R731, U731, X731, AA731, AD731, AG731),
    _xlpm.limit, -0.00001*_xlpm.slopes + 0.1086*_xlpm.slopes + 63.253,
    _xlpm.valid, (_xlpm.vals &gt;= 0) * (_xlpm.ints &lt;= _xlpm.limit),
    _xlpm.target, MIN(_xlfn._xlws.FILTER(_xlpm.vals, _xlpm.valid)),
    IFERROR(
        _xlfn.XLOOKUP(_xlpm.target, _xlpm.vals, _xlpm.vals),
        CHOOSE({1,2,3,4,5,6}, S$1, V$1, Y$1, AB$1, AE$1, AH$1)
    )
)</f>
        <v>0.38662635484394414</v>
      </c>
    </row>
    <row r="732" spans="9:36" x14ac:dyDescent="0.45">
      <c r="I732">
        <v>730</v>
      </c>
      <c r="J732">
        <v>20.6</v>
      </c>
      <c r="K732">
        <f t="shared" si="254"/>
        <v>20.6</v>
      </c>
      <c r="L732">
        <f t="shared" si="253"/>
        <v>5.7222222222222223E-3</v>
      </c>
      <c r="M732">
        <v>-1.1100000000000001</v>
      </c>
      <c r="N732">
        <f t="shared" si="255"/>
        <v>0</v>
      </c>
      <c r="O732">
        <f t="shared" si="256"/>
        <v>267.7007654158719</v>
      </c>
      <c r="P732">
        <f t="shared" si="257"/>
        <v>856.6424493307901</v>
      </c>
      <c r="Q732">
        <f t="shared" si="258"/>
        <v>3923.4224179350185</v>
      </c>
      <c r="R732">
        <f t="shared" si="259"/>
        <v>0</v>
      </c>
      <c r="S732">
        <f t="shared" si="260"/>
        <v>1.8627282344693681</v>
      </c>
      <c r="T732">
        <f t="shared" si="261"/>
        <v>2535.6616500191385</v>
      </c>
      <c r="U732">
        <f t="shared" si="262"/>
        <v>0</v>
      </c>
      <c r="V732">
        <f t="shared" si="263"/>
        <v>0.71777028530096498</v>
      </c>
      <c r="W732">
        <f t="shared" si="264"/>
        <v>1636.1870782218091</v>
      </c>
      <c r="X732">
        <f t="shared" si="265"/>
        <v>0</v>
      </c>
      <c r="Y732">
        <f t="shared" si="266"/>
        <v>0.43696202177891952</v>
      </c>
      <c r="Z732">
        <f t="shared" si="267"/>
        <v>1233.5651270363378</v>
      </c>
      <c r="AA732">
        <f t="shared" si="268"/>
        <v>0</v>
      </c>
      <c r="AB732">
        <f t="shared" si="269"/>
        <v>0.3609420857469976</v>
      </c>
      <c r="AC732">
        <f t="shared" si="270"/>
        <v>6000</v>
      </c>
      <c r="AD732">
        <f t="shared" si="271"/>
        <v>0</v>
      </c>
      <c r="AE732">
        <f t="shared" si="272"/>
        <v>6.7000407999999982</v>
      </c>
      <c r="AF732">
        <f t="shared" si="273"/>
        <v>6000</v>
      </c>
      <c r="AG732">
        <f t="shared" si="274"/>
        <v>0</v>
      </c>
      <c r="AH732">
        <f t="shared" si="275"/>
        <v>6.7000407999999982</v>
      </c>
      <c r="AI732" cm="1">
        <f t="array" ref="AI732">_xlfn.LET(
    _xlpm.vals,   _xlfn.HSTACK(S732,V732,Y732,AB732,AE732,AH732),
    _xlpm.ints,   _xlfn.HSTACK(R732,U732,X732,AA732,AD732,AG732),
    _xlpm.slopes, _xlfn.HSTACK(Q732,T732,W732,Z732,AC732,AF732),
    _xlpm.limit,  -0.00001*_xlpm.slopes + 0.1086*_xlpm.slopes + 63.253,
    _xlpm.mask,   (_xlpm.vals&gt;=0) * (_xlpm.ints&lt;=_xlpm.limit),
    _xlpm.validVals, _xlfn._xlws.FILTER(_xlpm.vals, _xlpm.mask),
    _xlpm.minVal, MIN(_xlpm.validVals),
    IFERROR( _xlfn.XMATCH(_xlpm.minVal, _xlpm.vals), "" )
)</f>
        <v>4</v>
      </c>
      <c r="AJ732" cm="1">
        <f t="array" ref="AJ732">_xlfn.LET(
    _xlpm.vals, CHOOSE({1,2,3,4,5,6}, S732, V732, Y732, AB732, AE732, AH732),
    _xlpm.slopes, CHOOSE({1,2,3,4,5,6}, Q732, T732, W732, Z732, AC732, AF732),
    _xlpm.ints, CHOOSE({1,2,3,4,5,6}, R732, U732, X732, AA732, AD732, AG732),
    _xlpm.limit, -0.00001*_xlpm.slopes + 0.1086*_xlpm.slopes + 63.253,
    _xlpm.valid, (_xlpm.vals &gt;= 0) * (_xlpm.ints &lt;= _xlpm.limit),
    _xlpm.target, MIN(_xlfn._xlws.FILTER(_xlpm.vals, _xlpm.valid)),
    IFERROR(
        _xlfn.XLOOKUP(_xlpm.target, _xlpm.vals, _xlpm.vals),
        CHOOSE({1,2,3,4,5,6}, S$1, V$1, Y$1, AB$1, AE$1, AH$1)
    )
)</f>
        <v>0.3609420857469976</v>
      </c>
    </row>
    <row r="733" spans="9:36" x14ac:dyDescent="0.45">
      <c r="I733">
        <v>731</v>
      </c>
      <c r="J733">
        <v>18.3</v>
      </c>
      <c r="K733">
        <f t="shared" si="254"/>
        <v>18.3</v>
      </c>
      <c r="L733">
        <f t="shared" si="253"/>
        <v>5.0833333333333338E-3</v>
      </c>
      <c r="M733">
        <v>-0.46</v>
      </c>
      <c r="N733">
        <f t="shared" si="255"/>
        <v>0</v>
      </c>
      <c r="O733">
        <f t="shared" si="256"/>
        <v>237.81184500536193</v>
      </c>
      <c r="P733">
        <f t="shared" si="257"/>
        <v>760.99790401715825</v>
      </c>
      <c r="Q733">
        <f t="shared" si="258"/>
        <v>3485.3704003985849</v>
      </c>
      <c r="R733">
        <f t="shared" si="259"/>
        <v>0</v>
      </c>
      <c r="S733">
        <f t="shared" si="260"/>
        <v>1.3710087990367175</v>
      </c>
      <c r="T733">
        <f t="shared" si="261"/>
        <v>2252.5537958907885</v>
      </c>
      <c r="U733">
        <f t="shared" si="262"/>
        <v>0</v>
      </c>
      <c r="V733">
        <f t="shared" si="263"/>
        <v>0.6042935764744426</v>
      </c>
      <c r="W733">
        <f t="shared" si="264"/>
        <v>1453.5059966727722</v>
      </c>
      <c r="X733">
        <f t="shared" si="265"/>
        <v>0</v>
      </c>
      <c r="Y733">
        <f t="shared" si="266"/>
        <v>0.40075523792122558</v>
      </c>
      <c r="Z733">
        <f t="shared" si="267"/>
        <v>1095.8369817847079</v>
      </c>
      <c r="AA733">
        <f t="shared" si="268"/>
        <v>0</v>
      </c>
      <c r="AB733">
        <f t="shared" si="269"/>
        <v>0.33683157602617197</v>
      </c>
      <c r="AC733">
        <f t="shared" si="270"/>
        <v>6000</v>
      </c>
      <c r="AD733">
        <f t="shared" si="271"/>
        <v>0</v>
      </c>
      <c r="AE733">
        <f t="shared" si="272"/>
        <v>6.7000407999999982</v>
      </c>
      <c r="AF733">
        <f t="shared" si="273"/>
        <v>6000</v>
      </c>
      <c r="AG733">
        <f t="shared" si="274"/>
        <v>0</v>
      </c>
      <c r="AH733">
        <f t="shared" si="275"/>
        <v>6.7000407999999982</v>
      </c>
      <c r="AI733" cm="1">
        <f t="array" ref="AI733">_xlfn.LET(
    _xlpm.vals,   _xlfn.HSTACK(S733,V733,Y733,AB733,AE733,AH733),
    _xlpm.ints,   _xlfn.HSTACK(R733,U733,X733,AA733,AD733,AG733),
    _xlpm.slopes, _xlfn.HSTACK(Q733,T733,W733,Z733,AC733,AF733),
    _xlpm.limit,  -0.00001*_xlpm.slopes + 0.1086*_xlpm.slopes + 63.253,
    _xlpm.mask,   (_xlpm.vals&gt;=0) * (_xlpm.ints&lt;=_xlpm.limit),
    _xlpm.validVals, _xlfn._xlws.FILTER(_xlpm.vals, _xlpm.mask),
    _xlpm.minVal, MIN(_xlpm.validVals),
    IFERROR( _xlfn.XMATCH(_xlpm.minVal, _xlpm.vals), "" )
)</f>
        <v>4</v>
      </c>
      <c r="AJ733" cm="1">
        <f t="array" ref="AJ733">_xlfn.LET(
    _xlpm.vals, CHOOSE({1,2,3,4,5,6}, S733, V733, Y733, AB733, AE733, AH733),
    _xlpm.slopes, CHOOSE({1,2,3,4,5,6}, Q733, T733, W733, Z733, AC733, AF733),
    _xlpm.ints, CHOOSE({1,2,3,4,5,6}, R733, U733, X733, AA733, AD733, AG733),
    _xlpm.limit, -0.00001*_xlpm.slopes + 0.1086*_xlpm.slopes + 63.253,
    _xlpm.valid, (_xlpm.vals &gt;= 0) * (_xlpm.ints &lt;= _xlpm.limit),
    _xlpm.target, MIN(_xlfn._xlws.FILTER(_xlpm.vals, _xlpm.valid)),
    IFERROR(
        _xlfn.XLOOKUP(_xlpm.target, _xlpm.vals, _xlpm.vals),
        CHOOSE({1,2,3,4,5,6}, S$1, V$1, Y$1, AB$1, AE$1, AH$1)
    )
)</f>
        <v>0.33683157602617197</v>
      </c>
    </row>
    <row r="734" spans="9:36" x14ac:dyDescent="0.45">
      <c r="I734">
        <v>732</v>
      </c>
      <c r="J734">
        <v>16.2</v>
      </c>
      <c r="K734">
        <f t="shared" si="254"/>
        <v>16.2</v>
      </c>
      <c r="L734">
        <f t="shared" si="253"/>
        <v>4.4999999999999997E-3</v>
      </c>
      <c r="M734">
        <v>-1.02</v>
      </c>
      <c r="N734">
        <f t="shared" si="255"/>
        <v>0</v>
      </c>
      <c r="O734">
        <f t="shared" si="256"/>
        <v>210.52196115228756</v>
      </c>
      <c r="P734">
        <f t="shared" si="257"/>
        <v>673.67027568732021</v>
      </c>
      <c r="Q734">
        <f t="shared" si="258"/>
        <v>3085.4098626479267</v>
      </c>
      <c r="R734">
        <f t="shared" si="259"/>
        <v>0</v>
      </c>
      <c r="S734">
        <f t="shared" si="260"/>
        <v>1.0359010849441412</v>
      </c>
      <c r="T734">
        <f t="shared" si="261"/>
        <v>1994.0640160344678</v>
      </c>
      <c r="U734">
        <f t="shared" si="262"/>
        <v>0</v>
      </c>
      <c r="V734">
        <f t="shared" si="263"/>
        <v>0.52322754204817812</v>
      </c>
      <c r="W734">
        <f t="shared" si="264"/>
        <v>1286.7102265627816</v>
      </c>
      <c r="X734">
        <f t="shared" si="265"/>
        <v>0</v>
      </c>
      <c r="Y734">
        <f t="shared" si="266"/>
        <v>0.37033316042112874</v>
      </c>
      <c r="Z734">
        <f t="shared" si="267"/>
        <v>6000</v>
      </c>
      <c r="AA734">
        <f t="shared" si="268"/>
        <v>0</v>
      </c>
      <c r="AB734">
        <f t="shared" si="269"/>
        <v>6.7000407999999982</v>
      </c>
      <c r="AC734">
        <f t="shared" si="270"/>
        <v>6000</v>
      </c>
      <c r="AD734">
        <f t="shared" si="271"/>
        <v>0</v>
      </c>
      <c r="AE734">
        <f t="shared" si="272"/>
        <v>6.7000407999999982</v>
      </c>
      <c r="AF734">
        <f t="shared" si="273"/>
        <v>6000</v>
      </c>
      <c r="AG734">
        <f t="shared" si="274"/>
        <v>0</v>
      </c>
      <c r="AH734">
        <f t="shared" si="275"/>
        <v>6.7000407999999982</v>
      </c>
      <c r="AI734" cm="1">
        <f t="array" ref="AI734">_xlfn.LET(
    _xlpm.vals,   _xlfn.HSTACK(S734,V734,Y734,AB734,AE734,AH734),
    _xlpm.ints,   _xlfn.HSTACK(R734,U734,X734,AA734,AD734,AG734),
    _xlpm.slopes, _xlfn.HSTACK(Q734,T734,W734,Z734,AC734,AF734),
    _xlpm.limit,  -0.00001*_xlpm.slopes + 0.1086*_xlpm.slopes + 63.253,
    _xlpm.mask,   (_xlpm.vals&gt;=0) * (_xlpm.ints&lt;=_xlpm.limit),
    _xlpm.validVals, _xlfn._xlws.FILTER(_xlpm.vals, _xlpm.mask),
    _xlpm.minVal, MIN(_xlpm.validVals),
    IFERROR( _xlfn.XMATCH(_xlpm.minVal, _xlpm.vals), "" )
)</f>
        <v>3</v>
      </c>
      <c r="AJ734" cm="1">
        <f t="array" ref="AJ734">_xlfn.LET(
    _xlpm.vals, CHOOSE({1,2,3,4,5,6}, S734, V734, Y734, AB734, AE734, AH734),
    _xlpm.slopes, CHOOSE({1,2,3,4,5,6}, Q734, T734, W734, Z734, AC734, AF734),
    _xlpm.ints, CHOOSE({1,2,3,4,5,6}, R734, U734, X734, AA734, AD734, AG734),
    _xlpm.limit, -0.00001*_xlpm.slopes + 0.1086*_xlpm.slopes + 63.253,
    _xlpm.valid, (_xlpm.vals &gt;= 0) * (_xlpm.ints &lt;= _xlpm.limit),
    _xlpm.target, MIN(_xlfn._xlws.FILTER(_xlpm.vals, _xlpm.valid)),
    IFERROR(
        _xlfn.XLOOKUP(_xlpm.target, _xlpm.vals, _xlpm.vals),
        CHOOSE({1,2,3,4,5,6}, S$1, V$1, Y$1, AB$1, AE$1, AH$1)
    )
)</f>
        <v>0.37033316042112874</v>
      </c>
    </row>
    <row r="735" spans="9:36" x14ac:dyDescent="0.45">
      <c r="I735">
        <v>733</v>
      </c>
      <c r="J735">
        <v>14.4</v>
      </c>
      <c r="K735">
        <f t="shared" si="254"/>
        <v>14.4</v>
      </c>
      <c r="L735">
        <f t="shared" si="253"/>
        <v>4.0000000000000001E-3</v>
      </c>
      <c r="M735">
        <v>-0.92</v>
      </c>
      <c r="N735">
        <f t="shared" si="255"/>
        <v>0</v>
      </c>
      <c r="O735">
        <f t="shared" si="256"/>
        <v>187.13063213536674</v>
      </c>
      <c r="P735">
        <f t="shared" si="257"/>
        <v>598.81802283317359</v>
      </c>
      <c r="Q735">
        <f t="shared" si="258"/>
        <v>2742.586544575935</v>
      </c>
      <c r="R735">
        <f t="shared" si="259"/>
        <v>0</v>
      </c>
      <c r="S735">
        <f t="shared" si="260"/>
        <v>0.82069213334355218</v>
      </c>
      <c r="T735">
        <f t="shared" si="261"/>
        <v>1772.5013475861938</v>
      </c>
      <c r="U735">
        <f t="shared" si="262"/>
        <v>0</v>
      </c>
      <c r="V735">
        <f t="shared" si="263"/>
        <v>0.46696238884793367</v>
      </c>
      <c r="W735">
        <f t="shared" si="264"/>
        <v>1143.7424236113616</v>
      </c>
      <c r="X735">
        <f t="shared" si="265"/>
        <v>0</v>
      </c>
      <c r="Y735">
        <f t="shared" si="266"/>
        <v>0.34521030702986227</v>
      </c>
      <c r="Z735">
        <f t="shared" si="267"/>
        <v>6000</v>
      </c>
      <c r="AA735">
        <f t="shared" si="268"/>
        <v>0</v>
      </c>
      <c r="AB735">
        <f t="shared" si="269"/>
        <v>6.7000407999999982</v>
      </c>
      <c r="AC735">
        <f t="shared" si="270"/>
        <v>6000</v>
      </c>
      <c r="AD735">
        <f t="shared" si="271"/>
        <v>0</v>
      </c>
      <c r="AE735">
        <f t="shared" si="272"/>
        <v>6.7000407999999982</v>
      </c>
      <c r="AF735">
        <f t="shared" si="273"/>
        <v>6000</v>
      </c>
      <c r="AG735">
        <f t="shared" si="274"/>
        <v>0</v>
      </c>
      <c r="AH735">
        <f t="shared" si="275"/>
        <v>6.7000407999999982</v>
      </c>
      <c r="AI735" cm="1">
        <f t="array" ref="AI735">_xlfn.LET(
    _xlpm.vals,   _xlfn.HSTACK(S735,V735,Y735,AB735,AE735,AH735),
    _xlpm.ints,   _xlfn.HSTACK(R735,U735,X735,AA735,AD735,AG735),
    _xlpm.slopes, _xlfn.HSTACK(Q735,T735,W735,Z735,AC735,AF735),
    _xlpm.limit,  -0.00001*_xlpm.slopes + 0.1086*_xlpm.slopes + 63.253,
    _xlpm.mask,   (_xlpm.vals&gt;=0) * (_xlpm.ints&lt;=_xlpm.limit),
    _xlpm.validVals, _xlfn._xlws.FILTER(_xlpm.vals, _xlpm.mask),
    _xlpm.minVal, MIN(_xlpm.validVals),
    IFERROR( _xlfn.XMATCH(_xlpm.minVal, _xlpm.vals), "" )
)</f>
        <v>3</v>
      </c>
      <c r="AJ735" cm="1">
        <f t="array" ref="AJ735">_xlfn.LET(
    _xlpm.vals, CHOOSE({1,2,3,4,5,6}, S735, V735, Y735, AB735, AE735, AH735),
    _xlpm.slopes, CHOOSE({1,2,3,4,5,6}, Q735, T735, W735, Z735, AC735, AF735),
    _xlpm.ints, CHOOSE({1,2,3,4,5,6}, R735, U735, X735, AA735, AD735, AG735),
    _xlpm.limit, -0.00001*_xlpm.slopes + 0.1086*_xlpm.slopes + 63.253,
    _xlpm.valid, (_xlpm.vals &gt;= 0) * (_xlpm.ints &lt;= _xlpm.limit),
    _xlpm.target, MIN(_xlfn._xlws.FILTER(_xlpm.vals, _xlpm.valid)),
    IFERROR(
        _xlfn.XLOOKUP(_xlpm.target, _xlpm.vals, _xlpm.vals),
        CHOOSE({1,2,3,4,5,6}, S$1, V$1, Y$1, AB$1, AE$1, AH$1)
    )
)</f>
        <v>0.34521030702986227</v>
      </c>
    </row>
    <row r="736" spans="9:36" x14ac:dyDescent="0.45">
      <c r="I736">
        <v>734</v>
      </c>
      <c r="J736">
        <v>11.8</v>
      </c>
      <c r="K736">
        <f t="shared" si="254"/>
        <v>11.8</v>
      </c>
      <c r="L736">
        <f t="shared" si="253"/>
        <v>3.2777777777777779E-3</v>
      </c>
      <c r="M736">
        <v>-0.47</v>
      </c>
      <c r="N736">
        <f t="shared" si="255"/>
        <v>0</v>
      </c>
      <c r="O736">
        <f t="shared" si="256"/>
        <v>153.34315688870333</v>
      </c>
      <c r="P736">
        <f t="shared" si="257"/>
        <v>490.69810204385067</v>
      </c>
      <c r="Q736">
        <f t="shared" si="258"/>
        <v>2247.3973073608363</v>
      </c>
      <c r="R736">
        <f t="shared" si="259"/>
        <v>0</v>
      </c>
      <c r="S736">
        <f t="shared" si="260"/>
        <v>0.60248420468998409</v>
      </c>
      <c r="T736">
        <f t="shared" si="261"/>
        <v>1452.4663820497979</v>
      </c>
      <c r="U736">
        <f t="shared" si="262"/>
        <v>0</v>
      </c>
      <c r="V736">
        <f t="shared" si="263"/>
        <v>0.40055935170983115</v>
      </c>
      <c r="W736">
        <f t="shared" si="264"/>
        <v>6000</v>
      </c>
      <c r="X736">
        <f t="shared" si="265"/>
        <v>0</v>
      </c>
      <c r="Y736">
        <f t="shared" si="266"/>
        <v>6.7000407999999982</v>
      </c>
      <c r="Z736">
        <f t="shared" si="267"/>
        <v>6000</v>
      </c>
      <c r="AA736">
        <f t="shared" si="268"/>
        <v>0</v>
      </c>
      <c r="AB736">
        <f t="shared" si="269"/>
        <v>6.7000407999999982</v>
      </c>
      <c r="AC736">
        <f t="shared" si="270"/>
        <v>6000</v>
      </c>
      <c r="AD736">
        <f t="shared" si="271"/>
        <v>0</v>
      </c>
      <c r="AE736">
        <f t="shared" si="272"/>
        <v>6.7000407999999982</v>
      </c>
      <c r="AF736">
        <f t="shared" si="273"/>
        <v>6000</v>
      </c>
      <c r="AG736">
        <f t="shared" si="274"/>
        <v>0</v>
      </c>
      <c r="AH736">
        <f t="shared" si="275"/>
        <v>6.7000407999999982</v>
      </c>
      <c r="AI736" cm="1">
        <f t="array" ref="AI736">_xlfn.LET(
    _xlpm.vals,   _xlfn.HSTACK(S736,V736,Y736,AB736,AE736,AH736),
    _xlpm.ints,   _xlfn.HSTACK(R736,U736,X736,AA736,AD736,AG736),
    _xlpm.slopes, _xlfn.HSTACK(Q736,T736,W736,Z736,AC736,AF736),
    _xlpm.limit,  -0.00001*_xlpm.slopes + 0.1086*_xlpm.slopes + 63.253,
    _xlpm.mask,   (_xlpm.vals&gt;=0) * (_xlpm.ints&lt;=_xlpm.limit),
    _xlpm.validVals, _xlfn._xlws.FILTER(_xlpm.vals, _xlpm.mask),
    _xlpm.minVal, MIN(_xlpm.validVals),
    IFERROR( _xlfn.XMATCH(_xlpm.minVal, _xlpm.vals), "" )
)</f>
        <v>2</v>
      </c>
      <c r="AJ736" cm="1">
        <f t="array" ref="AJ736">_xlfn.LET(
    _xlpm.vals, CHOOSE({1,2,3,4,5,6}, S736, V736, Y736, AB736, AE736, AH736),
    _xlpm.slopes, CHOOSE({1,2,3,4,5,6}, Q736, T736, W736, Z736, AC736, AF736),
    _xlpm.ints, CHOOSE({1,2,3,4,5,6}, R736, U736, X736, AA736, AD736, AG736),
    _xlpm.limit, -0.00001*_xlpm.slopes + 0.1086*_xlpm.slopes + 63.253,
    _xlpm.valid, (_xlpm.vals &gt;= 0) * (_xlpm.ints &lt;= _xlpm.limit),
    _xlpm.target, MIN(_xlfn._xlws.FILTER(_xlpm.vals, _xlpm.valid)),
    IFERROR(
        _xlfn.XLOOKUP(_xlpm.target, _xlpm.vals, _xlpm.vals),
        CHOOSE({1,2,3,4,5,6}, S$1, V$1, Y$1, AB$1, AE$1, AH$1)
    )
)</f>
        <v>0.40055935170983115</v>
      </c>
    </row>
    <row r="737" spans="9:36" x14ac:dyDescent="0.45">
      <c r="I737">
        <v>735</v>
      </c>
      <c r="J737">
        <v>9.3000000000000007</v>
      </c>
      <c r="K737">
        <f t="shared" si="254"/>
        <v>9.3000000000000007</v>
      </c>
      <c r="L737">
        <f t="shared" si="253"/>
        <v>2.5833333333333333E-3</v>
      </c>
      <c r="M737">
        <v>0.61</v>
      </c>
      <c r="N737">
        <f t="shared" si="255"/>
        <v>0.61</v>
      </c>
      <c r="O737">
        <f t="shared" si="256"/>
        <v>120.8551999207577</v>
      </c>
      <c r="P737">
        <f t="shared" si="257"/>
        <v>386.73663974642466</v>
      </c>
      <c r="Q737">
        <f t="shared" si="258"/>
        <v>1771.253810038625</v>
      </c>
      <c r="R737">
        <f t="shared" si="259"/>
        <v>3.2886709313762008</v>
      </c>
      <c r="S737">
        <f t="shared" si="260"/>
        <v>0.50087058337333001</v>
      </c>
      <c r="T737">
        <f t="shared" si="261"/>
        <v>1144.7404536494171</v>
      </c>
      <c r="U737">
        <f t="shared" si="262"/>
        <v>5.0885516438185814</v>
      </c>
      <c r="V737">
        <f t="shared" si="263"/>
        <v>0.38089944712189566</v>
      </c>
      <c r="W737">
        <f t="shared" si="264"/>
        <v>6000</v>
      </c>
      <c r="X737">
        <f t="shared" si="265"/>
        <v>0.97084515286056161</v>
      </c>
      <c r="Y737">
        <f t="shared" si="266"/>
        <v>6.7060123018275641</v>
      </c>
      <c r="Z737">
        <f t="shared" si="267"/>
        <v>6000</v>
      </c>
      <c r="AA737">
        <f t="shared" si="268"/>
        <v>0.97084515286056161</v>
      </c>
      <c r="AB737">
        <f t="shared" si="269"/>
        <v>6.7060123018275641</v>
      </c>
      <c r="AC737">
        <f t="shared" si="270"/>
        <v>6000</v>
      </c>
      <c r="AD737">
        <f t="shared" si="271"/>
        <v>0.97084515286056161</v>
      </c>
      <c r="AE737">
        <f t="shared" si="272"/>
        <v>6.7060123018275641</v>
      </c>
      <c r="AF737">
        <f t="shared" si="273"/>
        <v>6000</v>
      </c>
      <c r="AG737">
        <f t="shared" si="274"/>
        <v>0.97084515286056161</v>
      </c>
      <c r="AH737">
        <f t="shared" si="275"/>
        <v>6.7060123018275641</v>
      </c>
      <c r="AI737" cm="1">
        <f t="array" ref="AI737">_xlfn.LET(
    _xlpm.vals,   _xlfn.HSTACK(S737,V737,Y737,AB737,AE737,AH737),
    _xlpm.ints,   _xlfn.HSTACK(R737,U737,X737,AA737,AD737,AG737),
    _xlpm.slopes, _xlfn.HSTACK(Q737,T737,W737,Z737,AC737,AF737),
    _xlpm.limit,  -0.00001*_xlpm.slopes + 0.1086*_xlpm.slopes + 63.253,
    _xlpm.mask,   (_xlpm.vals&gt;=0) * (_xlpm.ints&lt;=_xlpm.limit),
    _xlpm.validVals, _xlfn._xlws.FILTER(_xlpm.vals, _xlpm.mask),
    _xlpm.minVal, MIN(_xlpm.validVals),
    IFERROR( _xlfn.XMATCH(_xlpm.minVal, _xlpm.vals), "" )
)</f>
        <v>2</v>
      </c>
      <c r="AJ737" cm="1">
        <f t="array" ref="AJ737">_xlfn.LET(
    _xlpm.vals, CHOOSE({1,2,3,4,5,6}, S737, V737, Y737, AB737, AE737, AH737),
    _xlpm.slopes, CHOOSE({1,2,3,4,5,6}, Q737, T737, W737, Z737, AC737, AF737),
    _xlpm.ints, CHOOSE({1,2,3,4,5,6}, R737, U737, X737, AA737, AD737, AG737),
    _xlpm.limit, -0.00001*_xlpm.slopes + 0.1086*_xlpm.slopes + 63.253,
    _xlpm.valid, (_xlpm.vals &gt;= 0) * (_xlpm.ints &lt;= _xlpm.limit),
    _xlpm.target, MIN(_xlfn._xlws.FILTER(_xlpm.vals, _xlpm.valid)),
    IFERROR(
        _xlfn.XLOOKUP(_xlpm.target, _xlpm.vals, _xlpm.vals),
        CHOOSE({1,2,3,4,5,6}, S$1, V$1, Y$1, AB$1, AE$1, AH$1)
    )
)</f>
        <v>0.38089944712189566</v>
      </c>
    </row>
    <row r="738" spans="9:36" x14ac:dyDescent="0.45">
      <c r="I738">
        <v>736</v>
      </c>
      <c r="J738">
        <v>6.1</v>
      </c>
      <c r="K738">
        <f t="shared" si="254"/>
        <v>6.1</v>
      </c>
      <c r="L738">
        <f t="shared" si="253"/>
        <v>1.6944444444444444E-3</v>
      </c>
      <c r="M738">
        <v>1.29</v>
      </c>
      <c r="N738">
        <f t="shared" si="255"/>
        <v>1.29</v>
      </c>
      <c r="O738">
        <f t="shared" si="256"/>
        <v>79.270615001787277</v>
      </c>
      <c r="P738">
        <f t="shared" si="257"/>
        <v>253.66596800571929</v>
      </c>
      <c r="Q738">
        <f t="shared" si="258"/>
        <v>1161.7901334661944</v>
      </c>
      <c r="R738">
        <f t="shared" si="259"/>
        <v>10.603113454372561</v>
      </c>
      <c r="S738">
        <f t="shared" si="260"/>
        <v>0.42726031131050585</v>
      </c>
      <c r="T738">
        <f t="shared" si="261"/>
        <v>6000</v>
      </c>
      <c r="U738">
        <f t="shared" si="262"/>
        <v>2.05309876588545</v>
      </c>
      <c r="V738">
        <f t="shared" si="263"/>
        <v>6.7130385115787545</v>
      </c>
      <c r="W738">
        <f t="shared" si="264"/>
        <v>6000</v>
      </c>
      <c r="X738">
        <f t="shared" si="265"/>
        <v>2.05309876588545</v>
      </c>
      <c r="Y738">
        <f t="shared" si="266"/>
        <v>6.7130385115787545</v>
      </c>
      <c r="Z738">
        <f t="shared" si="267"/>
        <v>6000</v>
      </c>
      <c r="AA738">
        <f t="shared" si="268"/>
        <v>2.05309876588545</v>
      </c>
      <c r="AB738">
        <f t="shared" si="269"/>
        <v>6.7130385115787545</v>
      </c>
      <c r="AC738">
        <f t="shared" si="270"/>
        <v>6000</v>
      </c>
      <c r="AD738">
        <f t="shared" si="271"/>
        <v>2.05309876588545</v>
      </c>
      <c r="AE738">
        <f t="shared" si="272"/>
        <v>6.7130385115787545</v>
      </c>
      <c r="AF738">
        <f t="shared" si="273"/>
        <v>6000</v>
      </c>
      <c r="AG738">
        <f t="shared" si="274"/>
        <v>2.05309876588545</v>
      </c>
      <c r="AH738">
        <f t="shared" si="275"/>
        <v>6.7130385115787545</v>
      </c>
      <c r="AI738" cm="1">
        <f t="array" ref="AI738">_xlfn.LET(
    _xlpm.vals,   _xlfn.HSTACK(S738,V738,Y738,AB738,AE738,AH738),
    _xlpm.ints,   _xlfn.HSTACK(R738,U738,X738,AA738,AD738,AG738),
    _xlpm.slopes, _xlfn.HSTACK(Q738,T738,W738,Z738,AC738,AF738),
    _xlpm.limit,  -0.00001*_xlpm.slopes + 0.1086*_xlpm.slopes + 63.253,
    _xlpm.mask,   (_xlpm.vals&gt;=0) * (_xlpm.ints&lt;=_xlpm.limit),
    _xlpm.validVals, _xlfn._xlws.FILTER(_xlpm.vals, _xlpm.mask),
    _xlpm.minVal, MIN(_xlpm.validVals),
    IFERROR( _xlfn.XMATCH(_xlpm.minVal, _xlpm.vals), "" )
)</f>
        <v>1</v>
      </c>
      <c r="AJ738" cm="1">
        <f t="array" ref="AJ738">_xlfn.LET(
    _xlpm.vals, CHOOSE({1,2,3,4,5,6}, S738, V738, Y738, AB738, AE738, AH738),
    _xlpm.slopes, CHOOSE({1,2,3,4,5,6}, Q738, T738, W738, Z738, AC738, AF738),
    _xlpm.ints, CHOOSE({1,2,3,4,5,6}, R738, U738, X738, AA738, AD738, AG738),
    _xlpm.limit, -0.00001*_xlpm.slopes + 0.1086*_xlpm.slopes + 63.253,
    _xlpm.valid, (_xlpm.vals &gt;= 0) * (_xlpm.ints &lt;= _xlpm.limit),
    _xlpm.target, MIN(_xlfn._xlws.FILTER(_xlpm.vals, _xlpm.valid)),
    IFERROR(
        _xlfn.XLOOKUP(_xlpm.target, _xlpm.vals, _xlpm.vals),
        CHOOSE({1,2,3,4,5,6}, S$1, V$1, Y$1, AB$1, AE$1, AH$1)
    )
)</f>
        <v>0.42726031131050585</v>
      </c>
    </row>
    <row r="739" spans="9:36" x14ac:dyDescent="0.45">
      <c r="I739">
        <v>737</v>
      </c>
      <c r="J739">
        <v>2.6</v>
      </c>
      <c r="K739">
        <f t="shared" si="254"/>
        <v>2.6</v>
      </c>
      <c r="L739">
        <f t="shared" si="253"/>
        <v>7.222222222222223E-4</v>
      </c>
      <c r="M739">
        <v>0.69</v>
      </c>
      <c r="N739">
        <f t="shared" si="255"/>
        <v>0.69</v>
      </c>
      <c r="O739">
        <f t="shared" si="256"/>
        <v>33.78747524666344</v>
      </c>
      <c r="P739">
        <f t="shared" si="257"/>
        <v>108.11992078932302</v>
      </c>
      <c r="Q739">
        <f t="shared" si="258"/>
        <v>1000</v>
      </c>
      <c r="R739">
        <f t="shared" si="259"/>
        <v>6.5890146440044672</v>
      </c>
      <c r="S739">
        <f t="shared" si="260"/>
        <v>0.36012205628536287</v>
      </c>
      <c r="T739">
        <f t="shared" si="261"/>
        <v>6000</v>
      </c>
      <c r="U739">
        <f t="shared" si="262"/>
        <v>1.0981691073340778</v>
      </c>
      <c r="V739">
        <f t="shared" si="263"/>
        <v>6.7068187448354131</v>
      </c>
      <c r="W739">
        <f t="shared" si="264"/>
        <v>6000</v>
      </c>
      <c r="X739">
        <f t="shared" si="265"/>
        <v>1.0981691073340778</v>
      </c>
      <c r="Y739">
        <f t="shared" si="266"/>
        <v>6.7068187448354131</v>
      </c>
      <c r="Z739">
        <f t="shared" si="267"/>
        <v>6000</v>
      </c>
      <c r="AA739">
        <f t="shared" si="268"/>
        <v>1.0981691073340778</v>
      </c>
      <c r="AB739">
        <f t="shared" si="269"/>
        <v>6.7068187448354131</v>
      </c>
      <c r="AC739">
        <f t="shared" si="270"/>
        <v>6000</v>
      </c>
      <c r="AD739">
        <f t="shared" si="271"/>
        <v>1.0981691073340778</v>
      </c>
      <c r="AE739">
        <f t="shared" si="272"/>
        <v>6.7068187448354131</v>
      </c>
      <c r="AF739">
        <f t="shared" si="273"/>
        <v>6000</v>
      </c>
      <c r="AG739">
        <f t="shared" si="274"/>
        <v>1.0981691073340778</v>
      </c>
      <c r="AH739">
        <f t="shared" si="275"/>
        <v>6.7068187448354131</v>
      </c>
      <c r="AI739" cm="1">
        <f t="array" ref="AI739">_xlfn.LET(
    _xlpm.vals,   _xlfn.HSTACK(S739,V739,Y739,AB739,AE739,AH739),
    _xlpm.ints,   _xlfn.HSTACK(R739,U739,X739,AA739,AD739,AG739),
    _xlpm.slopes, _xlfn.HSTACK(Q739,T739,W739,Z739,AC739,AF739),
    _xlpm.limit,  -0.00001*_xlpm.slopes + 0.1086*_xlpm.slopes + 63.253,
    _xlpm.mask,   (_xlpm.vals&gt;=0) * (_xlpm.ints&lt;=_xlpm.limit),
    _xlpm.validVals, _xlfn._xlws.FILTER(_xlpm.vals, _xlpm.mask),
    _xlpm.minVal, MIN(_xlpm.validVals),
    IFERROR( _xlfn.XMATCH(_xlpm.minVal, _xlpm.vals), "" )
)</f>
        <v>1</v>
      </c>
      <c r="AJ739" cm="1">
        <f t="array" ref="AJ739">_xlfn.LET(
    _xlpm.vals, CHOOSE({1,2,3,4,5,6}, S739, V739, Y739, AB739, AE739, AH739),
    _xlpm.slopes, CHOOSE({1,2,3,4,5,6}, Q739, T739, W739, Z739, AC739, AF739),
    _xlpm.ints, CHOOSE({1,2,3,4,5,6}, R739, U739, X739, AA739, AD739, AG739),
    _xlpm.limit, -0.00001*_xlpm.slopes + 0.1086*_xlpm.slopes + 63.253,
    _xlpm.valid, (_xlpm.vals &gt;= 0) * (_xlpm.ints &lt;= _xlpm.limit),
    _xlpm.target, MIN(_xlfn._xlws.FILTER(_xlpm.vals, _xlpm.valid)),
    IFERROR(
        _xlfn.XLOOKUP(_xlpm.target, _xlpm.vals, _xlpm.vals),
        CHOOSE({1,2,3,4,5,6}, S$1, V$1, Y$1, AB$1, AE$1, AH$1)
    )
)</f>
        <v>0.36012205628536287</v>
      </c>
    </row>
    <row r="740" spans="9:36" x14ac:dyDescent="0.45">
      <c r="I740">
        <v>738</v>
      </c>
      <c r="J740">
        <v>2.4</v>
      </c>
      <c r="K740">
        <f t="shared" si="254"/>
        <v>2.4</v>
      </c>
      <c r="L740">
        <f t="shared" si="253"/>
        <v>6.6666666666666664E-4</v>
      </c>
      <c r="M740">
        <v>0.98</v>
      </c>
      <c r="N740">
        <f t="shared" si="255"/>
        <v>0.98</v>
      </c>
      <c r="O740">
        <f t="shared" si="256"/>
        <v>31.188438689227784</v>
      </c>
      <c r="P740">
        <f t="shared" si="257"/>
        <v>99.803003805528917</v>
      </c>
      <c r="Q740">
        <f t="shared" si="258"/>
        <v>1000</v>
      </c>
      <c r="R740">
        <f t="shared" si="259"/>
        <v>9.3583106538034464</v>
      </c>
      <c r="S740">
        <f t="shared" si="260"/>
        <v>0.37857045374971388</v>
      </c>
      <c r="T740">
        <f t="shared" si="261"/>
        <v>6000</v>
      </c>
      <c r="U740">
        <f t="shared" si="262"/>
        <v>1.5597184423005743</v>
      </c>
      <c r="V740">
        <f t="shared" si="263"/>
        <v>6.7097872355151065</v>
      </c>
      <c r="W740">
        <f t="shared" si="264"/>
        <v>6000</v>
      </c>
      <c r="X740">
        <f t="shared" si="265"/>
        <v>1.5597184423005743</v>
      </c>
      <c r="Y740">
        <f t="shared" si="266"/>
        <v>6.7097872355151065</v>
      </c>
      <c r="Z740">
        <f t="shared" si="267"/>
        <v>6000</v>
      </c>
      <c r="AA740">
        <f t="shared" si="268"/>
        <v>1.5597184423005743</v>
      </c>
      <c r="AB740">
        <f t="shared" si="269"/>
        <v>6.7097872355151065</v>
      </c>
      <c r="AC740">
        <f t="shared" si="270"/>
        <v>6000</v>
      </c>
      <c r="AD740">
        <f t="shared" si="271"/>
        <v>1.5597184423005743</v>
      </c>
      <c r="AE740">
        <f t="shared" si="272"/>
        <v>6.7097872355151065</v>
      </c>
      <c r="AF740">
        <f t="shared" si="273"/>
        <v>6000</v>
      </c>
      <c r="AG740">
        <f t="shared" si="274"/>
        <v>1.5597184423005743</v>
      </c>
      <c r="AH740">
        <f t="shared" si="275"/>
        <v>6.7097872355151065</v>
      </c>
      <c r="AI740" cm="1">
        <f t="array" ref="AI740">_xlfn.LET(
    _xlpm.vals,   _xlfn.HSTACK(S740,V740,Y740,AB740,AE740,AH740),
    _xlpm.ints,   _xlfn.HSTACK(R740,U740,X740,AA740,AD740,AG740),
    _xlpm.slopes, _xlfn.HSTACK(Q740,T740,W740,Z740,AC740,AF740),
    _xlpm.limit,  -0.00001*_xlpm.slopes + 0.1086*_xlpm.slopes + 63.253,
    _xlpm.mask,   (_xlpm.vals&gt;=0) * (_xlpm.ints&lt;=_xlpm.limit),
    _xlpm.validVals, _xlfn._xlws.FILTER(_xlpm.vals, _xlpm.mask),
    _xlpm.minVal, MIN(_xlpm.validVals),
    IFERROR( _xlfn.XMATCH(_xlpm.minVal, _xlpm.vals), "" )
)</f>
        <v>1</v>
      </c>
      <c r="AJ740" cm="1">
        <f t="array" ref="AJ740">_xlfn.LET(
    _xlpm.vals, CHOOSE({1,2,3,4,5,6}, S740, V740, Y740, AB740, AE740, AH740),
    _xlpm.slopes, CHOOSE({1,2,3,4,5,6}, Q740, T740, W740, Z740, AC740, AF740),
    _xlpm.ints, CHOOSE({1,2,3,4,5,6}, R740, U740, X740, AA740, AD740, AG740),
    _xlpm.limit, -0.00001*_xlpm.slopes + 0.1086*_xlpm.slopes + 63.253,
    _xlpm.valid, (_xlpm.vals &gt;= 0) * (_xlpm.ints &lt;= _xlpm.limit),
    _xlpm.target, MIN(_xlfn._xlws.FILTER(_xlpm.vals, _xlpm.valid)),
    IFERROR(
        _xlfn.XLOOKUP(_xlpm.target, _xlpm.vals, _xlpm.vals),
        CHOOSE({1,2,3,4,5,6}, S$1, V$1, Y$1, AB$1, AE$1, AH$1)
    )
)</f>
        <v>0.37857045374971388</v>
      </c>
    </row>
    <row r="741" spans="9:36" x14ac:dyDescent="0.45">
      <c r="I741">
        <v>739</v>
      </c>
      <c r="J741">
        <v>1.6</v>
      </c>
      <c r="K741">
        <f t="shared" si="254"/>
        <v>1.6</v>
      </c>
      <c r="L741">
        <f t="shared" si="253"/>
        <v>4.4444444444444447E-4</v>
      </c>
      <c r="M741">
        <v>0.73</v>
      </c>
      <c r="N741">
        <f t="shared" si="255"/>
        <v>0.73</v>
      </c>
      <c r="O741">
        <f t="shared" si="256"/>
        <v>20.792292459485193</v>
      </c>
      <c r="P741">
        <f t="shared" si="257"/>
        <v>66.535335870352625</v>
      </c>
      <c r="Q741">
        <f t="shared" si="258"/>
        <v>1000</v>
      </c>
      <c r="R741">
        <f t="shared" si="259"/>
        <v>6.9709865074250166</v>
      </c>
      <c r="S741">
        <f t="shared" si="260"/>
        <v>0.36261399032326708</v>
      </c>
      <c r="T741">
        <f t="shared" si="261"/>
        <v>6000</v>
      </c>
      <c r="U741">
        <f t="shared" si="262"/>
        <v>1.1618310845708359</v>
      </c>
      <c r="V741">
        <f t="shared" si="263"/>
        <v>6.707223987098466</v>
      </c>
      <c r="W741">
        <f t="shared" si="264"/>
        <v>6000</v>
      </c>
      <c r="X741">
        <f t="shared" si="265"/>
        <v>1.1618310845708359</v>
      </c>
      <c r="Y741">
        <f t="shared" si="266"/>
        <v>6.707223987098466</v>
      </c>
      <c r="Z741">
        <f t="shared" si="267"/>
        <v>6000</v>
      </c>
      <c r="AA741">
        <f t="shared" si="268"/>
        <v>1.1618310845708359</v>
      </c>
      <c r="AB741">
        <f t="shared" si="269"/>
        <v>6.707223987098466</v>
      </c>
      <c r="AC741">
        <f t="shared" si="270"/>
        <v>6000</v>
      </c>
      <c r="AD741">
        <f t="shared" si="271"/>
        <v>1.1618310845708359</v>
      </c>
      <c r="AE741">
        <f t="shared" si="272"/>
        <v>6.707223987098466</v>
      </c>
      <c r="AF741">
        <f t="shared" si="273"/>
        <v>6000</v>
      </c>
      <c r="AG741">
        <f t="shared" si="274"/>
        <v>1.1618310845708359</v>
      </c>
      <c r="AH741">
        <f t="shared" si="275"/>
        <v>6.707223987098466</v>
      </c>
      <c r="AI741" cm="1">
        <f t="array" ref="AI741">_xlfn.LET(
    _xlpm.vals,   _xlfn.HSTACK(S741,V741,Y741,AB741,AE741,AH741),
    _xlpm.ints,   _xlfn.HSTACK(R741,U741,X741,AA741,AD741,AG741),
    _xlpm.slopes, _xlfn.HSTACK(Q741,T741,W741,Z741,AC741,AF741),
    _xlpm.limit,  -0.00001*_xlpm.slopes + 0.1086*_xlpm.slopes + 63.253,
    _xlpm.mask,   (_xlpm.vals&gt;=0) * (_xlpm.ints&lt;=_xlpm.limit),
    _xlpm.validVals, _xlfn._xlws.FILTER(_xlpm.vals, _xlpm.mask),
    _xlpm.minVal, MIN(_xlpm.validVals),
    IFERROR( _xlfn.XMATCH(_xlpm.minVal, _xlpm.vals), "" )
)</f>
        <v>1</v>
      </c>
      <c r="AJ741" cm="1">
        <f t="array" ref="AJ741">_xlfn.LET(
    _xlpm.vals, CHOOSE({1,2,3,4,5,6}, S741, V741, Y741, AB741, AE741, AH741),
    _xlpm.slopes, CHOOSE({1,2,3,4,5,6}, Q741, T741, W741, Z741, AC741, AF741),
    _xlpm.ints, CHOOSE({1,2,3,4,5,6}, R741, U741, X741, AA741, AD741, AG741),
    _xlpm.limit, -0.00001*_xlpm.slopes + 0.1086*_xlpm.slopes + 63.253,
    _xlpm.valid, (_xlpm.vals &gt;= 0) * (_xlpm.ints &lt;= _xlpm.limit),
    _xlpm.target, MIN(_xlfn._xlws.FILTER(_xlpm.vals, _xlpm.valid)),
    IFERROR(
        _xlfn.XLOOKUP(_xlpm.target, _xlpm.vals, _xlpm.vals),
        CHOOSE({1,2,3,4,5,6}, S$1, V$1, Y$1, AB$1, AE$1, AH$1)
    )
)</f>
        <v>0.36261399032326708</v>
      </c>
    </row>
    <row r="742" spans="9:36" x14ac:dyDescent="0.45">
      <c r="I742">
        <v>740</v>
      </c>
      <c r="J742">
        <v>0.3</v>
      </c>
      <c r="K742">
        <f t="shared" si="254"/>
        <v>0.3</v>
      </c>
      <c r="L742">
        <f t="shared" si="253"/>
        <v>8.3333333333333331E-5</v>
      </c>
      <c r="M742">
        <v>1.1499999999999999</v>
      </c>
      <c r="N742">
        <f t="shared" si="255"/>
        <v>1.1499999999999999</v>
      </c>
      <c r="O742">
        <f t="shared" si="256"/>
        <v>3.898554836153473</v>
      </c>
      <c r="P742">
        <f t="shared" si="257"/>
        <v>12.475375475691115</v>
      </c>
      <c r="Q742">
        <f t="shared" si="258"/>
        <v>1000</v>
      </c>
      <c r="R742">
        <f t="shared" si="259"/>
        <v>10.981691073340778</v>
      </c>
      <c r="S742">
        <f t="shared" si="260"/>
        <v>0.38978698399007022</v>
      </c>
      <c r="T742">
        <f t="shared" si="261"/>
        <v>6000</v>
      </c>
      <c r="U742">
        <f t="shared" si="262"/>
        <v>1.8302818455567964</v>
      </c>
      <c r="V742">
        <f t="shared" si="263"/>
        <v>6.7115602201418918</v>
      </c>
      <c r="W742">
        <f t="shared" si="264"/>
        <v>6000</v>
      </c>
      <c r="X742">
        <f t="shared" si="265"/>
        <v>1.8302818455567964</v>
      </c>
      <c r="Y742">
        <f t="shared" si="266"/>
        <v>6.7115602201418918</v>
      </c>
      <c r="Z742">
        <f t="shared" si="267"/>
        <v>6000</v>
      </c>
      <c r="AA742">
        <f t="shared" si="268"/>
        <v>1.8302818455567964</v>
      </c>
      <c r="AB742">
        <f t="shared" si="269"/>
        <v>6.7115602201418918</v>
      </c>
      <c r="AC742">
        <f t="shared" si="270"/>
        <v>6000</v>
      </c>
      <c r="AD742">
        <f t="shared" si="271"/>
        <v>1.8302818455567964</v>
      </c>
      <c r="AE742">
        <f t="shared" si="272"/>
        <v>6.7115602201418918</v>
      </c>
      <c r="AF742">
        <f t="shared" si="273"/>
        <v>6000</v>
      </c>
      <c r="AG742">
        <f t="shared" si="274"/>
        <v>1.8302818455567964</v>
      </c>
      <c r="AH742">
        <f t="shared" si="275"/>
        <v>6.7115602201418918</v>
      </c>
      <c r="AI742" cm="1">
        <f t="array" ref="AI742">_xlfn.LET(
    _xlpm.vals,   _xlfn.HSTACK(S742,V742,Y742,AB742,AE742,AH742),
    _xlpm.ints,   _xlfn.HSTACK(R742,U742,X742,AA742,AD742,AG742),
    _xlpm.slopes, _xlfn.HSTACK(Q742,T742,W742,Z742,AC742,AF742),
    _xlpm.limit,  -0.00001*_xlpm.slopes + 0.1086*_xlpm.slopes + 63.253,
    _xlpm.mask,   (_xlpm.vals&gt;=0) * (_xlpm.ints&lt;=_xlpm.limit),
    _xlpm.validVals, _xlfn._xlws.FILTER(_xlpm.vals, _xlpm.mask),
    _xlpm.minVal, MIN(_xlpm.validVals),
    IFERROR( _xlfn.XMATCH(_xlpm.minVal, _xlpm.vals), "" )
)</f>
        <v>1</v>
      </c>
      <c r="AJ742" cm="1">
        <f t="array" ref="AJ742">_xlfn.LET(
    _xlpm.vals, CHOOSE({1,2,3,4,5,6}, S742, V742, Y742, AB742, AE742, AH742),
    _xlpm.slopes, CHOOSE({1,2,3,4,5,6}, Q742, T742, W742, Z742, AC742, AF742),
    _xlpm.ints, CHOOSE({1,2,3,4,5,6}, R742, U742, X742, AA742, AD742, AG742),
    _xlpm.limit, -0.00001*_xlpm.slopes + 0.1086*_xlpm.slopes + 63.253,
    _xlpm.valid, (_xlpm.vals &gt;= 0) * (_xlpm.ints &lt;= _xlpm.limit),
    _xlpm.target, MIN(_xlfn._xlws.FILTER(_xlpm.vals, _xlpm.valid)),
    IFERROR(
        _xlfn.XLOOKUP(_xlpm.target, _xlpm.vals, _xlpm.vals),
        CHOOSE({1,2,3,4,5,6}, S$1, V$1, Y$1, AB$1, AE$1, AH$1)
    )
)</f>
        <v>0.38978698399007022</v>
      </c>
    </row>
    <row r="743" spans="9:36" x14ac:dyDescent="0.45">
      <c r="I743">
        <v>741</v>
      </c>
      <c r="J743">
        <v>0.5</v>
      </c>
      <c r="K743">
        <f t="shared" si="254"/>
        <v>0.5</v>
      </c>
      <c r="L743">
        <f t="shared" si="253"/>
        <v>1.3888888888888889E-4</v>
      </c>
      <c r="M743">
        <v>0.94</v>
      </c>
      <c r="N743">
        <f t="shared" si="255"/>
        <v>0.94</v>
      </c>
      <c r="O743">
        <f t="shared" si="256"/>
        <v>6.4975913935891221</v>
      </c>
      <c r="P743">
        <f t="shared" si="257"/>
        <v>20.792292459485193</v>
      </c>
      <c r="Q743">
        <f t="shared" si="258"/>
        <v>1000</v>
      </c>
      <c r="R743">
        <f t="shared" si="259"/>
        <v>8.9763387903828971</v>
      </c>
      <c r="S743">
        <f t="shared" si="260"/>
        <v>0.37597381066607521</v>
      </c>
      <c r="T743">
        <f t="shared" si="261"/>
        <v>6000</v>
      </c>
      <c r="U743">
        <f t="shared" si="262"/>
        <v>1.4960564650638162</v>
      </c>
      <c r="V743">
        <f t="shared" si="263"/>
        <v>6.7093735867418705</v>
      </c>
      <c r="W743">
        <f t="shared" si="264"/>
        <v>6000</v>
      </c>
      <c r="X743">
        <f t="shared" si="265"/>
        <v>1.4960564650638162</v>
      </c>
      <c r="Y743">
        <f t="shared" si="266"/>
        <v>6.7093735867418705</v>
      </c>
      <c r="Z743">
        <f t="shared" si="267"/>
        <v>6000</v>
      </c>
      <c r="AA743">
        <f t="shared" si="268"/>
        <v>1.4960564650638162</v>
      </c>
      <c r="AB743">
        <f t="shared" si="269"/>
        <v>6.7093735867418705</v>
      </c>
      <c r="AC743">
        <f t="shared" si="270"/>
        <v>6000</v>
      </c>
      <c r="AD743">
        <f t="shared" si="271"/>
        <v>1.4960564650638162</v>
      </c>
      <c r="AE743">
        <f t="shared" si="272"/>
        <v>6.7093735867418705</v>
      </c>
      <c r="AF743">
        <f t="shared" si="273"/>
        <v>6000</v>
      </c>
      <c r="AG743">
        <f t="shared" si="274"/>
        <v>1.4960564650638162</v>
      </c>
      <c r="AH743">
        <f t="shared" si="275"/>
        <v>6.7093735867418705</v>
      </c>
      <c r="AI743" cm="1">
        <f t="array" ref="AI743">_xlfn.LET(
    _xlpm.vals,   _xlfn.HSTACK(S743,V743,Y743,AB743,AE743,AH743),
    _xlpm.ints,   _xlfn.HSTACK(R743,U743,X743,AA743,AD743,AG743),
    _xlpm.slopes, _xlfn.HSTACK(Q743,T743,W743,Z743,AC743,AF743),
    _xlpm.limit,  -0.00001*_xlpm.slopes + 0.1086*_xlpm.slopes + 63.253,
    _xlpm.mask,   (_xlpm.vals&gt;=0) * (_xlpm.ints&lt;=_xlpm.limit),
    _xlpm.validVals, _xlfn._xlws.FILTER(_xlpm.vals, _xlpm.mask),
    _xlpm.minVal, MIN(_xlpm.validVals),
    IFERROR( _xlfn.XMATCH(_xlpm.minVal, _xlpm.vals), "" )
)</f>
        <v>1</v>
      </c>
      <c r="AJ743" cm="1">
        <f t="array" ref="AJ743">_xlfn.LET(
    _xlpm.vals, CHOOSE({1,2,3,4,5,6}, S743, V743, Y743, AB743, AE743, AH743),
    _xlpm.slopes, CHOOSE({1,2,3,4,5,6}, Q743, T743, W743, Z743, AC743, AF743),
    _xlpm.ints, CHOOSE({1,2,3,4,5,6}, R743, U743, X743, AA743, AD743, AG743),
    _xlpm.limit, -0.00001*_xlpm.slopes + 0.1086*_xlpm.slopes + 63.253,
    _xlpm.valid, (_xlpm.vals &gt;= 0) * (_xlpm.ints &lt;= _xlpm.limit),
    _xlpm.target, MIN(_xlfn._xlws.FILTER(_xlpm.vals, _xlpm.valid)),
    IFERROR(
        _xlfn.XLOOKUP(_xlpm.target, _xlpm.vals, _xlpm.vals),
        CHOOSE({1,2,3,4,5,6}, S$1, V$1, Y$1, AB$1, AE$1, AH$1)
    )
)</f>
        <v>0.37597381066607521</v>
      </c>
    </row>
    <row r="744" spans="9:36" x14ac:dyDescent="0.45">
      <c r="I744">
        <v>742</v>
      </c>
      <c r="J744">
        <v>3.1</v>
      </c>
      <c r="K744">
        <f t="shared" si="254"/>
        <v>3.1</v>
      </c>
      <c r="L744">
        <f t="shared" si="253"/>
        <v>8.611111111111111E-4</v>
      </c>
      <c r="M744">
        <v>4.6100000000000003</v>
      </c>
      <c r="N744">
        <f t="shared" si="255"/>
        <v>4.6100000000000003</v>
      </c>
      <c r="O744">
        <f t="shared" si="256"/>
        <v>40.285066640252559</v>
      </c>
      <c r="P744">
        <f t="shared" si="257"/>
        <v>128.9122132488082</v>
      </c>
      <c r="Q744">
        <f t="shared" si="258"/>
        <v>1000</v>
      </c>
      <c r="R744">
        <f t="shared" si="259"/>
        <v>44.022257259218257</v>
      </c>
      <c r="S744">
        <f t="shared" si="260"/>
        <v>0.66772410573397811</v>
      </c>
      <c r="T744">
        <f t="shared" si="261"/>
        <v>6000</v>
      </c>
      <c r="U744">
        <f t="shared" si="262"/>
        <v>7.3370428765363753</v>
      </c>
      <c r="V744">
        <f t="shared" si="263"/>
        <v>6.7528502999353348</v>
      </c>
      <c r="W744">
        <f t="shared" si="264"/>
        <v>6000</v>
      </c>
      <c r="X744">
        <f t="shared" si="265"/>
        <v>7.3370428765363753</v>
      </c>
      <c r="Y744">
        <f t="shared" si="266"/>
        <v>6.7528502999353348</v>
      </c>
      <c r="Z744">
        <f t="shared" si="267"/>
        <v>6000</v>
      </c>
      <c r="AA744">
        <f t="shared" si="268"/>
        <v>7.3370428765363753</v>
      </c>
      <c r="AB744">
        <f t="shared" si="269"/>
        <v>6.7528502999353348</v>
      </c>
      <c r="AC744">
        <f t="shared" si="270"/>
        <v>6000</v>
      </c>
      <c r="AD744">
        <f t="shared" si="271"/>
        <v>7.3370428765363753</v>
      </c>
      <c r="AE744">
        <f t="shared" si="272"/>
        <v>6.7528502999353348</v>
      </c>
      <c r="AF744">
        <f t="shared" si="273"/>
        <v>6000</v>
      </c>
      <c r="AG744">
        <f t="shared" si="274"/>
        <v>7.3370428765363753</v>
      </c>
      <c r="AH744">
        <f t="shared" si="275"/>
        <v>6.7528502999353348</v>
      </c>
      <c r="AI744" cm="1">
        <f t="array" ref="AI744">_xlfn.LET(
    _xlpm.vals,   _xlfn.HSTACK(S744,V744,Y744,AB744,AE744,AH744),
    _xlpm.ints,   _xlfn.HSTACK(R744,U744,X744,AA744,AD744,AG744),
    _xlpm.slopes, _xlfn.HSTACK(Q744,T744,W744,Z744,AC744,AF744),
    _xlpm.limit,  -0.00001*_xlpm.slopes + 0.1086*_xlpm.slopes + 63.253,
    _xlpm.mask,   (_xlpm.vals&gt;=0) * (_xlpm.ints&lt;=_xlpm.limit),
    _xlpm.validVals, _xlfn._xlws.FILTER(_xlpm.vals, _xlpm.mask),
    _xlpm.minVal, MIN(_xlpm.validVals),
    IFERROR( _xlfn.XMATCH(_xlpm.minVal, _xlpm.vals), "" )
)</f>
        <v>1</v>
      </c>
      <c r="AJ744" cm="1">
        <f t="array" ref="AJ744">_xlfn.LET(
    _xlpm.vals, CHOOSE({1,2,3,4,5,6}, S744, V744, Y744, AB744, AE744, AH744),
    _xlpm.slopes, CHOOSE({1,2,3,4,5,6}, Q744, T744, W744, Z744, AC744, AF744),
    _xlpm.ints, CHOOSE({1,2,3,4,5,6}, R744, U744, X744, AA744, AD744, AG744),
    _xlpm.limit, -0.00001*_xlpm.slopes + 0.1086*_xlpm.slopes + 63.253,
    _xlpm.valid, (_xlpm.vals &gt;= 0) * (_xlpm.ints &lt;= _xlpm.limit),
    _xlpm.target, MIN(_xlfn._xlws.FILTER(_xlpm.vals, _xlpm.valid)),
    IFERROR(
        _xlfn.XLOOKUP(_xlpm.target, _xlpm.vals, _xlpm.vals),
        CHOOSE({1,2,3,4,5,6}, S$1, V$1, Y$1, AB$1, AE$1, AH$1)
    )
)</f>
        <v>0.66772410573397811</v>
      </c>
    </row>
    <row r="745" spans="9:36" x14ac:dyDescent="0.45">
      <c r="I745">
        <v>743</v>
      </c>
      <c r="J745">
        <v>6.6</v>
      </c>
      <c r="K745">
        <f t="shared" si="254"/>
        <v>6.6</v>
      </c>
      <c r="L745">
        <f t="shared" si="253"/>
        <v>1.8333333333333333E-3</v>
      </c>
      <c r="M745">
        <v>5.73</v>
      </c>
      <c r="N745">
        <f t="shared" si="255"/>
        <v>5.73</v>
      </c>
      <c r="O745">
        <f t="shared" si="256"/>
        <v>85.768206395376424</v>
      </c>
      <c r="P745">
        <f t="shared" si="257"/>
        <v>274.45826046520455</v>
      </c>
      <c r="Q745">
        <f t="shared" si="258"/>
        <v>1257.0188329306368</v>
      </c>
      <c r="R745">
        <f t="shared" si="259"/>
        <v>43.529554213141189</v>
      </c>
      <c r="S745">
        <f t="shared" si="260"/>
        <v>0.79048873142044185</v>
      </c>
      <c r="T745">
        <f t="shared" si="261"/>
        <v>6000</v>
      </c>
      <c r="U745">
        <f t="shared" si="262"/>
        <v>9.1195782391656035</v>
      </c>
      <c r="V745">
        <f t="shared" si="263"/>
        <v>6.7683073566847094</v>
      </c>
      <c r="W745">
        <f t="shared" si="264"/>
        <v>6000</v>
      </c>
      <c r="X745">
        <f t="shared" si="265"/>
        <v>9.1195782391656035</v>
      </c>
      <c r="Y745">
        <f t="shared" si="266"/>
        <v>6.7683073566847094</v>
      </c>
      <c r="Z745">
        <f t="shared" si="267"/>
        <v>6000</v>
      </c>
      <c r="AA745">
        <f t="shared" si="268"/>
        <v>9.1195782391656035</v>
      </c>
      <c r="AB745">
        <f t="shared" si="269"/>
        <v>6.7683073566847094</v>
      </c>
      <c r="AC745">
        <f t="shared" si="270"/>
        <v>6000</v>
      </c>
      <c r="AD745">
        <f t="shared" si="271"/>
        <v>9.1195782391656035</v>
      </c>
      <c r="AE745">
        <f t="shared" si="272"/>
        <v>6.7683073566847094</v>
      </c>
      <c r="AF745">
        <f t="shared" si="273"/>
        <v>6000</v>
      </c>
      <c r="AG745">
        <f t="shared" si="274"/>
        <v>9.1195782391656035</v>
      </c>
      <c r="AH745">
        <f t="shared" si="275"/>
        <v>6.7683073566847094</v>
      </c>
      <c r="AI745" cm="1">
        <f t="array" ref="AI745">_xlfn.LET(
    _xlpm.vals,   _xlfn.HSTACK(S745,V745,Y745,AB745,AE745,AH745),
    _xlpm.ints,   _xlfn.HSTACK(R745,U745,X745,AA745,AD745,AG745),
    _xlpm.slopes, _xlfn.HSTACK(Q745,T745,W745,Z745,AC745,AF745),
    _xlpm.limit,  -0.00001*_xlpm.slopes + 0.1086*_xlpm.slopes + 63.253,
    _xlpm.mask,   (_xlpm.vals&gt;=0) * (_xlpm.ints&lt;=_xlpm.limit),
    _xlpm.validVals, _xlfn._xlws.FILTER(_xlpm.vals, _xlpm.mask),
    _xlpm.minVal, MIN(_xlpm.validVals),
    IFERROR( _xlfn.XMATCH(_xlpm.minVal, _xlpm.vals), "" )
)</f>
        <v>1</v>
      </c>
      <c r="AJ745" cm="1">
        <f t="array" ref="AJ745">_xlfn.LET(
    _xlpm.vals, CHOOSE({1,2,3,4,5,6}, S745, V745, Y745, AB745, AE745, AH745),
    _xlpm.slopes, CHOOSE({1,2,3,4,5,6}, Q745, T745, W745, Z745, AC745, AF745),
    _xlpm.ints, CHOOSE({1,2,3,4,5,6}, R745, U745, X745, AA745, AD745, AG745),
    _xlpm.limit, -0.00001*_xlpm.slopes + 0.1086*_xlpm.slopes + 63.253,
    _xlpm.valid, (_xlpm.vals &gt;= 0) * (_xlpm.ints &lt;= _xlpm.limit),
    _xlpm.target, MIN(_xlfn._xlws.FILTER(_xlpm.vals, _xlpm.valid)),
    IFERROR(
        _xlfn.XLOOKUP(_xlpm.target, _xlpm.vals, _xlpm.vals),
        CHOOSE({1,2,3,4,5,6}, S$1, V$1, Y$1, AB$1, AE$1, AH$1)
    )
)</f>
        <v>0.79048873142044185</v>
      </c>
    </row>
    <row r="746" spans="9:36" x14ac:dyDescent="0.45">
      <c r="I746">
        <v>744</v>
      </c>
      <c r="J746">
        <v>10</v>
      </c>
      <c r="K746">
        <f t="shared" si="254"/>
        <v>10</v>
      </c>
      <c r="L746">
        <f t="shared" si="253"/>
        <v>2.7777777777777779E-3</v>
      </c>
      <c r="M746">
        <v>18.440000000000001</v>
      </c>
      <c r="N746">
        <f t="shared" si="255"/>
        <v>18.440000000000001</v>
      </c>
      <c r="O746">
        <f t="shared" si="256"/>
        <v>129.95182787178246</v>
      </c>
      <c r="P746">
        <f t="shared" si="257"/>
        <v>415.84584918970387</v>
      </c>
      <c r="Q746">
        <f t="shared" si="258"/>
        <v>1904.5739892888437</v>
      </c>
      <c r="R746">
        <f t="shared" si="259"/>
        <v>92.455861535011081</v>
      </c>
      <c r="S746">
        <f t="shared" si="260"/>
        <v>1.9364765800623924</v>
      </c>
      <c r="T746">
        <f t="shared" si="261"/>
        <v>1230.9037136015234</v>
      </c>
      <c r="U746">
        <f t="shared" si="262"/>
        <v>143.0567046724158</v>
      </c>
      <c r="V746">
        <f t="shared" si="263"/>
        <v>1.8110351225579895</v>
      </c>
      <c r="W746">
        <f t="shared" si="264"/>
        <v>6000</v>
      </c>
      <c r="X746">
        <f t="shared" si="265"/>
        <v>29.348171506145501</v>
      </c>
      <c r="Y746">
        <f t="shared" si="266"/>
        <v>7.0111263406809332</v>
      </c>
      <c r="Z746">
        <f t="shared" si="267"/>
        <v>6000</v>
      </c>
      <c r="AA746">
        <f t="shared" si="268"/>
        <v>29.348171506145501</v>
      </c>
      <c r="AB746">
        <f t="shared" si="269"/>
        <v>7.0111263406809332</v>
      </c>
      <c r="AC746">
        <f t="shared" si="270"/>
        <v>6000</v>
      </c>
      <c r="AD746">
        <f t="shared" si="271"/>
        <v>29.348171506145501</v>
      </c>
      <c r="AE746">
        <f t="shared" si="272"/>
        <v>7.0111263406809332</v>
      </c>
      <c r="AF746">
        <f t="shared" si="273"/>
        <v>6000</v>
      </c>
      <c r="AG746">
        <f t="shared" si="274"/>
        <v>29.348171506145501</v>
      </c>
      <c r="AH746">
        <f t="shared" si="275"/>
        <v>7.0111263406809332</v>
      </c>
      <c r="AI746" cm="1">
        <f t="array" ref="AI746">_xlfn.LET(
    _xlpm.vals,   _xlfn.HSTACK(S746,V746,Y746,AB746,AE746,AH746),
    _xlpm.ints,   _xlfn.HSTACK(R746,U746,X746,AA746,AD746,AG746),
    _xlpm.slopes, _xlfn.HSTACK(Q746,T746,W746,Z746,AC746,AF746),
    _xlpm.limit,  -0.00001*_xlpm.slopes + 0.1086*_xlpm.slopes + 63.253,
    _xlpm.mask,   (_xlpm.vals&gt;=0) * (_xlpm.ints&lt;=_xlpm.limit),
    _xlpm.validVals, _xlfn._xlws.FILTER(_xlpm.vals, _xlpm.mask),
    _xlpm.minVal, MIN(_xlpm.validVals),
    IFERROR( _xlfn.XMATCH(_xlpm.minVal, _xlpm.vals), "" )
)</f>
        <v>2</v>
      </c>
      <c r="AJ746" cm="1">
        <f t="array" ref="AJ746">_xlfn.LET(
    _xlpm.vals, CHOOSE({1,2,3,4,5,6}, S746, V746, Y746, AB746, AE746, AH746),
    _xlpm.slopes, CHOOSE({1,2,3,4,5,6}, Q746, T746, W746, Z746, AC746, AF746),
    _xlpm.ints, CHOOSE({1,2,3,4,5,6}, R746, U746, X746, AA746, AD746, AG746),
    _xlpm.limit, -0.00001*_xlpm.slopes + 0.1086*_xlpm.slopes + 63.253,
    _xlpm.valid, (_xlpm.vals &gt;= 0) * (_xlpm.ints &lt;= _xlpm.limit),
    _xlpm.target, MIN(_xlfn._xlws.FILTER(_xlpm.vals, _xlpm.valid)),
    IFERROR(
        _xlfn.XLOOKUP(_xlpm.target, _xlpm.vals, _xlpm.vals),
        CHOOSE({1,2,3,4,5,6}, S$1, V$1, Y$1, AB$1, AE$1, AH$1)
    )
)</f>
        <v>1.8110351225579895</v>
      </c>
    </row>
    <row r="747" spans="9:36" x14ac:dyDescent="0.45">
      <c r="I747">
        <v>745</v>
      </c>
      <c r="J747">
        <v>13.9</v>
      </c>
      <c r="K747">
        <f t="shared" si="254"/>
        <v>13.9</v>
      </c>
      <c r="L747">
        <f t="shared" si="253"/>
        <v>3.8611111111111112E-3</v>
      </c>
      <c r="M747">
        <v>24.34</v>
      </c>
      <c r="N747">
        <f t="shared" si="255"/>
        <v>24.34</v>
      </c>
      <c r="O747">
        <f t="shared" si="256"/>
        <v>180.63304074177762</v>
      </c>
      <c r="P747">
        <f t="shared" si="257"/>
        <v>578.02573037368836</v>
      </c>
      <c r="Q747">
        <f t="shared" si="258"/>
        <v>2647.3578451114927</v>
      </c>
      <c r="R747">
        <f t="shared" si="259"/>
        <v>87.796925270454039</v>
      </c>
      <c r="S747">
        <f t="shared" si="260"/>
        <v>2.4631368025424161</v>
      </c>
      <c r="T747">
        <f t="shared" si="261"/>
        <v>1710.9561619061176</v>
      </c>
      <c r="U747">
        <f t="shared" si="262"/>
        <v>135.84794518198632</v>
      </c>
      <c r="V747">
        <f t="shared" si="263"/>
        <v>2.3981140602646853</v>
      </c>
      <c r="W747">
        <f t="shared" si="264"/>
        <v>1104.0291450137447</v>
      </c>
      <c r="X747">
        <f t="shared" si="265"/>
        <v>210.52875274276414</v>
      </c>
      <c r="Y747">
        <f t="shared" si="266"/>
        <v>1.4423157591174567</v>
      </c>
      <c r="Z747">
        <f t="shared" si="267"/>
        <v>6000</v>
      </c>
      <c r="AA747">
        <f t="shared" si="268"/>
        <v>38.738313148567329</v>
      </c>
      <c r="AB747">
        <f t="shared" si="269"/>
        <v>7.1629123737486422</v>
      </c>
      <c r="AC747">
        <f t="shared" si="270"/>
        <v>6000</v>
      </c>
      <c r="AD747">
        <f t="shared" si="271"/>
        <v>38.738313148567329</v>
      </c>
      <c r="AE747">
        <f t="shared" si="272"/>
        <v>7.1629123737486422</v>
      </c>
      <c r="AF747">
        <f t="shared" si="273"/>
        <v>6000</v>
      </c>
      <c r="AG747">
        <f t="shared" si="274"/>
        <v>38.738313148567329</v>
      </c>
      <c r="AH747">
        <f t="shared" si="275"/>
        <v>7.1629123737486422</v>
      </c>
      <c r="AI747" cm="1">
        <f t="array" ref="AI747">_xlfn.LET(
    _xlpm.vals,   _xlfn.HSTACK(S747,V747,Y747,AB747,AE747,AH747),
    _xlpm.ints,   _xlfn.HSTACK(R747,U747,X747,AA747,AD747,AG747),
    _xlpm.slopes, _xlfn.HSTACK(Q747,T747,W747,Z747,AC747,AF747),
    _xlpm.limit,  -0.00001*_xlpm.slopes + 0.1086*_xlpm.slopes + 63.253,
    _xlpm.mask,   (_xlpm.vals&gt;=0) * (_xlpm.ints&lt;=_xlpm.limit),
    _xlpm.validVals, _xlfn._xlws.FILTER(_xlpm.vals, _xlpm.mask),
    _xlpm.minVal, MIN(_xlpm.validVals),
    IFERROR( _xlfn.XMATCH(_xlpm.minVal, _xlpm.vals), "" )
)</f>
        <v>2</v>
      </c>
      <c r="AJ747" cm="1">
        <f t="array" ref="AJ747">_xlfn.LET(
    _xlpm.vals, CHOOSE({1,2,3,4,5,6}, S747, V747, Y747, AB747, AE747, AH747),
    _xlpm.slopes, CHOOSE({1,2,3,4,5,6}, Q747, T747, W747, Z747, AC747, AF747),
    _xlpm.ints, CHOOSE({1,2,3,4,5,6}, R747, U747, X747, AA747, AD747, AG747),
    _xlpm.limit, -0.00001*_xlpm.slopes + 0.1086*_xlpm.slopes + 63.253,
    _xlpm.valid, (_xlpm.vals &gt;= 0) * (_xlpm.ints &lt;= _xlpm.limit),
    _xlpm.target, MIN(_xlfn._xlws.FILTER(_xlpm.vals, _xlpm.valid)),
    IFERROR(
        _xlfn.XLOOKUP(_xlpm.target, _xlpm.vals, _xlpm.vals),
        CHOOSE({1,2,3,4,5,6}, S$1, V$1, Y$1, AB$1, AE$1, AH$1)
    )
)</f>
        <v>2.3981140602646853</v>
      </c>
    </row>
    <row r="748" spans="9:36" x14ac:dyDescent="0.45">
      <c r="I748">
        <v>746</v>
      </c>
      <c r="J748">
        <v>16.100000000000001</v>
      </c>
      <c r="K748">
        <f t="shared" si="254"/>
        <v>16.100000000000001</v>
      </c>
      <c r="L748">
        <f t="shared" si="253"/>
        <v>4.4722222222222229E-3</v>
      </c>
      <c r="M748">
        <v>14.78</v>
      </c>
      <c r="N748">
        <f t="shared" si="255"/>
        <v>14.78</v>
      </c>
      <c r="O748">
        <f t="shared" si="256"/>
        <v>209.22244287356975</v>
      </c>
      <c r="P748">
        <f t="shared" si="257"/>
        <v>669.51181719542319</v>
      </c>
      <c r="Q748">
        <f t="shared" si="258"/>
        <v>3066.3641227550384</v>
      </c>
      <c r="R748">
        <f t="shared" si="259"/>
        <v>46.027998594988745</v>
      </c>
      <c r="S748">
        <f t="shared" si="260"/>
        <v>1.8609175542160725</v>
      </c>
      <c r="T748">
        <f t="shared" si="261"/>
        <v>1981.7549788984527</v>
      </c>
      <c r="U748">
        <f t="shared" si="262"/>
        <v>71.218997826029877</v>
      </c>
      <c r="V748">
        <f t="shared" si="263"/>
        <v>1.6172232992757767</v>
      </c>
      <c r="W748">
        <f t="shared" si="264"/>
        <v>1278.7675708432582</v>
      </c>
      <c r="X748">
        <f t="shared" si="265"/>
        <v>110.37080291363793</v>
      </c>
      <c r="Y748">
        <f t="shared" si="266"/>
        <v>1.596179693936741</v>
      </c>
      <c r="Z748">
        <f t="shared" si="267"/>
        <v>6000</v>
      </c>
      <c r="AA748">
        <f t="shared" si="268"/>
        <v>23.523100588982132</v>
      </c>
      <c r="AB748">
        <f t="shared" si="269"/>
        <v>6.9289737169943235</v>
      </c>
      <c r="AC748">
        <f t="shared" si="270"/>
        <v>6000</v>
      </c>
      <c r="AD748">
        <f t="shared" si="271"/>
        <v>23.523100588982132</v>
      </c>
      <c r="AE748">
        <f t="shared" si="272"/>
        <v>6.9289737169943235</v>
      </c>
      <c r="AF748">
        <f t="shared" si="273"/>
        <v>6000</v>
      </c>
      <c r="AG748">
        <f t="shared" si="274"/>
        <v>23.523100588982132</v>
      </c>
      <c r="AH748">
        <f t="shared" si="275"/>
        <v>6.9289737169943235</v>
      </c>
      <c r="AI748" cm="1">
        <f t="array" ref="AI748">_xlfn.LET(
    _xlpm.vals,   _xlfn.HSTACK(S748,V748,Y748,AB748,AE748,AH748),
    _xlpm.ints,   _xlfn.HSTACK(R748,U748,X748,AA748,AD748,AG748),
    _xlpm.slopes, _xlfn.HSTACK(Q748,T748,W748,Z748,AC748,AF748),
    _xlpm.limit,  -0.00001*_xlpm.slopes + 0.1086*_xlpm.slopes + 63.253,
    _xlpm.mask,   (_xlpm.vals&gt;=0) * (_xlpm.ints&lt;=_xlpm.limit),
    _xlpm.validVals, _xlfn._xlws.FILTER(_xlpm.vals, _xlpm.mask),
    _xlpm.minVal, MIN(_xlpm.validVals),
    IFERROR( _xlfn.XMATCH(_xlpm.minVal, _xlpm.vals), "" )
)</f>
        <v>3</v>
      </c>
      <c r="AJ748" cm="1">
        <f t="array" ref="AJ748">_xlfn.LET(
    _xlpm.vals, CHOOSE({1,2,3,4,5,6}, S748, V748, Y748, AB748, AE748, AH748),
    _xlpm.slopes, CHOOSE({1,2,3,4,5,6}, Q748, T748, W748, Z748, AC748, AF748),
    _xlpm.ints, CHOOSE({1,2,3,4,5,6}, R748, U748, X748, AA748, AD748, AG748),
    _xlpm.limit, -0.00001*_xlpm.slopes + 0.1086*_xlpm.slopes + 63.253,
    _xlpm.valid, (_xlpm.vals &gt;= 0) * (_xlpm.ints &lt;= _xlpm.limit),
    _xlpm.target, MIN(_xlfn._xlws.FILTER(_xlpm.vals, _xlpm.valid)),
    IFERROR(
        _xlfn.XLOOKUP(_xlpm.target, _xlpm.vals, _xlpm.vals),
        CHOOSE({1,2,3,4,5,6}, S$1, V$1, Y$1, AB$1, AE$1, AH$1)
    )
)</f>
        <v>1.596179693936741</v>
      </c>
    </row>
    <row r="749" spans="9:36" x14ac:dyDescent="0.45">
      <c r="I749">
        <v>747</v>
      </c>
      <c r="J749">
        <v>17.3</v>
      </c>
      <c r="K749">
        <f t="shared" si="254"/>
        <v>17.3</v>
      </c>
      <c r="L749">
        <f t="shared" si="253"/>
        <v>4.805555555555556E-3</v>
      </c>
      <c r="M749">
        <v>8.86</v>
      </c>
      <c r="N749">
        <f t="shared" si="255"/>
        <v>8.86</v>
      </c>
      <c r="O749">
        <f t="shared" si="256"/>
        <v>224.81666221818367</v>
      </c>
      <c r="P749">
        <f t="shared" si="257"/>
        <v>719.4133190981878</v>
      </c>
      <c r="Q749">
        <f t="shared" si="258"/>
        <v>3294.9130014697002</v>
      </c>
      <c r="R749">
        <f t="shared" si="259"/>
        <v>25.677997479724837</v>
      </c>
      <c r="S749">
        <f t="shared" si="260"/>
        <v>1.63215055985122</v>
      </c>
      <c r="T749">
        <f t="shared" si="261"/>
        <v>2129.4634245306361</v>
      </c>
      <c r="U749">
        <f t="shared" si="262"/>
        <v>39.731496100385051</v>
      </c>
      <c r="V749">
        <f t="shared" si="263"/>
        <v>1.1446404486691271</v>
      </c>
      <c r="W749">
        <f t="shared" si="264"/>
        <v>1374.0794394775387</v>
      </c>
      <c r="X749">
        <f t="shared" si="265"/>
        <v>61.57341804038731</v>
      </c>
      <c r="Y749">
        <f t="shared" si="266"/>
        <v>1.07802659240873</v>
      </c>
      <c r="Z749">
        <f t="shared" si="267"/>
        <v>1035.9551795013904</v>
      </c>
      <c r="AA749">
        <f t="shared" si="268"/>
        <v>81.670297539680391</v>
      </c>
      <c r="AB749">
        <f t="shared" si="269"/>
        <v>1.0639714381412209</v>
      </c>
      <c r="AC749">
        <f t="shared" si="270"/>
        <v>6000</v>
      </c>
      <c r="AD749">
        <f t="shared" si="271"/>
        <v>14.101127957941927</v>
      </c>
      <c r="AE749">
        <f t="shared" si="272"/>
        <v>6.8167843143272906</v>
      </c>
      <c r="AF749">
        <f t="shared" si="273"/>
        <v>6000</v>
      </c>
      <c r="AG749">
        <f t="shared" si="274"/>
        <v>14.101127957941927</v>
      </c>
      <c r="AH749">
        <f t="shared" si="275"/>
        <v>6.8167843143272906</v>
      </c>
      <c r="AI749" cm="1">
        <f t="array" ref="AI749">_xlfn.LET(
    _xlpm.vals,   _xlfn.HSTACK(S749,V749,Y749,AB749,AE749,AH749),
    _xlpm.ints,   _xlfn.HSTACK(R749,U749,X749,AA749,AD749,AG749),
    _xlpm.slopes, _xlfn.HSTACK(Q749,T749,W749,Z749,AC749,AF749),
    _xlpm.limit,  -0.00001*_xlpm.slopes + 0.1086*_xlpm.slopes + 63.253,
    _xlpm.mask,   (_xlpm.vals&gt;=0) * (_xlpm.ints&lt;=_xlpm.limit),
    _xlpm.validVals, _xlfn._xlws.FILTER(_xlpm.vals, _xlpm.mask),
    _xlpm.minVal, MIN(_xlpm.validVals),
    IFERROR( _xlfn.XMATCH(_xlpm.minVal, _xlpm.vals), "" )
)</f>
        <v>4</v>
      </c>
      <c r="AJ749" cm="1">
        <f t="array" ref="AJ749">_xlfn.LET(
    _xlpm.vals, CHOOSE({1,2,3,4,5,6}, S749, V749, Y749, AB749, AE749, AH749),
    _xlpm.slopes, CHOOSE({1,2,3,4,5,6}, Q749, T749, W749, Z749, AC749, AF749),
    _xlpm.ints, CHOOSE({1,2,3,4,5,6}, R749, U749, X749, AA749, AD749, AG749),
    _xlpm.limit, -0.00001*_xlpm.slopes + 0.1086*_xlpm.slopes + 63.253,
    _xlpm.valid, (_xlpm.vals &gt;= 0) * (_xlpm.ints &lt;= _xlpm.limit),
    _xlpm.target, MIN(_xlfn._xlws.FILTER(_xlpm.vals, _xlpm.valid)),
    IFERROR(
        _xlfn.XLOOKUP(_xlpm.target, _xlpm.vals, _xlpm.vals),
        CHOOSE({1,2,3,4,5,6}, S$1, V$1, Y$1, AB$1, AE$1, AH$1)
    )
)</f>
        <v>1.0639714381412209</v>
      </c>
    </row>
    <row r="750" spans="9:36" x14ac:dyDescent="0.45">
      <c r="I750">
        <v>748</v>
      </c>
      <c r="J750">
        <v>18.5</v>
      </c>
      <c r="K750">
        <f t="shared" si="254"/>
        <v>18.5</v>
      </c>
      <c r="L750">
        <f t="shared" si="253"/>
        <v>5.138888888888889E-3</v>
      </c>
      <c r="M750">
        <v>11.52</v>
      </c>
      <c r="N750">
        <f t="shared" si="255"/>
        <v>11.52</v>
      </c>
      <c r="O750">
        <f t="shared" si="256"/>
        <v>240.41088156279753</v>
      </c>
      <c r="P750">
        <f t="shared" si="257"/>
        <v>769.31482100095218</v>
      </c>
      <c r="Q750">
        <f t="shared" si="258"/>
        <v>3523.4618801843612</v>
      </c>
      <c r="R750">
        <f t="shared" si="259"/>
        <v>31.221537341951329</v>
      </c>
      <c r="S750">
        <f t="shared" si="260"/>
        <v>1.9575669454977782</v>
      </c>
      <c r="T750">
        <f t="shared" si="261"/>
        <v>2277.1718701628183</v>
      </c>
      <c r="U750">
        <f t="shared" si="262"/>
        <v>48.309000346667936</v>
      </c>
      <c r="V750">
        <f t="shared" si="263"/>
        <v>1.3763591046924035</v>
      </c>
      <c r="W750">
        <f t="shared" si="264"/>
        <v>1469.3913081118185</v>
      </c>
      <c r="X750">
        <f t="shared" si="265"/>
        <v>74.866304202166006</v>
      </c>
      <c r="Y750">
        <f t="shared" si="266"/>
        <v>1.3222588522259409</v>
      </c>
      <c r="Z750">
        <f t="shared" si="267"/>
        <v>1107.8133422413712</v>
      </c>
      <c r="AA750">
        <f t="shared" si="268"/>
        <v>99.301834045928516</v>
      </c>
      <c r="AB750">
        <f t="shared" si="269"/>
        <v>1.3036685447517029</v>
      </c>
      <c r="AC750">
        <f t="shared" si="270"/>
        <v>6000</v>
      </c>
      <c r="AD750">
        <f t="shared" si="271"/>
        <v>18.334649444186343</v>
      </c>
      <c r="AE750">
        <f t="shared" si="272"/>
        <v>6.8639458685976642</v>
      </c>
      <c r="AF750">
        <f t="shared" si="273"/>
        <v>6000</v>
      </c>
      <c r="AG750">
        <f t="shared" si="274"/>
        <v>18.334649444186343</v>
      </c>
      <c r="AH750">
        <f t="shared" si="275"/>
        <v>6.8639458685976642</v>
      </c>
      <c r="AI750" cm="1">
        <f t="array" ref="AI750">_xlfn.LET(
    _xlpm.vals,   _xlfn.HSTACK(S750,V750,Y750,AB750,AE750,AH750),
    _xlpm.ints,   _xlfn.HSTACK(R750,U750,X750,AA750,AD750,AG750),
    _xlpm.slopes, _xlfn.HSTACK(Q750,T750,W750,Z750,AC750,AF750),
    _xlpm.limit,  -0.00001*_xlpm.slopes + 0.1086*_xlpm.slopes + 63.253,
    _xlpm.mask,   (_xlpm.vals&gt;=0) * (_xlpm.ints&lt;=_xlpm.limit),
    _xlpm.validVals, _xlfn._xlws.FILTER(_xlpm.vals, _xlpm.mask),
    _xlpm.minVal, MIN(_xlpm.validVals),
    IFERROR( _xlfn.XMATCH(_xlpm.minVal, _xlpm.vals), "" )
)</f>
        <v>4</v>
      </c>
      <c r="AJ750" cm="1">
        <f t="array" ref="AJ750">_xlfn.LET(
    _xlpm.vals, CHOOSE({1,2,3,4,5,6}, S750, V750, Y750, AB750, AE750, AH750),
    _xlpm.slopes, CHOOSE({1,2,3,4,5,6}, Q750, T750, W750, Z750, AC750, AF750),
    _xlpm.ints, CHOOSE({1,2,3,4,5,6}, R750, U750, X750, AA750, AD750, AG750),
    _xlpm.limit, -0.00001*_xlpm.slopes + 0.1086*_xlpm.slopes + 63.253,
    _xlpm.valid, (_xlpm.vals &gt;= 0) * (_xlpm.ints &lt;= _xlpm.limit),
    _xlpm.target, MIN(_xlfn._xlws.FILTER(_xlpm.vals, _xlpm.valid)),
    IFERROR(
        _xlfn.XLOOKUP(_xlpm.target, _xlpm.vals, _xlpm.vals),
        CHOOSE({1,2,3,4,5,6}, S$1, V$1, Y$1, AB$1, AE$1, AH$1)
    )
)</f>
        <v>1.3036685447517029</v>
      </c>
    </row>
    <row r="751" spans="9:36" x14ac:dyDescent="0.45">
      <c r="I751">
        <v>749</v>
      </c>
      <c r="J751">
        <v>19.899999999999999</v>
      </c>
      <c r="K751">
        <f t="shared" si="254"/>
        <v>19.899999999999999</v>
      </c>
      <c r="L751">
        <f t="shared" si="253"/>
        <v>5.5277777777777773E-3</v>
      </c>
      <c r="M751">
        <v>12.46</v>
      </c>
      <c r="N751">
        <f t="shared" si="255"/>
        <v>12.46</v>
      </c>
      <c r="O751">
        <f t="shared" si="256"/>
        <v>258.6041374648471</v>
      </c>
      <c r="P751">
        <f t="shared" si="257"/>
        <v>827.53323988751072</v>
      </c>
      <c r="Q751">
        <f t="shared" si="258"/>
        <v>3790.102238684799</v>
      </c>
      <c r="R751">
        <f t="shared" si="259"/>
        <v>31.393410510421905</v>
      </c>
      <c r="S751">
        <f t="shared" si="260"/>
        <v>2.2530392256479237</v>
      </c>
      <c r="T751">
        <f t="shared" si="261"/>
        <v>2449.4983900670318</v>
      </c>
      <c r="U751">
        <f t="shared" si="262"/>
        <v>48.574939235720379</v>
      </c>
      <c r="V751">
        <f t="shared" si="263"/>
        <v>1.4828774469319161</v>
      </c>
      <c r="W751">
        <f t="shared" si="264"/>
        <v>1580.5884881851455</v>
      </c>
      <c r="X751">
        <f t="shared" si="265"/>
        <v>75.27843986268708</v>
      </c>
      <c r="Y751">
        <f t="shared" si="266"/>
        <v>1.4077845412792034</v>
      </c>
      <c r="Z751">
        <f t="shared" si="267"/>
        <v>1191.6478654380153</v>
      </c>
      <c r="AA751">
        <f t="shared" si="268"/>
        <v>99.848486206758565</v>
      </c>
      <c r="AB751">
        <f t="shared" si="269"/>
        <v>1.3942245323049827</v>
      </c>
      <c r="AC751">
        <f t="shared" si="270"/>
        <v>6000</v>
      </c>
      <c r="AD751">
        <f t="shared" si="271"/>
        <v>19.83070590925016</v>
      </c>
      <c r="AE751">
        <f t="shared" si="272"/>
        <v>6.8818904372520144</v>
      </c>
      <c r="AF751">
        <f t="shared" si="273"/>
        <v>6000</v>
      </c>
      <c r="AG751">
        <f t="shared" si="274"/>
        <v>19.83070590925016</v>
      </c>
      <c r="AH751">
        <f t="shared" si="275"/>
        <v>6.8818904372520144</v>
      </c>
      <c r="AI751" cm="1">
        <f t="array" ref="AI751">_xlfn.LET(
    _xlpm.vals,   _xlfn.HSTACK(S751,V751,Y751,AB751,AE751,AH751),
    _xlpm.ints,   _xlfn.HSTACK(R751,U751,X751,AA751,AD751,AG751),
    _xlpm.slopes, _xlfn.HSTACK(Q751,T751,W751,Z751,AC751,AF751),
    _xlpm.limit,  -0.00001*_xlpm.slopes + 0.1086*_xlpm.slopes + 63.253,
    _xlpm.mask,   (_xlpm.vals&gt;=0) * (_xlpm.ints&lt;=_xlpm.limit),
    _xlpm.validVals, _xlfn._xlws.FILTER(_xlpm.vals, _xlpm.mask),
    _xlpm.minVal, MIN(_xlpm.validVals),
    IFERROR( _xlfn.XMATCH(_xlpm.minVal, _xlpm.vals), "" )
)</f>
        <v>4</v>
      </c>
      <c r="AJ751" cm="1">
        <f t="array" ref="AJ751">_xlfn.LET(
    _xlpm.vals, CHOOSE({1,2,3,4,5,6}, S751, V751, Y751, AB751, AE751, AH751),
    _xlpm.slopes, CHOOSE({1,2,3,4,5,6}, Q751, T751, W751, Z751, AC751, AF751),
    _xlpm.ints, CHOOSE({1,2,3,4,5,6}, R751, U751, X751, AA751, AD751, AG751),
    _xlpm.limit, -0.00001*_xlpm.slopes + 0.1086*_xlpm.slopes + 63.253,
    _xlpm.valid, (_xlpm.vals &gt;= 0) * (_xlpm.ints &lt;= _xlpm.limit),
    _xlpm.target, MIN(_xlfn._xlws.FILTER(_xlpm.vals, _xlpm.valid)),
    IFERROR(
        _xlfn.XLOOKUP(_xlpm.target, _xlpm.vals, _xlpm.vals),
        CHOOSE({1,2,3,4,5,6}, S$1, V$1, Y$1, AB$1, AE$1, AH$1)
    )
)</f>
        <v>1.3942245323049827</v>
      </c>
    </row>
    <row r="752" spans="9:36" x14ac:dyDescent="0.45">
      <c r="I752">
        <v>750</v>
      </c>
      <c r="J752">
        <v>21</v>
      </c>
      <c r="K752">
        <f t="shared" si="254"/>
        <v>21</v>
      </c>
      <c r="L752">
        <f t="shared" si="253"/>
        <v>5.8333333333333336E-3</v>
      </c>
      <c r="M752">
        <v>13.04</v>
      </c>
      <c r="N752">
        <f t="shared" si="255"/>
        <v>13.04</v>
      </c>
      <c r="O752">
        <f t="shared" si="256"/>
        <v>272.89883853074315</v>
      </c>
      <c r="P752">
        <f t="shared" si="257"/>
        <v>873.27628329837808</v>
      </c>
      <c r="Q752">
        <f t="shared" si="258"/>
        <v>3999.6053775065716</v>
      </c>
      <c r="R752">
        <f t="shared" si="259"/>
        <v>31.133778391089361</v>
      </c>
      <c r="S752">
        <f t="shared" si="260"/>
        <v>2.5105831072513447</v>
      </c>
      <c r="T752">
        <f t="shared" si="261"/>
        <v>2584.8977985631991</v>
      </c>
      <c r="U752">
        <f t="shared" si="262"/>
        <v>48.17321115918557</v>
      </c>
      <c r="V752">
        <f t="shared" si="263"/>
        <v>1.5596320270263571</v>
      </c>
      <c r="W752">
        <f t="shared" si="264"/>
        <v>1667.9577010999021</v>
      </c>
      <c r="X752">
        <f t="shared" si="265"/>
        <v>74.655866508476066</v>
      </c>
      <c r="Y752">
        <f t="shared" si="266"/>
        <v>1.4600057227137304</v>
      </c>
      <c r="Z752">
        <f t="shared" si="267"/>
        <v>1257.5178479496644</v>
      </c>
      <c r="AA752">
        <f t="shared" si="268"/>
        <v>99.022711827214778</v>
      </c>
      <c r="AB752">
        <f t="shared" si="269"/>
        <v>1.4507852122362053</v>
      </c>
      <c r="AC752">
        <f t="shared" si="270"/>
        <v>6000</v>
      </c>
      <c r="AD752">
        <f t="shared" si="271"/>
        <v>20.753804579183154</v>
      </c>
      <c r="AE752">
        <f t="shared" si="272"/>
        <v>6.8932905145610954</v>
      </c>
      <c r="AF752">
        <f t="shared" si="273"/>
        <v>6000</v>
      </c>
      <c r="AG752">
        <f t="shared" si="274"/>
        <v>20.753804579183154</v>
      </c>
      <c r="AH752">
        <f t="shared" si="275"/>
        <v>6.8932905145610954</v>
      </c>
      <c r="AI752" cm="1">
        <f t="array" ref="AI752">_xlfn.LET(
    _xlpm.vals,   _xlfn.HSTACK(S752,V752,Y752,AB752,AE752,AH752),
    _xlpm.ints,   _xlfn.HSTACK(R752,U752,X752,AA752,AD752,AG752),
    _xlpm.slopes, _xlfn.HSTACK(Q752,T752,W752,Z752,AC752,AF752),
    _xlpm.limit,  -0.00001*_xlpm.slopes + 0.1086*_xlpm.slopes + 63.253,
    _xlpm.mask,   (_xlpm.vals&gt;=0) * (_xlpm.ints&lt;=_xlpm.limit),
    _xlpm.validVals, _xlfn._xlws.FILTER(_xlpm.vals, _xlpm.mask),
    _xlpm.minVal, MIN(_xlpm.validVals),
    IFERROR( _xlfn.XMATCH(_xlpm.minVal, _xlpm.vals), "" )
)</f>
        <v>4</v>
      </c>
      <c r="AJ752" cm="1">
        <f t="array" ref="AJ752">_xlfn.LET(
    _xlpm.vals, CHOOSE({1,2,3,4,5,6}, S752, V752, Y752, AB752, AE752, AH752),
    _xlpm.slopes, CHOOSE({1,2,3,4,5,6}, Q752, T752, W752, Z752, AC752, AF752),
    _xlpm.ints, CHOOSE({1,2,3,4,5,6}, R752, U752, X752, AA752, AD752, AG752),
    _xlpm.limit, -0.00001*_xlpm.slopes + 0.1086*_xlpm.slopes + 63.253,
    _xlpm.valid, (_xlpm.vals &gt;= 0) * (_xlpm.ints &lt;= _xlpm.limit),
    _xlpm.target, MIN(_xlfn._xlws.FILTER(_xlpm.vals, _xlpm.valid)),
    IFERROR(
        _xlfn.XLOOKUP(_xlpm.target, _xlpm.vals, _xlpm.vals),
        CHOOSE({1,2,3,4,5,6}, S$1, V$1, Y$1, AB$1, AE$1, AH$1)
    )
)</f>
        <v>1.4507852122362053</v>
      </c>
    </row>
    <row r="753" spans="9:36" x14ac:dyDescent="0.45">
      <c r="I753">
        <v>751</v>
      </c>
      <c r="J753">
        <v>22.1</v>
      </c>
      <c r="K753">
        <f t="shared" si="254"/>
        <v>22.1</v>
      </c>
      <c r="L753">
        <f t="shared" si="253"/>
        <v>6.138888888888889E-3</v>
      </c>
      <c r="M753">
        <v>13.75</v>
      </c>
      <c r="N753">
        <f t="shared" si="255"/>
        <v>13.75</v>
      </c>
      <c r="O753">
        <f t="shared" si="256"/>
        <v>287.19353959663925</v>
      </c>
      <c r="P753">
        <f t="shared" si="257"/>
        <v>919.01932670924566</v>
      </c>
      <c r="Q753">
        <f t="shared" si="258"/>
        <v>4209.1085163283451</v>
      </c>
      <c r="R753">
        <f t="shared" si="259"/>
        <v>31.194925847469158</v>
      </c>
      <c r="S753">
        <f t="shared" si="260"/>
        <v>2.8072868241302324</v>
      </c>
      <c r="T753">
        <f t="shared" si="261"/>
        <v>2720.2972070593673</v>
      </c>
      <c r="U753">
        <f t="shared" si="262"/>
        <v>48.267824453178626</v>
      </c>
      <c r="V753">
        <f t="shared" si="263"/>
        <v>1.6514082037850706</v>
      </c>
      <c r="W753">
        <f t="shared" si="264"/>
        <v>1755.3269140146592</v>
      </c>
      <c r="X753">
        <f t="shared" si="265"/>
        <v>74.802492346287309</v>
      </c>
      <c r="Y753">
        <f t="shared" si="266"/>
        <v>1.5235393584686721</v>
      </c>
      <c r="Z753">
        <f t="shared" si="267"/>
        <v>1323.3878304613138</v>
      </c>
      <c r="AA753">
        <f t="shared" si="268"/>
        <v>99.217194709311613</v>
      </c>
      <c r="AB753">
        <f t="shared" si="269"/>
        <v>1.5172694500269617</v>
      </c>
      <c r="AC753">
        <f t="shared" si="270"/>
        <v>6000</v>
      </c>
      <c r="AD753">
        <f t="shared" si="271"/>
        <v>21.883804675135611</v>
      </c>
      <c r="AE753">
        <f t="shared" si="272"/>
        <v>6.9075835719471996</v>
      </c>
      <c r="AF753">
        <f t="shared" si="273"/>
        <v>6000</v>
      </c>
      <c r="AG753">
        <f t="shared" si="274"/>
        <v>21.883804675135611</v>
      </c>
      <c r="AH753">
        <f t="shared" si="275"/>
        <v>6.9075835719471996</v>
      </c>
      <c r="AI753" cm="1">
        <f t="array" ref="AI753">_xlfn.LET(
    _xlpm.vals,   _xlfn.HSTACK(S753,V753,Y753,AB753,AE753,AH753),
    _xlpm.ints,   _xlfn.HSTACK(R753,U753,X753,AA753,AD753,AG753),
    _xlpm.slopes, _xlfn.HSTACK(Q753,T753,W753,Z753,AC753,AF753),
    _xlpm.limit,  -0.00001*_xlpm.slopes + 0.1086*_xlpm.slopes + 63.253,
    _xlpm.mask,   (_xlpm.vals&gt;=0) * (_xlpm.ints&lt;=_xlpm.limit),
    _xlpm.validVals, _xlfn._xlws.FILTER(_xlpm.vals, _xlpm.mask),
    _xlpm.minVal, MIN(_xlpm.validVals),
    IFERROR( _xlfn.XMATCH(_xlpm.minVal, _xlpm.vals), "" )
)</f>
        <v>4</v>
      </c>
      <c r="AJ753" cm="1">
        <f t="array" ref="AJ753">_xlfn.LET(
    _xlpm.vals, CHOOSE({1,2,3,4,5,6}, S753, V753, Y753, AB753, AE753, AH753),
    _xlpm.slopes, CHOOSE({1,2,3,4,5,6}, Q753, T753, W753, Z753, AC753, AF753),
    _xlpm.ints, CHOOSE({1,2,3,4,5,6}, R753, U753, X753, AA753, AD753, AG753),
    _xlpm.limit, -0.00001*_xlpm.slopes + 0.1086*_xlpm.slopes + 63.253,
    _xlpm.valid, (_xlpm.vals &gt;= 0) * (_xlpm.ints &lt;= _xlpm.limit),
    _xlpm.target, MIN(_xlfn._xlws.FILTER(_xlpm.vals, _xlpm.valid)),
    IFERROR(
        _xlfn.XLOOKUP(_xlpm.target, _xlpm.vals, _xlpm.vals),
        CHOOSE({1,2,3,4,5,6}, S$1, V$1, Y$1, AB$1, AE$1, AH$1)
    )
)</f>
        <v>1.5172694500269617</v>
      </c>
    </row>
    <row r="754" spans="9:36" x14ac:dyDescent="0.45">
      <c r="I754">
        <v>752</v>
      </c>
      <c r="J754">
        <v>23.7</v>
      </c>
      <c r="K754">
        <f t="shared" si="254"/>
        <v>23.7</v>
      </c>
      <c r="L754">
        <f t="shared" si="253"/>
        <v>6.5833333333333334E-3</v>
      </c>
      <c r="M754">
        <v>15.73</v>
      </c>
      <c r="N754">
        <f t="shared" si="255"/>
        <v>15.73</v>
      </c>
      <c r="O754">
        <f t="shared" si="256"/>
        <v>307.98583205612437</v>
      </c>
      <c r="P754">
        <f t="shared" si="257"/>
        <v>985.55466257959802</v>
      </c>
      <c r="Q754">
        <f t="shared" si="258"/>
        <v>4513.8403546145591</v>
      </c>
      <c r="R754">
        <f t="shared" si="259"/>
        <v>33.277746550466432</v>
      </c>
      <c r="S754">
        <f t="shared" si="260"/>
        <v>3.3435669200045952</v>
      </c>
      <c r="T754">
        <f t="shared" si="261"/>
        <v>2917.2418012356102</v>
      </c>
      <c r="U754">
        <f t="shared" si="262"/>
        <v>51.490567297681174</v>
      </c>
      <c r="V754">
        <f t="shared" si="263"/>
        <v>1.8626521143426515</v>
      </c>
      <c r="W754">
        <f t="shared" si="264"/>
        <v>1882.409405527032</v>
      </c>
      <c r="X754">
        <f t="shared" si="265"/>
        <v>79.79690010530696</v>
      </c>
      <c r="Y754">
        <f t="shared" si="266"/>
        <v>1.6989203592726474</v>
      </c>
      <c r="Z754">
        <f t="shared" si="267"/>
        <v>1419.198714114621</v>
      </c>
      <c r="AA754">
        <f t="shared" si="268"/>
        <v>105.84172166745576</v>
      </c>
      <c r="AB754">
        <f t="shared" si="269"/>
        <v>1.6923276993458023</v>
      </c>
      <c r="AC754">
        <f t="shared" si="270"/>
        <v>6000</v>
      </c>
      <c r="AD754">
        <f t="shared" si="271"/>
        <v>25.035072548355139</v>
      </c>
      <c r="AE754">
        <f t="shared" si="272"/>
        <v>6.9493830048293006</v>
      </c>
      <c r="AF754">
        <f t="shared" si="273"/>
        <v>6000</v>
      </c>
      <c r="AG754">
        <f t="shared" si="274"/>
        <v>25.035072548355139</v>
      </c>
      <c r="AH754">
        <f t="shared" si="275"/>
        <v>6.9493830048293006</v>
      </c>
      <c r="AI754" cm="1">
        <f t="array" ref="AI754">_xlfn.LET(
    _xlpm.vals,   _xlfn.HSTACK(S754,V754,Y754,AB754,AE754,AH754),
    _xlpm.ints,   _xlfn.HSTACK(R754,U754,X754,AA754,AD754,AG754),
    _xlpm.slopes, _xlfn.HSTACK(Q754,T754,W754,Z754,AC754,AF754),
    _xlpm.limit,  -0.00001*_xlpm.slopes + 0.1086*_xlpm.slopes + 63.253,
    _xlpm.mask,   (_xlpm.vals&gt;=0) * (_xlpm.ints&lt;=_xlpm.limit),
    _xlpm.validVals, _xlfn._xlws.FILTER(_xlpm.vals, _xlpm.mask),
    _xlpm.minVal, MIN(_xlpm.validVals),
    IFERROR( _xlfn.XMATCH(_xlpm.minVal, _xlpm.vals), "" )
)</f>
        <v>4</v>
      </c>
      <c r="AJ754" cm="1">
        <f t="array" ref="AJ754">_xlfn.LET(
    _xlpm.vals, CHOOSE({1,2,3,4,5,6}, S754, V754, Y754, AB754, AE754, AH754),
    _xlpm.slopes, CHOOSE({1,2,3,4,5,6}, Q754, T754, W754, Z754, AC754, AF754),
    _xlpm.ints, CHOOSE({1,2,3,4,5,6}, R754, U754, X754, AA754, AD754, AG754),
    _xlpm.limit, -0.00001*_xlpm.slopes + 0.1086*_xlpm.slopes + 63.253,
    _xlpm.valid, (_xlpm.vals &gt;= 0) * (_xlpm.ints &lt;= _xlpm.limit),
    _xlpm.target, MIN(_xlfn._xlws.FILTER(_xlpm.vals, _xlpm.valid)),
    IFERROR(
        _xlfn.XLOOKUP(_xlpm.target, _xlpm.vals, _xlpm.vals),
        CHOOSE({1,2,3,4,5,6}, S$1, V$1, Y$1, AB$1, AE$1, AH$1)
    )
)</f>
        <v>1.6923276993458023</v>
      </c>
    </row>
    <row r="755" spans="9:36" x14ac:dyDescent="0.45">
      <c r="I755">
        <v>753</v>
      </c>
      <c r="J755">
        <v>25.4</v>
      </c>
      <c r="K755">
        <f t="shared" si="254"/>
        <v>25.4</v>
      </c>
      <c r="L755">
        <f t="shared" si="253"/>
        <v>7.0555555555555554E-3</v>
      </c>
      <c r="M755">
        <v>20.96</v>
      </c>
      <c r="N755">
        <f t="shared" si="255"/>
        <v>20.96</v>
      </c>
      <c r="O755">
        <f t="shared" si="256"/>
        <v>330.0776427943274</v>
      </c>
      <c r="P755">
        <f t="shared" si="257"/>
        <v>1056.2484569418477</v>
      </c>
      <c r="Q755">
        <f t="shared" si="258"/>
        <v>4837.6179327936625</v>
      </c>
      <c r="R755">
        <f t="shared" si="259"/>
        <v>41.374341507118906</v>
      </c>
      <c r="S755">
        <f t="shared" si="260"/>
        <v>4.1286502865607675</v>
      </c>
      <c r="T755">
        <f t="shared" si="261"/>
        <v>3126.4954325478693</v>
      </c>
      <c r="U755">
        <f t="shared" si="262"/>
        <v>64.01840679142046</v>
      </c>
      <c r="V755">
        <f t="shared" si="263"/>
        <v>2.3216687940999323</v>
      </c>
      <c r="W755">
        <f t="shared" si="264"/>
        <v>2017.4345527589292</v>
      </c>
      <c r="X755">
        <f t="shared" si="265"/>
        <v>99.211771781468372</v>
      </c>
      <c r="Y755">
        <f t="shared" si="266"/>
        <v>2.1536009081698868</v>
      </c>
      <c r="Z755">
        <f t="shared" si="267"/>
        <v>1520.9977779962608</v>
      </c>
      <c r="AA755">
        <f t="shared" si="268"/>
        <v>131.59339173791983</v>
      </c>
      <c r="AB755">
        <f t="shared" si="269"/>
        <v>2.109394918546478</v>
      </c>
      <c r="AC755">
        <f t="shared" si="270"/>
        <v>6000</v>
      </c>
      <c r="AD755">
        <f t="shared" si="271"/>
        <v>33.358876072061264</v>
      </c>
      <c r="AE755">
        <f t="shared" si="272"/>
        <v>7.0731080978356413</v>
      </c>
      <c r="AF755">
        <f t="shared" si="273"/>
        <v>6000</v>
      </c>
      <c r="AG755">
        <f t="shared" si="274"/>
        <v>33.358876072061264</v>
      </c>
      <c r="AH755">
        <f t="shared" si="275"/>
        <v>7.0731080978356413</v>
      </c>
      <c r="AI755" cm="1">
        <f t="array" ref="AI755">_xlfn.LET(
    _xlpm.vals,   _xlfn.HSTACK(S755,V755,Y755,AB755,AE755,AH755),
    _xlpm.ints,   _xlfn.HSTACK(R755,U755,X755,AA755,AD755,AG755),
    _xlpm.slopes, _xlfn.HSTACK(Q755,T755,W755,Z755,AC755,AF755),
    _xlpm.limit,  -0.00001*_xlpm.slopes + 0.1086*_xlpm.slopes + 63.253,
    _xlpm.mask,   (_xlpm.vals&gt;=0) * (_xlpm.ints&lt;=_xlpm.limit),
    _xlpm.validVals, _xlfn._xlws.FILTER(_xlpm.vals, _xlpm.mask),
    _xlpm.minVal, MIN(_xlpm.validVals),
    IFERROR( _xlfn.XMATCH(_xlpm.minVal, _xlpm.vals), "" )
)</f>
        <v>4</v>
      </c>
      <c r="AJ755" cm="1">
        <f t="array" ref="AJ755">_xlfn.LET(
    _xlpm.vals, CHOOSE({1,2,3,4,5,6}, S755, V755, Y755, AB755, AE755, AH755),
    _xlpm.slopes, CHOOSE({1,2,3,4,5,6}, Q755, T755, W755, Z755, AC755, AF755),
    _xlpm.ints, CHOOSE({1,2,3,4,5,6}, R755, U755, X755, AA755, AD755, AG755),
    _xlpm.limit, -0.00001*_xlpm.slopes + 0.1086*_xlpm.slopes + 63.253,
    _xlpm.valid, (_xlpm.vals &gt;= 0) * (_xlpm.ints &lt;= _xlpm.limit),
    _xlpm.target, MIN(_xlfn._xlws.FILTER(_xlpm.vals, _xlpm.valid)),
    IFERROR(
        _xlfn.XLOOKUP(_xlpm.target, _xlpm.vals, _xlpm.vals),
        CHOOSE({1,2,3,4,5,6}, S$1, V$1, Y$1, AB$1, AE$1, AH$1)
    )
)</f>
        <v>2.109394918546478</v>
      </c>
    </row>
    <row r="756" spans="9:36" x14ac:dyDescent="0.45">
      <c r="I756">
        <v>754</v>
      </c>
      <c r="J756">
        <v>26.9</v>
      </c>
      <c r="K756">
        <f t="shared" si="254"/>
        <v>26.9</v>
      </c>
      <c r="L756">
        <f t="shared" si="253"/>
        <v>7.4722222222222221E-3</v>
      </c>
      <c r="M756">
        <v>21.22</v>
      </c>
      <c r="N756">
        <f t="shared" si="255"/>
        <v>21.22</v>
      </c>
      <c r="O756">
        <f t="shared" si="256"/>
        <v>349.57041697509482</v>
      </c>
      <c r="P756">
        <f t="shared" si="257"/>
        <v>1118.6253343203034</v>
      </c>
      <c r="Q756">
        <f t="shared" si="258"/>
        <v>5123.30403118699</v>
      </c>
      <c r="R756">
        <f t="shared" si="259"/>
        <v>39.551834580009015</v>
      </c>
      <c r="S756">
        <f t="shared" si="260"/>
        <v>4.7102463578994431</v>
      </c>
      <c r="T756">
        <f t="shared" si="261"/>
        <v>3311.1309895880981</v>
      </c>
      <c r="U756">
        <f t="shared" si="262"/>
        <v>61.198446748797735</v>
      </c>
      <c r="V756">
        <f t="shared" si="263"/>
        <v>2.4253389724041634</v>
      </c>
      <c r="W756">
        <f t="shared" si="264"/>
        <v>2136.5743885517795</v>
      </c>
      <c r="X756">
        <f t="shared" si="265"/>
        <v>94.841571924838362</v>
      </c>
      <c r="Y756">
        <f t="shared" si="266"/>
        <v>2.1759193402474355</v>
      </c>
      <c r="Z756">
        <f t="shared" si="267"/>
        <v>1610.8204814212368</v>
      </c>
      <c r="AA756">
        <f t="shared" si="268"/>
        <v>125.796807205862</v>
      </c>
      <c r="AB756">
        <f t="shared" si="269"/>
        <v>2.1509527988293313</v>
      </c>
      <c r="AC756">
        <f t="shared" si="270"/>
        <v>6000</v>
      </c>
      <c r="AD756">
        <f t="shared" si="271"/>
        <v>33.772678924100191</v>
      </c>
      <c r="AE756">
        <f t="shared" si="272"/>
        <v>7.0797479582671263</v>
      </c>
      <c r="AF756">
        <f t="shared" si="273"/>
        <v>6000</v>
      </c>
      <c r="AG756">
        <f t="shared" si="274"/>
        <v>33.772678924100191</v>
      </c>
      <c r="AH756">
        <f t="shared" si="275"/>
        <v>7.0797479582671263</v>
      </c>
      <c r="AI756" cm="1">
        <f t="array" ref="AI756">_xlfn.LET(
    _xlpm.vals,   _xlfn.HSTACK(S756,V756,Y756,AB756,AE756,AH756),
    _xlpm.ints,   _xlfn.HSTACK(R756,U756,X756,AA756,AD756,AG756),
    _xlpm.slopes, _xlfn.HSTACK(Q756,T756,W756,Z756,AC756,AF756),
    _xlpm.limit,  -0.00001*_xlpm.slopes + 0.1086*_xlpm.slopes + 63.253,
    _xlpm.mask,   (_xlpm.vals&gt;=0) * (_xlpm.ints&lt;=_xlpm.limit),
    _xlpm.validVals, _xlfn._xlws.FILTER(_xlpm.vals, _xlpm.mask),
    _xlpm.minVal, MIN(_xlpm.validVals),
    IFERROR( _xlfn.XMATCH(_xlpm.minVal, _xlpm.vals), "" )
)</f>
        <v>4</v>
      </c>
      <c r="AJ756" cm="1">
        <f t="array" ref="AJ756">_xlfn.LET(
    _xlpm.vals, CHOOSE({1,2,3,4,5,6}, S756, V756, Y756, AB756, AE756, AH756),
    _xlpm.slopes, CHOOSE({1,2,3,4,5,6}, Q756, T756, W756, Z756, AC756, AF756),
    _xlpm.ints, CHOOSE({1,2,3,4,5,6}, R756, U756, X756, AA756, AD756, AG756),
    _xlpm.limit, -0.00001*_xlpm.slopes + 0.1086*_xlpm.slopes + 63.253,
    _xlpm.valid, (_xlpm.vals &gt;= 0) * (_xlpm.ints &lt;= _xlpm.limit),
    _xlpm.target, MIN(_xlfn._xlws.FILTER(_xlpm.vals, _xlpm.valid)),
    IFERROR(
        _xlfn.XLOOKUP(_xlpm.target, _xlpm.vals, _xlpm.vals),
        CHOOSE({1,2,3,4,5,6}, S$1, V$1, Y$1, AB$1, AE$1, AH$1)
    )
)</f>
        <v>2.1509527988293313</v>
      </c>
    </row>
    <row r="757" spans="9:36" x14ac:dyDescent="0.45">
      <c r="I757">
        <v>755</v>
      </c>
      <c r="J757">
        <v>27.6</v>
      </c>
      <c r="K757">
        <f t="shared" si="254"/>
        <v>27.6</v>
      </c>
      <c r="L757">
        <f t="shared" si="253"/>
        <v>7.6666666666666671E-3</v>
      </c>
      <c r="M757">
        <v>11.94</v>
      </c>
      <c r="N757">
        <f t="shared" si="255"/>
        <v>11.94</v>
      </c>
      <c r="O757">
        <f t="shared" si="256"/>
        <v>358.66704492611962</v>
      </c>
      <c r="P757">
        <f t="shared" si="257"/>
        <v>1147.7345437635829</v>
      </c>
      <c r="Q757">
        <f t="shared" si="258"/>
        <v>5256.6242104372095</v>
      </c>
      <c r="R757">
        <f t="shared" si="259"/>
        <v>21.690460772266345</v>
      </c>
      <c r="S757">
        <f t="shared" si="260"/>
        <v>4.6978964826903589</v>
      </c>
      <c r="T757">
        <f t="shared" si="261"/>
        <v>3397.2942495402053</v>
      </c>
      <c r="U757">
        <f t="shared" si="262"/>
        <v>33.561591330060757</v>
      </c>
      <c r="V757">
        <f t="shared" si="263"/>
        <v>1.8828624762150687</v>
      </c>
      <c r="W757">
        <f t="shared" si="264"/>
        <v>2192.1729785884431</v>
      </c>
      <c r="X757">
        <f t="shared" si="265"/>
        <v>52.011680804701491</v>
      </c>
      <c r="Y757">
        <f t="shared" si="266"/>
        <v>1.3963200477758331</v>
      </c>
      <c r="Z757">
        <f t="shared" si="267"/>
        <v>1652.7377430195593</v>
      </c>
      <c r="AA757">
        <f t="shared" si="268"/>
        <v>68.987715511791563</v>
      </c>
      <c r="AB757">
        <f t="shared" si="269"/>
        <v>1.3613689696520179</v>
      </c>
      <c r="AC757">
        <f t="shared" si="270"/>
        <v>6000</v>
      </c>
      <c r="AD757">
        <f t="shared" si="271"/>
        <v>19.003100205172306</v>
      </c>
      <c r="AE757">
        <f t="shared" si="272"/>
        <v>6.8718820874671787</v>
      </c>
      <c r="AF757">
        <f t="shared" si="273"/>
        <v>6000</v>
      </c>
      <c r="AG757">
        <f t="shared" si="274"/>
        <v>19.003100205172306</v>
      </c>
      <c r="AH757">
        <f t="shared" si="275"/>
        <v>6.8718820874671787</v>
      </c>
      <c r="AI757" cm="1">
        <f t="array" ref="AI757">_xlfn.LET(
    _xlpm.vals,   _xlfn.HSTACK(S757,V757,Y757,AB757,AE757,AH757),
    _xlpm.ints,   _xlfn.HSTACK(R757,U757,X757,AA757,AD757,AG757),
    _xlpm.slopes, _xlfn.HSTACK(Q757,T757,W757,Z757,AC757,AF757),
    _xlpm.limit,  -0.00001*_xlpm.slopes + 0.1086*_xlpm.slopes + 63.253,
    _xlpm.mask,   (_xlpm.vals&gt;=0) * (_xlpm.ints&lt;=_xlpm.limit),
    _xlpm.validVals, _xlfn._xlws.FILTER(_xlpm.vals, _xlpm.mask),
    _xlpm.minVal, MIN(_xlpm.validVals),
    IFERROR( _xlfn.XMATCH(_xlpm.minVal, _xlpm.vals), "" )
)</f>
        <v>4</v>
      </c>
      <c r="AJ757" cm="1">
        <f t="array" ref="AJ757">_xlfn.LET(
    _xlpm.vals, CHOOSE({1,2,3,4,5,6}, S757, V757, Y757, AB757, AE757, AH757),
    _xlpm.slopes, CHOOSE({1,2,3,4,5,6}, Q757, T757, W757, Z757, AC757, AF757),
    _xlpm.ints, CHOOSE({1,2,3,4,5,6}, R757, U757, X757, AA757, AD757, AG757),
    _xlpm.limit, -0.00001*_xlpm.slopes + 0.1086*_xlpm.slopes + 63.253,
    _xlpm.valid, (_xlpm.vals &gt;= 0) * (_xlpm.ints &lt;= _xlpm.limit),
    _xlpm.target, MIN(_xlfn._xlws.FILTER(_xlpm.vals, _xlpm.valid)),
    IFERROR(
        _xlfn.XLOOKUP(_xlpm.target, _xlpm.vals, _xlpm.vals),
        CHOOSE({1,2,3,4,5,6}, S$1, V$1, Y$1, AB$1, AE$1, AH$1)
    )
)</f>
        <v>1.3613689696520179</v>
      </c>
    </row>
    <row r="758" spans="9:36" x14ac:dyDescent="0.45">
      <c r="I758">
        <v>756</v>
      </c>
      <c r="J758">
        <v>28.2</v>
      </c>
      <c r="K758">
        <f t="shared" si="254"/>
        <v>28.2</v>
      </c>
      <c r="L758">
        <f t="shared" si="253"/>
        <v>7.8333333333333328E-3</v>
      </c>
      <c r="M758">
        <v>11.22</v>
      </c>
      <c r="N758">
        <f t="shared" si="255"/>
        <v>11.22</v>
      </c>
      <c r="O758">
        <f t="shared" si="256"/>
        <v>366.46415459842649</v>
      </c>
      <c r="P758">
        <f t="shared" si="257"/>
        <v>1172.6852947149648</v>
      </c>
      <c r="Q758">
        <f t="shared" si="258"/>
        <v>5370.8986497945389</v>
      </c>
      <c r="R758">
        <f t="shared" si="259"/>
        <v>19.948823218543261</v>
      </c>
      <c r="S758">
        <f t="shared" si="260"/>
        <v>4.9664094332992859</v>
      </c>
      <c r="T758">
        <f t="shared" si="261"/>
        <v>3471.1484723562958</v>
      </c>
      <c r="U758">
        <f t="shared" si="262"/>
        <v>30.866760250313558</v>
      </c>
      <c r="V758">
        <f t="shared" si="263"/>
        <v>1.8982345485850383</v>
      </c>
      <c r="W758">
        <f t="shared" si="264"/>
        <v>2239.8289129055829</v>
      </c>
      <c r="X758">
        <f t="shared" si="265"/>
        <v>47.835398084255566</v>
      </c>
      <c r="Y758">
        <f t="shared" si="266"/>
        <v>1.3465116695307087</v>
      </c>
      <c r="Z758">
        <f t="shared" si="267"/>
        <v>1688.6668243895492</v>
      </c>
      <c r="AA758">
        <f t="shared" si="268"/>
        <v>63.448340514533434</v>
      </c>
      <c r="AB758">
        <f t="shared" si="269"/>
        <v>1.2979059942341453</v>
      </c>
      <c r="AC758">
        <f t="shared" si="270"/>
        <v>6000</v>
      </c>
      <c r="AD758">
        <f t="shared" si="271"/>
        <v>17.857184614910658</v>
      </c>
      <c r="AE758">
        <f t="shared" si="272"/>
        <v>6.8583581871430397</v>
      </c>
      <c r="AF758">
        <f t="shared" si="273"/>
        <v>6000</v>
      </c>
      <c r="AG758">
        <f t="shared" si="274"/>
        <v>17.857184614910658</v>
      </c>
      <c r="AH758">
        <f t="shared" si="275"/>
        <v>6.8583581871430397</v>
      </c>
      <c r="AI758" cm="1">
        <f t="array" ref="AI758">_xlfn.LET(
    _xlpm.vals,   _xlfn.HSTACK(S758,V758,Y758,AB758,AE758,AH758),
    _xlpm.ints,   _xlfn.HSTACK(R758,U758,X758,AA758,AD758,AG758),
    _xlpm.slopes, _xlfn.HSTACK(Q758,T758,W758,Z758,AC758,AF758),
    _xlpm.limit,  -0.00001*_xlpm.slopes + 0.1086*_xlpm.slopes + 63.253,
    _xlpm.mask,   (_xlpm.vals&gt;=0) * (_xlpm.ints&lt;=_xlpm.limit),
    _xlpm.validVals, _xlfn._xlws.FILTER(_xlpm.vals, _xlpm.mask),
    _xlpm.minVal, MIN(_xlpm.validVals),
    IFERROR( _xlfn.XMATCH(_xlpm.minVal, _xlpm.vals), "" )
)</f>
        <v>4</v>
      </c>
      <c r="AJ758" cm="1">
        <f t="array" ref="AJ758">_xlfn.LET(
    _xlpm.vals, CHOOSE({1,2,3,4,5,6}, S758, V758, Y758, AB758, AE758, AH758),
    _xlpm.slopes, CHOOSE({1,2,3,4,5,6}, Q758, T758, W758, Z758, AC758, AF758),
    _xlpm.ints, CHOOSE({1,2,3,4,5,6}, R758, U758, X758, AA758, AD758, AG758),
    _xlpm.limit, -0.00001*_xlpm.slopes + 0.1086*_xlpm.slopes + 63.253,
    _xlpm.valid, (_xlpm.vals &gt;= 0) * (_xlpm.ints &lt;= _xlpm.limit),
    _xlpm.target, MIN(_xlfn._xlws.FILTER(_xlpm.vals, _xlpm.valid)),
    IFERROR(
        _xlfn.XLOOKUP(_xlpm.target, _xlpm.vals, _xlpm.vals),
        CHOOSE({1,2,3,4,5,6}, S$1, V$1, Y$1, AB$1, AE$1, AH$1)
    )
)</f>
        <v>1.2979059942341453</v>
      </c>
    </row>
    <row r="759" spans="9:36" x14ac:dyDescent="0.45">
      <c r="I759">
        <v>757</v>
      </c>
      <c r="J759">
        <v>28.5</v>
      </c>
      <c r="K759">
        <f t="shared" si="254"/>
        <v>28.5</v>
      </c>
      <c r="L759">
        <f t="shared" si="253"/>
        <v>7.9166666666666673E-3</v>
      </c>
      <c r="M759">
        <v>9.61</v>
      </c>
      <c r="N759">
        <f t="shared" si="255"/>
        <v>9.61</v>
      </c>
      <c r="O759">
        <f t="shared" si="256"/>
        <v>370.36270943457998</v>
      </c>
      <c r="P759">
        <f t="shared" si="257"/>
        <v>1185.160670190656</v>
      </c>
      <c r="Q759">
        <f t="shared" si="258"/>
        <v>5428.0358694732049</v>
      </c>
      <c r="R759">
        <f t="shared" si="259"/>
        <v>16.906435844111893</v>
      </c>
      <c r="S759">
        <f t="shared" si="260"/>
        <v>5.0754725261983511</v>
      </c>
      <c r="T759">
        <f t="shared" si="261"/>
        <v>3508.0755837643419</v>
      </c>
      <c r="U759">
        <f t="shared" si="262"/>
        <v>26.159282488524482</v>
      </c>
      <c r="V759">
        <f t="shared" si="263"/>
        <v>1.8402605767229996</v>
      </c>
      <c r="W759">
        <f t="shared" si="264"/>
        <v>2263.656880064153</v>
      </c>
      <c r="X759">
        <f t="shared" si="265"/>
        <v>40.540039877503915</v>
      </c>
      <c r="Y759">
        <f t="shared" si="266"/>
        <v>1.2273247343594818</v>
      </c>
      <c r="Z759">
        <f t="shared" si="267"/>
        <v>1706.6313650745446</v>
      </c>
      <c r="AA759">
        <f t="shared" si="268"/>
        <v>53.771858448633665</v>
      </c>
      <c r="AB759">
        <f t="shared" si="269"/>
        <v>1.1577906857659941</v>
      </c>
      <c r="AC759">
        <f t="shared" si="270"/>
        <v>6000</v>
      </c>
      <c r="AD759">
        <f t="shared" si="271"/>
        <v>15.294790031131143</v>
      </c>
      <c r="AE759">
        <f t="shared" si="272"/>
        <v>6.8295348308215882</v>
      </c>
      <c r="AF759">
        <f t="shared" si="273"/>
        <v>6000</v>
      </c>
      <c r="AG759">
        <f t="shared" si="274"/>
        <v>15.294790031131143</v>
      </c>
      <c r="AH759">
        <f t="shared" si="275"/>
        <v>6.8295348308215882</v>
      </c>
      <c r="AI759" cm="1">
        <f t="array" ref="AI759">_xlfn.LET(
    _xlpm.vals,   _xlfn.HSTACK(S759,V759,Y759,AB759,AE759,AH759),
    _xlpm.ints,   _xlfn.HSTACK(R759,U759,X759,AA759,AD759,AG759),
    _xlpm.slopes, _xlfn.HSTACK(Q759,T759,W759,Z759,AC759,AF759),
    _xlpm.limit,  -0.00001*_xlpm.slopes + 0.1086*_xlpm.slopes + 63.253,
    _xlpm.mask,   (_xlpm.vals&gt;=0) * (_xlpm.ints&lt;=_xlpm.limit),
    _xlpm.validVals, _xlfn._xlws.FILTER(_xlpm.vals, _xlpm.mask),
    _xlpm.minVal, MIN(_xlpm.validVals),
    IFERROR( _xlfn.XMATCH(_xlpm.minVal, _xlpm.vals), "" )
)</f>
        <v>4</v>
      </c>
      <c r="AJ759" cm="1">
        <f t="array" ref="AJ759">_xlfn.LET(
    _xlpm.vals, CHOOSE({1,2,3,4,5,6}, S759, V759, Y759, AB759, AE759, AH759),
    _xlpm.slopes, CHOOSE({1,2,3,4,5,6}, Q759, T759, W759, Z759, AC759, AF759),
    _xlpm.ints, CHOOSE({1,2,3,4,5,6}, R759, U759, X759, AA759, AD759, AG759),
    _xlpm.limit, -0.00001*_xlpm.slopes + 0.1086*_xlpm.slopes + 63.253,
    _xlpm.valid, (_xlpm.vals &gt;= 0) * (_xlpm.ints &lt;= _xlpm.limit),
    _xlpm.target, MIN(_xlfn._xlws.FILTER(_xlpm.vals, _xlpm.valid)),
    IFERROR(
        _xlfn.XLOOKUP(_xlpm.target, _xlpm.vals, _xlpm.vals),
        CHOOSE({1,2,3,4,5,6}, S$1, V$1, Y$1, AB$1, AE$1, AH$1)
    )
)</f>
        <v>1.1577906857659941</v>
      </c>
    </row>
    <row r="760" spans="9:36" x14ac:dyDescent="0.45">
      <c r="I760">
        <v>758</v>
      </c>
      <c r="J760">
        <v>28.6</v>
      </c>
      <c r="K760">
        <f t="shared" si="254"/>
        <v>28.6</v>
      </c>
      <c r="L760">
        <f t="shared" si="253"/>
        <v>7.9444444444444449E-3</v>
      </c>
      <c r="M760">
        <v>7.44</v>
      </c>
      <c r="N760">
        <f t="shared" si="255"/>
        <v>7.44</v>
      </c>
      <c r="O760">
        <f t="shared" si="256"/>
        <v>371.6622277132978</v>
      </c>
      <c r="P760">
        <f t="shared" si="257"/>
        <v>1189.3191286825529</v>
      </c>
      <c r="Q760">
        <f t="shared" si="258"/>
        <v>5447.0816093660924</v>
      </c>
      <c r="R760">
        <f t="shared" si="259"/>
        <v>13.043088334505455</v>
      </c>
      <c r="S760">
        <f t="shared" si="260"/>
        <v>5.0749151760012632</v>
      </c>
      <c r="T760">
        <f t="shared" si="261"/>
        <v>3520.3846209003564</v>
      </c>
      <c r="U760">
        <f t="shared" si="262"/>
        <v>20.181535328390201</v>
      </c>
      <c r="V760">
        <f t="shared" si="263"/>
        <v>1.7381758011197184</v>
      </c>
      <c r="W760">
        <f t="shared" si="264"/>
        <v>2271.5995357836759</v>
      </c>
      <c r="X760">
        <f t="shared" si="265"/>
        <v>31.276096634573289</v>
      </c>
      <c r="Y760">
        <f t="shared" si="266"/>
        <v>1.0704352294082418</v>
      </c>
      <c r="Z760">
        <f t="shared" si="267"/>
        <v>1712.6195453028761</v>
      </c>
      <c r="AA760">
        <f t="shared" si="268"/>
        <v>41.484267063913187</v>
      </c>
      <c r="AB760">
        <f t="shared" si="269"/>
        <v>0.97533852072184724</v>
      </c>
      <c r="AC760">
        <f t="shared" si="270"/>
        <v>6000</v>
      </c>
      <c r="AD760">
        <f t="shared" si="271"/>
        <v>11.841127766037014</v>
      </c>
      <c r="AE760">
        <f t="shared" si="272"/>
        <v>6.7938374110268027</v>
      </c>
      <c r="AF760">
        <f t="shared" si="273"/>
        <v>6000</v>
      </c>
      <c r="AG760">
        <f t="shared" si="274"/>
        <v>11.841127766037014</v>
      </c>
      <c r="AH760">
        <f t="shared" si="275"/>
        <v>6.7938374110268027</v>
      </c>
      <c r="AI760" cm="1">
        <f t="array" ref="AI760">_xlfn.LET(
    _xlpm.vals,   _xlfn.HSTACK(S760,V760,Y760,AB760,AE760,AH760),
    _xlpm.ints,   _xlfn.HSTACK(R760,U760,X760,AA760,AD760,AG760),
    _xlpm.slopes, _xlfn.HSTACK(Q760,T760,W760,Z760,AC760,AF760),
    _xlpm.limit,  -0.00001*_xlpm.slopes + 0.1086*_xlpm.slopes + 63.253,
    _xlpm.mask,   (_xlpm.vals&gt;=0) * (_xlpm.ints&lt;=_xlpm.limit),
    _xlpm.validVals, _xlfn._xlws.FILTER(_xlpm.vals, _xlpm.mask),
    _xlpm.minVal, MIN(_xlpm.validVals),
    IFERROR( _xlfn.XMATCH(_xlpm.minVal, _xlpm.vals), "" )
)</f>
        <v>4</v>
      </c>
      <c r="AJ760" cm="1">
        <f t="array" ref="AJ760">_xlfn.LET(
    _xlpm.vals, CHOOSE({1,2,3,4,5,6}, S760, V760, Y760, AB760, AE760, AH760),
    _xlpm.slopes, CHOOSE({1,2,3,4,5,6}, Q760, T760, W760, Z760, AC760, AF760),
    _xlpm.ints, CHOOSE({1,2,3,4,5,6}, R760, U760, X760, AA760, AD760, AG760),
    _xlpm.limit, -0.00001*_xlpm.slopes + 0.1086*_xlpm.slopes + 63.253,
    _xlpm.valid, (_xlpm.vals &gt;= 0) * (_xlpm.ints &lt;= _xlpm.limit),
    _xlpm.target, MIN(_xlfn._xlws.FILTER(_xlpm.vals, _xlpm.valid)),
    IFERROR(
        _xlfn.XLOOKUP(_xlpm.target, _xlpm.vals, _xlpm.vals),
        CHOOSE({1,2,3,4,5,6}, S$1, V$1, Y$1, AB$1, AE$1, AH$1)
    )
)</f>
        <v>0.97533852072184724</v>
      </c>
    </row>
    <row r="761" spans="9:36" x14ac:dyDescent="0.45">
      <c r="I761">
        <v>759</v>
      </c>
      <c r="J761">
        <v>28.8</v>
      </c>
      <c r="K761">
        <f t="shared" si="254"/>
        <v>28.8</v>
      </c>
      <c r="L761">
        <f t="shared" si="253"/>
        <v>8.0000000000000002E-3</v>
      </c>
      <c r="M761">
        <v>5.87</v>
      </c>
      <c r="N761">
        <f t="shared" si="255"/>
        <v>5.87</v>
      </c>
      <c r="O761">
        <f t="shared" si="256"/>
        <v>374.26126427073348</v>
      </c>
      <c r="P761">
        <f t="shared" si="257"/>
        <v>1197.6360456663472</v>
      </c>
      <c r="Q761">
        <f t="shared" si="258"/>
        <v>5485.17308915187</v>
      </c>
      <c r="R761">
        <f t="shared" si="259"/>
        <v>10.21925289246119</v>
      </c>
      <c r="S761">
        <f t="shared" si="260"/>
        <v>5.146234456202734</v>
      </c>
      <c r="T761">
        <f t="shared" si="261"/>
        <v>3545.0026951723876</v>
      </c>
      <c r="U761">
        <f t="shared" si="262"/>
        <v>15.81222238090279</v>
      </c>
      <c r="V761">
        <f t="shared" si="263"/>
        <v>1.6835502874165966</v>
      </c>
      <c r="W761">
        <f t="shared" si="264"/>
        <v>2287.4848472227231</v>
      </c>
      <c r="X761">
        <f t="shared" si="265"/>
        <v>24.504805365168721</v>
      </c>
      <c r="Y761">
        <f t="shared" si="266"/>
        <v>0.96623055533533153</v>
      </c>
      <c r="Z761">
        <f t="shared" si="267"/>
        <v>1724.5959057595398</v>
      </c>
      <c r="AA761">
        <f t="shared" si="268"/>
        <v>32.502901560744625</v>
      </c>
      <c r="AB761">
        <f t="shared" si="269"/>
        <v>0.85125314567473298</v>
      </c>
      <c r="AC761">
        <f t="shared" si="270"/>
        <v>6000</v>
      </c>
      <c r="AD761">
        <f t="shared" si="271"/>
        <v>9.3423951594942576</v>
      </c>
      <c r="AE761">
        <f t="shared" si="272"/>
        <v>6.7703102446437162</v>
      </c>
      <c r="AF761">
        <f t="shared" si="273"/>
        <v>6000</v>
      </c>
      <c r="AG761">
        <f t="shared" si="274"/>
        <v>9.3423951594942576</v>
      </c>
      <c r="AH761">
        <f t="shared" si="275"/>
        <v>6.7703102446437162</v>
      </c>
      <c r="AI761" cm="1">
        <f t="array" ref="AI761">_xlfn.LET(
    _xlpm.vals,   _xlfn.HSTACK(S761,V761,Y761,AB761,AE761,AH761),
    _xlpm.ints,   _xlfn.HSTACK(R761,U761,X761,AA761,AD761,AG761),
    _xlpm.slopes, _xlfn.HSTACK(Q761,T761,W761,Z761,AC761,AF761),
    _xlpm.limit,  -0.00001*_xlpm.slopes + 0.1086*_xlpm.slopes + 63.253,
    _xlpm.mask,   (_xlpm.vals&gt;=0) * (_xlpm.ints&lt;=_xlpm.limit),
    _xlpm.validVals, _xlfn._xlws.FILTER(_xlpm.vals, _xlpm.mask),
    _xlpm.minVal, MIN(_xlpm.validVals),
    IFERROR( _xlfn.XMATCH(_xlpm.minVal, _xlpm.vals), "" )
)</f>
        <v>4</v>
      </c>
      <c r="AJ761" cm="1">
        <f t="array" ref="AJ761">_xlfn.LET(
    _xlpm.vals, CHOOSE({1,2,3,4,5,6}, S761, V761, Y761, AB761, AE761, AH761),
    _xlpm.slopes, CHOOSE({1,2,3,4,5,6}, Q761, T761, W761, Z761, AC761, AF761),
    _xlpm.ints, CHOOSE({1,2,3,4,5,6}, R761, U761, X761, AA761, AD761, AG761),
    _xlpm.limit, -0.00001*_xlpm.slopes + 0.1086*_xlpm.slopes + 63.253,
    _xlpm.valid, (_xlpm.vals &gt;= 0) * (_xlpm.ints &lt;= _xlpm.limit),
    _xlpm.target, MIN(_xlfn._xlws.FILTER(_xlpm.vals, _xlpm.valid)),
    IFERROR(
        _xlfn.XLOOKUP(_xlpm.target, _xlpm.vals, _xlpm.vals),
        CHOOSE({1,2,3,4,5,6}, S$1, V$1, Y$1, AB$1, AE$1, AH$1)
    )
)</f>
        <v>0.85125314567473298</v>
      </c>
    </row>
    <row r="762" spans="9:36" x14ac:dyDescent="0.45">
      <c r="I762">
        <v>760</v>
      </c>
      <c r="J762">
        <v>29</v>
      </c>
      <c r="K762">
        <f t="shared" si="254"/>
        <v>29</v>
      </c>
      <c r="L762">
        <f t="shared" si="253"/>
        <v>8.0555555555555554E-3</v>
      </c>
      <c r="M762">
        <v>5.95</v>
      </c>
      <c r="N762">
        <f t="shared" si="255"/>
        <v>5.95</v>
      </c>
      <c r="O762">
        <f t="shared" si="256"/>
        <v>376.8603008281691</v>
      </c>
      <c r="P762">
        <f t="shared" si="257"/>
        <v>1205.9529626501412</v>
      </c>
      <c r="Q762">
        <f t="shared" si="258"/>
        <v>5523.2645689376468</v>
      </c>
      <c r="R762">
        <f t="shared" si="259"/>
        <v>10.2870890891861</v>
      </c>
      <c r="S762">
        <f t="shared" si="260"/>
        <v>5.256194574595944</v>
      </c>
      <c r="T762">
        <f t="shared" si="261"/>
        <v>3569.6207694444179</v>
      </c>
      <c r="U762">
        <f t="shared" si="262"/>
        <v>15.917185144754169</v>
      </c>
      <c r="V762">
        <f t="shared" si="263"/>
        <v>1.7104814334560277</v>
      </c>
      <c r="W762">
        <f t="shared" si="264"/>
        <v>2303.3701586617694</v>
      </c>
      <c r="X762">
        <f t="shared" si="265"/>
        <v>24.667470171975051</v>
      </c>
      <c r="Y762">
        <f t="shared" si="266"/>
        <v>0.97615543597176024</v>
      </c>
      <c r="Z762">
        <f t="shared" si="267"/>
        <v>1736.5722662162034</v>
      </c>
      <c r="AA762">
        <f t="shared" si="268"/>
        <v>32.718658353105795</v>
      </c>
      <c r="AB762">
        <f t="shared" si="269"/>
        <v>0.85912739617338796</v>
      </c>
      <c r="AC762">
        <f t="shared" si="270"/>
        <v>6000</v>
      </c>
      <c r="AD762">
        <f t="shared" si="271"/>
        <v>9.4697191139677734</v>
      </c>
      <c r="AE762">
        <f t="shared" si="272"/>
        <v>6.7714617785249214</v>
      </c>
      <c r="AF762">
        <f t="shared" si="273"/>
        <v>6000</v>
      </c>
      <c r="AG762">
        <f t="shared" si="274"/>
        <v>9.4697191139677734</v>
      </c>
      <c r="AH762">
        <f t="shared" si="275"/>
        <v>6.7714617785249214</v>
      </c>
      <c r="AI762" cm="1">
        <f t="array" ref="AI762">_xlfn.LET(
    _xlpm.vals,   _xlfn.HSTACK(S762,V762,Y762,AB762,AE762,AH762),
    _xlpm.ints,   _xlfn.HSTACK(R762,U762,X762,AA762,AD762,AG762),
    _xlpm.slopes, _xlfn.HSTACK(Q762,T762,W762,Z762,AC762,AF762),
    _xlpm.limit,  -0.00001*_xlpm.slopes + 0.1086*_xlpm.slopes + 63.253,
    _xlpm.mask,   (_xlpm.vals&gt;=0) * (_xlpm.ints&lt;=_xlpm.limit),
    _xlpm.validVals, _xlfn._xlws.FILTER(_xlpm.vals, _xlpm.mask),
    _xlpm.minVal, MIN(_xlpm.validVals),
    IFERROR( _xlfn.XMATCH(_xlpm.minVal, _xlpm.vals), "" )
)</f>
        <v>4</v>
      </c>
      <c r="AJ762" cm="1">
        <f t="array" ref="AJ762">_xlfn.LET(
    _xlpm.vals, CHOOSE({1,2,3,4,5,6}, S762, V762, Y762, AB762, AE762, AH762),
    _xlpm.slopes, CHOOSE({1,2,3,4,5,6}, Q762, T762, W762, Z762, AC762, AF762),
    _xlpm.ints, CHOOSE({1,2,3,4,5,6}, R762, U762, X762, AA762, AD762, AG762),
    _xlpm.limit, -0.00001*_xlpm.slopes + 0.1086*_xlpm.slopes + 63.253,
    _xlpm.valid, (_xlpm.vals &gt;= 0) * (_xlpm.ints &lt;= _xlpm.limit),
    _xlpm.target, MIN(_xlfn._xlws.FILTER(_xlpm.vals, _xlpm.valid)),
    IFERROR(
        _xlfn.XLOOKUP(_xlpm.target, _xlpm.vals, _xlpm.vals),
        CHOOSE({1,2,3,4,5,6}, S$1, V$1, Y$1, AB$1, AE$1, AH$1)
    )
)</f>
        <v>0.85912739617338796</v>
      </c>
    </row>
    <row r="763" spans="9:36" x14ac:dyDescent="0.45">
      <c r="I763">
        <v>761</v>
      </c>
      <c r="J763">
        <v>28.9</v>
      </c>
      <c r="K763">
        <f t="shared" si="254"/>
        <v>28.9</v>
      </c>
      <c r="L763">
        <f t="shared" si="253"/>
        <v>8.0277777777777778E-3</v>
      </c>
      <c r="M763">
        <v>3.44</v>
      </c>
      <c r="N763">
        <f t="shared" si="255"/>
        <v>3.44</v>
      </c>
      <c r="O763">
        <f t="shared" si="256"/>
        <v>375.56078254945123</v>
      </c>
      <c r="P763">
        <f t="shared" si="257"/>
        <v>1201.7945041582441</v>
      </c>
      <c r="Q763">
        <f t="shared" si="258"/>
        <v>5504.2188290447584</v>
      </c>
      <c r="R763">
        <f t="shared" si="259"/>
        <v>5.9680730861981646</v>
      </c>
      <c r="S763">
        <f t="shared" si="260"/>
        <v>5.1519050947053797</v>
      </c>
      <c r="T763">
        <f t="shared" si="261"/>
        <v>3557.3117323084025</v>
      </c>
      <c r="U763">
        <f t="shared" si="262"/>
        <v>9.2343833563471609</v>
      </c>
      <c r="V763">
        <f t="shared" si="263"/>
        <v>1.5838280779323399</v>
      </c>
      <c r="W763">
        <f t="shared" si="264"/>
        <v>2295.4275029422461</v>
      </c>
      <c r="X763">
        <f t="shared" si="265"/>
        <v>14.310876824496125</v>
      </c>
      <c r="Y763">
        <f t="shared" si="266"/>
        <v>0.8127277243431491</v>
      </c>
      <c r="Z763">
        <f t="shared" si="267"/>
        <v>1730.5840859878715</v>
      </c>
      <c r="AA763">
        <f t="shared" si="268"/>
        <v>18.981788010269163</v>
      </c>
      <c r="AB763">
        <f t="shared" si="269"/>
        <v>0.6727405378816036</v>
      </c>
      <c r="AC763">
        <f t="shared" si="270"/>
        <v>6000</v>
      </c>
      <c r="AD763">
        <f t="shared" si="271"/>
        <v>5.4749300423611995</v>
      </c>
      <c r="AE763">
        <f t="shared" si="272"/>
        <v>6.7377870193212264</v>
      </c>
      <c r="AF763">
        <f t="shared" si="273"/>
        <v>6000</v>
      </c>
      <c r="AG763">
        <f t="shared" si="274"/>
        <v>5.4749300423611995</v>
      </c>
      <c r="AH763">
        <f t="shared" si="275"/>
        <v>6.7377870193212264</v>
      </c>
      <c r="AI763" cm="1">
        <f t="array" ref="AI763">_xlfn.LET(
    _xlpm.vals,   _xlfn.HSTACK(S763,V763,Y763,AB763,AE763,AH763),
    _xlpm.ints,   _xlfn.HSTACK(R763,U763,X763,AA763,AD763,AG763),
    _xlpm.slopes, _xlfn.HSTACK(Q763,T763,W763,Z763,AC763,AF763),
    _xlpm.limit,  -0.00001*_xlpm.slopes + 0.1086*_xlpm.slopes + 63.253,
    _xlpm.mask,   (_xlpm.vals&gt;=0) * (_xlpm.ints&lt;=_xlpm.limit),
    _xlpm.validVals, _xlfn._xlws.FILTER(_xlpm.vals, _xlpm.mask),
    _xlpm.minVal, MIN(_xlpm.validVals),
    IFERROR( _xlfn.XMATCH(_xlpm.minVal, _xlpm.vals), "" )
)</f>
        <v>4</v>
      </c>
      <c r="AJ763" cm="1">
        <f t="array" ref="AJ763">_xlfn.LET(
    _xlpm.vals, CHOOSE({1,2,3,4,5,6}, S763, V763, Y763, AB763, AE763, AH763),
    _xlpm.slopes, CHOOSE({1,2,3,4,5,6}, Q763, T763, W763, Z763, AC763, AF763),
    _xlpm.ints, CHOOSE({1,2,3,4,5,6}, R763, U763, X763, AA763, AD763, AG763),
    _xlpm.limit, -0.00001*_xlpm.slopes + 0.1086*_xlpm.slopes + 63.253,
    _xlpm.valid, (_xlpm.vals &gt;= 0) * (_xlpm.ints &lt;= _xlpm.limit),
    _xlpm.target, MIN(_xlfn._xlws.FILTER(_xlpm.vals, _xlpm.valid)),
    IFERROR(
        _xlfn.XLOOKUP(_xlpm.target, _xlpm.vals, _xlpm.vals),
        CHOOSE({1,2,3,4,5,6}, S$1, V$1, Y$1, AB$1, AE$1, AH$1)
    )
)</f>
        <v>0.6727405378816036</v>
      </c>
    </row>
    <row r="764" spans="9:36" x14ac:dyDescent="0.45">
      <c r="I764">
        <v>762</v>
      </c>
      <c r="J764">
        <v>28.8</v>
      </c>
      <c r="K764">
        <f t="shared" si="254"/>
        <v>28.8</v>
      </c>
      <c r="L764">
        <f t="shared" si="253"/>
        <v>8.0000000000000002E-3</v>
      </c>
      <c r="M764">
        <v>2.71</v>
      </c>
      <c r="N764">
        <f t="shared" si="255"/>
        <v>2.71</v>
      </c>
      <c r="O764">
        <f t="shared" si="256"/>
        <v>374.26126427073348</v>
      </c>
      <c r="P764">
        <f t="shared" si="257"/>
        <v>1197.6360456663472</v>
      </c>
      <c r="Q764">
        <f t="shared" si="258"/>
        <v>5485.17308915187</v>
      </c>
      <c r="R764">
        <f t="shared" si="259"/>
        <v>4.7179174341686245</v>
      </c>
      <c r="S764">
        <f t="shared" si="260"/>
        <v>5.0837449681614943</v>
      </c>
      <c r="T764">
        <f t="shared" si="261"/>
        <v>3545.0026951723876</v>
      </c>
      <c r="U764">
        <f t="shared" si="262"/>
        <v>7.3000208947609133</v>
      </c>
      <c r="V764">
        <f t="shared" si="263"/>
        <v>1.5401409103797823</v>
      </c>
      <c r="W764">
        <f t="shared" si="264"/>
        <v>2287.4848472227231</v>
      </c>
      <c r="X764">
        <f t="shared" si="265"/>
        <v>11.313121386645184</v>
      </c>
      <c r="Y764">
        <f t="shared" si="266"/>
        <v>0.76625389959639756</v>
      </c>
      <c r="Z764">
        <f t="shared" si="267"/>
        <v>1724.5959057595398</v>
      </c>
      <c r="AA764">
        <f t="shared" si="268"/>
        <v>15.005598505897433</v>
      </c>
      <c r="AB764">
        <f t="shared" si="269"/>
        <v>0.62172987966026438</v>
      </c>
      <c r="AC764">
        <f t="shared" si="270"/>
        <v>6000</v>
      </c>
      <c r="AD764">
        <f t="shared" si="271"/>
        <v>4.3130989577903636</v>
      </c>
      <c r="AE764">
        <f t="shared" si="272"/>
        <v>6.7289555005809643</v>
      </c>
      <c r="AF764">
        <f t="shared" si="273"/>
        <v>6000</v>
      </c>
      <c r="AG764">
        <f t="shared" si="274"/>
        <v>4.3130989577903636</v>
      </c>
      <c r="AH764">
        <f t="shared" si="275"/>
        <v>6.7289555005809643</v>
      </c>
      <c r="AI764" cm="1">
        <f t="array" ref="AI764">_xlfn.LET(
    _xlpm.vals,   _xlfn.HSTACK(S764,V764,Y764,AB764,AE764,AH764),
    _xlpm.ints,   _xlfn.HSTACK(R764,U764,X764,AA764,AD764,AG764),
    _xlpm.slopes, _xlfn.HSTACK(Q764,T764,W764,Z764,AC764,AF764),
    _xlpm.limit,  -0.00001*_xlpm.slopes + 0.1086*_xlpm.slopes + 63.253,
    _xlpm.mask,   (_xlpm.vals&gt;=0) * (_xlpm.ints&lt;=_xlpm.limit),
    _xlpm.validVals, _xlfn._xlws.FILTER(_xlpm.vals, _xlpm.mask),
    _xlpm.minVal, MIN(_xlpm.validVals),
    IFERROR( _xlfn.XMATCH(_xlpm.minVal, _xlpm.vals), "" )
)</f>
        <v>4</v>
      </c>
      <c r="AJ764" cm="1">
        <f t="array" ref="AJ764">_xlfn.LET(
    _xlpm.vals, CHOOSE({1,2,3,4,5,6}, S764, V764, Y764, AB764, AE764, AH764),
    _xlpm.slopes, CHOOSE({1,2,3,4,5,6}, Q764, T764, W764, Z764, AC764, AF764),
    _xlpm.ints, CHOOSE({1,2,3,4,5,6}, R764, U764, X764, AA764, AD764, AG764),
    _xlpm.limit, -0.00001*_xlpm.slopes + 0.1086*_xlpm.slopes + 63.253,
    _xlpm.valid, (_xlpm.vals &gt;= 0) * (_xlpm.ints &lt;= _xlpm.limit),
    _xlpm.target, MIN(_xlfn._xlws.FILTER(_xlpm.vals, _xlpm.valid)),
    IFERROR(
        _xlfn.XLOOKUP(_xlpm.target, _xlpm.vals, _xlpm.vals),
        CHOOSE({1,2,3,4,5,6}, S$1, V$1, Y$1, AB$1, AE$1, AH$1)
    )
)</f>
        <v>0.62172987966026438</v>
      </c>
    </row>
    <row r="765" spans="9:36" x14ac:dyDescent="0.45">
      <c r="I765">
        <v>763</v>
      </c>
      <c r="J765">
        <v>28.5</v>
      </c>
      <c r="K765">
        <f t="shared" si="254"/>
        <v>28.5</v>
      </c>
      <c r="L765">
        <f t="shared" si="253"/>
        <v>7.9166666666666673E-3</v>
      </c>
      <c r="M765">
        <v>0.88</v>
      </c>
      <c r="N765">
        <f t="shared" si="255"/>
        <v>0.88</v>
      </c>
      <c r="O765">
        <f t="shared" si="256"/>
        <v>370.36270943457998</v>
      </c>
      <c r="P765">
        <f t="shared" si="257"/>
        <v>1185.160670190656</v>
      </c>
      <c r="Q765">
        <f t="shared" si="258"/>
        <v>5428.0358694732049</v>
      </c>
      <c r="R765">
        <f t="shared" si="259"/>
        <v>1.548143969075803</v>
      </c>
      <c r="S765">
        <f t="shared" si="260"/>
        <v>4.8890329094354668</v>
      </c>
      <c r="T765">
        <f t="shared" si="261"/>
        <v>3508.0755837643419</v>
      </c>
      <c r="U765">
        <f t="shared" si="262"/>
        <v>2.3954389791781003</v>
      </c>
      <c r="V765">
        <f t="shared" si="263"/>
        <v>1.4279700392470702</v>
      </c>
      <c r="W765">
        <f t="shared" si="264"/>
        <v>2263.656880064153</v>
      </c>
      <c r="X765">
        <f t="shared" si="265"/>
        <v>3.7123033394592553</v>
      </c>
      <c r="Y765">
        <f t="shared" si="266"/>
        <v>0.65451799358262919</v>
      </c>
      <c r="Z765">
        <f t="shared" si="267"/>
        <v>1706.6313650745446</v>
      </c>
      <c r="AA765">
        <f t="shared" si="268"/>
        <v>4.9239579016438739</v>
      </c>
      <c r="AB765">
        <f t="shared" si="269"/>
        <v>0.50235877408786156</v>
      </c>
      <c r="AC765">
        <f t="shared" si="270"/>
        <v>6000</v>
      </c>
      <c r="AD765">
        <f t="shared" si="271"/>
        <v>1.4005634992086791</v>
      </c>
      <c r="AE765">
        <f t="shared" si="272"/>
        <v>6.7087556330534337</v>
      </c>
      <c r="AF765">
        <f t="shared" si="273"/>
        <v>6000</v>
      </c>
      <c r="AG765">
        <f t="shared" si="274"/>
        <v>1.4005634992086791</v>
      </c>
      <c r="AH765">
        <f t="shared" si="275"/>
        <v>6.7087556330534337</v>
      </c>
      <c r="AI765" cm="1">
        <f t="array" ref="AI765">_xlfn.LET(
    _xlpm.vals,   _xlfn.HSTACK(S765,V765,Y765,AB765,AE765,AH765),
    _xlpm.ints,   _xlfn.HSTACK(R765,U765,X765,AA765,AD765,AG765),
    _xlpm.slopes, _xlfn.HSTACK(Q765,T765,W765,Z765,AC765,AF765),
    _xlpm.limit,  -0.00001*_xlpm.slopes + 0.1086*_xlpm.slopes + 63.253,
    _xlpm.mask,   (_xlpm.vals&gt;=0) * (_xlpm.ints&lt;=_xlpm.limit),
    _xlpm.validVals, _xlfn._xlws.FILTER(_xlpm.vals, _xlpm.mask),
    _xlpm.minVal, MIN(_xlpm.validVals),
    IFERROR( _xlfn.XMATCH(_xlpm.minVal, _xlpm.vals), "" )
)</f>
        <v>4</v>
      </c>
      <c r="AJ765" cm="1">
        <f t="array" ref="AJ765">_xlfn.LET(
    _xlpm.vals, CHOOSE({1,2,3,4,5,6}, S765, V765, Y765, AB765, AE765, AH765),
    _xlpm.slopes, CHOOSE({1,2,3,4,5,6}, Q765, T765, W765, Z765, AC765, AF765),
    _xlpm.ints, CHOOSE({1,2,3,4,5,6}, R765, U765, X765, AA765, AD765, AG765),
    _xlpm.limit, -0.00001*_xlpm.slopes + 0.1086*_xlpm.slopes + 63.253,
    _xlpm.valid, (_xlpm.vals &gt;= 0) * (_xlpm.ints &lt;= _xlpm.limit),
    _xlpm.target, MIN(_xlfn._xlws.FILTER(_xlpm.vals, _xlpm.valid)),
    IFERROR(
        _xlfn.XLOOKUP(_xlpm.target, _xlpm.vals, _xlpm.vals),
        CHOOSE({1,2,3,4,5,6}, S$1, V$1, Y$1, AB$1, AE$1, AH$1)
    )
)</f>
        <v>0.50235877408786156</v>
      </c>
    </row>
    <row r="766" spans="9:36" x14ac:dyDescent="0.45">
      <c r="I766">
        <v>764</v>
      </c>
      <c r="J766">
        <v>28.4</v>
      </c>
      <c r="K766">
        <f t="shared" si="254"/>
        <v>28.4</v>
      </c>
      <c r="L766">
        <f t="shared" si="253"/>
        <v>7.888888888888888E-3</v>
      </c>
      <c r="M766">
        <v>4.0599999999999996</v>
      </c>
      <c r="N766">
        <f t="shared" si="255"/>
        <v>4.0599999999999996</v>
      </c>
      <c r="O766">
        <f t="shared" si="256"/>
        <v>369.06319115586217</v>
      </c>
      <c r="P766">
        <f t="shared" si="257"/>
        <v>1181.0022116987591</v>
      </c>
      <c r="Q766">
        <f t="shared" si="258"/>
        <v>5408.9901295803165</v>
      </c>
      <c r="R766">
        <f t="shared" si="259"/>
        <v>7.1677232179001722</v>
      </c>
      <c r="S766">
        <f t="shared" si="260"/>
        <v>4.8963566418091506</v>
      </c>
      <c r="T766">
        <f t="shared" si="261"/>
        <v>3495.766546628327</v>
      </c>
      <c r="U766">
        <f t="shared" si="262"/>
        <v>11.090598762832025</v>
      </c>
      <c r="V766">
        <f t="shared" si="263"/>
        <v>1.5532852695036972</v>
      </c>
      <c r="W766">
        <f t="shared" si="264"/>
        <v>2255.7142243446297</v>
      </c>
      <c r="X766">
        <f t="shared" si="265"/>
        <v>17.187524784284186</v>
      </c>
      <c r="Y766">
        <f t="shared" si="266"/>
        <v>0.83874159127988313</v>
      </c>
      <c r="Z766">
        <f t="shared" si="267"/>
        <v>1700.643184846213</v>
      </c>
      <c r="AA766">
        <f t="shared" si="268"/>
        <v>22.797341901376942</v>
      </c>
      <c r="AB766">
        <f t="shared" si="269"/>
        <v>0.71148142482636212</v>
      </c>
      <c r="AC766">
        <f t="shared" si="270"/>
        <v>6000</v>
      </c>
      <c r="AD766">
        <f t="shared" si="271"/>
        <v>6.4616906895309505</v>
      </c>
      <c r="AE766">
        <f t="shared" si="272"/>
        <v>6.7456305317453973</v>
      </c>
      <c r="AF766">
        <f t="shared" si="273"/>
        <v>6000</v>
      </c>
      <c r="AG766">
        <f t="shared" si="274"/>
        <v>6.4616906895309505</v>
      </c>
      <c r="AH766">
        <f t="shared" si="275"/>
        <v>6.7456305317453973</v>
      </c>
      <c r="AI766" cm="1">
        <f t="array" ref="AI766">_xlfn.LET(
    _xlpm.vals,   _xlfn.HSTACK(S766,V766,Y766,AB766,AE766,AH766),
    _xlpm.ints,   _xlfn.HSTACK(R766,U766,X766,AA766,AD766,AG766),
    _xlpm.slopes, _xlfn.HSTACK(Q766,T766,W766,Z766,AC766,AF766),
    _xlpm.limit,  -0.00001*_xlpm.slopes + 0.1086*_xlpm.slopes + 63.253,
    _xlpm.mask,   (_xlpm.vals&gt;=0) * (_xlpm.ints&lt;=_xlpm.limit),
    _xlpm.validVals, _xlfn._xlws.FILTER(_xlpm.vals, _xlpm.mask),
    _xlpm.minVal, MIN(_xlpm.validVals),
    IFERROR( _xlfn.XMATCH(_xlpm.minVal, _xlpm.vals), "" )
)</f>
        <v>4</v>
      </c>
      <c r="AJ766" cm="1">
        <f t="array" ref="AJ766">_xlfn.LET(
    _xlpm.vals, CHOOSE({1,2,3,4,5,6}, S766, V766, Y766, AB766, AE766, AH766),
    _xlpm.slopes, CHOOSE({1,2,3,4,5,6}, Q766, T766, W766, Z766, AC766, AF766),
    _xlpm.ints, CHOOSE({1,2,3,4,5,6}, R766, U766, X766, AA766, AD766, AG766),
    _xlpm.limit, -0.00001*_xlpm.slopes + 0.1086*_xlpm.slopes + 63.253,
    _xlpm.valid, (_xlpm.vals &gt;= 0) * (_xlpm.ints &lt;= _xlpm.limit),
    _xlpm.target, MIN(_xlfn._xlws.FILTER(_xlpm.vals, _xlpm.valid)),
    IFERROR(
        _xlfn.XLOOKUP(_xlpm.target, _xlpm.vals, _xlpm.vals),
        CHOOSE({1,2,3,4,5,6}, S$1, V$1, Y$1, AB$1, AE$1, AH$1)
    )
)</f>
        <v>0.71148142482636212</v>
      </c>
    </row>
    <row r="767" spans="9:36" x14ac:dyDescent="0.45">
      <c r="I767">
        <v>765</v>
      </c>
      <c r="J767">
        <v>28.4</v>
      </c>
      <c r="K767">
        <f t="shared" si="254"/>
        <v>28.4</v>
      </c>
      <c r="L767">
        <f t="shared" si="253"/>
        <v>7.888888888888888E-3</v>
      </c>
      <c r="M767">
        <v>3.74</v>
      </c>
      <c r="N767">
        <f t="shared" si="255"/>
        <v>3.74</v>
      </c>
      <c r="O767">
        <f t="shared" si="256"/>
        <v>369.06319115586217</v>
      </c>
      <c r="P767">
        <f t="shared" si="257"/>
        <v>1181.0022116987591</v>
      </c>
      <c r="Q767">
        <f t="shared" si="258"/>
        <v>5408.9901295803165</v>
      </c>
      <c r="R767">
        <f t="shared" si="259"/>
        <v>6.6027795159967111</v>
      </c>
      <c r="S767">
        <f t="shared" si="260"/>
        <v>4.8898247036998601</v>
      </c>
      <c r="T767">
        <f t="shared" si="261"/>
        <v>3495.766546628327</v>
      </c>
      <c r="U767">
        <f t="shared" si="262"/>
        <v>10.216462899751669</v>
      </c>
      <c r="V767">
        <f t="shared" si="263"/>
        <v>1.5387387643572534</v>
      </c>
      <c r="W767">
        <f t="shared" si="264"/>
        <v>2255.7142243446297</v>
      </c>
      <c r="X767">
        <f t="shared" si="265"/>
        <v>15.832843027887405</v>
      </c>
      <c r="Y767">
        <f t="shared" si="266"/>
        <v>0.81863988050097858</v>
      </c>
      <c r="Z767">
        <f t="shared" si="267"/>
        <v>1700.643184846213</v>
      </c>
      <c r="AA767">
        <f t="shared" si="268"/>
        <v>21.000507071711766</v>
      </c>
      <c r="AB767">
        <f t="shared" si="269"/>
        <v>0.68849033057036813</v>
      </c>
      <c r="AC767">
        <f t="shared" si="270"/>
        <v>6000</v>
      </c>
      <c r="AD767">
        <f t="shared" si="271"/>
        <v>5.9523948716368862</v>
      </c>
      <c r="AE767">
        <f t="shared" si="272"/>
        <v>6.7415430917266264</v>
      </c>
      <c r="AF767">
        <f t="shared" si="273"/>
        <v>6000</v>
      </c>
      <c r="AG767">
        <f t="shared" si="274"/>
        <v>5.9523948716368862</v>
      </c>
      <c r="AH767">
        <f t="shared" si="275"/>
        <v>6.7415430917266264</v>
      </c>
      <c r="AI767" cm="1">
        <f t="array" ref="AI767">_xlfn.LET(
    _xlpm.vals,   _xlfn.HSTACK(S767,V767,Y767,AB767,AE767,AH767),
    _xlpm.ints,   _xlfn.HSTACK(R767,U767,X767,AA767,AD767,AG767),
    _xlpm.slopes, _xlfn.HSTACK(Q767,T767,W767,Z767,AC767,AF767),
    _xlpm.limit,  -0.00001*_xlpm.slopes + 0.1086*_xlpm.slopes + 63.253,
    _xlpm.mask,   (_xlpm.vals&gt;=0) * (_xlpm.ints&lt;=_xlpm.limit),
    _xlpm.validVals, _xlfn._xlws.FILTER(_xlpm.vals, _xlpm.mask),
    _xlpm.minVal, MIN(_xlpm.validVals),
    IFERROR( _xlfn.XMATCH(_xlpm.minVal, _xlpm.vals), "" )
)</f>
        <v>4</v>
      </c>
      <c r="AJ767" cm="1">
        <f t="array" ref="AJ767">_xlfn.LET(
    _xlpm.vals, CHOOSE({1,2,3,4,5,6}, S767, V767, Y767, AB767, AE767, AH767),
    _xlpm.slopes, CHOOSE({1,2,3,4,5,6}, Q767, T767, W767, Z767, AC767, AF767),
    _xlpm.ints, CHOOSE({1,2,3,4,5,6}, R767, U767, X767, AA767, AD767, AG767),
    _xlpm.limit, -0.00001*_xlpm.slopes + 0.1086*_xlpm.slopes + 63.253,
    _xlpm.valid, (_xlpm.vals &gt;= 0) * (_xlpm.ints &lt;= _xlpm.limit),
    _xlpm.target, MIN(_xlfn._xlws.FILTER(_xlpm.vals, _xlpm.valid)),
    IFERROR(
        _xlfn.XLOOKUP(_xlpm.target, _xlpm.vals, _xlpm.vals),
        CHOOSE({1,2,3,4,5,6}, S$1, V$1, Y$1, AB$1, AE$1, AH$1)
    )
)</f>
        <v>0.68849033057036813</v>
      </c>
    </row>
    <row r="768" spans="9:36" x14ac:dyDescent="0.45">
      <c r="I768">
        <v>766</v>
      </c>
      <c r="J768">
        <v>28.2</v>
      </c>
      <c r="K768">
        <f t="shared" si="254"/>
        <v>28.2</v>
      </c>
      <c r="L768">
        <f t="shared" si="253"/>
        <v>7.8333333333333328E-3</v>
      </c>
      <c r="M768">
        <v>2.0699999999999998</v>
      </c>
      <c r="N768">
        <f t="shared" si="255"/>
        <v>2.0699999999999998</v>
      </c>
      <c r="O768">
        <f t="shared" si="256"/>
        <v>366.46415459842649</v>
      </c>
      <c r="P768">
        <f t="shared" si="257"/>
        <v>1172.6852947149648</v>
      </c>
      <c r="Q768">
        <f t="shared" si="258"/>
        <v>5370.8986497945389</v>
      </c>
      <c r="R768">
        <f t="shared" si="259"/>
        <v>3.6803978665226871</v>
      </c>
      <c r="S768">
        <f t="shared" si="260"/>
        <v>4.7525112565006724</v>
      </c>
      <c r="T768">
        <f t="shared" si="261"/>
        <v>3471.1484723562958</v>
      </c>
      <c r="U768">
        <f t="shared" si="262"/>
        <v>5.6946696718492928</v>
      </c>
      <c r="V768">
        <f t="shared" si="263"/>
        <v>1.4423406880646468</v>
      </c>
      <c r="W768">
        <f t="shared" si="264"/>
        <v>2239.8289129055829</v>
      </c>
      <c r="X768">
        <f t="shared" si="265"/>
        <v>8.8252472401434066</v>
      </c>
      <c r="Y768">
        <f t="shared" si="266"/>
        <v>0.71307942744907349</v>
      </c>
      <c r="Z768">
        <f t="shared" si="267"/>
        <v>1688.6668243895492</v>
      </c>
      <c r="AA768">
        <f t="shared" si="268"/>
        <v>11.705709881023548</v>
      </c>
      <c r="AB768">
        <f t="shared" si="269"/>
        <v>0.57247415122662626</v>
      </c>
      <c r="AC768">
        <f t="shared" si="270"/>
        <v>6000</v>
      </c>
      <c r="AD768">
        <f t="shared" si="271"/>
        <v>3.2945073220022336</v>
      </c>
      <c r="AE768">
        <f t="shared" si="272"/>
        <v>6.7215743150526901</v>
      </c>
      <c r="AF768">
        <f t="shared" si="273"/>
        <v>6000</v>
      </c>
      <c r="AG768">
        <f t="shared" si="274"/>
        <v>3.2945073220022336</v>
      </c>
      <c r="AH768">
        <f t="shared" si="275"/>
        <v>6.7215743150526901</v>
      </c>
      <c r="AI768" cm="1">
        <f t="array" ref="AI768">_xlfn.LET(
    _xlpm.vals,   _xlfn.HSTACK(S768,V768,Y768,AB768,AE768,AH768),
    _xlpm.ints,   _xlfn.HSTACK(R768,U768,X768,AA768,AD768,AG768),
    _xlpm.slopes, _xlfn.HSTACK(Q768,T768,W768,Z768,AC768,AF768),
    _xlpm.limit,  -0.00001*_xlpm.slopes + 0.1086*_xlpm.slopes + 63.253,
    _xlpm.mask,   (_xlpm.vals&gt;=0) * (_xlpm.ints&lt;=_xlpm.limit),
    _xlpm.validVals, _xlfn._xlws.FILTER(_xlpm.vals, _xlpm.mask),
    _xlpm.minVal, MIN(_xlpm.validVals),
    IFERROR( _xlfn.XMATCH(_xlpm.minVal, _xlpm.vals), "" )
)</f>
        <v>4</v>
      </c>
      <c r="AJ768" cm="1">
        <f t="array" ref="AJ768">_xlfn.LET(
    _xlpm.vals, CHOOSE({1,2,3,4,5,6}, S768, V768, Y768, AB768, AE768, AH768),
    _xlpm.slopes, CHOOSE({1,2,3,4,5,6}, Q768, T768, W768, Z768, AC768, AF768),
    _xlpm.ints, CHOOSE({1,2,3,4,5,6}, R768, U768, X768, AA768, AD768, AG768),
    _xlpm.limit, -0.00001*_xlpm.slopes + 0.1086*_xlpm.slopes + 63.253,
    _xlpm.valid, (_xlpm.vals &gt;= 0) * (_xlpm.ints &lt;= _xlpm.limit),
    _xlpm.target, MIN(_xlfn._xlws.FILTER(_xlpm.vals, _xlpm.valid)),
    IFERROR(
        _xlfn.XLOOKUP(_xlpm.target, _xlpm.vals, _xlpm.vals),
        CHOOSE({1,2,3,4,5,6}, S$1, V$1, Y$1, AB$1, AE$1, AH$1)
    )
)</f>
        <v>0.57247415122662626</v>
      </c>
    </row>
    <row r="769" spans="9:36" x14ac:dyDescent="0.45">
      <c r="I769">
        <v>767</v>
      </c>
      <c r="J769">
        <v>28</v>
      </c>
      <c r="K769">
        <f t="shared" si="254"/>
        <v>28</v>
      </c>
      <c r="L769">
        <f t="shared" si="253"/>
        <v>7.7777777777777776E-3</v>
      </c>
      <c r="M769">
        <v>1.39</v>
      </c>
      <c r="N769">
        <f t="shared" si="255"/>
        <v>1.39</v>
      </c>
      <c r="O769">
        <f t="shared" si="256"/>
        <v>363.86511804099086</v>
      </c>
      <c r="P769">
        <f t="shared" si="257"/>
        <v>1164.3683777311708</v>
      </c>
      <c r="Q769">
        <f t="shared" si="258"/>
        <v>5332.8071700087621</v>
      </c>
      <c r="R769">
        <f t="shared" si="259"/>
        <v>2.4890309795023513</v>
      </c>
      <c r="S769">
        <f t="shared" si="260"/>
        <v>4.636364680002373</v>
      </c>
      <c r="T769">
        <f t="shared" si="261"/>
        <v>3446.5303980842655</v>
      </c>
      <c r="U769">
        <f t="shared" si="262"/>
        <v>3.851270907473233</v>
      </c>
      <c r="V769">
        <f t="shared" si="263"/>
        <v>1.3906802620023786</v>
      </c>
      <c r="W769">
        <f t="shared" si="264"/>
        <v>2223.9436014665362</v>
      </c>
      <c r="X769">
        <f t="shared" si="265"/>
        <v>5.968461720482078</v>
      </c>
      <c r="Y769">
        <f t="shared" si="266"/>
        <v>0.66913640307939382</v>
      </c>
      <c r="Z769">
        <f t="shared" si="267"/>
        <v>1676.6904639328859</v>
      </c>
      <c r="AA769">
        <f t="shared" si="268"/>
        <v>7.9165013098060895</v>
      </c>
      <c r="AB769">
        <f t="shared" si="269"/>
        <v>0.52696742142000341</v>
      </c>
      <c r="AC769">
        <f t="shared" si="270"/>
        <v>6000</v>
      </c>
      <c r="AD769">
        <f t="shared" si="271"/>
        <v>2.2122537089773453</v>
      </c>
      <c r="AE769">
        <f t="shared" si="272"/>
        <v>6.7141044772605314</v>
      </c>
      <c r="AF769">
        <f t="shared" si="273"/>
        <v>6000</v>
      </c>
      <c r="AG769">
        <f t="shared" si="274"/>
        <v>2.2122537089773453</v>
      </c>
      <c r="AH769">
        <f t="shared" si="275"/>
        <v>6.7141044772605314</v>
      </c>
      <c r="AI769" cm="1">
        <f t="array" ref="AI769">_xlfn.LET(
    _xlpm.vals,   _xlfn.HSTACK(S769,V769,Y769,AB769,AE769,AH769),
    _xlpm.ints,   _xlfn.HSTACK(R769,U769,X769,AA769,AD769,AG769),
    _xlpm.slopes, _xlfn.HSTACK(Q769,T769,W769,Z769,AC769,AF769),
    _xlpm.limit,  -0.00001*_xlpm.slopes + 0.1086*_xlpm.slopes + 63.253,
    _xlpm.mask,   (_xlpm.vals&gt;=0) * (_xlpm.ints&lt;=_xlpm.limit),
    _xlpm.validVals, _xlfn._xlws.FILTER(_xlpm.vals, _xlpm.mask),
    _xlpm.minVal, MIN(_xlpm.validVals),
    IFERROR( _xlfn.XMATCH(_xlpm.minVal, _xlpm.vals), "" )
)</f>
        <v>4</v>
      </c>
      <c r="AJ769" cm="1">
        <f t="array" ref="AJ769">_xlfn.LET(
    _xlpm.vals, CHOOSE({1,2,3,4,5,6}, S769, V769, Y769, AB769, AE769, AH769),
    _xlpm.slopes, CHOOSE({1,2,3,4,5,6}, Q769, T769, W769, Z769, AC769, AF769),
    _xlpm.ints, CHOOSE({1,2,3,4,5,6}, R769, U769, X769, AA769, AD769, AG769),
    _xlpm.limit, -0.00001*_xlpm.slopes + 0.1086*_xlpm.slopes + 63.253,
    _xlpm.valid, (_xlpm.vals &gt;= 0) * (_xlpm.ints &lt;= _xlpm.limit),
    _xlpm.target, MIN(_xlfn._xlws.FILTER(_xlpm.vals, _xlpm.valid)),
    IFERROR(
        _xlfn.XLOOKUP(_xlpm.target, _xlpm.vals, _xlpm.vals),
        CHOOSE({1,2,3,4,5,6}, S$1, V$1, Y$1, AB$1, AE$1, AH$1)
    )
)</f>
        <v>0.52696742142000341</v>
      </c>
    </row>
    <row r="770" spans="9:36" x14ac:dyDescent="0.45">
      <c r="I770">
        <v>768</v>
      </c>
      <c r="J770">
        <v>27.8</v>
      </c>
      <c r="K770">
        <f t="shared" si="254"/>
        <v>27.8</v>
      </c>
      <c r="L770">
        <f t="shared" ref="L770:L833" si="276">K770*(1/3600)</f>
        <v>7.7222222222222223E-3</v>
      </c>
      <c r="M770">
        <v>2.0099999999999998</v>
      </c>
      <c r="N770">
        <f t="shared" si="255"/>
        <v>2.0099999999999998</v>
      </c>
      <c r="O770">
        <f t="shared" si="256"/>
        <v>361.26608148355524</v>
      </c>
      <c r="P770">
        <f t="shared" si="257"/>
        <v>1156.0514607473767</v>
      </c>
      <c r="Q770">
        <f t="shared" si="258"/>
        <v>5294.7156902229854</v>
      </c>
      <c r="R770">
        <f t="shared" si="259"/>
        <v>3.6251400943634469</v>
      </c>
      <c r="S770">
        <f t="shared" si="260"/>
        <v>4.5470567071272896</v>
      </c>
      <c r="T770">
        <f t="shared" si="261"/>
        <v>3421.9123238122352</v>
      </c>
      <c r="U770">
        <f t="shared" si="262"/>
        <v>5.6091694703326302</v>
      </c>
      <c r="V770">
        <f t="shared" si="263"/>
        <v>1.394675819146912</v>
      </c>
      <c r="W770">
        <f t="shared" si="264"/>
        <v>2208.0582900274894</v>
      </c>
      <c r="X770">
        <f t="shared" si="265"/>
        <v>8.6927443100442865</v>
      </c>
      <c r="Y770">
        <f t="shared" si="266"/>
        <v>0.69937575143692132</v>
      </c>
      <c r="Z770">
        <f t="shared" si="267"/>
        <v>1664.7141034762224</v>
      </c>
      <c r="AA770">
        <f t="shared" si="268"/>
        <v>11.529959466794852</v>
      </c>
      <c r="AB770">
        <f t="shared" si="269"/>
        <v>0.56385799467231068</v>
      </c>
      <c r="AC770">
        <f t="shared" si="270"/>
        <v>6000</v>
      </c>
      <c r="AD770">
        <f t="shared" si="271"/>
        <v>3.1990143561470958</v>
      </c>
      <c r="AE770">
        <f t="shared" si="272"/>
        <v>6.7208997302529907</v>
      </c>
      <c r="AF770">
        <f t="shared" si="273"/>
        <v>6000</v>
      </c>
      <c r="AG770">
        <f t="shared" si="274"/>
        <v>3.1990143561470958</v>
      </c>
      <c r="AH770">
        <f t="shared" si="275"/>
        <v>6.7208997302529907</v>
      </c>
      <c r="AI770" cm="1">
        <f t="array" ref="AI770">_xlfn.LET(
    _xlpm.vals,   _xlfn.HSTACK(S770,V770,Y770,AB770,AE770,AH770),
    _xlpm.ints,   _xlfn.HSTACK(R770,U770,X770,AA770,AD770,AG770),
    _xlpm.slopes, _xlfn.HSTACK(Q770,T770,W770,Z770,AC770,AF770),
    _xlpm.limit,  -0.00001*_xlpm.slopes + 0.1086*_xlpm.slopes + 63.253,
    _xlpm.mask,   (_xlpm.vals&gt;=0) * (_xlpm.ints&lt;=_xlpm.limit),
    _xlpm.validVals, _xlfn._xlws.FILTER(_xlpm.vals, _xlpm.mask),
    _xlpm.minVal, MIN(_xlpm.validVals),
    IFERROR( _xlfn.XMATCH(_xlpm.minVal, _xlpm.vals), "" )
)</f>
        <v>4</v>
      </c>
      <c r="AJ770" cm="1">
        <f t="array" ref="AJ770">_xlfn.LET(
    _xlpm.vals, CHOOSE({1,2,3,4,5,6}, S770, V770, Y770, AB770, AE770, AH770),
    _xlpm.slopes, CHOOSE({1,2,3,4,5,6}, Q770, T770, W770, Z770, AC770, AF770),
    _xlpm.ints, CHOOSE({1,2,3,4,5,6}, R770, U770, X770, AA770, AD770, AG770),
    _xlpm.limit, -0.00001*_xlpm.slopes + 0.1086*_xlpm.slopes + 63.253,
    _xlpm.valid, (_xlpm.vals &gt;= 0) * (_xlpm.ints &lt;= _xlpm.limit),
    _xlpm.target, MIN(_xlfn._xlws.FILTER(_xlpm.vals, _xlpm.valid)),
    IFERROR(
        _xlfn.XLOOKUP(_xlpm.target, _xlpm.vals, _xlpm.vals),
        CHOOSE({1,2,3,4,5,6}, S$1, V$1, Y$1, AB$1, AE$1, AH$1)
    )
)</f>
        <v>0.56385799467231068</v>
      </c>
    </row>
    <row r="771" spans="9:36" x14ac:dyDescent="0.45">
      <c r="I771">
        <v>769</v>
      </c>
      <c r="J771">
        <v>27.7</v>
      </c>
      <c r="K771">
        <f t="shared" ref="K771:K834" si="277">IF(J771&lt;0,0,J771)</f>
        <v>27.7</v>
      </c>
      <c r="L771">
        <f t="shared" si="276"/>
        <v>7.6944444444444439E-3</v>
      </c>
      <c r="M771">
        <v>2.0499999999999998</v>
      </c>
      <c r="N771">
        <f t="shared" ref="N771:N834" si="278">IF(M771&lt;0,0,M771)</f>
        <v>2.0499999999999998</v>
      </c>
      <c r="O771">
        <f t="shared" ref="O771:O834" si="279">(K771*0.44704*60)/(PI()*$B$2)</f>
        <v>359.96656320483743</v>
      </c>
      <c r="P771">
        <f t="shared" ref="P771:P834" si="280">O771*3.2</f>
        <v>1151.8930022554798</v>
      </c>
      <c r="Q771">
        <f t="shared" ref="Q771:Q834" si="281">IF(4.58*P771&lt;1000,1000,4.58*P771)</f>
        <v>5275.6699503300979</v>
      </c>
      <c r="R771">
        <f t="shared" ref="R771:R834" si="282">(1000*N771*60)/(Q771*2*PI())</f>
        <v>3.7106297749119532</v>
      </c>
      <c r="S771">
        <f t="shared" ref="S771:S834" si="283">(0.072946 + (0.000364279 * Q771) + (-0.00248749 * R771) + (0.00000951906 * Q771 * R771) + (-0.000000165418 * Q771^2) + (0.000045414 * R771^2) + (-0.00000000135106 * Q771^2 * R771) + (0.0000000203184 * Q771 * R771^2) + (0.0000000000481318 * Q771^3) + (-0.00000034778 * R771^3))</f>
        <v>4.4978850793794196</v>
      </c>
      <c r="T771">
        <f t="shared" ref="T771:T834" si="284">IF(2.96*P771&lt;1000,6000,2.96*P771)</f>
        <v>3409.6032866762203</v>
      </c>
      <c r="U771">
        <f t="shared" ref="U771:U834" si="285">(1000*N771*60)/(T771*2*PI())</f>
        <v>5.7414474219921443</v>
      </c>
      <c r="V771">
        <f t="shared" ref="V771:V834" si="286">(0.072946 + (0.000364279 * T771) + (-0.00248749 * U771) + (0.00000951906 * T771 * U771) + (-0.000000165418 * T771^2) + (0.000045414 * U771^2) + (-0.00000000135106 * T771^2 * U771) + (0.0000000203184 * T771 * U771^2) + (0.0000000000481318 * T771^3) + (-0.00000034778 * U771^3))</f>
        <v>1.3853909800841724</v>
      </c>
      <c r="W771">
        <f t="shared" ref="W771:W834" si="287">IF(1.91*P771&lt;1000,6000,1.91*P771)</f>
        <v>2200.1156343079665</v>
      </c>
      <c r="X771">
        <f t="shared" ref="X771:X834" si="288">(1000*N771*60)/(W771*2*PI())</f>
        <v>8.8977405073804956</v>
      </c>
      <c r="Y771">
        <f t="shared" ref="Y771:Y834" si="289">(0.072946 + (0.000364279 * W771) + (-0.00248749 * X771) + (0.00000951906 * W771 * X771) + (-0.000000165418 * W771^2) + (0.000045414 * X771^2) + (-0.00000000135106 * W771^2 * X771) + (0.0000000203184 * W771 * X771^2) + (0.0000000000481318 * W771^3) + (-0.00000034778 * X771^3))</f>
        <v>0.69919543302839138</v>
      </c>
      <c r="Z771">
        <f t="shared" ref="Z771:Z834" si="290">IF(1.44*P771&lt;1000,6000,1.44*P771)</f>
        <v>1658.7259232478909</v>
      </c>
      <c r="AA771">
        <f t="shared" ref="AA771:AA834" si="291">(1000*N771*60)/(Z771*2*PI())</f>
        <v>11.801864145206075</v>
      </c>
      <c r="AB771">
        <f t="shared" ref="AB771:AB834" si="292">(0.072946 + (0.000364279 * Z771) + (-0.00248749 * AA771) + (0.00000951906 * Z771 * AA771) + (-0.000000165418 * Z771^2) + (0.000045414 * AA771^2) + (-0.00000000135106 * Z771^2 * AA771) + (0.0000000203184 * Z771 * AA771^2) + (0.0000000000481318 * Z771^3) + (-0.00000034778 * AA771^3))</f>
        <v>0.5652871144729894</v>
      </c>
      <c r="AC771">
        <f t="shared" ref="AC771:AC834" si="293">IF(0.74*P771&lt;1000,6000,0.74*P771)</f>
        <v>6000</v>
      </c>
      <c r="AD771">
        <f t="shared" ref="AD771:AD834" si="294">(1000*N771*60)/(AC771*2*PI())</f>
        <v>3.2626763333838547</v>
      </c>
      <c r="AE771">
        <f t="shared" ref="AE771:AE834" si="295">(0.072946 + (0.000364279 * AC771) + (-0.00248749 * AD771) + (0.00000951906 * AC771 * AD771) + (-0.000000165418 * AC771^2) + (0.000045414 * AD771^2) + (-0.00000000135106 * AC771^2 * AD771) + (0.0000000203184 * AC771 * AD771^2) + (0.0000000000481318 * AC771^3) + (-0.00000034778 * AD771^3))</f>
        <v>6.7213491212583421</v>
      </c>
      <c r="AF771">
        <f t="shared" ref="AF771:AF834" si="296">IF(0.68*P771&lt;1000,6000,0.68*P771)</f>
        <v>6000</v>
      </c>
      <c r="AG771">
        <f t="shared" ref="AG771:AG834" si="297">(1000*N771*60)/(AF771*2*PI())</f>
        <v>3.2626763333838547</v>
      </c>
      <c r="AH771">
        <f t="shared" ref="AH771:AH834" si="298">(0.072946 + (0.000364279 * AF771) + (-0.00248749 * AG771) + (0.00000951906 * AF771 * AG771) + (-0.000000165418 * AF771^2) + (0.000045414 * AG771^2) + (-0.00000000135106 * AF771^2 * AG771) + (0.0000000203184 * AF771 * AG771^2) + (0.0000000000481318 * AF771^3) + (-0.00000034778 * AG771^3))</f>
        <v>6.7213491212583421</v>
      </c>
      <c r="AI771" cm="1">
        <f t="array" ref="AI771">_xlfn.LET(
    _xlpm.vals,   _xlfn.HSTACK(S771,V771,Y771,AB771,AE771,AH771),
    _xlpm.ints,   _xlfn.HSTACK(R771,U771,X771,AA771,AD771,AG771),
    _xlpm.slopes, _xlfn.HSTACK(Q771,T771,W771,Z771,AC771,AF771),
    _xlpm.limit,  -0.00001*_xlpm.slopes + 0.1086*_xlpm.slopes + 63.253,
    _xlpm.mask,   (_xlpm.vals&gt;=0) * (_xlpm.ints&lt;=_xlpm.limit),
    _xlpm.validVals, _xlfn._xlws.FILTER(_xlpm.vals, _xlpm.mask),
    _xlpm.minVal, MIN(_xlpm.validVals),
    IFERROR( _xlfn.XMATCH(_xlpm.minVal, _xlpm.vals), "" )
)</f>
        <v>4</v>
      </c>
      <c r="AJ771" cm="1">
        <f t="array" ref="AJ771">_xlfn.LET(
    _xlpm.vals, CHOOSE({1,2,3,4,5,6}, S771, V771, Y771, AB771, AE771, AH771),
    _xlpm.slopes, CHOOSE({1,2,3,4,5,6}, Q771, T771, W771, Z771, AC771, AF771),
    _xlpm.ints, CHOOSE({1,2,3,4,5,6}, R771, U771, X771, AA771, AD771, AG771),
    _xlpm.limit, -0.00001*_xlpm.slopes + 0.1086*_xlpm.slopes + 63.253,
    _xlpm.valid, (_xlpm.vals &gt;= 0) * (_xlpm.ints &lt;= _xlpm.limit),
    _xlpm.target, MIN(_xlfn._xlws.FILTER(_xlpm.vals, _xlpm.valid)),
    IFERROR(
        _xlfn.XLOOKUP(_xlpm.target, _xlpm.vals, _xlpm.vals),
        CHOOSE({1,2,3,4,5,6}, S$1, V$1, Y$1, AB$1, AE$1, AH$1)
    )
)</f>
        <v>0.5652871144729894</v>
      </c>
    </row>
    <row r="772" spans="9:36" x14ac:dyDescent="0.45">
      <c r="I772">
        <v>770</v>
      </c>
      <c r="J772">
        <v>27.5</v>
      </c>
      <c r="K772">
        <f t="shared" si="277"/>
        <v>27.5</v>
      </c>
      <c r="L772">
        <f t="shared" si="276"/>
        <v>7.6388888888888886E-3</v>
      </c>
      <c r="M772">
        <v>2.78</v>
      </c>
      <c r="N772">
        <f t="shared" si="278"/>
        <v>2.78</v>
      </c>
      <c r="O772">
        <f t="shared" si="279"/>
        <v>357.36752664740175</v>
      </c>
      <c r="P772">
        <f t="shared" si="280"/>
        <v>1143.5760852716855</v>
      </c>
      <c r="Q772">
        <f t="shared" si="281"/>
        <v>5237.5784705443202</v>
      </c>
      <c r="R772">
        <f t="shared" si="282"/>
        <v>5.0685721764411511</v>
      </c>
      <c r="S772">
        <f t="shared" si="283"/>
        <v>4.4146997082628863</v>
      </c>
      <c r="T772">
        <f t="shared" si="284"/>
        <v>3384.985212404189</v>
      </c>
      <c r="U772">
        <f t="shared" si="285"/>
        <v>7.8425880297636752</v>
      </c>
      <c r="V772">
        <f t="shared" si="286"/>
        <v>1.3961070595107918</v>
      </c>
      <c r="W772">
        <f t="shared" si="287"/>
        <v>2184.2303228689193</v>
      </c>
      <c r="X772">
        <f t="shared" si="288"/>
        <v>12.153958412618051</v>
      </c>
      <c r="Y772">
        <f t="shared" si="289"/>
        <v>0.73776287925885187</v>
      </c>
      <c r="Z772">
        <f t="shared" si="290"/>
        <v>1646.7495627912272</v>
      </c>
      <c r="AA772">
        <f t="shared" si="291"/>
        <v>16.120875394514222</v>
      </c>
      <c r="AB772">
        <f t="shared" si="292"/>
        <v>0.61176292599487425</v>
      </c>
      <c r="AC772">
        <f t="shared" si="293"/>
        <v>6000</v>
      </c>
      <c r="AD772">
        <f t="shared" si="294"/>
        <v>4.4245074179546906</v>
      </c>
      <c r="AE772">
        <f t="shared" si="295"/>
        <v>6.7297833556827813</v>
      </c>
      <c r="AF772">
        <f t="shared" si="296"/>
        <v>6000</v>
      </c>
      <c r="AG772">
        <f t="shared" si="297"/>
        <v>4.4245074179546906</v>
      </c>
      <c r="AH772">
        <f t="shared" si="298"/>
        <v>6.7297833556827813</v>
      </c>
      <c r="AI772" cm="1">
        <f t="array" ref="AI772">_xlfn.LET(
    _xlpm.vals,   _xlfn.HSTACK(S772,V772,Y772,AB772,AE772,AH772),
    _xlpm.ints,   _xlfn.HSTACK(R772,U772,X772,AA772,AD772,AG772),
    _xlpm.slopes, _xlfn.HSTACK(Q772,T772,W772,Z772,AC772,AF772),
    _xlpm.limit,  -0.00001*_xlpm.slopes + 0.1086*_xlpm.slopes + 63.253,
    _xlpm.mask,   (_xlpm.vals&gt;=0) * (_xlpm.ints&lt;=_xlpm.limit),
    _xlpm.validVals, _xlfn._xlws.FILTER(_xlpm.vals, _xlpm.mask),
    _xlpm.minVal, MIN(_xlpm.validVals),
    IFERROR( _xlfn.XMATCH(_xlpm.minVal, _xlpm.vals), "" )
)</f>
        <v>4</v>
      </c>
      <c r="AJ772" cm="1">
        <f t="array" ref="AJ772">_xlfn.LET(
    _xlpm.vals, CHOOSE({1,2,3,4,5,6}, S772, V772, Y772, AB772, AE772, AH772),
    _xlpm.slopes, CHOOSE({1,2,3,4,5,6}, Q772, T772, W772, Z772, AC772, AF772),
    _xlpm.ints, CHOOSE({1,2,3,4,5,6}, R772, U772, X772, AA772, AD772, AG772),
    _xlpm.limit, -0.00001*_xlpm.slopes + 0.1086*_xlpm.slopes + 63.253,
    _xlpm.valid, (_xlpm.vals &gt;= 0) * (_xlpm.ints &lt;= _xlpm.limit),
    _xlpm.target, MIN(_xlfn._xlws.FILTER(_xlpm.vals, _xlpm.valid)),
    IFERROR(
        _xlfn.XLOOKUP(_xlpm.target, _xlpm.vals, _xlpm.vals),
        CHOOSE({1,2,3,4,5,6}, S$1, V$1, Y$1, AB$1, AE$1, AH$1)
    )
)</f>
        <v>0.61176292599487425</v>
      </c>
    </row>
    <row r="773" spans="9:36" x14ac:dyDescent="0.45">
      <c r="I773">
        <v>771</v>
      </c>
      <c r="J773">
        <v>27.5</v>
      </c>
      <c r="K773">
        <f t="shared" si="277"/>
        <v>27.5</v>
      </c>
      <c r="L773">
        <f t="shared" si="276"/>
        <v>7.6388888888888886E-3</v>
      </c>
      <c r="M773">
        <v>4.6900000000000004</v>
      </c>
      <c r="N773">
        <f t="shared" si="278"/>
        <v>4.6900000000000004</v>
      </c>
      <c r="O773">
        <f t="shared" si="279"/>
        <v>357.36752664740175</v>
      </c>
      <c r="P773">
        <f t="shared" si="280"/>
        <v>1143.5760852716855</v>
      </c>
      <c r="Q773">
        <f t="shared" si="281"/>
        <v>5237.5784705443202</v>
      </c>
      <c r="R773">
        <f t="shared" si="282"/>
        <v>8.5509365134924469</v>
      </c>
      <c r="S773">
        <f t="shared" si="283"/>
        <v>4.4576205601641083</v>
      </c>
      <c r="T773">
        <f t="shared" si="284"/>
        <v>3384.985212404189</v>
      </c>
      <c r="U773">
        <f t="shared" si="285"/>
        <v>13.230840956687638</v>
      </c>
      <c r="V773">
        <f t="shared" si="286"/>
        <v>1.4852385743115211</v>
      </c>
      <c r="W773">
        <f t="shared" si="287"/>
        <v>2184.2303228689193</v>
      </c>
      <c r="X773">
        <f t="shared" si="288"/>
        <v>20.504339911934771</v>
      </c>
      <c r="Y773">
        <f t="shared" si="289"/>
        <v>0.85890077815611332</v>
      </c>
      <c r="Z773">
        <f t="shared" si="290"/>
        <v>1646.7495627912272</v>
      </c>
      <c r="AA773">
        <f t="shared" si="291"/>
        <v>27.196728633191256</v>
      </c>
      <c r="AB773">
        <f t="shared" si="292"/>
        <v>0.7495547067909738</v>
      </c>
      <c r="AC773">
        <f t="shared" si="293"/>
        <v>6000</v>
      </c>
      <c r="AD773">
        <f t="shared" si="294"/>
        <v>7.4643668310098921</v>
      </c>
      <c r="AE773">
        <f t="shared" si="295"/>
        <v>6.753920865388368</v>
      </c>
      <c r="AF773">
        <f t="shared" si="296"/>
        <v>6000</v>
      </c>
      <c r="AG773">
        <f t="shared" si="297"/>
        <v>7.4643668310098921</v>
      </c>
      <c r="AH773">
        <f t="shared" si="298"/>
        <v>6.753920865388368</v>
      </c>
      <c r="AI773" cm="1">
        <f t="array" ref="AI773">_xlfn.LET(
    _xlpm.vals,   _xlfn.HSTACK(S773,V773,Y773,AB773,AE773,AH773),
    _xlpm.ints,   _xlfn.HSTACK(R773,U773,X773,AA773,AD773,AG773),
    _xlpm.slopes, _xlfn.HSTACK(Q773,T773,W773,Z773,AC773,AF773),
    _xlpm.limit,  -0.00001*_xlpm.slopes + 0.1086*_xlpm.slopes + 63.253,
    _xlpm.mask,   (_xlpm.vals&gt;=0) * (_xlpm.ints&lt;=_xlpm.limit),
    _xlpm.validVals, _xlfn._xlws.FILTER(_xlpm.vals, _xlpm.mask),
    _xlpm.minVal, MIN(_xlpm.validVals),
    IFERROR( _xlfn.XMATCH(_xlpm.minVal, _xlpm.vals), "" )
)</f>
        <v>4</v>
      </c>
      <c r="AJ773" cm="1">
        <f t="array" ref="AJ773">_xlfn.LET(
    _xlpm.vals, CHOOSE({1,2,3,4,5,6}, S773, V773, Y773, AB773, AE773, AH773),
    _xlpm.slopes, CHOOSE({1,2,3,4,5,6}, Q773, T773, W773, Z773, AC773, AF773),
    _xlpm.ints, CHOOSE({1,2,3,4,5,6}, R773, U773, X773, AA773, AD773, AG773),
    _xlpm.limit, -0.00001*_xlpm.slopes + 0.1086*_xlpm.slopes + 63.253,
    _xlpm.valid, (_xlpm.vals &gt;= 0) * (_xlpm.ints &lt;= _xlpm.limit),
    _xlpm.target, MIN(_xlfn._xlws.FILTER(_xlpm.vals, _xlpm.valid)),
    IFERROR(
        _xlfn.XLOOKUP(_xlpm.target, _xlpm.vals, _xlpm.vals),
        CHOOSE({1,2,3,4,5,6}, S$1, V$1, Y$1, AB$1, AE$1, AH$1)
    )
)</f>
        <v>0.7495547067909738</v>
      </c>
    </row>
    <row r="774" spans="9:36" x14ac:dyDescent="0.45">
      <c r="I774">
        <v>772</v>
      </c>
      <c r="J774">
        <v>27.6</v>
      </c>
      <c r="K774">
        <f t="shared" si="277"/>
        <v>27.6</v>
      </c>
      <c r="L774">
        <f t="shared" si="276"/>
        <v>7.6666666666666671E-3</v>
      </c>
      <c r="M774">
        <v>3.52</v>
      </c>
      <c r="N774">
        <f t="shared" si="278"/>
        <v>3.52</v>
      </c>
      <c r="O774">
        <f t="shared" si="279"/>
        <v>358.66704492611962</v>
      </c>
      <c r="P774">
        <f t="shared" si="280"/>
        <v>1147.7345437635829</v>
      </c>
      <c r="Q774">
        <f t="shared" si="281"/>
        <v>5256.6242104372095</v>
      </c>
      <c r="R774">
        <f t="shared" si="282"/>
        <v>6.394507698356577</v>
      </c>
      <c r="S774">
        <f t="shared" si="283"/>
        <v>4.47966868706862</v>
      </c>
      <c r="T774">
        <f t="shared" si="284"/>
        <v>3397.2942495402053</v>
      </c>
      <c r="U774">
        <f t="shared" si="285"/>
        <v>9.8942044792138919</v>
      </c>
      <c r="V774">
        <f t="shared" si="286"/>
        <v>1.4405181064113397</v>
      </c>
      <c r="W774">
        <f t="shared" si="287"/>
        <v>2192.1729785884431</v>
      </c>
      <c r="X774">
        <f t="shared" si="288"/>
        <v>15.333426836896923</v>
      </c>
      <c r="Y774">
        <f t="shared" si="289"/>
        <v>0.78579719298942041</v>
      </c>
      <c r="Z774">
        <f t="shared" si="290"/>
        <v>1652.7377430195593</v>
      </c>
      <c r="AA774">
        <f t="shared" si="291"/>
        <v>20.338086985050779</v>
      </c>
      <c r="AB774">
        <f t="shared" si="292"/>
        <v>0.66452022455479987</v>
      </c>
      <c r="AC774">
        <f t="shared" si="293"/>
        <v>6000</v>
      </c>
      <c r="AD774">
        <f t="shared" si="294"/>
        <v>5.6022539968347163</v>
      </c>
      <c r="AE774">
        <f t="shared" si="295"/>
        <v>6.7387814431215451</v>
      </c>
      <c r="AF774">
        <f t="shared" si="296"/>
        <v>6000</v>
      </c>
      <c r="AG774">
        <f t="shared" si="297"/>
        <v>5.6022539968347163</v>
      </c>
      <c r="AH774">
        <f t="shared" si="298"/>
        <v>6.7387814431215451</v>
      </c>
      <c r="AI774" cm="1">
        <f t="array" ref="AI774">_xlfn.LET(
    _xlpm.vals,   _xlfn.HSTACK(S774,V774,Y774,AB774,AE774,AH774),
    _xlpm.ints,   _xlfn.HSTACK(R774,U774,X774,AA774,AD774,AG774),
    _xlpm.slopes, _xlfn.HSTACK(Q774,T774,W774,Z774,AC774,AF774),
    _xlpm.limit,  -0.00001*_xlpm.slopes + 0.1086*_xlpm.slopes + 63.253,
    _xlpm.mask,   (_xlpm.vals&gt;=0) * (_xlpm.ints&lt;=_xlpm.limit),
    _xlpm.validVals, _xlfn._xlws.FILTER(_xlpm.vals, _xlpm.mask),
    _xlpm.minVal, MIN(_xlpm.validVals),
    IFERROR( _xlfn.XMATCH(_xlpm.minVal, _xlpm.vals), "" )
)</f>
        <v>4</v>
      </c>
      <c r="AJ774" cm="1">
        <f t="array" ref="AJ774">_xlfn.LET(
    _xlpm.vals, CHOOSE({1,2,3,4,5,6}, S774, V774, Y774, AB774, AE774, AH774),
    _xlpm.slopes, CHOOSE({1,2,3,4,5,6}, Q774, T774, W774, Z774, AC774, AF774),
    _xlpm.ints, CHOOSE({1,2,3,4,5,6}, R774, U774, X774, AA774, AD774, AG774),
    _xlpm.limit, -0.00001*_xlpm.slopes + 0.1086*_xlpm.slopes + 63.253,
    _xlpm.valid, (_xlpm.vals &gt;= 0) * (_xlpm.ints &lt;= _xlpm.limit),
    _xlpm.target, MIN(_xlfn._xlws.FILTER(_xlpm.vals, _xlpm.valid)),
    IFERROR(
        _xlfn.XLOOKUP(_xlpm.target, _xlpm.vals, _xlpm.vals),
        CHOOSE({1,2,3,4,5,6}, S$1, V$1, Y$1, AB$1, AE$1, AH$1)
    )
)</f>
        <v>0.66452022455479987</v>
      </c>
    </row>
    <row r="775" spans="9:36" x14ac:dyDescent="0.45">
      <c r="I775">
        <v>773</v>
      </c>
      <c r="J775">
        <v>27.5</v>
      </c>
      <c r="K775">
        <f t="shared" si="277"/>
        <v>27.5</v>
      </c>
      <c r="L775">
        <f t="shared" si="276"/>
        <v>7.6388888888888886E-3</v>
      </c>
      <c r="M775">
        <v>3.61</v>
      </c>
      <c r="N775">
        <f t="shared" si="278"/>
        <v>3.61</v>
      </c>
      <c r="O775">
        <f t="shared" si="279"/>
        <v>357.36752664740175</v>
      </c>
      <c r="P775">
        <f t="shared" si="280"/>
        <v>1143.5760852716855</v>
      </c>
      <c r="Q775">
        <f t="shared" si="281"/>
        <v>5237.5784705443202</v>
      </c>
      <c r="R775">
        <f t="shared" si="282"/>
        <v>6.5818509197671062</v>
      </c>
      <c r="S775">
        <f t="shared" si="283"/>
        <v>4.4329196838600238</v>
      </c>
      <c r="T775">
        <f t="shared" si="284"/>
        <v>3384.985212404189</v>
      </c>
      <c r="U775">
        <f t="shared" si="285"/>
        <v>10.184080139369376</v>
      </c>
      <c r="V775">
        <f t="shared" si="286"/>
        <v>1.4341025158526965</v>
      </c>
      <c r="W775">
        <f t="shared" si="287"/>
        <v>2184.2303228689193</v>
      </c>
      <c r="X775">
        <f t="shared" si="288"/>
        <v>15.782658226457254</v>
      </c>
      <c r="Y775">
        <f t="shared" si="289"/>
        <v>0.78915410892600713</v>
      </c>
      <c r="Z775">
        <f t="shared" si="290"/>
        <v>1646.7495627912272</v>
      </c>
      <c r="AA775">
        <f t="shared" si="291"/>
        <v>20.933942508703719</v>
      </c>
      <c r="AB775">
        <f t="shared" si="292"/>
        <v>0.66993709692870596</v>
      </c>
      <c r="AC775">
        <f t="shared" si="293"/>
        <v>6000</v>
      </c>
      <c r="AD775">
        <f t="shared" si="294"/>
        <v>5.7454934456174218</v>
      </c>
      <c r="AE775">
        <f t="shared" si="295"/>
        <v>6.7399064278713379</v>
      </c>
      <c r="AF775">
        <f t="shared" si="296"/>
        <v>6000</v>
      </c>
      <c r="AG775">
        <f t="shared" si="297"/>
        <v>5.7454934456174218</v>
      </c>
      <c r="AH775">
        <f t="shared" si="298"/>
        <v>6.7399064278713379</v>
      </c>
      <c r="AI775" cm="1">
        <f t="array" ref="AI775">_xlfn.LET(
    _xlpm.vals,   _xlfn.HSTACK(S775,V775,Y775,AB775,AE775,AH775),
    _xlpm.ints,   _xlfn.HSTACK(R775,U775,X775,AA775,AD775,AG775),
    _xlpm.slopes, _xlfn.HSTACK(Q775,T775,W775,Z775,AC775,AF775),
    _xlpm.limit,  -0.00001*_xlpm.slopes + 0.1086*_xlpm.slopes + 63.253,
    _xlpm.mask,   (_xlpm.vals&gt;=0) * (_xlpm.ints&lt;=_xlpm.limit),
    _xlpm.validVals, _xlfn._xlws.FILTER(_xlpm.vals, _xlpm.mask),
    _xlpm.minVal, MIN(_xlpm.validVals),
    IFERROR( _xlfn.XMATCH(_xlpm.minVal, _xlpm.vals), "" )
)</f>
        <v>4</v>
      </c>
      <c r="AJ775" cm="1">
        <f t="array" ref="AJ775">_xlfn.LET(
    _xlpm.vals, CHOOSE({1,2,3,4,5,6}, S775, V775, Y775, AB775, AE775, AH775),
    _xlpm.slopes, CHOOSE({1,2,3,4,5,6}, Q775, T775, W775, Z775, AC775, AF775),
    _xlpm.ints, CHOOSE({1,2,3,4,5,6}, R775, U775, X775, AA775, AD775, AG775),
    _xlpm.limit, -0.00001*_xlpm.slopes + 0.1086*_xlpm.slopes + 63.253,
    _xlpm.valid, (_xlpm.vals &gt;= 0) * (_xlpm.ints &lt;= _xlpm.limit),
    _xlpm.target, MIN(_xlfn._xlws.FILTER(_xlpm.vals, _xlpm.valid)),
    IFERROR(
        _xlfn.XLOOKUP(_xlpm.target, _xlpm.vals, _xlpm.vals),
        CHOOSE({1,2,3,4,5,6}, S$1, V$1, Y$1, AB$1, AE$1, AH$1)
    )
)</f>
        <v>0.66993709692870596</v>
      </c>
    </row>
    <row r="776" spans="9:36" x14ac:dyDescent="0.45">
      <c r="I776">
        <v>774</v>
      </c>
      <c r="J776">
        <v>27.6</v>
      </c>
      <c r="K776">
        <f t="shared" si="277"/>
        <v>27.6</v>
      </c>
      <c r="L776">
        <f t="shared" si="276"/>
        <v>7.6666666666666671E-3</v>
      </c>
      <c r="M776">
        <v>6.44</v>
      </c>
      <c r="N776">
        <f t="shared" si="278"/>
        <v>6.44</v>
      </c>
      <c r="O776">
        <f t="shared" si="279"/>
        <v>358.66704492611962</v>
      </c>
      <c r="P776">
        <f t="shared" si="280"/>
        <v>1147.7345437635829</v>
      </c>
      <c r="Q776">
        <f t="shared" si="281"/>
        <v>5256.6242104372095</v>
      </c>
      <c r="R776">
        <f t="shared" si="282"/>
        <v>11.699042493584193</v>
      </c>
      <c r="S776">
        <f t="shared" si="283"/>
        <v>4.5480143014535717</v>
      </c>
      <c r="T776">
        <f t="shared" si="284"/>
        <v>3397.2942495402053</v>
      </c>
      <c r="U776">
        <f t="shared" si="285"/>
        <v>18.10189683128905</v>
      </c>
      <c r="V776">
        <f t="shared" si="286"/>
        <v>1.5821153756331039</v>
      </c>
      <c r="W776">
        <f t="shared" si="287"/>
        <v>2192.1729785884431</v>
      </c>
      <c r="X776">
        <f t="shared" si="288"/>
        <v>28.053201372050051</v>
      </c>
      <c r="Y776">
        <f t="shared" si="289"/>
        <v>0.98021961800837298</v>
      </c>
      <c r="Z776">
        <f t="shared" si="290"/>
        <v>1652.7377430195593</v>
      </c>
      <c r="AA776">
        <f t="shared" si="291"/>
        <v>37.209454597649717</v>
      </c>
      <c r="AB776">
        <f t="shared" si="292"/>
        <v>0.88742387569834313</v>
      </c>
      <c r="AC776">
        <f t="shared" si="293"/>
        <v>6000</v>
      </c>
      <c r="AD776">
        <f t="shared" si="294"/>
        <v>10.249578335118061</v>
      </c>
      <c r="AE776">
        <f t="shared" si="295"/>
        <v>6.7786261508998908</v>
      </c>
      <c r="AF776">
        <f t="shared" si="296"/>
        <v>6000</v>
      </c>
      <c r="AG776">
        <f t="shared" si="297"/>
        <v>10.249578335118061</v>
      </c>
      <c r="AH776">
        <f t="shared" si="298"/>
        <v>6.7786261508998908</v>
      </c>
      <c r="AI776" cm="1">
        <f t="array" ref="AI776">_xlfn.LET(
    _xlpm.vals,   _xlfn.HSTACK(S776,V776,Y776,AB776,AE776,AH776),
    _xlpm.ints,   _xlfn.HSTACK(R776,U776,X776,AA776,AD776,AG776),
    _xlpm.slopes, _xlfn.HSTACK(Q776,T776,W776,Z776,AC776,AF776),
    _xlpm.limit,  -0.00001*_xlpm.slopes + 0.1086*_xlpm.slopes + 63.253,
    _xlpm.mask,   (_xlpm.vals&gt;=0) * (_xlpm.ints&lt;=_xlpm.limit),
    _xlpm.validVals, _xlfn._xlws.FILTER(_xlpm.vals, _xlpm.mask),
    _xlpm.minVal, MIN(_xlpm.validVals),
    IFERROR( _xlfn.XMATCH(_xlpm.minVal, _xlpm.vals), "" )
)</f>
        <v>4</v>
      </c>
      <c r="AJ776" cm="1">
        <f t="array" ref="AJ776">_xlfn.LET(
    _xlpm.vals, CHOOSE({1,2,3,4,5,6}, S776, V776, Y776, AB776, AE776, AH776),
    _xlpm.slopes, CHOOSE({1,2,3,4,5,6}, Q776, T776, W776, Z776, AC776, AF776),
    _xlpm.ints, CHOOSE({1,2,3,4,5,6}, R776, U776, X776, AA776, AD776, AG776),
    _xlpm.limit, -0.00001*_xlpm.slopes + 0.1086*_xlpm.slopes + 63.253,
    _xlpm.valid, (_xlpm.vals &gt;= 0) * (_xlpm.ints &lt;= _xlpm.limit),
    _xlpm.target, MIN(_xlfn._xlws.FILTER(_xlpm.vals, _xlpm.valid)),
    IFERROR(
        _xlfn.XLOOKUP(_xlpm.target, _xlpm.vals, _xlpm.vals),
        CHOOSE({1,2,3,4,5,6}, S$1, V$1, Y$1, AB$1, AE$1, AH$1)
    )
)</f>
        <v>0.88742387569834313</v>
      </c>
    </row>
    <row r="777" spans="9:36" x14ac:dyDescent="0.45">
      <c r="I777">
        <v>775</v>
      </c>
      <c r="J777">
        <v>28</v>
      </c>
      <c r="K777">
        <f t="shared" si="277"/>
        <v>28</v>
      </c>
      <c r="L777">
        <f t="shared" si="276"/>
        <v>7.7777777777777776E-3</v>
      </c>
      <c r="M777">
        <v>7.53</v>
      </c>
      <c r="N777">
        <f t="shared" si="278"/>
        <v>7.53</v>
      </c>
      <c r="O777">
        <f t="shared" si="279"/>
        <v>363.86511804099086</v>
      </c>
      <c r="P777">
        <f t="shared" si="280"/>
        <v>1164.3683777311708</v>
      </c>
      <c r="Q777">
        <f t="shared" si="281"/>
        <v>5332.8071700087621</v>
      </c>
      <c r="R777">
        <f t="shared" si="282"/>
        <v>13.483743363778924</v>
      </c>
      <c r="S777">
        <f t="shared" si="283"/>
        <v>4.7708552893429701</v>
      </c>
      <c r="T777">
        <f t="shared" si="284"/>
        <v>3446.5303980842655</v>
      </c>
      <c r="U777">
        <f t="shared" si="285"/>
        <v>20.863359664225499</v>
      </c>
      <c r="V777">
        <f t="shared" si="286"/>
        <v>1.6788684168362811</v>
      </c>
      <c r="W777">
        <f t="shared" si="287"/>
        <v>2223.9436014665362</v>
      </c>
      <c r="X777">
        <f t="shared" si="288"/>
        <v>32.332745867071978</v>
      </c>
      <c r="Y777">
        <f t="shared" si="289"/>
        <v>1.0653170887107559</v>
      </c>
      <c r="Z777">
        <f t="shared" si="290"/>
        <v>1676.6904639328859</v>
      </c>
      <c r="AA777">
        <f t="shared" si="291"/>
        <v>42.885794865352416</v>
      </c>
      <c r="AB777">
        <f t="shared" si="292"/>
        <v>0.97923063593647974</v>
      </c>
      <c r="AC777">
        <f t="shared" si="293"/>
        <v>6000</v>
      </c>
      <c r="AD777">
        <f t="shared" si="294"/>
        <v>11.98436721481972</v>
      </c>
      <c r="AE777">
        <f t="shared" si="295"/>
        <v>6.7952450581471222</v>
      </c>
      <c r="AF777">
        <f t="shared" si="296"/>
        <v>6000</v>
      </c>
      <c r="AG777">
        <f t="shared" si="297"/>
        <v>11.98436721481972</v>
      </c>
      <c r="AH777">
        <f t="shared" si="298"/>
        <v>6.7952450581471222</v>
      </c>
      <c r="AI777" cm="1">
        <f t="array" ref="AI777">_xlfn.LET(
    _xlpm.vals,   _xlfn.HSTACK(S777,V777,Y777,AB777,AE777,AH777),
    _xlpm.ints,   _xlfn.HSTACK(R777,U777,X777,AA777,AD777,AG777),
    _xlpm.slopes, _xlfn.HSTACK(Q777,T777,W777,Z777,AC777,AF777),
    _xlpm.limit,  -0.00001*_xlpm.slopes + 0.1086*_xlpm.slopes + 63.253,
    _xlpm.mask,   (_xlpm.vals&gt;=0) * (_xlpm.ints&lt;=_xlpm.limit),
    _xlpm.validVals, _xlfn._xlws.FILTER(_xlpm.vals, _xlpm.mask),
    _xlpm.minVal, MIN(_xlpm.validVals),
    IFERROR( _xlfn.XMATCH(_xlpm.minVal, _xlpm.vals), "" )
)</f>
        <v>4</v>
      </c>
      <c r="AJ777" cm="1">
        <f t="array" ref="AJ777">_xlfn.LET(
    _xlpm.vals, CHOOSE({1,2,3,4,5,6}, S777, V777, Y777, AB777, AE777, AH777),
    _xlpm.slopes, CHOOSE({1,2,3,4,5,6}, Q777, T777, W777, Z777, AC777, AF777),
    _xlpm.ints, CHOOSE({1,2,3,4,5,6}, R777, U777, X777, AA777, AD777, AG777),
    _xlpm.limit, -0.00001*_xlpm.slopes + 0.1086*_xlpm.slopes + 63.253,
    _xlpm.valid, (_xlpm.vals &gt;= 0) * (_xlpm.ints &lt;= _xlpm.limit),
    _xlpm.target, MIN(_xlfn._xlws.FILTER(_xlpm.vals, _xlpm.valid)),
    IFERROR(
        _xlfn.XLOOKUP(_xlpm.target, _xlpm.vals, _xlpm.vals),
        CHOOSE({1,2,3,4,5,6}, S$1, V$1, Y$1, AB$1, AE$1, AH$1)
    )
)</f>
        <v>0.97923063593647974</v>
      </c>
    </row>
    <row r="778" spans="9:36" x14ac:dyDescent="0.45">
      <c r="I778">
        <v>776</v>
      </c>
      <c r="J778">
        <v>28.7</v>
      </c>
      <c r="K778">
        <f t="shared" si="277"/>
        <v>28.7</v>
      </c>
      <c r="L778">
        <f t="shared" si="276"/>
        <v>7.9722222222222226E-3</v>
      </c>
      <c r="M778">
        <v>13.92</v>
      </c>
      <c r="N778">
        <f t="shared" si="278"/>
        <v>13.92</v>
      </c>
      <c r="O778">
        <f t="shared" si="279"/>
        <v>372.96174599201561</v>
      </c>
      <c r="P778">
        <f t="shared" si="280"/>
        <v>1193.47758717445</v>
      </c>
      <c r="Q778">
        <f t="shared" si="281"/>
        <v>5466.1273492589817</v>
      </c>
      <c r="R778">
        <f t="shared" si="282"/>
        <v>24.318168966255641</v>
      </c>
      <c r="S778">
        <f t="shared" si="283"/>
        <v>5.293282228444415</v>
      </c>
      <c r="T778">
        <f t="shared" si="284"/>
        <v>3532.6936580363722</v>
      </c>
      <c r="U778">
        <f t="shared" si="285"/>
        <v>37.627437116706368</v>
      </c>
      <c r="V778">
        <f t="shared" si="286"/>
        <v>2.1021410704912591</v>
      </c>
      <c r="W778">
        <f t="shared" si="287"/>
        <v>2279.5421915031993</v>
      </c>
      <c r="X778">
        <f t="shared" si="288"/>
        <v>58.312677416466428</v>
      </c>
      <c r="Y778">
        <f t="shared" si="289"/>
        <v>1.5677562058986239</v>
      </c>
      <c r="Z778">
        <f t="shared" si="290"/>
        <v>1718.607725531208</v>
      </c>
      <c r="AA778">
        <f t="shared" si="291"/>
        <v>77.345287406563102</v>
      </c>
      <c r="AB778">
        <f t="shared" si="292"/>
        <v>1.5386890360153593</v>
      </c>
      <c r="AC778">
        <f t="shared" si="293"/>
        <v>6000</v>
      </c>
      <c r="AD778">
        <f t="shared" si="294"/>
        <v>22.154368078391833</v>
      </c>
      <c r="AE778">
        <f t="shared" si="295"/>
        <v>6.9110607205898198</v>
      </c>
      <c r="AF778">
        <f t="shared" si="296"/>
        <v>6000</v>
      </c>
      <c r="AG778">
        <f t="shared" si="297"/>
        <v>22.154368078391833</v>
      </c>
      <c r="AH778">
        <f t="shared" si="298"/>
        <v>6.9110607205898198</v>
      </c>
      <c r="AI778" cm="1">
        <f t="array" ref="AI778">_xlfn.LET(
    _xlpm.vals,   _xlfn.HSTACK(S778,V778,Y778,AB778,AE778,AH778),
    _xlpm.ints,   _xlfn.HSTACK(R778,U778,X778,AA778,AD778,AG778),
    _xlpm.slopes, _xlfn.HSTACK(Q778,T778,W778,Z778,AC778,AF778),
    _xlpm.limit,  -0.00001*_xlpm.slopes + 0.1086*_xlpm.slopes + 63.253,
    _xlpm.mask,   (_xlpm.vals&gt;=0) * (_xlpm.ints&lt;=_xlpm.limit),
    _xlpm.validVals, _xlfn._xlws.FILTER(_xlpm.vals, _xlpm.mask),
    _xlpm.minVal, MIN(_xlpm.validVals),
    IFERROR( _xlfn.XMATCH(_xlpm.minVal, _xlpm.vals), "" )
)</f>
        <v>4</v>
      </c>
      <c r="AJ778" cm="1">
        <f t="array" ref="AJ778">_xlfn.LET(
    _xlpm.vals, CHOOSE({1,2,3,4,5,6}, S778, V778, Y778, AB778, AE778, AH778),
    _xlpm.slopes, CHOOSE({1,2,3,4,5,6}, Q778, T778, W778, Z778, AC778, AF778),
    _xlpm.ints, CHOOSE({1,2,3,4,5,6}, R778, U778, X778, AA778, AD778, AG778),
    _xlpm.limit, -0.00001*_xlpm.slopes + 0.1086*_xlpm.slopes + 63.253,
    _xlpm.valid, (_xlpm.vals &gt;= 0) * (_xlpm.ints &lt;= _xlpm.limit),
    _xlpm.target, MIN(_xlfn._xlws.FILTER(_xlpm.vals, _xlpm.valid)),
    IFERROR(
        _xlfn.XLOOKUP(_xlpm.target, _xlpm.vals, _xlpm.vals),
        CHOOSE({1,2,3,4,5,6}, S$1, V$1, Y$1, AB$1, AE$1, AH$1)
    )
)</f>
        <v>1.5386890360153593</v>
      </c>
    </row>
    <row r="779" spans="9:36" x14ac:dyDescent="0.45">
      <c r="I779">
        <v>777</v>
      </c>
      <c r="J779">
        <v>29.8</v>
      </c>
      <c r="K779">
        <f t="shared" si="277"/>
        <v>29.8</v>
      </c>
      <c r="L779">
        <f t="shared" si="276"/>
        <v>8.277777777777778E-3</v>
      </c>
      <c r="M779">
        <v>15.94</v>
      </c>
      <c r="N779">
        <f t="shared" si="278"/>
        <v>15.94</v>
      </c>
      <c r="O779">
        <f t="shared" si="279"/>
        <v>387.25644705791177</v>
      </c>
      <c r="P779">
        <f t="shared" si="280"/>
        <v>1239.2206305853178</v>
      </c>
      <c r="Q779">
        <f t="shared" si="281"/>
        <v>5675.6304880807556</v>
      </c>
      <c r="R779">
        <f t="shared" si="282"/>
        <v>26.819185620479193</v>
      </c>
      <c r="S779">
        <f t="shared" si="283"/>
        <v>5.9356506000086666</v>
      </c>
      <c r="T779">
        <f t="shared" si="284"/>
        <v>3668.0930665325409</v>
      </c>
      <c r="U779">
        <f t="shared" si="285"/>
        <v>41.497253426281993</v>
      </c>
      <c r="V779">
        <f t="shared" si="286"/>
        <v>2.3320290242852635</v>
      </c>
      <c r="W779">
        <f t="shared" si="287"/>
        <v>2366.9114044179569</v>
      </c>
      <c r="X779">
        <f t="shared" si="288"/>
        <v>64.309879655389906</v>
      </c>
      <c r="Y779">
        <f t="shared" si="289"/>
        <v>1.7431152887015027</v>
      </c>
      <c r="Z779">
        <f t="shared" si="290"/>
        <v>1784.4777080428576</v>
      </c>
      <c r="AA779">
        <f t="shared" si="291"/>
        <v>85.299909820690772</v>
      </c>
      <c r="AB779">
        <f t="shared" si="292"/>
        <v>1.7179347413618109</v>
      </c>
      <c r="AC779">
        <f t="shared" si="293"/>
        <v>6000</v>
      </c>
      <c r="AD779">
        <f t="shared" si="294"/>
        <v>25.369297928848116</v>
      </c>
      <c r="AE779">
        <f t="shared" si="295"/>
        <v>6.9539819139081382</v>
      </c>
      <c r="AF779">
        <f t="shared" si="296"/>
        <v>6000</v>
      </c>
      <c r="AG779">
        <f t="shared" si="297"/>
        <v>25.369297928848116</v>
      </c>
      <c r="AH779">
        <f t="shared" si="298"/>
        <v>6.9539819139081382</v>
      </c>
      <c r="AI779" cm="1">
        <f t="array" ref="AI779">_xlfn.LET(
    _xlpm.vals,   _xlfn.HSTACK(S779,V779,Y779,AB779,AE779,AH779),
    _xlpm.ints,   _xlfn.HSTACK(R779,U779,X779,AA779,AD779,AG779),
    _xlpm.slopes, _xlfn.HSTACK(Q779,T779,W779,Z779,AC779,AF779),
    _xlpm.limit,  -0.00001*_xlpm.slopes + 0.1086*_xlpm.slopes + 63.253,
    _xlpm.mask,   (_xlpm.vals&gt;=0) * (_xlpm.ints&lt;=_xlpm.limit),
    _xlpm.validVals, _xlfn._xlws.FILTER(_xlpm.vals, _xlpm.mask),
    _xlpm.minVal, MIN(_xlpm.validVals),
    IFERROR( _xlfn.XMATCH(_xlpm.minVal, _xlpm.vals), "" )
)</f>
        <v>4</v>
      </c>
      <c r="AJ779" cm="1">
        <f t="array" ref="AJ779">_xlfn.LET(
    _xlpm.vals, CHOOSE({1,2,3,4,5,6}, S779, V779, Y779, AB779, AE779, AH779),
    _xlpm.slopes, CHOOSE({1,2,3,4,5,6}, Q779, T779, W779, Z779, AC779, AF779),
    _xlpm.ints, CHOOSE({1,2,3,4,5,6}, R779, U779, X779, AA779, AD779, AG779),
    _xlpm.limit, -0.00001*_xlpm.slopes + 0.1086*_xlpm.slopes + 63.253,
    _xlpm.valid, (_xlpm.vals &gt;= 0) * (_xlpm.ints &lt;= _xlpm.limit),
    _xlpm.target, MIN(_xlfn._xlws.FILTER(_xlpm.vals, _xlpm.valid)),
    IFERROR(
        _xlfn.XLOOKUP(_xlpm.target, _xlpm.vals, _xlpm.vals),
        CHOOSE({1,2,3,4,5,6}, S$1, V$1, Y$1, AB$1, AE$1, AH$1)
    )
)</f>
        <v>1.7179347413618109</v>
      </c>
    </row>
    <row r="780" spans="9:36" x14ac:dyDescent="0.45">
      <c r="I780">
        <v>778</v>
      </c>
      <c r="J780">
        <v>30.9</v>
      </c>
      <c r="K780">
        <f t="shared" si="277"/>
        <v>30.9</v>
      </c>
      <c r="L780">
        <f t="shared" si="276"/>
        <v>8.5833333333333334E-3</v>
      </c>
      <c r="M780">
        <v>15.23</v>
      </c>
      <c r="N780">
        <f t="shared" si="278"/>
        <v>15.23</v>
      </c>
      <c r="O780">
        <f t="shared" si="279"/>
        <v>401.55114812380776</v>
      </c>
      <c r="P780">
        <f t="shared" si="280"/>
        <v>1284.963673996185</v>
      </c>
      <c r="Q780">
        <f t="shared" si="281"/>
        <v>5885.1336269025269</v>
      </c>
      <c r="R780">
        <f t="shared" si="282"/>
        <v>24.712401827640395</v>
      </c>
      <c r="S780">
        <f t="shared" si="283"/>
        <v>6.5603494422095459</v>
      </c>
      <c r="T780">
        <f t="shared" si="284"/>
        <v>3803.4924750287073</v>
      </c>
      <c r="U780">
        <f t="shared" si="285"/>
        <v>38.237432557632779</v>
      </c>
      <c r="V780">
        <f t="shared" si="286"/>
        <v>2.4157148243513675</v>
      </c>
      <c r="W780">
        <f t="shared" si="287"/>
        <v>2454.2806173327131</v>
      </c>
      <c r="X780">
        <f t="shared" si="288"/>
        <v>59.25801066523195</v>
      </c>
      <c r="Y780">
        <f t="shared" si="289"/>
        <v>1.6991168558593688</v>
      </c>
      <c r="Z780">
        <f t="shared" si="290"/>
        <v>1850.3476905545062</v>
      </c>
      <c r="AA780">
        <f t="shared" si="291"/>
        <v>78.599166924022938</v>
      </c>
      <c r="AB780">
        <f t="shared" si="292"/>
        <v>1.6548251191022518</v>
      </c>
      <c r="AC780">
        <f t="shared" si="293"/>
        <v>6000</v>
      </c>
      <c r="AD780">
        <f t="shared" si="294"/>
        <v>24.239297832895662</v>
      </c>
      <c r="AE780">
        <f t="shared" si="295"/>
        <v>6.9385603401644156</v>
      </c>
      <c r="AF780">
        <f t="shared" si="296"/>
        <v>6000</v>
      </c>
      <c r="AG780">
        <f t="shared" si="297"/>
        <v>24.239297832895662</v>
      </c>
      <c r="AH780">
        <f t="shared" si="298"/>
        <v>6.9385603401644156</v>
      </c>
      <c r="AI780" cm="1">
        <f t="array" ref="AI780">_xlfn.LET(
    _xlpm.vals,   _xlfn.HSTACK(S780,V780,Y780,AB780,AE780,AH780),
    _xlpm.ints,   _xlfn.HSTACK(R780,U780,X780,AA780,AD780,AG780),
    _xlpm.slopes, _xlfn.HSTACK(Q780,T780,W780,Z780,AC780,AF780),
    _xlpm.limit,  -0.00001*_xlpm.slopes + 0.1086*_xlpm.slopes + 63.253,
    _xlpm.mask,   (_xlpm.vals&gt;=0) * (_xlpm.ints&lt;=_xlpm.limit),
    _xlpm.validVals, _xlfn._xlws.FILTER(_xlpm.vals, _xlpm.mask),
    _xlpm.minVal, MIN(_xlpm.validVals),
    IFERROR( _xlfn.XMATCH(_xlpm.minVal, _xlpm.vals), "" )
)</f>
        <v>4</v>
      </c>
      <c r="AJ780" cm="1">
        <f t="array" ref="AJ780">_xlfn.LET(
    _xlpm.vals, CHOOSE({1,2,3,4,5,6}, S780, V780, Y780, AB780, AE780, AH780),
    _xlpm.slopes, CHOOSE({1,2,3,4,5,6}, Q780, T780, W780, Z780, AC780, AF780),
    _xlpm.ints, CHOOSE({1,2,3,4,5,6}, R780, U780, X780, AA780, AD780, AG780),
    _xlpm.limit, -0.00001*_xlpm.slopes + 0.1086*_xlpm.slopes + 63.253,
    _xlpm.valid, (_xlpm.vals &gt;= 0) * (_xlpm.ints &lt;= _xlpm.limit),
    _xlpm.target, MIN(_xlfn._xlws.FILTER(_xlpm.vals, _xlpm.valid)),
    IFERROR(
        _xlfn.XLOOKUP(_xlpm.target, _xlpm.vals, _xlpm.vals),
        CHOOSE({1,2,3,4,5,6}, S$1, V$1, Y$1, AB$1, AE$1, AH$1)
    )
)</f>
        <v>1.6548251191022518</v>
      </c>
    </row>
    <row r="781" spans="9:36" x14ac:dyDescent="0.45">
      <c r="I781">
        <v>779</v>
      </c>
      <c r="J781">
        <v>31.9</v>
      </c>
      <c r="K781">
        <f t="shared" si="277"/>
        <v>31.9</v>
      </c>
      <c r="L781">
        <f t="shared" si="276"/>
        <v>8.8611111111111113E-3</v>
      </c>
      <c r="M781">
        <v>14.87</v>
      </c>
      <c r="N781">
        <f t="shared" si="278"/>
        <v>14.87</v>
      </c>
      <c r="O781">
        <f t="shared" si="279"/>
        <v>414.546330910986</v>
      </c>
      <c r="P781">
        <f t="shared" si="280"/>
        <v>1326.5482589151552</v>
      </c>
      <c r="Q781">
        <f t="shared" si="281"/>
        <v>6075.5910258314107</v>
      </c>
      <c r="R781">
        <f t="shared" si="282"/>
        <v>23.371889191168425</v>
      </c>
      <c r="S781">
        <f t="shared" si="283"/>
        <v>7.1902539481410424</v>
      </c>
      <c r="T781">
        <f t="shared" si="284"/>
        <v>3926.5828463888593</v>
      </c>
      <c r="U781">
        <f t="shared" si="285"/>
        <v>36.163260978226816</v>
      </c>
      <c r="V781">
        <f t="shared" si="286"/>
        <v>2.522512599266522</v>
      </c>
      <c r="W781">
        <f t="shared" si="287"/>
        <v>2533.7071745279463</v>
      </c>
      <c r="X781">
        <f t="shared" si="288"/>
        <v>56.043587694005957</v>
      </c>
      <c r="Y781">
        <f t="shared" si="289"/>
        <v>1.6861948752683673</v>
      </c>
      <c r="Z781">
        <f t="shared" si="290"/>
        <v>1910.2294928378235</v>
      </c>
      <c r="AA781">
        <f t="shared" si="291"/>
        <v>74.335592010799559</v>
      </c>
      <c r="AB781">
        <f t="shared" si="292"/>
        <v>1.6235624625166185</v>
      </c>
      <c r="AC781">
        <f t="shared" si="293"/>
        <v>6000</v>
      </c>
      <c r="AD781">
        <f t="shared" si="294"/>
        <v>23.666340037764837</v>
      </c>
      <c r="AE781">
        <f t="shared" si="295"/>
        <v>6.9308793480330255</v>
      </c>
      <c r="AF781">
        <f t="shared" si="296"/>
        <v>6000</v>
      </c>
      <c r="AG781">
        <f t="shared" si="297"/>
        <v>23.666340037764837</v>
      </c>
      <c r="AH781">
        <f t="shared" si="298"/>
        <v>6.9308793480330255</v>
      </c>
      <c r="AI781" cm="1">
        <f t="array" ref="AI781">_xlfn.LET(
    _xlpm.vals,   _xlfn.HSTACK(S781,V781,Y781,AB781,AE781,AH781),
    _xlpm.ints,   _xlfn.HSTACK(R781,U781,X781,AA781,AD781,AG781),
    _xlpm.slopes, _xlfn.HSTACK(Q781,T781,W781,Z781,AC781,AF781),
    _xlpm.limit,  -0.00001*_xlpm.slopes + 0.1086*_xlpm.slopes + 63.253,
    _xlpm.mask,   (_xlpm.vals&gt;=0) * (_xlpm.ints&lt;=_xlpm.limit),
    _xlpm.validVals, _xlfn._xlws.FILTER(_xlpm.vals, _xlpm.mask),
    _xlpm.minVal, MIN(_xlpm.validVals),
    IFERROR( _xlfn.XMATCH(_xlpm.minVal, _xlpm.vals), "" )
)</f>
        <v>4</v>
      </c>
      <c r="AJ781" cm="1">
        <f t="array" ref="AJ781">_xlfn.LET(
    _xlpm.vals, CHOOSE({1,2,3,4,5,6}, S781, V781, Y781, AB781, AE781, AH781),
    _xlpm.slopes, CHOOSE({1,2,3,4,5,6}, Q781, T781, W781, Z781, AC781, AF781),
    _xlpm.ints, CHOOSE({1,2,3,4,5,6}, R781, U781, X781, AA781, AD781, AG781),
    _xlpm.limit, -0.00001*_xlpm.slopes + 0.1086*_xlpm.slopes + 63.253,
    _xlpm.valid, (_xlpm.vals &gt;= 0) * (_xlpm.ints &lt;= _xlpm.limit),
    _xlpm.target, MIN(_xlfn._xlws.FILTER(_xlpm.vals, _xlpm.valid)),
    IFERROR(
        _xlfn.XLOOKUP(_xlpm.target, _xlpm.vals, _xlpm.vals),
        CHOOSE({1,2,3,4,5,6}, S$1, V$1, Y$1, AB$1, AE$1, AH$1)
    )
)</f>
        <v>1.6235624625166185</v>
      </c>
    </row>
    <row r="782" spans="9:36" x14ac:dyDescent="0.45">
      <c r="I782">
        <v>780</v>
      </c>
      <c r="J782">
        <v>32.9</v>
      </c>
      <c r="K782">
        <f t="shared" si="277"/>
        <v>32.9</v>
      </c>
      <c r="L782">
        <f t="shared" si="276"/>
        <v>9.1388888888888891E-3</v>
      </c>
      <c r="M782">
        <v>14.38</v>
      </c>
      <c r="N782">
        <f t="shared" si="278"/>
        <v>14.38</v>
      </c>
      <c r="O782">
        <f t="shared" si="279"/>
        <v>427.54151369816429</v>
      </c>
      <c r="P782">
        <f t="shared" si="280"/>
        <v>1368.1328438341259</v>
      </c>
      <c r="Q782">
        <f t="shared" si="281"/>
        <v>6266.0484247602963</v>
      </c>
      <c r="R782">
        <f t="shared" si="282"/>
        <v>21.914750029232394</v>
      </c>
      <c r="S782">
        <f t="shared" si="283"/>
        <v>7.8717627022761185</v>
      </c>
      <c r="T782">
        <f t="shared" si="284"/>
        <v>4049.6732177490126</v>
      </c>
      <c r="U782">
        <f t="shared" si="285"/>
        <v>33.908633491177149</v>
      </c>
      <c r="V782">
        <f t="shared" si="286"/>
        <v>2.6366990615596637</v>
      </c>
      <c r="W782">
        <f t="shared" si="287"/>
        <v>2613.1337317231805</v>
      </c>
      <c r="X782">
        <f t="shared" si="288"/>
        <v>52.549505305698609</v>
      </c>
      <c r="Y782">
        <f t="shared" si="289"/>
        <v>1.667339119120415</v>
      </c>
      <c r="Z782">
        <f t="shared" si="290"/>
        <v>1970.1112951211412</v>
      </c>
      <c r="AA782">
        <f t="shared" si="291"/>
        <v>69.701079954086353</v>
      </c>
      <c r="AB782">
        <f t="shared" si="292"/>
        <v>1.5822181006565823</v>
      </c>
      <c r="AC782">
        <f t="shared" si="293"/>
        <v>1012.4183044372531</v>
      </c>
      <c r="AD782">
        <f t="shared" si="294"/>
        <v>135.6345339647086</v>
      </c>
      <c r="AE782">
        <f t="shared" si="295"/>
        <v>1.4501825566063085</v>
      </c>
      <c r="AF782">
        <f t="shared" si="296"/>
        <v>6000</v>
      </c>
      <c r="AG782">
        <f t="shared" si="297"/>
        <v>22.886480816614551</v>
      </c>
      <c r="AH782">
        <f t="shared" si="298"/>
        <v>6.9205752183269409</v>
      </c>
      <c r="AI782" cm="1">
        <f t="array" ref="AI782">_xlfn.LET(
    _xlpm.vals,   _xlfn.HSTACK(S782,V782,Y782,AB782,AE782,AH782),
    _xlpm.ints,   _xlfn.HSTACK(R782,U782,X782,AA782,AD782,AG782),
    _xlpm.slopes, _xlfn.HSTACK(Q782,T782,W782,Z782,AC782,AF782),
    _xlpm.limit,  -0.00001*_xlpm.slopes + 0.1086*_xlpm.slopes + 63.253,
    _xlpm.mask,   (_xlpm.vals&gt;=0) * (_xlpm.ints&lt;=_xlpm.limit),
    _xlpm.validVals, _xlfn._xlws.FILTER(_xlpm.vals, _xlpm.mask),
    _xlpm.minVal, MIN(_xlpm.validVals),
    IFERROR( _xlfn.XMATCH(_xlpm.minVal, _xlpm.vals), "" )
)</f>
        <v>5</v>
      </c>
      <c r="AJ782" cm="1">
        <f t="array" ref="AJ782">_xlfn.LET(
    _xlpm.vals, CHOOSE({1,2,3,4,5,6}, S782, V782, Y782, AB782, AE782, AH782),
    _xlpm.slopes, CHOOSE({1,2,3,4,5,6}, Q782, T782, W782, Z782, AC782, AF782),
    _xlpm.ints, CHOOSE({1,2,3,4,5,6}, R782, U782, X782, AA782, AD782, AG782),
    _xlpm.limit, -0.00001*_xlpm.slopes + 0.1086*_xlpm.slopes + 63.253,
    _xlpm.valid, (_xlpm.vals &gt;= 0) * (_xlpm.ints &lt;= _xlpm.limit),
    _xlpm.target, MIN(_xlfn._xlws.FILTER(_xlpm.vals, _xlpm.valid)),
    IFERROR(
        _xlfn.XLOOKUP(_xlpm.target, _xlpm.vals, _xlpm.vals),
        CHOOSE({1,2,3,4,5,6}, S$1, V$1, Y$1, AB$1, AE$1, AH$1)
    )
)</f>
        <v>1.4501825566063085</v>
      </c>
    </row>
    <row r="783" spans="9:36" x14ac:dyDescent="0.45">
      <c r="I783">
        <v>781</v>
      </c>
      <c r="J783">
        <v>33.1</v>
      </c>
      <c r="K783">
        <f t="shared" si="277"/>
        <v>33.1</v>
      </c>
      <c r="L783">
        <f t="shared" si="276"/>
        <v>9.1944444444444443E-3</v>
      </c>
      <c r="M783">
        <v>7.51</v>
      </c>
      <c r="N783">
        <f t="shared" si="278"/>
        <v>7.51</v>
      </c>
      <c r="O783">
        <f t="shared" si="279"/>
        <v>430.14055025559998</v>
      </c>
      <c r="P783">
        <f t="shared" si="280"/>
        <v>1376.4497608179199</v>
      </c>
      <c r="Q783">
        <f t="shared" si="281"/>
        <v>6304.139904546073</v>
      </c>
      <c r="R783">
        <f t="shared" si="282"/>
        <v>11.375892420390672</v>
      </c>
      <c r="S783">
        <f t="shared" si="283"/>
        <v>7.9197810703569571</v>
      </c>
      <c r="T783">
        <f t="shared" si="284"/>
        <v>4074.2912920210429</v>
      </c>
      <c r="U783">
        <f t="shared" si="285"/>
        <v>17.601887596415295</v>
      </c>
      <c r="V783">
        <f t="shared" si="286"/>
        <v>2.3484254114946257</v>
      </c>
      <c r="W783">
        <f t="shared" si="287"/>
        <v>2629.0190431622268</v>
      </c>
      <c r="X783">
        <f t="shared" si="288"/>
        <v>27.278317950465588</v>
      </c>
      <c r="Y783">
        <f t="shared" si="289"/>
        <v>1.1884828070396138</v>
      </c>
      <c r="Z783">
        <f t="shared" si="290"/>
        <v>1982.0876555778045</v>
      </c>
      <c r="AA783">
        <f t="shared" si="291"/>
        <v>36.181657837075889</v>
      </c>
      <c r="AB783">
        <f t="shared" si="292"/>
        <v>1.0162200671221102</v>
      </c>
      <c r="AC783">
        <f t="shared" si="293"/>
        <v>1018.5728230052607</v>
      </c>
      <c r="AD783">
        <f t="shared" si="294"/>
        <v>70.407550385661182</v>
      </c>
      <c r="AE783">
        <f t="shared" si="295"/>
        <v>0.93840372740187195</v>
      </c>
      <c r="AF783">
        <f t="shared" si="296"/>
        <v>6000</v>
      </c>
      <c r="AG783">
        <f t="shared" si="297"/>
        <v>11.952536226201341</v>
      </c>
      <c r="AH783">
        <f t="shared" si="298"/>
        <v>6.7949316984286909</v>
      </c>
      <c r="AI783" cm="1">
        <f t="array" ref="AI783">_xlfn.LET(
    _xlpm.vals,   _xlfn.HSTACK(S783,V783,Y783,AB783,AE783,AH783),
    _xlpm.ints,   _xlfn.HSTACK(R783,U783,X783,AA783,AD783,AG783),
    _xlpm.slopes, _xlfn.HSTACK(Q783,T783,W783,Z783,AC783,AF783),
    _xlpm.limit,  -0.00001*_xlpm.slopes + 0.1086*_xlpm.slopes + 63.253,
    _xlpm.mask,   (_xlpm.vals&gt;=0) * (_xlpm.ints&lt;=_xlpm.limit),
    _xlpm.validVals, _xlfn._xlws.FILTER(_xlpm.vals, _xlpm.mask),
    _xlpm.minVal, MIN(_xlpm.validVals),
    IFERROR( _xlfn.XMATCH(_xlpm.minVal, _xlpm.vals), "" )
)</f>
        <v>5</v>
      </c>
      <c r="AJ783" cm="1">
        <f t="array" ref="AJ783">_xlfn.LET(
    _xlpm.vals, CHOOSE({1,2,3,4,5,6}, S783, V783, Y783, AB783, AE783, AH783),
    _xlpm.slopes, CHOOSE({1,2,3,4,5,6}, Q783, T783, W783, Z783, AC783, AF783),
    _xlpm.ints, CHOOSE({1,2,3,4,5,6}, R783, U783, X783, AA783, AD783, AG783),
    _xlpm.limit, -0.00001*_xlpm.slopes + 0.1086*_xlpm.slopes + 63.253,
    _xlpm.valid, (_xlpm.vals &gt;= 0) * (_xlpm.ints &lt;= _xlpm.limit),
    _xlpm.target, MIN(_xlfn._xlws.FILTER(_xlpm.vals, _xlpm.valid)),
    IFERROR(
        _xlfn.XLOOKUP(_xlpm.target, _xlpm.vals, _xlpm.vals),
        CHOOSE({1,2,3,4,5,6}, S$1, V$1, Y$1, AB$1, AE$1, AH$1)
    )
)</f>
        <v>0.93840372740187195</v>
      </c>
    </row>
    <row r="784" spans="9:36" x14ac:dyDescent="0.45">
      <c r="I784">
        <v>782</v>
      </c>
      <c r="J784">
        <v>33.700000000000003</v>
      </c>
      <c r="K784">
        <f t="shared" si="277"/>
        <v>33.700000000000003</v>
      </c>
      <c r="L784">
        <f t="shared" si="276"/>
        <v>9.3611111111111117E-3</v>
      </c>
      <c r="M784">
        <v>16.579999999999998</v>
      </c>
      <c r="N784">
        <f t="shared" si="278"/>
        <v>16.579999999999998</v>
      </c>
      <c r="O784">
        <f t="shared" si="279"/>
        <v>437.93765992790691</v>
      </c>
      <c r="P784">
        <f t="shared" si="280"/>
        <v>1401.4005117693023</v>
      </c>
      <c r="Q784">
        <f t="shared" si="281"/>
        <v>6418.4143439034042</v>
      </c>
      <c r="R784">
        <f t="shared" si="282"/>
        <v>24.667671624878242</v>
      </c>
      <c r="S784">
        <f t="shared" si="283"/>
        <v>8.4977335961029645</v>
      </c>
      <c r="T784">
        <f t="shared" si="284"/>
        <v>4148.1455148371351</v>
      </c>
      <c r="U784">
        <f t="shared" si="285"/>
        <v>38.168221635791326</v>
      </c>
      <c r="V784">
        <f t="shared" si="286"/>
        <v>2.867657797159036</v>
      </c>
      <c r="W784">
        <f t="shared" si="287"/>
        <v>2676.674977479367</v>
      </c>
      <c r="X784">
        <f t="shared" si="288"/>
        <v>59.150751854420072</v>
      </c>
      <c r="Y784">
        <f t="shared" si="289"/>
        <v>1.8505159114456495</v>
      </c>
      <c r="Z784">
        <f t="shared" si="290"/>
        <v>2018.0167369477952</v>
      </c>
      <c r="AA784">
        <f t="shared" si="291"/>
        <v>78.456900029126615</v>
      </c>
      <c r="AB784">
        <f t="shared" si="292"/>
        <v>1.774248859529598</v>
      </c>
      <c r="AC784">
        <f t="shared" si="293"/>
        <v>1037.0363787092838</v>
      </c>
      <c r="AD784">
        <f t="shared" si="294"/>
        <v>152.6728865431653</v>
      </c>
      <c r="AE784">
        <f t="shared" si="295"/>
        <v>1.5440909061328774</v>
      </c>
      <c r="AF784">
        <f t="shared" si="296"/>
        <v>6000</v>
      </c>
      <c r="AG784">
        <f t="shared" si="297"/>
        <v>26.387889564636247</v>
      </c>
      <c r="AH784">
        <f t="shared" si="298"/>
        <v>6.968191403365017</v>
      </c>
      <c r="AI784" cm="1">
        <f t="array" ref="AI784">_xlfn.LET(
    _xlpm.vals,   _xlfn.HSTACK(S784,V784,Y784,AB784,AE784,AH784),
    _xlpm.ints,   _xlfn.HSTACK(R784,U784,X784,AA784,AD784,AG784),
    _xlpm.slopes, _xlfn.HSTACK(Q784,T784,W784,Z784,AC784,AF784),
    _xlpm.limit,  -0.00001*_xlpm.slopes + 0.1086*_xlpm.slopes + 63.253,
    _xlpm.mask,   (_xlpm.vals&gt;=0) * (_xlpm.ints&lt;=_xlpm.limit),
    _xlpm.validVals, _xlfn._xlws.FILTER(_xlpm.vals, _xlpm.mask),
    _xlpm.minVal, MIN(_xlpm.validVals),
    IFERROR( _xlfn.XMATCH(_xlpm.minVal, _xlpm.vals), "" )
)</f>
        <v>5</v>
      </c>
      <c r="AJ784" cm="1">
        <f t="array" ref="AJ784">_xlfn.LET(
    _xlpm.vals, CHOOSE({1,2,3,4,5,6}, S784, V784, Y784, AB784, AE784, AH784),
    _xlpm.slopes, CHOOSE({1,2,3,4,5,6}, Q784, T784, W784, Z784, AC784, AF784),
    _xlpm.ints, CHOOSE({1,2,3,4,5,6}, R784, U784, X784, AA784, AD784, AG784),
    _xlpm.limit, -0.00001*_xlpm.slopes + 0.1086*_xlpm.slopes + 63.253,
    _xlpm.valid, (_xlpm.vals &gt;= 0) * (_xlpm.ints &lt;= _xlpm.limit),
    _xlpm.target, MIN(_xlfn._xlws.FILTER(_xlpm.vals, _xlpm.valid)),
    IFERROR(
        _xlfn.XLOOKUP(_xlpm.target, _xlpm.vals, _xlpm.vals),
        CHOOSE({1,2,3,4,5,6}, S$1, V$1, Y$1, AB$1, AE$1, AH$1)
    )
)</f>
        <v>1.5440909061328774</v>
      </c>
    </row>
    <row r="785" spans="9:36" x14ac:dyDescent="0.45">
      <c r="I785">
        <v>783</v>
      </c>
      <c r="J785">
        <v>34.200000000000003</v>
      </c>
      <c r="K785">
        <f t="shared" si="277"/>
        <v>34.200000000000003</v>
      </c>
      <c r="L785">
        <f t="shared" si="276"/>
        <v>9.5000000000000015E-3</v>
      </c>
      <c r="M785">
        <v>13.23</v>
      </c>
      <c r="N785">
        <f t="shared" si="278"/>
        <v>13.23</v>
      </c>
      <c r="O785">
        <f t="shared" si="279"/>
        <v>444.43525132149603</v>
      </c>
      <c r="P785">
        <f t="shared" si="280"/>
        <v>1422.1928042287873</v>
      </c>
      <c r="Q785">
        <f t="shared" si="281"/>
        <v>6513.6430433678461</v>
      </c>
      <c r="R785">
        <f t="shared" si="282"/>
        <v>19.395780976205373</v>
      </c>
      <c r="S785">
        <f t="shared" si="283"/>
        <v>8.8359440080103866</v>
      </c>
      <c r="T785">
        <f t="shared" si="284"/>
        <v>4209.6907005172106</v>
      </c>
      <c r="U785">
        <f t="shared" si="285"/>
        <v>30.011039483452905</v>
      </c>
      <c r="V785">
        <f t="shared" si="286"/>
        <v>2.7836732550740533</v>
      </c>
      <c r="W785">
        <f t="shared" si="287"/>
        <v>2716.3882560769835</v>
      </c>
      <c r="X785">
        <f t="shared" si="288"/>
        <v>46.509254906293513</v>
      </c>
      <c r="Y785">
        <f t="shared" si="289"/>
        <v>1.6125198791768323</v>
      </c>
      <c r="Z785">
        <f t="shared" si="290"/>
        <v>2047.9576380894537</v>
      </c>
      <c r="AA785">
        <f t="shared" si="291"/>
        <v>61.689358938208755</v>
      </c>
      <c r="AB785">
        <f t="shared" si="292"/>
        <v>1.4877432996977644</v>
      </c>
      <c r="AC785">
        <f t="shared" si="293"/>
        <v>1052.4226751293027</v>
      </c>
      <c r="AD785">
        <f t="shared" si="294"/>
        <v>120.04415793381162</v>
      </c>
      <c r="AE785">
        <f t="shared" si="295"/>
        <v>1.4145414751046599</v>
      </c>
      <c r="AF785">
        <f t="shared" si="296"/>
        <v>6000</v>
      </c>
      <c r="AG785">
        <f t="shared" si="297"/>
        <v>21.056198971057754</v>
      </c>
      <c r="AH785">
        <f t="shared" si="298"/>
        <v>6.8970790857725719</v>
      </c>
      <c r="AI785" cm="1">
        <f t="array" ref="AI785">_xlfn.LET(
    _xlpm.vals,   _xlfn.HSTACK(S785,V785,Y785,AB785,AE785,AH785),
    _xlpm.ints,   _xlfn.HSTACK(R785,U785,X785,AA785,AD785,AG785),
    _xlpm.slopes, _xlfn.HSTACK(Q785,T785,W785,Z785,AC785,AF785),
    _xlpm.limit,  -0.00001*_xlpm.slopes + 0.1086*_xlpm.slopes + 63.253,
    _xlpm.mask,   (_xlpm.vals&gt;=0) * (_xlpm.ints&lt;=_xlpm.limit),
    _xlpm.validVals, _xlfn._xlws.FILTER(_xlpm.vals, _xlpm.mask),
    _xlpm.minVal, MIN(_xlpm.validVals),
    IFERROR( _xlfn.XMATCH(_xlpm.minVal, _xlpm.vals), "" )
)</f>
        <v>5</v>
      </c>
      <c r="AJ785" cm="1">
        <f t="array" ref="AJ785">_xlfn.LET(
    _xlpm.vals, CHOOSE({1,2,3,4,5,6}, S785, V785, Y785, AB785, AE785, AH785),
    _xlpm.slopes, CHOOSE({1,2,3,4,5,6}, Q785, T785, W785, Z785, AC785, AF785),
    _xlpm.ints, CHOOSE({1,2,3,4,5,6}, R785, U785, X785, AA785, AD785, AG785),
    _xlpm.limit, -0.00001*_xlpm.slopes + 0.1086*_xlpm.slopes + 63.253,
    _xlpm.valid, (_xlpm.vals &gt;= 0) * (_xlpm.ints &lt;= _xlpm.limit),
    _xlpm.target, MIN(_xlfn._xlws.FILTER(_xlpm.vals, _xlpm.valid)),
    IFERROR(
        _xlfn.XLOOKUP(_xlpm.target, _xlpm.vals, _xlpm.vals),
        CHOOSE({1,2,3,4,5,6}, S$1, V$1, Y$1, AB$1, AE$1, AH$1)
    )
)</f>
        <v>1.4145414751046599</v>
      </c>
    </row>
    <row r="786" spans="9:36" x14ac:dyDescent="0.45">
      <c r="I786">
        <v>784</v>
      </c>
      <c r="J786">
        <v>34.6</v>
      </c>
      <c r="K786">
        <f t="shared" si="277"/>
        <v>34.6</v>
      </c>
      <c r="L786">
        <f t="shared" si="276"/>
        <v>9.6111111111111119E-3</v>
      </c>
      <c r="M786">
        <v>15.24</v>
      </c>
      <c r="N786">
        <f t="shared" si="278"/>
        <v>15.24</v>
      </c>
      <c r="O786">
        <f t="shared" si="279"/>
        <v>449.63332443636733</v>
      </c>
      <c r="P786">
        <f t="shared" si="280"/>
        <v>1438.8266381963756</v>
      </c>
      <c r="Q786">
        <f t="shared" si="281"/>
        <v>6589.8260029394005</v>
      </c>
      <c r="R786">
        <f t="shared" si="282"/>
        <v>22.084237110101949</v>
      </c>
      <c r="S786">
        <f t="shared" si="283"/>
        <v>9.1822673186786652</v>
      </c>
      <c r="T786">
        <f t="shared" si="284"/>
        <v>4258.9268490612722</v>
      </c>
      <c r="U786">
        <f t="shared" si="285"/>
        <v>34.17088039333342</v>
      </c>
      <c r="V786">
        <f t="shared" si="286"/>
        <v>2.9452733887383054</v>
      </c>
      <c r="W786">
        <f t="shared" si="287"/>
        <v>2748.1588789550774</v>
      </c>
      <c r="X786">
        <f t="shared" si="288"/>
        <v>52.955919353019333</v>
      </c>
      <c r="Y786">
        <f t="shared" si="289"/>
        <v>1.7692690247837923</v>
      </c>
      <c r="Z786">
        <f t="shared" si="290"/>
        <v>2071.9103590027808</v>
      </c>
      <c r="AA786">
        <f t="shared" si="291"/>
        <v>70.240143030740924</v>
      </c>
      <c r="AB786">
        <f t="shared" si="292"/>
        <v>1.6601430324001925</v>
      </c>
      <c r="AC786">
        <f t="shared" si="293"/>
        <v>1064.731712265318</v>
      </c>
      <c r="AD786">
        <f t="shared" si="294"/>
        <v>136.68352157333368</v>
      </c>
      <c r="AE786">
        <f t="shared" si="295"/>
        <v>1.5318763957487171</v>
      </c>
      <c r="AF786">
        <f t="shared" si="296"/>
        <v>6000</v>
      </c>
      <c r="AG786">
        <f t="shared" si="297"/>
        <v>24.255213327204849</v>
      </c>
      <c r="AH786">
        <f t="shared" si="298"/>
        <v>6.9387750340503676</v>
      </c>
      <c r="AI786" cm="1">
        <f t="array" ref="AI786">_xlfn.LET(
    _xlpm.vals,   _xlfn.HSTACK(S786,V786,Y786,AB786,AE786,AH786),
    _xlpm.ints,   _xlfn.HSTACK(R786,U786,X786,AA786,AD786,AG786),
    _xlpm.slopes, _xlfn.HSTACK(Q786,T786,W786,Z786,AC786,AF786),
    _xlpm.limit,  -0.00001*_xlpm.slopes + 0.1086*_xlpm.slopes + 63.253,
    _xlpm.mask,   (_xlpm.vals&gt;=0) * (_xlpm.ints&lt;=_xlpm.limit),
    _xlpm.validVals, _xlfn._xlws.FILTER(_xlpm.vals, _xlpm.mask),
    _xlpm.minVal, MIN(_xlpm.validVals),
    IFERROR( _xlfn.XMATCH(_xlpm.minVal, _xlpm.vals), "" )
)</f>
        <v>5</v>
      </c>
      <c r="AJ786" cm="1">
        <f t="array" ref="AJ786">_xlfn.LET(
    _xlpm.vals, CHOOSE({1,2,3,4,5,6}, S786, V786, Y786, AB786, AE786, AH786),
    _xlpm.slopes, CHOOSE({1,2,3,4,5,6}, Q786, T786, W786, Z786, AC786, AF786),
    _xlpm.ints, CHOOSE({1,2,3,4,5,6}, R786, U786, X786, AA786, AD786, AG786),
    _xlpm.limit, -0.00001*_xlpm.slopes + 0.1086*_xlpm.slopes + 63.253,
    _xlpm.valid, (_xlpm.vals &gt;= 0) * (_xlpm.ints &lt;= _xlpm.limit),
    _xlpm.target, MIN(_xlfn._xlws.FILTER(_xlpm.vals, _xlpm.valid)),
    IFERROR(
        _xlfn.XLOOKUP(_xlpm.target, _xlpm.vals, _xlpm.vals),
        CHOOSE({1,2,3,4,5,6}, S$1, V$1, Y$1, AB$1, AE$1, AH$1)
    )
)</f>
        <v>1.5318763957487171</v>
      </c>
    </row>
    <row r="787" spans="9:36" x14ac:dyDescent="0.45">
      <c r="I787">
        <v>785</v>
      </c>
      <c r="J787">
        <v>34.5</v>
      </c>
      <c r="K787">
        <f t="shared" si="277"/>
        <v>34.5</v>
      </c>
      <c r="L787">
        <f t="shared" si="276"/>
        <v>9.5833333333333326E-3</v>
      </c>
      <c r="M787">
        <v>4.09</v>
      </c>
      <c r="N787">
        <f t="shared" si="278"/>
        <v>4.09</v>
      </c>
      <c r="O787">
        <f t="shared" si="279"/>
        <v>448.33380615764946</v>
      </c>
      <c r="P787">
        <f t="shared" si="280"/>
        <v>1434.6681797044785</v>
      </c>
      <c r="Q787">
        <f t="shared" si="281"/>
        <v>6570.7802630465112</v>
      </c>
      <c r="R787">
        <f t="shared" si="282"/>
        <v>5.9439855650632722</v>
      </c>
      <c r="S787">
        <f t="shared" si="283"/>
        <v>8.9958393310742224</v>
      </c>
      <c r="T787">
        <f t="shared" si="284"/>
        <v>4246.6178119252563</v>
      </c>
      <c r="U787">
        <f t="shared" si="285"/>
        <v>9.1971127999965514</v>
      </c>
      <c r="V787">
        <f t="shared" si="286"/>
        <v>2.4585333741090314</v>
      </c>
      <c r="W787">
        <f t="shared" si="287"/>
        <v>2740.2162232355536</v>
      </c>
      <c r="X787">
        <f t="shared" si="288"/>
        <v>14.253117218842823</v>
      </c>
      <c r="Y787">
        <f t="shared" si="289"/>
        <v>1.0306685221454339</v>
      </c>
      <c r="Z787">
        <f t="shared" si="290"/>
        <v>2065.9221787744491</v>
      </c>
      <c r="AA787">
        <f t="shared" si="291"/>
        <v>18.905176311104022</v>
      </c>
      <c r="AB787">
        <f t="shared" si="292"/>
        <v>0.78853250555581267</v>
      </c>
      <c r="AC787">
        <f t="shared" si="293"/>
        <v>1061.6544529813141</v>
      </c>
      <c r="AD787">
        <f t="shared" si="294"/>
        <v>36.788451199986206</v>
      </c>
      <c r="AE787">
        <f t="shared" si="295"/>
        <v>0.6284262553540424</v>
      </c>
      <c r="AF787">
        <f t="shared" si="296"/>
        <v>6000</v>
      </c>
      <c r="AG787">
        <f t="shared" si="297"/>
        <v>6.5094371724585196</v>
      </c>
      <c r="AH787">
        <f t="shared" si="298"/>
        <v>6.746018004503016</v>
      </c>
      <c r="AI787" cm="1">
        <f t="array" ref="AI787">_xlfn.LET(
    _xlpm.vals,   _xlfn.HSTACK(S787,V787,Y787,AB787,AE787,AH787),
    _xlpm.ints,   _xlfn.HSTACK(R787,U787,X787,AA787,AD787,AG787),
    _xlpm.slopes, _xlfn.HSTACK(Q787,T787,W787,Z787,AC787,AF787),
    _xlpm.limit,  -0.00001*_xlpm.slopes + 0.1086*_xlpm.slopes + 63.253,
    _xlpm.mask,   (_xlpm.vals&gt;=0) * (_xlpm.ints&lt;=_xlpm.limit),
    _xlpm.validVals, _xlfn._xlws.FILTER(_xlpm.vals, _xlpm.mask),
    _xlpm.minVal, MIN(_xlpm.validVals),
    IFERROR( _xlfn.XMATCH(_xlpm.minVal, _xlpm.vals), "" )
)</f>
        <v>5</v>
      </c>
      <c r="AJ787" cm="1">
        <f t="array" ref="AJ787">_xlfn.LET(
    _xlpm.vals, CHOOSE({1,2,3,4,5,6}, S787, V787, Y787, AB787, AE787, AH787),
    _xlpm.slopes, CHOOSE({1,2,3,4,5,6}, Q787, T787, W787, Z787, AC787, AF787),
    _xlpm.ints, CHOOSE({1,2,3,4,5,6}, R787, U787, X787, AA787, AD787, AG787),
    _xlpm.limit, -0.00001*_xlpm.slopes + 0.1086*_xlpm.slopes + 63.253,
    _xlpm.valid, (_xlpm.vals &gt;= 0) * (_xlpm.ints &lt;= _xlpm.limit),
    _xlpm.target, MIN(_xlfn._xlws.FILTER(_xlpm.vals, _xlpm.valid)),
    IFERROR(
        _xlfn.XLOOKUP(_xlpm.target, _xlpm.vals, _xlpm.vals),
        CHOOSE({1,2,3,4,5,6}, S$1, V$1, Y$1, AB$1, AE$1, AH$1)
    )
)</f>
        <v>0.6284262553540424</v>
      </c>
    </row>
    <row r="788" spans="9:36" x14ac:dyDescent="0.45">
      <c r="I788">
        <v>786</v>
      </c>
      <c r="J788">
        <v>34.299999999999997</v>
      </c>
      <c r="K788">
        <f t="shared" si="277"/>
        <v>34.299999999999997</v>
      </c>
      <c r="L788">
        <f t="shared" si="276"/>
        <v>9.5277777777777774E-3</v>
      </c>
      <c r="M788">
        <v>3.08</v>
      </c>
      <c r="N788">
        <f t="shared" si="278"/>
        <v>3.08</v>
      </c>
      <c r="O788">
        <f t="shared" si="279"/>
        <v>445.73476960021378</v>
      </c>
      <c r="P788">
        <f t="shared" si="280"/>
        <v>1426.3512627206842</v>
      </c>
      <c r="Q788">
        <f t="shared" si="281"/>
        <v>6532.6887832607335</v>
      </c>
      <c r="R788">
        <f t="shared" si="282"/>
        <v>4.5022554202714682</v>
      </c>
      <c r="S788">
        <f t="shared" si="283"/>
        <v>8.8246724414369435</v>
      </c>
      <c r="T788">
        <f t="shared" si="284"/>
        <v>4221.9997376532256</v>
      </c>
      <c r="U788">
        <f t="shared" si="285"/>
        <v>6.9663276435281496</v>
      </c>
      <c r="V788">
        <f t="shared" si="286"/>
        <v>2.3857520431858359</v>
      </c>
      <c r="W788">
        <f t="shared" si="287"/>
        <v>2724.3309117965068</v>
      </c>
      <c r="X788">
        <f t="shared" si="288"/>
        <v>10.79598420148865</v>
      </c>
      <c r="Y788">
        <f t="shared" si="289"/>
        <v>0.96702327998700266</v>
      </c>
      <c r="Z788">
        <f t="shared" si="290"/>
        <v>2053.9458183177853</v>
      </c>
      <c r="AA788">
        <f t="shared" si="291"/>
        <v>14.31967348947453</v>
      </c>
      <c r="AB788">
        <f t="shared" si="292"/>
        <v>0.71995155160148616</v>
      </c>
      <c r="AC788">
        <f t="shared" si="293"/>
        <v>1055.4999344133064</v>
      </c>
      <c r="AD788">
        <f t="shared" si="294"/>
        <v>27.865310574112598</v>
      </c>
      <c r="AE788">
        <f t="shared" si="295"/>
        <v>0.54285844408648132</v>
      </c>
      <c r="AF788">
        <f t="shared" si="296"/>
        <v>6000</v>
      </c>
      <c r="AG788">
        <f t="shared" si="297"/>
        <v>4.9019722472303764</v>
      </c>
      <c r="AH788">
        <f t="shared" si="298"/>
        <v>6.7333770183663173</v>
      </c>
      <c r="AI788" cm="1">
        <f t="array" ref="AI788">_xlfn.LET(
    _xlpm.vals,   _xlfn.HSTACK(S788,V788,Y788,AB788,AE788,AH788),
    _xlpm.ints,   _xlfn.HSTACK(R788,U788,X788,AA788,AD788,AG788),
    _xlpm.slopes, _xlfn.HSTACK(Q788,T788,W788,Z788,AC788,AF788),
    _xlpm.limit,  -0.00001*_xlpm.slopes + 0.1086*_xlpm.slopes + 63.253,
    _xlpm.mask,   (_xlpm.vals&gt;=0) * (_xlpm.ints&lt;=_xlpm.limit),
    _xlpm.validVals, _xlfn._xlws.FILTER(_xlpm.vals, _xlpm.mask),
    _xlpm.minVal, MIN(_xlpm.validVals),
    IFERROR( _xlfn.XMATCH(_xlpm.minVal, _xlpm.vals), "" )
)</f>
        <v>5</v>
      </c>
      <c r="AJ788" cm="1">
        <f t="array" ref="AJ788">_xlfn.LET(
    _xlpm.vals, CHOOSE({1,2,3,4,5,6}, S788, V788, Y788, AB788, AE788, AH788),
    _xlpm.slopes, CHOOSE({1,2,3,4,5,6}, Q788, T788, W788, Z788, AC788, AF788),
    _xlpm.ints, CHOOSE({1,2,3,4,5,6}, R788, U788, X788, AA788, AD788, AG788),
    _xlpm.limit, -0.00001*_xlpm.slopes + 0.1086*_xlpm.slopes + 63.253,
    _xlpm.valid, (_xlpm.vals &gt;= 0) * (_xlpm.ints &lt;= _xlpm.limit),
    _xlpm.target, MIN(_xlfn._xlws.FILTER(_xlpm.vals, _xlpm.valid)),
    IFERROR(
        _xlfn.XLOOKUP(_xlpm.target, _xlpm.vals, _xlpm.vals),
        CHOOSE({1,2,3,4,5,6}, S$1, V$1, Y$1, AB$1, AE$1, AH$1)
    )
)</f>
        <v>0.54285844408648132</v>
      </c>
    </row>
    <row r="789" spans="9:36" x14ac:dyDescent="0.45">
      <c r="I789">
        <v>787</v>
      </c>
      <c r="J789">
        <v>34.1</v>
      </c>
      <c r="K789">
        <f t="shared" si="277"/>
        <v>34.1</v>
      </c>
      <c r="L789">
        <f t="shared" si="276"/>
        <v>9.4722222222222222E-3</v>
      </c>
      <c r="M789">
        <v>7.44</v>
      </c>
      <c r="N789">
        <f t="shared" si="278"/>
        <v>7.44</v>
      </c>
      <c r="O789">
        <f t="shared" si="279"/>
        <v>443.13573304277816</v>
      </c>
      <c r="P789">
        <f t="shared" si="280"/>
        <v>1418.0343457368901</v>
      </c>
      <c r="Q789">
        <f t="shared" si="281"/>
        <v>6494.5973034749568</v>
      </c>
      <c r="R789">
        <f t="shared" si="282"/>
        <v>10.939364409585218</v>
      </c>
      <c r="S789">
        <f t="shared" si="283"/>
        <v>8.6932084980313515</v>
      </c>
      <c r="T789">
        <f t="shared" si="284"/>
        <v>4197.3816633811948</v>
      </c>
      <c r="U789">
        <f t="shared" si="285"/>
        <v>16.926448985101455</v>
      </c>
      <c r="V789">
        <f t="shared" si="286"/>
        <v>2.5140042218187233</v>
      </c>
      <c r="W789">
        <f t="shared" si="287"/>
        <v>2708.4456003574601</v>
      </c>
      <c r="X789">
        <f t="shared" si="288"/>
        <v>26.231564919319531</v>
      </c>
      <c r="Y789">
        <f t="shared" si="289"/>
        <v>1.2163257286281774</v>
      </c>
      <c r="Z789">
        <f t="shared" si="290"/>
        <v>2041.9694578611218</v>
      </c>
      <c r="AA789">
        <f t="shared" si="291"/>
        <v>34.793256247152989</v>
      </c>
      <c r="AB789">
        <f t="shared" si="292"/>
        <v>1.0211662247052109</v>
      </c>
      <c r="AC789">
        <f t="shared" si="293"/>
        <v>1049.3454158452987</v>
      </c>
      <c r="AD789">
        <f t="shared" si="294"/>
        <v>67.705795940405821</v>
      </c>
      <c r="AE789">
        <f t="shared" si="295"/>
        <v>0.93380320269723849</v>
      </c>
      <c r="AF789">
        <f t="shared" si="296"/>
        <v>6000</v>
      </c>
      <c r="AG789">
        <f t="shared" si="297"/>
        <v>11.841127766037014</v>
      </c>
      <c r="AH789">
        <f t="shared" si="298"/>
        <v>6.7938374110268027</v>
      </c>
      <c r="AI789" cm="1">
        <f t="array" ref="AI789">_xlfn.LET(
    _xlpm.vals,   _xlfn.HSTACK(S789,V789,Y789,AB789,AE789,AH789),
    _xlpm.ints,   _xlfn.HSTACK(R789,U789,X789,AA789,AD789,AG789),
    _xlpm.slopes, _xlfn.HSTACK(Q789,T789,W789,Z789,AC789,AF789),
    _xlpm.limit,  -0.00001*_xlpm.slopes + 0.1086*_xlpm.slopes + 63.253,
    _xlpm.mask,   (_xlpm.vals&gt;=0) * (_xlpm.ints&lt;=_xlpm.limit),
    _xlpm.validVals, _xlfn._xlws.FILTER(_xlpm.vals, _xlpm.mask),
    _xlpm.minVal, MIN(_xlpm.validVals),
    IFERROR( _xlfn.XMATCH(_xlpm.minVal, _xlpm.vals), "" )
)</f>
        <v>5</v>
      </c>
      <c r="AJ789" cm="1">
        <f t="array" ref="AJ789">_xlfn.LET(
    _xlpm.vals, CHOOSE({1,2,3,4,5,6}, S789, V789, Y789, AB789, AE789, AH789),
    _xlpm.slopes, CHOOSE({1,2,3,4,5,6}, Q789, T789, W789, Z789, AC789, AF789),
    _xlpm.ints, CHOOSE({1,2,3,4,5,6}, R789, U789, X789, AA789, AD789, AG789),
    _xlpm.limit, -0.00001*_xlpm.slopes + 0.1086*_xlpm.slopes + 63.253,
    _xlpm.valid, (_xlpm.vals &gt;= 0) * (_xlpm.ints &lt;= _xlpm.limit),
    _xlpm.target, MIN(_xlfn._xlws.FILTER(_xlpm.vals, _xlpm.valid)),
    IFERROR(
        _xlfn.XLOOKUP(_xlpm.target, _xlpm.vals, _xlpm.vals),
        CHOOSE({1,2,3,4,5,6}, S$1, V$1, Y$1, AB$1, AE$1, AH$1)
    )
)</f>
        <v>0.93380320269723849</v>
      </c>
    </row>
    <row r="790" spans="9:36" x14ac:dyDescent="0.45">
      <c r="I790">
        <v>788</v>
      </c>
      <c r="J790">
        <v>33.9</v>
      </c>
      <c r="K790">
        <f t="shared" si="277"/>
        <v>33.9</v>
      </c>
      <c r="L790">
        <f t="shared" si="276"/>
        <v>9.4166666666666669E-3</v>
      </c>
      <c r="M790">
        <v>1.02</v>
      </c>
      <c r="N790">
        <f t="shared" si="278"/>
        <v>1.02</v>
      </c>
      <c r="O790">
        <f t="shared" si="279"/>
        <v>440.53669648534253</v>
      </c>
      <c r="P790">
        <f t="shared" si="280"/>
        <v>1409.7174287530961</v>
      </c>
      <c r="Q790">
        <f t="shared" si="281"/>
        <v>6456.50582368918</v>
      </c>
      <c r="R790">
        <f t="shared" si="282"/>
        <v>1.508599664153714</v>
      </c>
      <c r="S790">
        <f t="shared" si="283"/>
        <v>8.4882461062749197</v>
      </c>
      <c r="T790">
        <f t="shared" si="284"/>
        <v>4172.7635891091641</v>
      </c>
      <c r="U790">
        <f t="shared" si="285"/>
        <v>2.3342521830486525</v>
      </c>
      <c r="V790">
        <f t="shared" si="286"/>
        <v>2.2425126675292781</v>
      </c>
      <c r="W790">
        <f t="shared" si="287"/>
        <v>2692.5602889184133</v>
      </c>
      <c r="X790">
        <f t="shared" si="288"/>
        <v>3.617479822944508</v>
      </c>
      <c r="Y790">
        <f t="shared" si="289"/>
        <v>0.84367713439963909</v>
      </c>
      <c r="Z790">
        <f t="shared" si="290"/>
        <v>2029.9930974044582</v>
      </c>
      <c r="AA790">
        <f t="shared" si="291"/>
        <v>4.7981850429333406</v>
      </c>
      <c r="AB790">
        <f t="shared" si="292"/>
        <v>0.58942791446630194</v>
      </c>
      <c r="AC790">
        <f t="shared" si="293"/>
        <v>1043.190897277291</v>
      </c>
      <c r="AD790">
        <f t="shared" si="294"/>
        <v>9.3370087321946098</v>
      </c>
      <c r="AE790">
        <f t="shared" si="295"/>
        <v>0.38887294075990747</v>
      </c>
      <c r="AF790">
        <f t="shared" si="296"/>
        <v>6000</v>
      </c>
      <c r="AG790">
        <f t="shared" si="297"/>
        <v>1.6233804195373325</v>
      </c>
      <c r="AH790">
        <f t="shared" si="298"/>
        <v>6.7102022273783124</v>
      </c>
      <c r="AI790" cm="1">
        <f t="array" ref="AI790">_xlfn.LET(
    _xlpm.vals,   _xlfn.HSTACK(S790,V790,Y790,AB790,AE790,AH790),
    _xlpm.ints,   _xlfn.HSTACK(R790,U790,X790,AA790,AD790,AG790),
    _xlpm.slopes, _xlfn.HSTACK(Q790,T790,W790,Z790,AC790,AF790),
    _xlpm.limit,  -0.00001*_xlpm.slopes + 0.1086*_xlpm.slopes + 63.253,
    _xlpm.mask,   (_xlpm.vals&gt;=0) * (_xlpm.ints&lt;=_xlpm.limit),
    _xlpm.validVals, _xlfn._xlws.FILTER(_xlpm.vals, _xlpm.mask),
    _xlpm.minVal, MIN(_xlpm.validVals),
    IFERROR( _xlfn.XMATCH(_xlpm.minVal, _xlpm.vals), "" )
)</f>
        <v>5</v>
      </c>
      <c r="AJ790" cm="1">
        <f t="array" ref="AJ790">_xlfn.LET(
    _xlpm.vals, CHOOSE({1,2,3,4,5,6}, S790, V790, Y790, AB790, AE790, AH790),
    _xlpm.slopes, CHOOSE({1,2,3,4,5,6}, Q790, T790, W790, Z790, AC790, AF790),
    _xlpm.ints, CHOOSE({1,2,3,4,5,6}, R790, U790, X790, AA790, AD790, AG790),
    _xlpm.limit, -0.00001*_xlpm.slopes + 0.1086*_xlpm.slopes + 63.253,
    _xlpm.valid, (_xlpm.vals &gt;= 0) * (_xlpm.ints &lt;= _xlpm.limit),
    _xlpm.target, MIN(_xlfn._xlws.FILTER(_xlpm.vals, _xlpm.valid)),
    IFERROR(
        _xlfn.XLOOKUP(_xlpm.target, _xlpm.vals, _xlpm.vals),
        CHOOSE({1,2,3,4,5,6}, S$1, V$1, Y$1, AB$1, AE$1, AH$1)
    )
)</f>
        <v>0.38887294075990747</v>
      </c>
    </row>
    <row r="791" spans="9:36" x14ac:dyDescent="0.45">
      <c r="I791">
        <v>789</v>
      </c>
      <c r="J791">
        <v>33.5</v>
      </c>
      <c r="K791">
        <f t="shared" si="277"/>
        <v>33.5</v>
      </c>
      <c r="L791">
        <f t="shared" si="276"/>
        <v>9.3055555555555548E-3</v>
      </c>
      <c r="M791">
        <v>0.55000000000000004</v>
      </c>
      <c r="N791">
        <f t="shared" si="278"/>
        <v>0.55000000000000004</v>
      </c>
      <c r="O791">
        <f t="shared" si="279"/>
        <v>435.33862337047123</v>
      </c>
      <c r="P791">
        <f t="shared" si="280"/>
        <v>1393.083594785508</v>
      </c>
      <c r="Q791">
        <f t="shared" si="281"/>
        <v>6380.3228641176265</v>
      </c>
      <c r="R791">
        <f t="shared" si="282"/>
        <v>0.82317356564664901</v>
      </c>
      <c r="S791">
        <f t="shared" si="283"/>
        <v>8.1674742770438495</v>
      </c>
      <c r="T791">
        <f t="shared" si="284"/>
        <v>4123.5274405651035</v>
      </c>
      <c r="U791">
        <f t="shared" si="285"/>
        <v>1.2736942333316392</v>
      </c>
      <c r="V791">
        <f t="shared" si="286"/>
        <v>2.1548825381567283</v>
      </c>
      <c r="W791">
        <f t="shared" si="287"/>
        <v>2660.7896660403203</v>
      </c>
      <c r="X791">
        <f t="shared" si="288"/>
        <v>1.9738926338542679</v>
      </c>
      <c r="Y791">
        <f t="shared" si="289"/>
        <v>0.80437873113446712</v>
      </c>
      <c r="Z791">
        <f t="shared" si="290"/>
        <v>2006.0403764911314</v>
      </c>
      <c r="AA791">
        <f t="shared" si="291"/>
        <v>2.6181492574039251</v>
      </c>
      <c r="AB791">
        <f t="shared" si="292"/>
        <v>0.55641566723542391</v>
      </c>
      <c r="AC791">
        <f t="shared" si="293"/>
        <v>1030.8818601412759</v>
      </c>
      <c r="AD791">
        <f t="shared" si="294"/>
        <v>5.0947769333265569</v>
      </c>
      <c r="AE791">
        <f t="shared" si="295"/>
        <v>0.35709556214865845</v>
      </c>
      <c r="AF791">
        <f t="shared" si="296"/>
        <v>6000</v>
      </c>
      <c r="AG791">
        <f t="shared" si="297"/>
        <v>0.87535218700542439</v>
      </c>
      <c r="AH791">
        <f t="shared" si="298"/>
        <v>6.7054110080200608</v>
      </c>
      <c r="AI791" cm="1">
        <f t="array" ref="AI791">_xlfn.LET(
    _xlpm.vals,   _xlfn.HSTACK(S791,V791,Y791,AB791,AE791,AH791),
    _xlpm.ints,   _xlfn.HSTACK(R791,U791,X791,AA791,AD791,AG791),
    _xlpm.slopes, _xlfn.HSTACK(Q791,T791,W791,Z791,AC791,AF791),
    _xlpm.limit,  -0.00001*_xlpm.slopes + 0.1086*_xlpm.slopes + 63.253,
    _xlpm.mask,   (_xlpm.vals&gt;=0) * (_xlpm.ints&lt;=_xlpm.limit),
    _xlpm.validVals, _xlfn._xlws.FILTER(_xlpm.vals, _xlpm.mask),
    _xlpm.minVal, MIN(_xlpm.validVals),
    IFERROR( _xlfn.XMATCH(_xlpm.minVal, _xlpm.vals), "" )
)</f>
        <v>5</v>
      </c>
      <c r="AJ791" cm="1">
        <f t="array" ref="AJ791">_xlfn.LET(
    _xlpm.vals, CHOOSE({1,2,3,4,5,6}, S791, V791, Y791, AB791, AE791, AH791),
    _xlpm.slopes, CHOOSE({1,2,3,4,5,6}, Q791, T791, W791, Z791, AC791, AF791),
    _xlpm.ints, CHOOSE({1,2,3,4,5,6}, R791, U791, X791, AA791, AD791, AG791),
    _xlpm.limit, -0.00001*_xlpm.slopes + 0.1086*_xlpm.slopes + 63.253,
    _xlpm.valid, (_xlpm.vals &gt;= 0) * (_xlpm.ints &lt;= _xlpm.limit),
    _xlpm.target, MIN(_xlfn._xlws.FILTER(_xlpm.vals, _xlpm.valid)),
    IFERROR(
        _xlfn.XLOOKUP(_xlpm.target, _xlpm.vals, _xlpm.vals),
        CHOOSE({1,2,3,4,5,6}, S$1, V$1, Y$1, AB$1, AE$1, AH$1)
    )
)</f>
        <v>0.35709556214865845</v>
      </c>
    </row>
    <row r="792" spans="9:36" x14ac:dyDescent="0.45">
      <c r="I792">
        <v>790</v>
      </c>
      <c r="J792">
        <v>33.200000000000003</v>
      </c>
      <c r="K792">
        <f t="shared" si="277"/>
        <v>33.200000000000003</v>
      </c>
      <c r="L792">
        <f t="shared" si="276"/>
        <v>9.2222222222222237E-3</v>
      </c>
      <c r="M792">
        <v>0.84</v>
      </c>
      <c r="N792">
        <f t="shared" si="278"/>
        <v>0.84</v>
      </c>
      <c r="O792">
        <f t="shared" si="279"/>
        <v>431.44006853431785</v>
      </c>
      <c r="P792">
        <f t="shared" si="280"/>
        <v>1380.6082193098173</v>
      </c>
      <c r="Q792">
        <f t="shared" si="281"/>
        <v>6323.1856444389632</v>
      </c>
      <c r="R792">
        <f t="shared" si="282"/>
        <v>1.2685708727982856</v>
      </c>
      <c r="S792">
        <f t="shared" si="283"/>
        <v>7.9360282394074231</v>
      </c>
      <c r="T792">
        <f t="shared" si="284"/>
        <v>4086.6003291570592</v>
      </c>
      <c r="U792">
        <f t="shared" si="285"/>
        <v>1.9628562829108609</v>
      </c>
      <c r="V792">
        <f t="shared" si="286"/>
        <v>2.1116290096193961</v>
      </c>
      <c r="W792">
        <f t="shared" si="287"/>
        <v>2636.9616988817511</v>
      </c>
      <c r="X792">
        <f t="shared" si="288"/>
        <v>3.041913401788559</v>
      </c>
      <c r="Y792">
        <f t="shared" si="289"/>
        <v>0.80696719921126703</v>
      </c>
      <c r="Z792">
        <f t="shared" si="290"/>
        <v>1988.0758358061369</v>
      </c>
      <c r="AA792">
        <f t="shared" si="291"/>
        <v>4.0347601370945467</v>
      </c>
      <c r="AB792">
        <f t="shared" si="292"/>
        <v>0.56771117012563044</v>
      </c>
      <c r="AC792">
        <f t="shared" si="293"/>
        <v>1021.6500822892648</v>
      </c>
      <c r="AD792">
        <f t="shared" si="294"/>
        <v>7.8514251316434436</v>
      </c>
      <c r="AE792">
        <f t="shared" si="295"/>
        <v>0.37344440556576192</v>
      </c>
      <c r="AF792">
        <f t="shared" si="296"/>
        <v>6000</v>
      </c>
      <c r="AG792">
        <f t="shared" si="297"/>
        <v>1.3369015219719209</v>
      </c>
      <c r="AH792">
        <f t="shared" si="298"/>
        <v>6.7083453443605716</v>
      </c>
      <c r="AI792" cm="1">
        <f t="array" ref="AI792">_xlfn.LET(
    _xlpm.vals,   _xlfn.HSTACK(S792,V792,Y792,AB792,AE792,AH792),
    _xlpm.ints,   _xlfn.HSTACK(R792,U792,X792,AA792,AD792,AG792),
    _xlpm.slopes, _xlfn.HSTACK(Q792,T792,W792,Z792,AC792,AF792),
    _xlpm.limit,  -0.00001*_xlpm.slopes + 0.1086*_xlpm.slopes + 63.253,
    _xlpm.mask,   (_xlpm.vals&gt;=0) * (_xlpm.ints&lt;=_xlpm.limit),
    _xlpm.validVals, _xlfn._xlws.FILTER(_xlpm.vals, _xlpm.mask),
    _xlpm.minVal, MIN(_xlpm.validVals),
    IFERROR( _xlfn.XMATCH(_xlpm.minVal, _xlpm.vals), "" )
)</f>
        <v>5</v>
      </c>
      <c r="AJ792" cm="1">
        <f t="array" ref="AJ792">_xlfn.LET(
    _xlpm.vals, CHOOSE({1,2,3,4,5,6}, S792, V792, Y792, AB792, AE792, AH792),
    _xlpm.slopes, CHOOSE({1,2,3,4,5,6}, Q792, T792, W792, Z792, AC792, AF792),
    _xlpm.ints, CHOOSE({1,2,3,4,5,6}, R792, U792, X792, AA792, AD792, AG792),
    _xlpm.limit, -0.00001*_xlpm.slopes + 0.1086*_xlpm.slopes + 63.253,
    _xlpm.valid, (_xlpm.vals &gt;= 0) * (_xlpm.ints &lt;= _xlpm.limit),
    _xlpm.target, MIN(_xlfn._xlws.FILTER(_xlpm.vals, _xlpm.valid)),
    IFERROR(
        _xlfn.XLOOKUP(_xlpm.target, _xlpm.vals, _xlpm.vals),
        CHOOSE({1,2,3,4,5,6}, S$1, V$1, Y$1, AB$1, AE$1, AH$1)
    )
)</f>
        <v>0.37344440556576192</v>
      </c>
    </row>
    <row r="793" spans="9:36" x14ac:dyDescent="0.45">
      <c r="I793">
        <v>791</v>
      </c>
      <c r="J793">
        <v>32.9</v>
      </c>
      <c r="K793">
        <f t="shared" si="277"/>
        <v>32.9</v>
      </c>
      <c r="L793">
        <f t="shared" si="276"/>
        <v>9.1388888888888891E-3</v>
      </c>
      <c r="M793">
        <v>1.25</v>
      </c>
      <c r="N793">
        <f t="shared" si="278"/>
        <v>1.25</v>
      </c>
      <c r="O793">
        <f t="shared" si="279"/>
        <v>427.54151369816429</v>
      </c>
      <c r="P793">
        <f t="shared" si="280"/>
        <v>1368.1328438341259</v>
      </c>
      <c r="Q793">
        <f t="shared" si="281"/>
        <v>6266.0484247602963</v>
      </c>
      <c r="R793">
        <f t="shared" si="282"/>
        <v>1.9049678398150549</v>
      </c>
      <c r="S793">
        <f t="shared" si="283"/>
        <v>7.7108076300347124</v>
      </c>
      <c r="T793">
        <f t="shared" si="284"/>
        <v>4049.6732177490126</v>
      </c>
      <c r="U793">
        <f t="shared" si="285"/>
        <v>2.9475515899841058</v>
      </c>
      <c r="V793">
        <f t="shared" si="286"/>
        <v>2.0740380734781447</v>
      </c>
      <c r="W793">
        <f t="shared" si="287"/>
        <v>2613.1337317231805</v>
      </c>
      <c r="X793">
        <f t="shared" si="288"/>
        <v>4.567933354111493</v>
      </c>
      <c r="Y793">
        <f t="shared" si="289"/>
        <v>0.81629644075368113</v>
      </c>
      <c r="Z793">
        <f t="shared" si="290"/>
        <v>1970.1112951211412</v>
      </c>
      <c r="AA793">
        <f t="shared" si="291"/>
        <v>6.0588560460784384</v>
      </c>
      <c r="AB793">
        <f t="shared" si="292"/>
        <v>0.58646201087762051</v>
      </c>
      <c r="AC793">
        <f t="shared" si="293"/>
        <v>1012.4183044372531</v>
      </c>
      <c r="AD793">
        <f t="shared" si="294"/>
        <v>11.790206359936423</v>
      </c>
      <c r="AE793">
        <f t="shared" si="295"/>
        <v>0.3987166038079466</v>
      </c>
      <c r="AF793">
        <f t="shared" si="296"/>
        <v>6000</v>
      </c>
      <c r="AG793">
        <f t="shared" si="297"/>
        <v>1.9894367886486919</v>
      </c>
      <c r="AH793">
        <f t="shared" si="298"/>
        <v>6.7126144679404973</v>
      </c>
      <c r="AI793" cm="1">
        <f t="array" ref="AI793">_xlfn.LET(
    _xlpm.vals,   _xlfn.HSTACK(S793,V793,Y793,AB793,AE793,AH793),
    _xlpm.ints,   _xlfn.HSTACK(R793,U793,X793,AA793,AD793,AG793),
    _xlpm.slopes, _xlfn.HSTACK(Q793,T793,W793,Z793,AC793,AF793),
    _xlpm.limit,  -0.00001*_xlpm.slopes + 0.1086*_xlpm.slopes + 63.253,
    _xlpm.mask,   (_xlpm.vals&gt;=0) * (_xlpm.ints&lt;=_xlpm.limit),
    _xlpm.validVals, _xlfn._xlws.FILTER(_xlpm.vals, _xlpm.mask),
    _xlpm.minVal, MIN(_xlpm.validVals),
    IFERROR( _xlfn.XMATCH(_xlpm.minVal, _xlpm.vals), "" )
)</f>
        <v>5</v>
      </c>
      <c r="AJ793" cm="1">
        <f t="array" ref="AJ793">_xlfn.LET(
    _xlpm.vals, CHOOSE({1,2,3,4,5,6}, S793, V793, Y793, AB793, AE793, AH793),
    _xlpm.slopes, CHOOSE({1,2,3,4,5,6}, Q793, T793, W793, Z793, AC793, AF793),
    _xlpm.ints, CHOOSE({1,2,3,4,5,6}, R793, U793, X793, AA793, AD793, AG793),
    _xlpm.limit, -0.00001*_xlpm.slopes + 0.1086*_xlpm.slopes + 63.253,
    _xlpm.valid, (_xlpm.vals &gt;= 0) * (_xlpm.ints &lt;= _xlpm.limit),
    _xlpm.target, MIN(_xlfn._xlws.FILTER(_xlpm.vals, _xlpm.valid)),
    IFERROR(
        _xlfn.XLOOKUP(_xlpm.target, _xlpm.vals, _xlpm.vals),
        CHOOSE({1,2,3,4,5,6}, S$1, V$1, Y$1, AB$1, AE$1, AH$1)
    )
)</f>
        <v>0.3987166038079466</v>
      </c>
    </row>
    <row r="794" spans="9:36" x14ac:dyDescent="0.45">
      <c r="I794">
        <v>792</v>
      </c>
      <c r="J794">
        <v>32.6</v>
      </c>
      <c r="K794">
        <f t="shared" si="277"/>
        <v>32.6</v>
      </c>
      <c r="L794">
        <f t="shared" si="276"/>
        <v>9.0555555555555563E-3</v>
      </c>
      <c r="M794">
        <v>2.27</v>
      </c>
      <c r="N794">
        <f t="shared" si="278"/>
        <v>2.27</v>
      </c>
      <c r="O794">
        <f t="shared" si="279"/>
        <v>423.6429588620108</v>
      </c>
      <c r="P794">
        <f t="shared" si="280"/>
        <v>1355.6574683584347</v>
      </c>
      <c r="Q794">
        <f t="shared" si="281"/>
        <v>6208.9112050816311</v>
      </c>
      <c r="R794">
        <f t="shared" si="282"/>
        <v>3.4912567651756508</v>
      </c>
      <c r="S794">
        <f t="shared" si="283"/>
        <v>7.4963479119908731</v>
      </c>
      <c r="T794">
        <f t="shared" si="284"/>
        <v>4012.7461063409664</v>
      </c>
      <c r="U794">
        <f t="shared" si="285"/>
        <v>5.4020121569271895</v>
      </c>
      <c r="V794">
        <f t="shared" si="286"/>
        <v>2.0601350912212872</v>
      </c>
      <c r="W794">
        <f t="shared" si="287"/>
        <v>2589.3057645646099</v>
      </c>
      <c r="X794">
        <f t="shared" si="288"/>
        <v>8.3717047039290478</v>
      </c>
      <c r="Y794">
        <f t="shared" si="289"/>
        <v>0.85905140647732936</v>
      </c>
      <c r="Z794">
        <f t="shared" si="290"/>
        <v>1952.1467544361458</v>
      </c>
      <c r="AA794">
        <f t="shared" si="291"/>
        <v>11.104136100350335</v>
      </c>
      <c r="AB794">
        <f t="shared" si="292"/>
        <v>0.64332006556903132</v>
      </c>
      <c r="AC794">
        <f t="shared" si="293"/>
        <v>1003.1865265852416</v>
      </c>
      <c r="AD794">
        <f t="shared" si="294"/>
        <v>21.608048627708758</v>
      </c>
      <c r="AE794">
        <f t="shared" si="295"/>
        <v>0.47093155009850768</v>
      </c>
      <c r="AF794">
        <f t="shared" si="296"/>
        <v>6000</v>
      </c>
      <c r="AG794">
        <f t="shared" si="297"/>
        <v>3.6128172081860241</v>
      </c>
      <c r="AH794">
        <f t="shared" si="298"/>
        <v>6.7238445076513198</v>
      </c>
      <c r="AI794" cm="1">
        <f t="array" ref="AI794">_xlfn.LET(
    _xlpm.vals,   _xlfn.HSTACK(S794,V794,Y794,AB794,AE794,AH794),
    _xlpm.ints,   _xlfn.HSTACK(R794,U794,X794,AA794,AD794,AG794),
    _xlpm.slopes, _xlfn.HSTACK(Q794,T794,W794,Z794,AC794,AF794),
    _xlpm.limit,  -0.00001*_xlpm.slopes + 0.1086*_xlpm.slopes + 63.253,
    _xlpm.mask,   (_xlpm.vals&gt;=0) * (_xlpm.ints&lt;=_xlpm.limit),
    _xlpm.validVals, _xlfn._xlws.FILTER(_xlpm.vals, _xlpm.mask),
    _xlpm.minVal, MIN(_xlpm.validVals),
    IFERROR( _xlfn.XMATCH(_xlpm.minVal, _xlpm.vals), "" )
)</f>
        <v>5</v>
      </c>
      <c r="AJ794" cm="1">
        <f t="array" ref="AJ794">_xlfn.LET(
    _xlpm.vals, CHOOSE({1,2,3,4,5,6}, S794, V794, Y794, AB794, AE794, AH794),
    _xlpm.slopes, CHOOSE({1,2,3,4,5,6}, Q794, T794, W794, Z794, AC794, AF794),
    _xlpm.ints, CHOOSE({1,2,3,4,5,6}, R794, U794, X794, AA794, AD794, AG794),
    _xlpm.limit, -0.00001*_xlpm.slopes + 0.1086*_xlpm.slopes + 63.253,
    _xlpm.valid, (_xlpm.vals &gt;= 0) * (_xlpm.ints &lt;= _xlpm.limit),
    _xlpm.target, MIN(_xlfn._xlws.FILTER(_xlpm.vals, _xlpm.valid)),
    IFERROR(
        _xlfn.XLOOKUP(_xlpm.target, _xlpm.vals, _xlpm.vals),
        CHOOSE({1,2,3,4,5,6}, S$1, V$1, Y$1, AB$1, AE$1, AH$1)
    )
)</f>
        <v>0.47093155009850768</v>
      </c>
    </row>
    <row r="795" spans="9:36" x14ac:dyDescent="0.45">
      <c r="I795">
        <v>793</v>
      </c>
      <c r="J795">
        <v>32.299999999999997</v>
      </c>
      <c r="K795">
        <f t="shared" si="277"/>
        <v>32.299999999999997</v>
      </c>
      <c r="L795">
        <f t="shared" si="276"/>
        <v>8.9722222222222217E-3</v>
      </c>
      <c r="M795">
        <v>1.41</v>
      </c>
      <c r="N795">
        <f t="shared" si="278"/>
        <v>1.41</v>
      </c>
      <c r="O795">
        <f t="shared" si="279"/>
        <v>419.74440402585725</v>
      </c>
      <c r="P795">
        <f t="shared" si="280"/>
        <v>1343.1820928827433</v>
      </c>
      <c r="Q795">
        <f t="shared" si="281"/>
        <v>6151.7739854029642</v>
      </c>
      <c r="R795">
        <f t="shared" si="282"/>
        <v>2.1887195819487459</v>
      </c>
      <c r="S795">
        <f t="shared" si="283"/>
        <v>7.2709554502636058</v>
      </c>
      <c r="T795">
        <f t="shared" si="284"/>
        <v>3975.8189949329203</v>
      </c>
      <c r="U795">
        <f t="shared" si="285"/>
        <v>3.3865998936909647</v>
      </c>
      <c r="V795">
        <f t="shared" si="286"/>
        <v>1.9802282853510402</v>
      </c>
      <c r="W795">
        <f t="shared" si="287"/>
        <v>2565.4777974060394</v>
      </c>
      <c r="X795">
        <f t="shared" si="288"/>
        <v>5.2483432907462078</v>
      </c>
      <c r="Y795">
        <f t="shared" si="289"/>
        <v>0.80256156657239675</v>
      </c>
      <c r="Z795">
        <f t="shared" si="290"/>
        <v>1934.1822137511504</v>
      </c>
      <c r="AA795">
        <f t="shared" si="291"/>
        <v>6.9613442259203167</v>
      </c>
      <c r="AB795">
        <f t="shared" si="292"/>
        <v>0.58662143602294536</v>
      </c>
      <c r="AC795">
        <f t="shared" si="293"/>
        <v>6000</v>
      </c>
      <c r="AD795">
        <f t="shared" si="294"/>
        <v>2.2440846975957243</v>
      </c>
      <c r="AE795">
        <f t="shared" si="295"/>
        <v>6.7143186738446925</v>
      </c>
      <c r="AF795">
        <f t="shared" si="296"/>
        <v>6000</v>
      </c>
      <c r="AG795">
        <f t="shared" si="297"/>
        <v>2.2440846975957243</v>
      </c>
      <c r="AH795">
        <f t="shared" si="298"/>
        <v>6.7143186738446925</v>
      </c>
      <c r="AI795" cm="1">
        <f t="array" ref="AI795">_xlfn.LET(
    _xlpm.vals,   _xlfn.HSTACK(S795,V795,Y795,AB795,AE795,AH795),
    _xlpm.ints,   _xlfn.HSTACK(R795,U795,X795,AA795,AD795,AG795),
    _xlpm.slopes, _xlfn.HSTACK(Q795,T795,W795,Z795,AC795,AF795),
    _xlpm.limit,  -0.00001*_xlpm.slopes + 0.1086*_xlpm.slopes + 63.253,
    _xlpm.mask,   (_xlpm.vals&gt;=0) * (_xlpm.ints&lt;=_xlpm.limit),
    _xlpm.validVals, _xlfn._xlws.FILTER(_xlpm.vals, _xlpm.mask),
    _xlpm.minVal, MIN(_xlpm.validVals),
    IFERROR( _xlfn.XMATCH(_xlpm.minVal, _xlpm.vals), "" )
)</f>
        <v>4</v>
      </c>
      <c r="AJ795" cm="1">
        <f t="array" ref="AJ795">_xlfn.LET(
    _xlpm.vals, CHOOSE({1,2,3,4,5,6}, S795, V795, Y795, AB795, AE795, AH795),
    _xlpm.slopes, CHOOSE({1,2,3,4,5,6}, Q795, T795, W795, Z795, AC795, AF795),
    _xlpm.ints, CHOOSE({1,2,3,4,5,6}, R795, U795, X795, AA795, AD795, AG795),
    _xlpm.limit, -0.00001*_xlpm.slopes + 0.1086*_xlpm.slopes + 63.253,
    _xlpm.valid, (_xlpm.vals &gt;= 0) * (_xlpm.ints &lt;= _xlpm.limit),
    _xlpm.target, MIN(_xlfn._xlws.FILTER(_xlpm.vals, _xlpm.valid)),
    IFERROR(
        _xlfn.XLOOKUP(_xlpm.target, _xlpm.vals, _xlpm.vals),
        CHOOSE({1,2,3,4,5,6}, S$1, V$1, Y$1, AB$1, AE$1, AH$1)
    )
)</f>
        <v>0.58662143602294536</v>
      </c>
    </row>
    <row r="796" spans="9:36" x14ac:dyDescent="0.45">
      <c r="I796">
        <v>794</v>
      </c>
      <c r="J796">
        <v>32</v>
      </c>
      <c r="K796">
        <f t="shared" si="277"/>
        <v>32</v>
      </c>
      <c r="L796">
        <f t="shared" si="276"/>
        <v>8.8888888888888889E-3</v>
      </c>
      <c r="M796">
        <v>1.8</v>
      </c>
      <c r="N796">
        <f t="shared" si="278"/>
        <v>1.8</v>
      </c>
      <c r="O796">
        <f t="shared" si="279"/>
        <v>415.84584918970381</v>
      </c>
      <c r="P796">
        <f t="shared" si="280"/>
        <v>1330.7067174070523</v>
      </c>
      <c r="Q796">
        <f t="shared" si="281"/>
        <v>6094.6367657242999</v>
      </c>
      <c r="R796">
        <f t="shared" si="282"/>
        <v>2.8203048868461891</v>
      </c>
      <c r="S796">
        <f t="shared" si="283"/>
        <v>7.0613299134328038</v>
      </c>
      <c r="T796">
        <f t="shared" si="284"/>
        <v>3938.8918835248751</v>
      </c>
      <c r="U796">
        <f t="shared" si="285"/>
        <v>4.3638501289714684</v>
      </c>
      <c r="V796">
        <f t="shared" si="286"/>
        <v>1.9464168969165241</v>
      </c>
      <c r="W796">
        <f t="shared" si="287"/>
        <v>2541.6498302474697</v>
      </c>
      <c r="X796">
        <f t="shared" si="288"/>
        <v>6.7628253307620669</v>
      </c>
      <c r="Y796">
        <f t="shared" si="289"/>
        <v>0.81259962897313187</v>
      </c>
      <c r="Z796">
        <f t="shared" si="290"/>
        <v>1916.2176730661554</v>
      </c>
      <c r="AA796">
        <f t="shared" si="291"/>
        <v>8.9701363762191288</v>
      </c>
      <c r="AB796">
        <f t="shared" si="292"/>
        <v>0.60559231836106964</v>
      </c>
      <c r="AC796">
        <f t="shared" si="293"/>
        <v>6000</v>
      </c>
      <c r="AD796">
        <f t="shared" si="294"/>
        <v>2.8647889756541161</v>
      </c>
      <c r="AE796">
        <f t="shared" si="295"/>
        <v>6.7185622476096949</v>
      </c>
      <c r="AF796">
        <f t="shared" si="296"/>
        <v>6000</v>
      </c>
      <c r="AG796">
        <f t="shared" si="297"/>
        <v>2.8647889756541161</v>
      </c>
      <c r="AH796">
        <f t="shared" si="298"/>
        <v>6.7185622476096949</v>
      </c>
      <c r="AI796" cm="1">
        <f t="array" ref="AI796">_xlfn.LET(
    _xlpm.vals,   _xlfn.HSTACK(S796,V796,Y796,AB796,AE796,AH796),
    _xlpm.ints,   _xlfn.HSTACK(R796,U796,X796,AA796,AD796,AG796),
    _xlpm.slopes, _xlfn.HSTACK(Q796,T796,W796,Z796,AC796,AF796),
    _xlpm.limit,  -0.00001*_xlpm.slopes + 0.1086*_xlpm.slopes + 63.253,
    _xlpm.mask,   (_xlpm.vals&gt;=0) * (_xlpm.ints&lt;=_xlpm.limit),
    _xlpm.validVals, _xlfn._xlws.FILTER(_xlpm.vals, _xlpm.mask),
    _xlpm.minVal, MIN(_xlpm.validVals),
    IFERROR( _xlfn.XMATCH(_xlpm.minVal, _xlpm.vals), "" )
)</f>
        <v>4</v>
      </c>
      <c r="AJ796" cm="1">
        <f t="array" ref="AJ796">_xlfn.LET(
    _xlpm.vals, CHOOSE({1,2,3,4,5,6}, S796, V796, Y796, AB796, AE796, AH796),
    _xlpm.slopes, CHOOSE({1,2,3,4,5,6}, Q796, T796, W796, Z796, AC796, AF796),
    _xlpm.ints, CHOOSE({1,2,3,4,5,6}, R796, U796, X796, AA796, AD796, AG796),
    _xlpm.limit, -0.00001*_xlpm.slopes + 0.1086*_xlpm.slopes + 63.253,
    _xlpm.valid, (_xlpm.vals &gt;= 0) * (_xlpm.ints &lt;= _xlpm.limit),
    _xlpm.target, MIN(_xlfn._xlws.FILTER(_xlpm.vals, _xlpm.valid)),
    IFERROR(
        _xlfn.XLOOKUP(_xlpm.target, _xlpm.vals, _xlpm.vals),
        CHOOSE({1,2,3,4,5,6}, S$1, V$1, Y$1, AB$1, AE$1, AH$1)
    )
)</f>
        <v>0.60559231836106964</v>
      </c>
    </row>
    <row r="797" spans="9:36" x14ac:dyDescent="0.45">
      <c r="I797">
        <v>795</v>
      </c>
      <c r="J797">
        <v>31.7</v>
      </c>
      <c r="K797">
        <f t="shared" si="277"/>
        <v>31.7</v>
      </c>
      <c r="L797">
        <f t="shared" si="276"/>
        <v>8.8055555555555561E-3</v>
      </c>
      <c r="M797">
        <v>1.08</v>
      </c>
      <c r="N797">
        <f t="shared" si="278"/>
        <v>1.08</v>
      </c>
      <c r="O797">
        <f t="shared" si="279"/>
        <v>411.94729435355038</v>
      </c>
      <c r="P797">
        <f t="shared" si="280"/>
        <v>1318.2313419313614</v>
      </c>
      <c r="Q797">
        <f t="shared" si="281"/>
        <v>6037.4995460456348</v>
      </c>
      <c r="R797">
        <f t="shared" si="282"/>
        <v>1.7081972816229283</v>
      </c>
      <c r="S797">
        <f t="shared" si="283"/>
        <v>6.845470171368647</v>
      </c>
      <c r="T797">
        <f t="shared" si="284"/>
        <v>3901.9647721168299</v>
      </c>
      <c r="U797">
        <f t="shared" si="285"/>
        <v>2.6430890371057476</v>
      </c>
      <c r="V797">
        <f t="shared" si="286"/>
        <v>1.8733470624650941</v>
      </c>
      <c r="W797">
        <f t="shared" si="287"/>
        <v>2517.8218630889</v>
      </c>
      <c r="X797">
        <f t="shared" si="288"/>
        <v>4.0960960993890119</v>
      </c>
      <c r="Y797">
        <f t="shared" si="289"/>
        <v>0.76423522807516631</v>
      </c>
      <c r="Z797">
        <f t="shared" si="290"/>
        <v>1898.2531323811604</v>
      </c>
      <c r="AA797">
        <f t="shared" si="291"/>
        <v>5.4330163540507028</v>
      </c>
      <c r="AB797">
        <f t="shared" si="292"/>
        <v>0.55823570698889025</v>
      </c>
      <c r="AC797">
        <f t="shared" si="293"/>
        <v>6000</v>
      </c>
      <c r="AD797">
        <f t="shared" si="294"/>
        <v>1.7188733853924698</v>
      </c>
      <c r="AE797">
        <f t="shared" si="295"/>
        <v>6.7108272322890867</v>
      </c>
      <c r="AF797">
        <f t="shared" si="296"/>
        <v>6000</v>
      </c>
      <c r="AG797">
        <f t="shared" si="297"/>
        <v>1.7188733853924698</v>
      </c>
      <c r="AH797">
        <f t="shared" si="298"/>
        <v>6.7108272322890867</v>
      </c>
      <c r="AI797" cm="1">
        <f t="array" ref="AI797">_xlfn.LET(
    _xlpm.vals,   _xlfn.HSTACK(S797,V797,Y797,AB797,AE797,AH797),
    _xlpm.ints,   _xlfn.HSTACK(R797,U797,X797,AA797,AD797,AG797),
    _xlpm.slopes, _xlfn.HSTACK(Q797,T797,W797,Z797,AC797,AF797),
    _xlpm.limit,  -0.00001*_xlpm.slopes + 0.1086*_xlpm.slopes + 63.253,
    _xlpm.mask,   (_xlpm.vals&gt;=0) * (_xlpm.ints&lt;=_xlpm.limit),
    _xlpm.validVals, _xlfn._xlws.FILTER(_xlpm.vals, _xlpm.mask),
    _xlpm.minVal, MIN(_xlpm.validVals),
    IFERROR( _xlfn.XMATCH(_xlpm.minVal, _xlpm.vals), "" )
)</f>
        <v>4</v>
      </c>
      <c r="AJ797" cm="1">
        <f t="array" ref="AJ797">_xlfn.LET(
    _xlpm.vals, CHOOSE({1,2,3,4,5,6}, S797, V797, Y797, AB797, AE797, AH797),
    _xlpm.slopes, CHOOSE({1,2,3,4,5,6}, Q797, T797, W797, Z797, AC797, AF797),
    _xlpm.ints, CHOOSE({1,2,3,4,5,6}, R797, U797, X797, AA797, AD797, AG797),
    _xlpm.limit, -0.00001*_xlpm.slopes + 0.1086*_xlpm.slopes + 63.253,
    _xlpm.valid, (_xlpm.vals &gt;= 0) * (_xlpm.ints &lt;= _xlpm.limit),
    _xlpm.target, MIN(_xlfn._xlws.FILTER(_xlpm.vals, _xlpm.valid)),
    IFERROR(
        _xlfn.XLOOKUP(_xlpm.target, _xlpm.vals, _xlpm.vals),
        CHOOSE({1,2,3,4,5,6}, S$1, V$1, Y$1, AB$1, AE$1, AH$1)
    )
)</f>
        <v>0.55823570698889025</v>
      </c>
    </row>
    <row r="798" spans="9:36" x14ac:dyDescent="0.45">
      <c r="I798">
        <v>796</v>
      </c>
      <c r="J798">
        <v>31.4</v>
      </c>
      <c r="K798">
        <f t="shared" si="277"/>
        <v>31.4</v>
      </c>
      <c r="L798">
        <f t="shared" si="276"/>
        <v>8.7222222222222215E-3</v>
      </c>
      <c r="M798">
        <v>0.86</v>
      </c>
      <c r="N798">
        <f t="shared" si="278"/>
        <v>0.86</v>
      </c>
      <c r="O798">
        <f t="shared" si="279"/>
        <v>408.04873951739688</v>
      </c>
      <c r="P798">
        <f t="shared" si="280"/>
        <v>1305.7559664556702</v>
      </c>
      <c r="Q798">
        <f t="shared" si="281"/>
        <v>5980.3623263669697</v>
      </c>
      <c r="R798">
        <f t="shared" si="282"/>
        <v>1.3732270078911382</v>
      </c>
      <c r="S798">
        <f t="shared" si="283"/>
        <v>6.638774553964339</v>
      </c>
      <c r="T798">
        <f t="shared" si="284"/>
        <v>3865.0376607087837</v>
      </c>
      <c r="U798">
        <f t="shared" si="285"/>
        <v>2.1247904378856126</v>
      </c>
      <c r="V798">
        <f t="shared" si="286"/>
        <v>1.8193898115104092</v>
      </c>
      <c r="W798">
        <f t="shared" si="287"/>
        <v>2493.9938959303299</v>
      </c>
      <c r="X798">
        <f t="shared" si="288"/>
        <v>3.2928689508593787</v>
      </c>
      <c r="Y798">
        <f t="shared" si="289"/>
        <v>0.74254758430086221</v>
      </c>
      <c r="Z798">
        <f t="shared" si="290"/>
        <v>1880.288591696165</v>
      </c>
      <c r="AA798">
        <f t="shared" si="291"/>
        <v>4.3676247889870927</v>
      </c>
      <c r="AB798">
        <f t="shared" si="292"/>
        <v>0.54104346226082345</v>
      </c>
      <c r="AC798">
        <f t="shared" si="293"/>
        <v>6000</v>
      </c>
      <c r="AD798">
        <f t="shared" si="294"/>
        <v>1.3687325105902999</v>
      </c>
      <c r="AE798">
        <f t="shared" si="295"/>
        <v>6.7085503206188601</v>
      </c>
      <c r="AF798">
        <f t="shared" si="296"/>
        <v>6000</v>
      </c>
      <c r="AG798">
        <f t="shared" si="297"/>
        <v>1.3687325105902999</v>
      </c>
      <c r="AH798">
        <f t="shared" si="298"/>
        <v>6.7085503206188601</v>
      </c>
      <c r="AI798" cm="1">
        <f t="array" ref="AI798">_xlfn.LET(
    _xlpm.vals,   _xlfn.HSTACK(S798,V798,Y798,AB798,AE798,AH798),
    _xlpm.ints,   _xlfn.HSTACK(R798,U798,X798,AA798,AD798,AG798),
    _xlpm.slopes, _xlfn.HSTACK(Q798,T798,W798,Z798,AC798,AF798),
    _xlpm.limit,  -0.00001*_xlpm.slopes + 0.1086*_xlpm.slopes + 63.253,
    _xlpm.mask,   (_xlpm.vals&gt;=0) * (_xlpm.ints&lt;=_xlpm.limit),
    _xlpm.validVals, _xlfn._xlws.FILTER(_xlpm.vals, _xlpm.mask),
    _xlpm.minVal, MIN(_xlpm.validVals),
    IFERROR( _xlfn.XMATCH(_xlpm.minVal, _xlpm.vals), "" )
)</f>
        <v>4</v>
      </c>
      <c r="AJ798" cm="1">
        <f t="array" ref="AJ798">_xlfn.LET(
    _xlpm.vals, CHOOSE({1,2,3,4,5,6}, S798, V798, Y798, AB798, AE798, AH798),
    _xlpm.slopes, CHOOSE({1,2,3,4,5,6}, Q798, T798, W798, Z798, AC798, AF798),
    _xlpm.ints, CHOOSE({1,2,3,4,5,6}, R798, U798, X798, AA798, AD798, AG798),
    _xlpm.limit, -0.00001*_xlpm.slopes + 0.1086*_xlpm.slopes + 63.253,
    _xlpm.valid, (_xlpm.vals &gt;= 0) * (_xlpm.ints &lt;= _xlpm.limit),
    _xlpm.target, MIN(_xlfn._xlws.FILTER(_xlpm.vals, _xlpm.valid)),
    IFERROR(
        _xlfn.XLOOKUP(_xlpm.target, _xlpm.vals, _xlpm.vals),
        CHOOSE({1,2,3,4,5,6}, S$1, V$1, Y$1, AB$1, AE$1, AH$1)
    )
)</f>
        <v>0.54104346226082345</v>
      </c>
    </row>
    <row r="799" spans="9:36" x14ac:dyDescent="0.45">
      <c r="I799">
        <v>797</v>
      </c>
      <c r="J799">
        <v>30.7</v>
      </c>
      <c r="K799">
        <f t="shared" si="277"/>
        <v>30.7</v>
      </c>
      <c r="L799">
        <f t="shared" si="276"/>
        <v>8.5277777777777782E-3</v>
      </c>
      <c r="M799">
        <v>-0.39</v>
      </c>
      <c r="N799">
        <f t="shared" si="278"/>
        <v>0</v>
      </c>
      <c r="O799">
        <f t="shared" si="279"/>
        <v>398.95211156637214</v>
      </c>
      <c r="P799">
        <f t="shared" si="280"/>
        <v>1276.6467570123909</v>
      </c>
      <c r="Q799">
        <f t="shared" si="281"/>
        <v>5847.0421471167501</v>
      </c>
      <c r="R799">
        <f t="shared" si="282"/>
        <v>0</v>
      </c>
      <c r="S799">
        <f t="shared" si="283"/>
        <v>6.1690618362505987</v>
      </c>
      <c r="T799">
        <f t="shared" si="284"/>
        <v>3778.874400756677</v>
      </c>
      <c r="U799">
        <f t="shared" si="285"/>
        <v>0</v>
      </c>
      <c r="V799">
        <f t="shared" si="286"/>
        <v>1.6846436690465552</v>
      </c>
      <c r="W799">
        <f t="shared" si="287"/>
        <v>2438.3953058936668</v>
      </c>
      <c r="X799">
        <f t="shared" si="288"/>
        <v>0</v>
      </c>
      <c r="Y799">
        <f t="shared" si="289"/>
        <v>0.67548620375520185</v>
      </c>
      <c r="Z799">
        <f t="shared" si="290"/>
        <v>1838.3713300978429</v>
      </c>
      <c r="AA799">
        <f t="shared" si="291"/>
        <v>0</v>
      </c>
      <c r="AB799">
        <f t="shared" si="292"/>
        <v>0.48261962917768125</v>
      </c>
      <c r="AC799">
        <f t="shared" si="293"/>
        <v>6000</v>
      </c>
      <c r="AD799">
        <f t="shared" si="294"/>
        <v>0</v>
      </c>
      <c r="AE799">
        <f t="shared" si="295"/>
        <v>6.7000407999999982</v>
      </c>
      <c r="AF799">
        <f t="shared" si="296"/>
        <v>6000</v>
      </c>
      <c r="AG799">
        <f t="shared" si="297"/>
        <v>0</v>
      </c>
      <c r="AH799">
        <f t="shared" si="298"/>
        <v>6.7000407999999982</v>
      </c>
      <c r="AI799" cm="1">
        <f t="array" ref="AI799">_xlfn.LET(
    _xlpm.vals,   _xlfn.HSTACK(S799,V799,Y799,AB799,AE799,AH799),
    _xlpm.ints,   _xlfn.HSTACK(R799,U799,X799,AA799,AD799,AG799),
    _xlpm.slopes, _xlfn.HSTACK(Q799,T799,W799,Z799,AC799,AF799),
    _xlpm.limit,  -0.00001*_xlpm.slopes + 0.1086*_xlpm.slopes + 63.253,
    _xlpm.mask,   (_xlpm.vals&gt;=0) * (_xlpm.ints&lt;=_xlpm.limit),
    _xlpm.validVals, _xlfn._xlws.FILTER(_xlpm.vals, _xlpm.mask),
    _xlpm.minVal, MIN(_xlpm.validVals),
    IFERROR( _xlfn.XMATCH(_xlpm.minVal, _xlpm.vals), "" )
)</f>
        <v>4</v>
      </c>
      <c r="AJ799" cm="1">
        <f t="array" ref="AJ799">_xlfn.LET(
    _xlpm.vals, CHOOSE({1,2,3,4,5,6}, S799, V799, Y799, AB799, AE799, AH799),
    _xlpm.slopes, CHOOSE({1,2,3,4,5,6}, Q799, T799, W799, Z799, AC799, AF799),
    _xlpm.ints, CHOOSE({1,2,3,4,5,6}, R799, U799, X799, AA799, AD799, AG799),
    _xlpm.limit, -0.00001*_xlpm.slopes + 0.1086*_xlpm.slopes + 63.253,
    _xlpm.valid, (_xlpm.vals &gt;= 0) * (_xlpm.ints &lt;= _xlpm.limit),
    _xlpm.target, MIN(_xlfn._xlws.FILTER(_xlpm.vals, _xlpm.valid)),
    IFERROR(
        _xlfn.XLOOKUP(_xlpm.target, _xlpm.vals, _xlpm.vals),
        CHOOSE({1,2,3,4,5,6}, S$1, V$1, Y$1, AB$1, AE$1, AH$1)
    )
)</f>
        <v>0.48261962917768125</v>
      </c>
    </row>
    <row r="800" spans="9:36" x14ac:dyDescent="0.45">
      <c r="I800">
        <v>798</v>
      </c>
      <c r="J800">
        <v>30.2</v>
      </c>
      <c r="K800">
        <f t="shared" si="277"/>
        <v>30.2</v>
      </c>
      <c r="L800">
        <f t="shared" si="276"/>
        <v>8.3888888888888884E-3</v>
      </c>
      <c r="M800">
        <v>-0.4</v>
      </c>
      <c r="N800">
        <f t="shared" si="278"/>
        <v>0</v>
      </c>
      <c r="O800">
        <f t="shared" si="279"/>
        <v>392.45452017278302</v>
      </c>
      <c r="P800">
        <f t="shared" si="280"/>
        <v>1255.8544645529057</v>
      </c>
      <c r="Q800">
        <f t="shared" si="281"/>
        <v>5751.8134476523082</v>
      </c>
      <c r="R800">
        <f t="shared" si="282"/>
        <v>0</v>
      </c>
      <c r="S800">
        <f t="shared" si="283"/>
        <v>5.8545946254002788</v>
      </c>
      <c r="T800">
        <f t="shared" si="284"/>
        <v>3717.329215076601</v>
      </c>
      <c r="U800">
        <f t="shared" si="285"/>
        <v>0</v>
      </c>
      <c r="V800">
        <f t="shared" si="286"/>
        <v>1.6136929803777449</v>
      </c>
      <c r="W800">
        <f t="shared" si="287"/>
        <v>2398.6820272960499</v>
      </c>
      <c r="X800">
        <f t="shared" si="288"/>
        <v>0</v>
      </c>
      <c r="Y800">
        <f t="shared" si="289"/>
        <v>0.65925242573938259</v>
      </c>
      <c r="Z800">
        <f t="shared" si="290"/>
        <v>1808.4304289561842</v>
      </c>
      <c r="AA800">
        <f t="shared" si="291"/>
        <v>0</v>
      </c>
      <c r="AB800">
        <f t="shared" si="292"/>
        <v>0.47540005075211333</v>
      </c>
      <c r="AC800">
        <f t="shared" si="293"/>
        <v>6000</v>
      </c>
      <c r="AD800">
        <f t="shared" si="294"/>
        <v>0</v>
      </c>
      <c r="AE800">
        <f t="shared" si="295"/>
        <v>6.7000407999999982</v>
      </c>
      <c r="AF800">
        <f t="shared" si="296"/>
        <v>6000</v>
      </c>
      <c r="AG800">
        <f t="shared" si="297"/>
        <v>0</v>
      </c>
      <c r="AH800">
        <f t="shared" si="298"/>
        <v>6.7000407999999982</v>
      </c>
      <c r="AI800" cm="1">
        <f t="array" ref="AI800">_xlfn.LET(
    _xlpm.vals,   _xlfn.HSTACK(S800,V800,Y800,AB800,AE800,AH800),
    _xlpm.ints,   _xlfn.HSTACK(R800,U800,X800,AA800,AD800,AG800),
    _xlpm.slopes, _xlfn.HSTACK(Q800,T800,W800,Z800,AC800,AF800),
    _xlpm.limit,  -0.00001*_xlpm.slopes + 0.1086*_xlpm.slopes + 63.253,
    _xlpm.mask,   (_xlpm.vals&gt;=0) * (_xlpm.ints&lt;=_xlpm.limit),
    _xlpm.validVals, _xlfn._xlws.FILTER(_xlpm.vals, _xlpm.mask),
    _xlpm.minVal, MIN(_xlpm.validVals),
    IFERROR( _xlfn.XMATCH(_xlpm.minVal, _xlpm.vals), "" )
)</f>
        <v>4</v>
      </c>
      <c r="AJ800" cm="1">
        <f t="array" ref="AJ800">_xlfn.LET(
    _xlpm.vals, CHOOSE({1,2,3,4,5,6}, S800, V800, Y800, AB800, AE800, AH800),
    _xlpm.slopes, CHOOSE({1,2,3,4,5,6}, Q800, T800, W800, Z800, AC800, AF800),
    _xlpm.ints, CHOOSE({1,2,3,4,5,6}, R800, U800, X800, AA800, AD800, AG800),
    _xlpm.limit, -0.00001*_xlpm.slopes + 0.1086*_xlpm.slopes + 63.253,
    _xlpm.valid, (_xlpm.vals &gt;= 0) * (_xlpm.ints &lt;= _xlpm.limit),
    _xlpm.target, MIN(_xlfn._xlws.FILTER(_xlpm.vals, _xlpm.valid)),
    IFERROR(
        _xlfn.XLOOKUP(_xlpm.target, _xlpm.vals, _xlpm.vals),
        CHOOSE({1,2,3,4,5,6}, S$1, V$1, Y$1, AB$1, AE$1, AH$1)
    )
)</f>
        <v>0.47540005075211333</v>
      </c>
    </row>
    <row r="801" spans="9:36" x14ac:dyDescent="0.45">
      <c r="I801">
        <v>799</v>
      </c>
      <c r="J801">
        <v>29.9</v>
      </c>
      <c r="K801">
        <f t="shared" si="277"/>
        <v>29.9</v>
      </c>
      <c r="L801">
        <f t="shared" si="276"/>
        <v>8.3055555555555556E-3</v>
      </c>
      <c r="M801">
        <v>2.29</v>
      </c>
      <c r="N801">
        <f t="shared" si="278"/>
        <v>2.29</v>
      </c>
      <c r="O801">
        <f t="shared" si="279"/>
        <v>388.55596533662953</v>
      </c>
      <c r="P801">
        <f t="shared" si="280"/>
        <v>1243.3790890772145</v>
      </c>
      <c r="Q801">
        <f t="shared" si="281"/>
        <v>5694.6762279736422</v>
      </c>
      <c r="R801">
        <f t="shared" si="282"/>
        <v>3.8400583817928053</v>
      </c>
      <c r="S801">
        <f t="shared" si="283"/>
        <v>5.7044382157125071</v>
      </c>
      <c r="T801">
        <f t="shared" si="284"/>
        <v>3680.4021036685549</v>
      </c>
      <c r="U801">
        <f t="shared" si="285"/>
        <v>5.9417119556118401</v>
      </c>
      <c r="V801">
        <f t="shared" si="286"/>
        <v>1.66129251456823</v>
      </c>
      <c r="W801">
        <f t="shared" si="287"/>
        <v>2374.8540601374798</v>
      </c>
      <c r="X801">
        <f t="shared" si="288"/>
        <v>9.2080981092204439</v>
      </c>
      <c r="Y801">
        <f t="shared" si="289"/>
        <v>0.77254973814703687</v>
      </c>
      <c r="Z801">
        <f t="shared" si="290"/>
        <v>1790.4658882711888</v>
      </c>
      <c r="AA801">
        <f t="shared" si="291"/>
        <v>12.213519019868784</v>
      </c>
      <c r="AB801">
        <f t="shared" si="292"/>
        <v>0.60760040876109311</v>
      </c>
      <c r="AC801">
        <f t="shared" si="293"/>
        <v>6000</v>
      </c>
      <c r="AD801">
        <f t="shared" si="294"/>
        <v>3.6446481968044036</v>
      </c>
      <c r="AE801">
        <f t="shared" si="295"/>
        <v>6.7240733508961279</v>
      </c>
      <c r="AF801">
        <f t="shared" si="296"/>
        <v>6000</v>
      </c>
      <c r="AG801">
        <f t="shared" si="297"/>
        <v>3.6446481968044036</v>
      </c>
      <c r="AH801">
        <f t="shared" si="298"/>
        <v>6.7240733508961279</v>
      </c>
      <c r="AI801" cm="1">
        <f t="array" ref="AI801">_xlfn.LET(
    _xlpm.vals,   _xlfn.HSTACK(S801,V801,Y801,AB801,AE801,AH801),
    _xlpm.ints,   _xlfn.HSTACK(R801,U801,X801,AA801,AD801,AG801),
    _xlpm.slopes, _xlfn.HSTACK(Q801,T801,W801,Z801,AC801,AF801),
    _xlpm.limit,  -0.00001*_xlpm.slopes + 0.1086*_xlpm.slopes + 63.253,
    _xlpm.mask,   (_xlpm.vals&gt;=0) * (_xlpm.ints&lt;=_xlpm.limit),
    _xlpm.validVals, _xlfn._xlws.FILTER(_xlpm.vals, _xlpm.mask),
    _xlpm.minVal, MIN(_xlpm.validVals),
    IFERROR( _xlfn.XMATCH(_xlpm.minVal, _xlpm.vals), "" )
)</f>
        <v>4</v>
      </c>
      <c r="AJ801" cm="1">
        <f t="array" ref="AJ801">_xlfn.LET(
    _xlpm.vals, CHOOSE({1,2,3,4,5,6}, S801, V801, Y801, AB801, AE801, AH801),
    _xlpm.slopes, CHOOSE({1,2,3,4,5,6}, Q801, T801, W801, Z801, AC801, AF801),
    _xlpm.ints, CHOOSE({1,2,3,4,5,6}, R801, U801, X801, AA801, AD801, AG801),
    _xlpm.limit, -0.00001*_xlpm.slopes + 0.1086*_xlpm.slopes + 63.253,
    _xlpm.valid, (_xlpm.vals &gt;= 0) * (_xlpm.ints &lt;= _xlpm.limit),
    _xlpm.target, MIN(_xlfn._xlws.FILTER(_xlpm.vals, _xlpm.valid)),
    IFERROR(
        _xlfn.XLOOKUP(_xlpm.target, _xlpm.vals, _xlpm.vals),
        CHOOSE({1,2,3,4,5,6}, S$1, V$1, Y$1, AB$1, AE$1, AH$1)
    )
)</f>
        <v>0.60760040876109311</v>
      </c>
    </row>
    <row r="802" spans="9:36" x14ac:dyDescent="0.45">
      <c r="I802">
        <v>800</v>
      </c>
      <c r="J802">
        <v>29.7</v>
      </c>
      <c r="K802">
        <f t="shared" si="277"/>
        <v>29.7</v>
      </c>
      <c r="L802">
        <f t="shared" si="276"/>
        <v>8.2500000000000004E-3</v>
      </c>
      <c r="M802">
        <v>1.8</v>
      </c>
      <c r="N802">
        <f t="shared" si="278"/>
        <v>1.8</v>
      </c>
      <c r="O802">
        <f t="shared" si="279"/>
        <v>385.9569287791939</v>
      </c>
      <c r="P802">
        <f t="shared" si="280"/>
        <v>1235.0621720934205</v>
      </c>
      <c r="Q802">
        <f t="shared" si="281"/>
        <v>5656.5847481878664</v>
      </c>
      <c r="R802">
        <f t="shared" si="282"/>
        <v>3.0387123359958941</v>
      </c>
      <c r="S802">
        <f t="shared" si="283"/>
        <v>5.5783603968402691</v>
      </c>
      <c r="T802">
        <f t="shared" si="284"/>
        <v>3655.7840293965246</v>
      </c>
      <c r="U802">
        <f t="shared" si="285"/>
        <v>4.701791384750404</v>
      </c>
      <c r="V802">
        <f t="shared" si="286"/>
        <v>1.6151919956477727</v>
      </c>
      <c r="W802">
        <f t="shared" si="287"/>
        <v>2358.968748698433</v>
      </c>
      <c r="X802">
        <f t="shared" si="288"/>
        <v>7.2865458109220924</v>
      </c>
      <c r="Y802">
        <f t="shared" si="289"/>
        <v>0.73912387154302905</v>
      </c>
      <c r="Z802">
        <f t="shared" si="290"/>
        <v>1778.4895278145254</v>
      </c>
      <c r="AA802">
        <f t="shared" si="291"/>
        <v>9.664793401986941</v>
      </c>
      <c r="AB802">
        <f t="shared" si="292"/>
        <v>0.57393318583313135</v>
      </c>
      <c r="AC802">
        <f t="shared" si="293"/>
        <v>6000</v>
      </c>
      <c r="AD802">
        <f t="shared" si="294"/>
        <v>2.8647889756541161</v>
      </c>
      <c r="AE802">
        <f t="shared" si="295"/>
        <v>6.7185622476096949</v>
      </c>
      <c r="AF802">
        <f t="shared" si="296"/>
        <v>6000</v>
      </c>
      <c r="AG802">
        <f t="shared" si="297"/>
        <v>2.8647889756541161</v>
      </c>
      <c r="AH802">
        <f t="shared" si="298"/>
        <v>6.7185622476096949</v>
      </c>
      <c r="AI802" cm="1">
        <f t="array" ref="AI802">_xlfn.LET(
    _xlpm.vals,   _xlfn.HSTACK(S802,V802,Y802,AB802,AE802,AH802),
    _xlpm.ints,   _xlfn.HSTACK(R802,U802,X802,AA802,AD802,AG802),
    _xlpm.slopes, _xlfn.HSTACK(Q802,T802,W802,Z802,AC802,AF802),
    _xlpm.limit,  -0.00001*_xlpm.slopes + 0.1086*_xlpm.slopes + 63.253,
    _xlpm.mask,   (_xlpm.vals&gt;=0) * (_xlpm.ints&lt;=_xlpm.limit),
    _xlpm.validVals, _xlfn._xlws.FILTER(_xlpm.vals, _xlpm.mask),
    _xlpm.minVal, MIN(_xlpm.validVals),
    IFERROR( _xlfn.XMATCH(_xlpm.minVal, _xlpm.vals), "" )
)</f>
        <v>4</v>
      </c>
      <c r="AJ802" cm="1">
        <f t="array" ref="AJ802">_xlfn.LET(
    _xlpm.vals, CHOOSE({1,2,3,4,5,6}, S802, V802, Y802, AB802, AE802, AH802),
    _xlpm.slopes, CHOOSE({1,2,3,4,5,6}, Q802, T802, W802, Z802, AC802, AF802),
    _xlpm.ints, CHOOSE({1,2,3,4,5,6}, R802, U802, X802, AA802, AD802, AG802),
    _xlpm.limit, -0.00001*_xlpm.slopes + 0.1086*_xlpm.slopes + 63.253,
    _xlpm.valid, (_xlpm.vals &gt;= 0) * (_xlpm.ints &lt;= _xlpm.limit),
    _xlpm.target, MIN(_xlfn._xlws.FILTER(_xlpm.vals, _xlpm.valid)),
    IFERROR(
        _xlfn.XLOOKUP(_xlpm.target, _xlpm.vals, _xlpm.vals),
        CHOOSE({1,2,3,4,5,6}, S$1, V$1, Y$1, AB$1, AE$1, AH$1)
    )
)</f>
        <v>0.57393318583313135</v>
      </c>
    </row>
    <row r="803" spans="9:36" x14ac:dyDescent="0.45">
      <c r="I803">
        <v>801</v>
      </c>
      <c r="J803">
        <v>29.6</v>
      </c>
      <c r="K803">
        <f t="shared" si="277"/>
        <v>29.6</v>
      </c>
      <c r="L803">
        <f t="shared" si="276"/>
        <v>8.2222222222222228E-3</v>
      </c>
      <c r="M803">
        <v>3.68</v>
      </c>
      <c r="N803">
        <f t="shared" si="278"/>
        <v>3.68</v>
      </c>
      <c r="O803">
        <f t="shared" si="279"/>
        <v>384.65741050047609</v>
      </c>
      <c r="P803">
        <f t="shared" si="280"/>
        <v>1230.9037136015236</v>
      </c>
      <c r="Q803">
        <f t="shared" si="281"/>
        <v>5637.539008294978</v>
      </c>
      <c r="R803">
        <f t="shared" si="282"/>
        <v>6.2334666568131984</v>
      </c>
      <c r="S803">
        <f t="shared" si="283"/>
        <v>5.5506142481456511</v>
      </c>
      <c r="T803">
        <f t="shared" si="284"/>
        <v>3643.4749922605097</v>
      </c>
      <c r="U803">
        <f t="shared" si="285"/>
        <v>9.6450261108798827</v>
      </c>
      <c r="V803">
        <f t="shared" si="286"/>
        <v>1.6805948392125996</v>
      </c>
      <c r="W803">
        <f t="shared" si="287"/>
        <v>2351.0260929789101</v>
      </c>
      <c r="X803">
        <f t="shared" si="288"/>
        <v>14.947265595918559</v>
      </c>
      <c r="Y803">
        <f t="shared" si="289"/>
        <v>0.84589093812541183</v>
      </c>
      <c r="Z803">
        <f t="shared" si="290"/>
        <v>1772.5013475861938</v>
      </c>
      <c r="AA803">
        <f t="shared" si="291"/>
        <v>19.825887005697535</v>
      </c>
      <c r="AB803">
        <f t="shared" si="292"/>
        <v>0.69730031111479951</v>
      </c>
      <c r="AC803">
        <f t="shared" si="293"/>
        <v>6000</v>
      </c>
      <c r="AD803">
        <f t="shared" si="294"/>
        <v>5.8569019057817489</v>
      </c>
      <c r="AE803">
        <f t="shared" si="295"/>
        <v>6.7407859932422349</v>
      </c>
      <c r="AF803">
        <f t="shared" si="296"/>
        <v>6000</v>
      </c>
      <c r="AG803">
        <f t="shared" si="297"/>
        <v>5.8569019057817489</v>
      </c>
      <c r="AH803">
        <f t="shared" si="298"/>
        <v>6.7407859932422349</v>
      </c>
      <c r="AI803" cm="1">
        <f t="array" ref="AI803">_xlfn.LET(
    _xlpm.vals,   _xlfn.HSTACK(S803,V803,Y803,AB803,AE803,AH803),
    _xlpm.ints,   _xlfn.HSTACK(R803,U803,X803,AA803,AD803,AG803),
    _xlpm.slopes, _xlfn.HSTACK(Q803,T803,W803,Z803,AC803,AF803),
    _xlpm.limit,  -0.00001*_xlpm.slopes + 0.1086*_xlpm.slopes + 63.253,
    _xlpm.mask,   (_xlpm.vals&gt;=0) * (_xlpm.ints&lt;=_xlpm.limit),
    _xlpm.validVals, _xlfn._xlws.FILTER(_xlpm.vals, _xlpm.mask),
    _xlpm.minVal, MIN(_xlpm.validVals),
    IFERROR( _xlfn.XMATCH(_xlpm.minVal, _xlpm.vals), "" )
)</f>
        <v>4</v>
      </c>
      <c r="AJ803" cm="1">
        <f t="array" ref="AJ803">_xlfn.LET(
    _xlpm.vals, CHOOSE({1,2,3,4,5,6}, S803, V803, Y803, AB803, AE803, AH803),
    _xlpm.slopes, CHOOSE({1,2,3,4,5,6}, Q803, T803, W803, Z803, AC803, AF803),
    _xlpm.ints, CHOOSE({1,2,3,4,5,6}, R803, U803, X803, AA803, AD803, AG803),
    _xlpm.limit, -0.00001*_xlpm.slopes + 0.1086*_xlpm.slopes + 63.253,
    _xlpm.valid, (_xlpm.vals &gt;= 0) * (_xlpm.ints &lt;= _xlpm.limit),
    _xlpm.target, MIN(_xlfn._xlws.FILTER(_xlpm.vals, _xlpm.valid)),
    IFERROR(
        _xlfn.XLOOKUP(_xlpm.target, _xlpm.vals, _xlpm.vals),
        CHOOSE({1,2,3,4,5,6}, S$1, V$1, Y$1, AB$1, AE$1, AH$1)
    )
)</f>
        <v>0.69730031111479951</v>
      </c>
    </row>
    <row r="804" spans="9:36" x14ac:dyDescent="0.45">
      <c r="I804">
        <v>802</v>
      </c>
      <c r="J804">
        <v>29.6</v>
      </c>
      <c r="K804">
        <f t="shared" si="277"/>
        <v>29.6</v>
      </c>
      <c r="L804">
        <f t="shared" si="276"/>
        <v>8.2222222222222228E-3</v>
      </c>
      <c r="M804">
        <v>3.72</v>
      </c>
      <c r="N804">
        <f t="shared" si="278"/>
        <v>3.72</v>
      </c>
      <c r="O804">
        <f t="shared" si="279"/>
        <v>384.65741050047609</v>
      </c>
      <c r="P804">
        <f t="shared" si="280"/>
        <v>1230.9037136015236</v>
      </c>
      <c r="Q804">
        <f t="shared" si="281"/>
        <v>5637.539008294978</v>
      </c>
      <c r="R804">
        <f t="shared" si="282"/>
        <v>6.3012217291698631</v>
      </c>
      <c r="S804">
        <f t="shared" si="283"/>
        <v>5.5513054491207621</v>
      </c>
      <c r="T804">
        <f t="shared" si="284"/>
        <v>3643.4749922605097</v>
      </c>
      <c r="U804">
        <f t="shared" si="285"/>
        <v>9.7498633512155326</v>
      </c>
      <c r="V804">
        <f t="shared" si="286"/>
        <v>1.6823223729546937</v>
      </c>
      <c r="W804">
        <f t="shared" si="287"/>
        <v>2351.0260929789101</v>
      </c>
      <c r="X804">
        <f t="shared" si="288"/>
        <v>15.109735874135065</v>
      </c>
      <c r="Y804">
        <f t="shared" si="289"/>
        <v>0.84832628311214575</v>
      </c>
      <c r="Z804">
        <f t="shared" si="290"/>
        <v>1772.5013475861938</v>
      </c>
      <c r="AA804">
        <f t="shared" si="291"/>
        <v>20.041385777498597</v>
      </c>
      <c r="AB804">
        <f t="shared" si="292"/>
        <v>0.70009578313662868</v>
      </c>
      <c r="AC804">
        <f t="shared" si="293"/>
        <v>6000</v>
      </c>
      <c r="AD804">
        <f t="shared" si="294"/>
        <v>5.9205638830185068</v>
      </c>
      <c r="AE804">
        <f t="shared" si="295"/>
        <v>6.7412903989901496</v>
      </c>
      <c r="AF804">
        <f t="shared" si="296"/>
        <v>6000</v>
      </c>
      <c r="AG804">
        <f t="shared" si="297"/>
        <v>5.9205638830185068</v>
      </c>
      <c r="AH804">
        <f t="shared" si="298"/>
        <v>6.7412903989901496</v>
      </c>
      <c r="AI804" cm="1">
        <f t="array" ref="AI804">_xlfn.LET(
    _xlpm.vals,   _xlfn.HSTACK(S804,V804,Y804,AB804,AE804,AH804),
    _xlpm.ints,   _xlfn.HSTACK(R804,U804,X804,AA804,AD804,AG804),
    _xlpm.slopes, _xlfn.HSTACK(Q804,T804,W804,Z804,AC804,AF804),
    _xlpm.limit,  -0.00001*_xlpm.slopes + 0.1086*_xlpm.slopes + 63.253,
    _xlpm.mask,   (_xlpm.vals&gt;=0) * (_xlpm.ints&lt;=_xlpm.limit),
    _xlpm.validVals, _xlfn._xlws.FILTER(_xlpm.vals, _xlpm.mask),
    _xlpm.minVal, MIN(_xlpm.validVals),
    IFERROR( _xlfn.XMATCH(_xlpm.minVal, _xlpm.vals), "" )
)</f>
        <v>4</v>
      </c>
      <c r="AJ804" cm="1">
        <f t="array" ref="AJ804">_xlfn.LET(
    _xlpm.vals, CHOOSE({1,2,3,4,5,6}, S804, V804, Y804, AB804, AE804, AH804),
    _xlpm.slopes, CHOOSE({1,2,3,4,5,6}, Q804, T804, W804, Z804, AC804, AF804),
    _xlpm.ints, CHOOSE({1,2,3,4,5,6}, R804, U804, X804, AA804, AD804, AG804),
    _xlpm.limit, -0.00001*_xlpm.slopes + 0.1086*_xlpm.slopes + 63.253,
    _xlpm.valid, (_xlpm.vals &gt;= 0) * (_xlpm.ints &lt;= _xlpm.limit),
    _xlpm.target, MIN(_xlfn._xlws.FILTER(_xlpm.vals, _xlpm.valid)),
    IFERROR(
        _xlfn.XLOOKUP(_xlpm.target, _xlpm.vals, _xlpm.vals),
        CHOOSE({1,2,3,4,5,6}, S$1, V$1, Y$1, AB$1, AE$1, AH$1)
    )
)</f>
        <v>0.70009578313662868</v>
      </c>
    </row>
    <row r="805" spans="9:36" x14ac:dyDescent="0.45">
      <c r="I805">
        <v>803</v>
      </c>
      <c r="J805">
        <v>29.6</v>
      </c>
      <c r="K805">
        <f t="shared" si="277"/>
        <v>29.6</v>
      </c>
      <c r="L805">
        <f t="shared" si="276"/>
        <v>8.2222222222222228E-3</v>
      </c>
      <c r="M805">
        <v>3.13</v>
      </c>
      <c r="N805">
        <f t="shared" si="278"/>
        <v>3.13</v>
      </c>
      <c r="O805">
        <f t="shared" si="279"/>
        <v>384.65741050047609</v>
      </c>
      <c r="P805">
        <f t="shared" si="280"/>
        <v>1230.9037136015236</v>
      </c>
      <c r="Q805">
        <f t="shared" si="281"/>
        <v>5637.539008294978</v>
      </c>
      <c r="R805">
        <f t="shared" si="282"/>
        <v>5.3018344119090512</v>
      </c>
      <c r="S805">
        <f t="shared" si="283"/>
        <v>5.541253391568417</v>
      </c>
      <c r="T805">
        <f t="shared" si="284"/>
        <v>3643.4749922605097</v>
      </c>
      <c r="U805">
        <f t="shared" si="285"/>
        <v>8.203514056264682</v>
      </c>
      <c r="V805">
        <f t="shared" si="286"/>
        <v>1.6570861045904794</v>
      </c>
      <c r="W805">
        <f t="shared" si="287"/>
        <v>2351.0260929789101</v>
      </c>
      <c r="X805">
        <f t="shared" si="288"/>
        <v>12.713299270441601</v>
      </c>
      <c r="Y805">
        <f t="shared" si="289"/>
        <v>0.81282417335055313</v>
      </c>
      <c r="Z805">
        <f t="shared" si="290"/>
        <v>1772.5013475861938</v>
      </c>
      <c r="AA805">
        <f t="shared" si="291"/>
        <v>16.862778893432957</v>
      </c>
      <c r="AB805">
        <f t="shared" si="292"/>
        <v>0.65944368453989277</v>
      </c>
      <c r="AC805">
        <f t="shared" si="293"/>
        <v>6000</v>
      </c>
      <c r="AD805">
        <f t="shared" si="294"/>
        <v>4.981549718776324</v>
      </c>
      <c r="AE805">
        <f t="shared" si="295"/>
        <v>6.7339831587276198</v>
      </c>
      <c r="AF805">
        <f t="shared" si="296"/>
        <v>6000</v>
      </c>
      <c r="AG805">
        <f t="shared" si="297"/>
        <v>4.981549718776324</v>
      </c>
      <c r="AH805">
        <f t="shared" si="298"/>
        <v>6.7339831587276198</v>
      </c>
      <c r="AI805" cm="1">
        <f t="array" ref="AI805">_xlfn.LET(
    _xlpm.vals,   _xlfn.HSTACK(S805,V805,Y805,AB805,AE805,AH805),
    _xlpm.ints,   _xlfn.HSTACK(R805,U805,X805,AA805,AD805,AG805),
    _xlpm.slopes, _xlfn.HSTACK(Q805,T805,W805,Z805,AC805,AF805),
    _xlpm.limit,  -0.00001*_xlpm.slopes + 0.1086*_xlpm.slopes + 63.253,
    _xlpm.mask,   (_xlpm.vals&gt;=0) * (_xlpm.ints&lt;=_xlpm.limit),
    _xlpm.validVals, _xlfn._xlws.FILTER(_xlpm.vals, _xlpm.mask),
    _xlpm.minVal, MIN(_xlpm.validVals),
    IFERROR( _xlfn.XMATCH(_xlpm.minVal, _xlpm.vals), "" )
)</f>
        <v>4</v>
      </c>
      <c r="AJ805" cm="1">
        <f t="array" ref="AJ805">_xlfn.LET(
    _xlpm.vals, CHOOSE({1,2,3,4,5,6}, S805, V805, Y805, AB805, AE805, AH805),
    _xlpm.slopes, CHOOSE({1,2,3,4,5,6}, Q805, T805, W805, Z805, AC805, AF805),
    _xlpm.ints, CHOOSE({1,2,3,4,5,6}, R805, U805, X805, AA805, AD805, AG805),
    _xlpm.limit, -0.00001*_xlpm.slopes + 0.1086*_xlpm.slopes + 63.253,
    _xlpm.valid, (_xlpm.vals &gt;= 0) * (_xlpm.ints &lt;= _xlpm.limit),
    _xlpm.target, MIN(_xlfn._xlws.FILTER(_xlpm.vals, _xlpm.valid)),
    IFERROR(
        _xlfn.XLOOKUP(_xlpm.target, _xlpm.vals, _xlpm.vals),
        CHOOSE({1,2,3,4,5,6}, S$1, V$1, Y$1, AB$1, AE$1, AH$1)
    )
)</f>
        <v>0.65944368453989277</v>
      </c>
    </row>
    <row r="806" spans="9:36" x14ac:dyDescent="0.45">
      <c r="I806">
        <v>804</v>
      </c>
      <c r="J806">
        <v>29.5</v>
      </c>
      <c r="K806">
        <f t="shared" si="277"/>
        <v>29.5</v>
      </c>
      <c r="L806">
        <f t="shared" si="276"/>
        <v>8.1944444444444452E-3</v>
      </c>
      <c r="M806">
        <v>2.97</v>
      </c>
      <c r="N806">
        <f t="shared" si="278"/>
        <v>2.97</v>
      </c>
      <c r="O806">
        <f t="shared" si="279"/>
        <v>383.35789222175828</v>
      </c>
      <c r="P806">
        <f t="shared" si="280"/>
        <v>1226.7452551096264</v>
      </c>
      <c r="Q806">
        <f t="shared" si="281"/>
        <v>5618.4932684020896</v>
      </c>
      <c r="R806">
        <f t="shared" si="282"/>
        <v>5.0478677296772467</v>
      </c>
      <c r="S806">
        <f t="shared" si="283"/>
        <v>5.4807004547230376</v>
      </c>
      <c r="T806">
        <f t="shared" si="284"/>
        <v>3631.1659551244943</v>
      </c>
      <c r="U806">
        <f t="shared" si="285"/>
        <v>7.8105520952438487</v>
      </c>
      <c r="V806">
        <f t="shared" si="286"/>
        <v>1.637585143943751</v>
      </c>
      <c r="W806">
        <f t="shared" si="287"/>
        <v>2343.0834372593863</v>
      </c>
      <c r="X806">
        <f t="shared" si="288"/>
        <v>12.104311100482615</v>
      </c>
      <c r="Y806">
        <f t="shared" si="289"/>
        <v>0.80057459207748038</v>
      </c>
      <c r="Z806">
        <f t="shared" si="290"/>
        <v>1766.5131673578619</v>
      </c>
      <c r="AA806">
        <f t="shared" si="291"/>
        <v>16.055023751334581</v>
      </c>
      <c r="AB806">
        <f t="shared" si="292"/>
        <v>0.64744593599894218</v>
      </c>
      <c r="AC806">
        <f t="shared" si="293"/>
        <v>6000</v>
      </c>
      <c r="AD806">
        <f t="shared" si="294"/>
        <v>4.7269018098292914</v>
      </c>
      <c r="AE806">
        <f t="shared" si="295"/>
        <v>6.7320507425870133</v>
      </c>
      <c r="AF806">
        <f t="shared" si="296"/>
        <v>6000</v>
      </c>
      <c r="AG806">
        <f t="shared" si="297"/>
        <v>4.7269018098292914</v>
      </c>
      <c r="AH806">
        <f t="shared" si="298"/>
        <v>6.7320507425870133</v>
      </c>
      <c r="AI806" cm="1">
        <f t="array" ref="AI806">_xlfn.LET(
    _xlpm.vals,   _xlfn.HSTACK(S806,V806,Y806,AB806,AE806,AH806),
    _xlpm.ints,   _xlfn.HSTACK(R806,U806,X806,AA806,AD806,AG806),
    _xlpm.slopes, _xlfn.HSTACK(Q806,T806,W806,Z806,AC806,AF806),
    _xlpm.limit,  -0.00001*_xlpm.slopes + 0.1086*_xlpm.slopes + 63.253,
    _xlpm.mask,   (_xlpm.vals&gt;=0) * (_xlpm.ints&lt;=_xlpm.limit),
    _xlpm.validVals, _xlfn._xlws.FILTER(_xlpm.vals, _xlpm.mask),
    _xlpm.minVal, MIN(_xlpm.validVals),
    IFERROR( _xlfn.XMATCH(_xlpm.minVal, _xlpm.vals), "" )
)</f>
        <v>4</v>
      </c>
      <c r="AJ806" cm="1">
        <f t="array" ref="AJ806">_xlfn.LET(
    _xlpm.vals, CHOOSE({1,2,3,4,5,6}, S806, V806, Y806, AB806, AE806, AH806),
    _xlpm.slopes, CHOOSE({1,2,3,4,5,6}, Q806, T806, W806, Z806, AC806, AF806),
    _xlpm.ints, CHOOSE({1,2,3,4,5,6}, R806, U806, X806, AA806, AD806, AG806),
    _xlpm.limit, -0.00001*_xlpm.slopes + 0.1086*_xlpm.slopes + 63.253,
    _xlpm.valid, (_xlpm.vals &gt;= 0) * (_xlpm.ints &lt;= _xlpm.limit),
    _xlpm.target, MIN(_xlfn._xlws.FILTER(_xlpm.vals, _xlpm.valid)),
    IFERROR(
        _xlfn.XLOOKUP(_xlpm.target, _xlpm.vals, _xlpm.vals),
        CHOOSE({1,2,3,4,5,6}, S$1, V$1, Y$1, AB$1, AE$1, AH$1)
    )
)</f>
        <v>0.64744593599894218</v>
      </c>
    </row>
    <row r="807" spans="9:36" x14ac:dyDescent="0.45">
      <c r="I807">
        <v>805</v>
      </c>
      <c r="J807">
        <v>29.4</v>
      </c>
      <c r="K807">
        <f t="shared" si="277"/>
        <v>29.4</v>
      </c>
      <c r="L807">
        <f t="shared" si="276"/>
        <v>8.1666666666666658E-3</v>
      </c>
      <c r="M807">
        <v>2.92</v>
      </c>
      <c r="N807">
        <f t="shared" si="278"/>
        <v>2.92</v>
      </c>
      <c r="O807">
        <f t="shared" si="279"/>
        <v>382.05837394304041</v>
      </c>
      <c r="P807">
        <f t="shared" si="280"/>
        <v>1222.5867966177293</v>
      </c>
      <c r="Q807">
        <f t="shared" si="281"/>
        <v>5599.4475285092003</v>
      </c>
      <c r="R807">
        <f t="shared" si="282"/>
        <v>4.979767358785109</v>
      </c>
      <c r="S807">
        <f t="shared" si="283"/>
        <v>5.4224339337865963</v>
      </c>
      <c r="T807">
        <f t="shared" si="284"/>
        <v>3618.8569179884789</v>
      </c>
      <c r="U807">
        <f t="shared" si="285"/>
        <v>7.7051805754174989</v>
      </c>
      <c r="V807">
        <f t="shared" si="286"/>
        <v>1.6228274681470443</v>
      </c>
      <c r="W807">
        <f t="shared" si="287"/>
        <v>2335.1407815398629</v>
      </c>
      <c r="X807">
        <f t="shared" si="288"/>
        <v>11.941012828919266</v>
      </c>
      <c r="Y807">
        <f t="shared" si="289"/>
        <v>0.79486091401535897</v>
      </c>
      <c r="Z807">
        <f t="shared" si="290"/>
        <v>1760.5249871295302</v>
      </c>
      <c r="AA807">
        <f t="shared" si="291"/>
        <v>15.838426738358191</v>
      </c>
      <c r="AB807">
        <f t="shared" si="292"/>
        <v>0.64289335767665812</v>
      </c>
      <c r="AC807">
        <f t="shared" si="293"/>
        <v>6000</v>
      </c>
      <c r="AD807">
        <f t="shared" si="294"/>
        <v>4.6473243382833438</v>
      </c>
      <c r="AE807">
        <f t="shared" si="295"/>
        <v>6.731451180049854</v>
      </c>
      <c r="AF807">
        <f t="shared" si="296"/>
        <v>6000</v>
      </c>
      <c r="AG807">
        <f t="shared" si="297"/>
        <v>4.6473243382833438</v>
      </c>
      <c r="AH807">
        <f t="shared" si="298"/>
        <v>6.731451180049854</v>
      </c>
      <c r="AI807" cm="1">
        <f t="array" ref="AI807">_xlfn.LET(
    _xlpm.vals,   _xlfn.HSTACK(S807,V807,Y807,AB807,AE807,AH807),
    _xlpm.ints,   _xlfn.HSTACK(R807,U807,X807,AA807,AD807,AG807),
    _xlpm.slopes, _xlfn.HSTACK(Q807,T807,W807,Z807,AC807,AF807),
    _xlpm.limit,  -0.00001*_xlpm.slopes + 0.1086*_xlpm.slopes + 63.253,
    _xlpm.mask,   (_xlpm.vals&gt;=0) * (_xlpm.ints&lt;=_xlpm.limit),
    _xlpm.validVals, _xlfn._xlws.FILTER(_xlpm.vals, _xlpm.mask),
    _xlpm.minVal, MIN(_xlpm.validVals),
    IFERROR( _xlfn.XMATCH(_xlpm.minVal, _xlpm.vals), "" )
)</f>
        <v>4</v>
      </c>
      <c r="AJ807" cm="1">
        <f t="array" ref="AJ807">_xlfn.LET(
    _xlpm.vals, CHOOSE({1,2,3,4,5,6}, S807, V807, Y807, AB807, AE807, AH807),
    _xlpm.slopes, CHOOSE({1,2,3,4,5,6}, Q807, T807, W807, Z807, AC807, AF807),
    _xlpm.ints, CHOOSE({1,2,3,4,5,6}, R807, U807, X807, AA807, AD807, AG807),
    _xlpm.limit, -0.00001*_xlpm.slopes + 0.1086*_xlpm.slopes + 63.253,
    _xlpm.valid, (_xlpm.vals &gt;= 0) * (_xlpm.ints &lt;= _xlpm.limit),
    _xlpm.target, MIN(_xlfn._xlws.FILTER(_xlpm.vals, _xlpm.valid)),
    IFERROR(
        _xlfn.XLOOKUP(_xlpm.target, _xlpm.vals, _xlpm.vals),
        CHOOSE({1,2,3,4,5,6}, S$1, V$1, Y$1, AB$1, AE$1, AH$1)
    )
)</f>
        <v>0.64289335767665812</v>
      </c>
    </row>
    <row r="808" spans="9:36" x14ac:dyDescent="0.45">
      <c r="I808">
        <v>806</v>
      </c>
      <c r="J808">
        <v>29.2</v>
      </c>
      <c r="K808">
        <f t="shared" si="277"/>
        <v>29.2</v>
      </c>
      <c r="L808">
        <f t="shared" si="276"/>
        <v>8.1111111111111106E-3</v>
      </c>
      <c r="M808">
        <v>2.96</v>
      </c>
      <c r="N808">
        <f t="shared" si="278"/>
        <v>2.96</v>
      </c>
      <c r="O808">
        <f t="shared" si="279"/>
        <v>379.45933738560478</v>
      </c>
      <c r="P808">
        <f t="shared" si="280"/>
        <v>1214.2698796339353</v>
      </c>
      <c r="Q808">
        <f t="shared" si="281"/>
        <v>5561.3560487234236</v>
      </c>
      <c r="R808">
        <f t="shared" si="282"/>
        <v>5.082558578426009</v>
      </c>
      <c r="S808">
        <f t="shared" si="283"/>
        <v>5.3096868309683325</v>
      </c>
      <c r="T808">
        <f t="shared" si="284"/>
        <v>3594.2388437164482</v>
      </c>
      <c r="U808">
        <f t="shared" si="285"/>
        <v>7.8642291517537588</v>
      </c>
      <c r="V808">
        <f t="shared" si="286"/>
        <v>1.5995625004775955</v>
      </c>
      <c r="W808">
        <f t="shared" si="287"/>
        <v>2319.2554701008162</v>
      </c>
      <c r="X808">
        <f t="shared" si="288"/>
        <v>12.1874964864875</v>
      </c>
      <c r="Y808">
        <f t="shared" si="289"/>
        <v>0.79177325532291865</v>
      </c>
      <c r="Z808">
        <f t="shared" si="290"/>
        <v>1748.5486266728667</v>
      </c>
      <c r="AA808">
        <f t="shared" si="291"/>
        <v>16.165359923049394</v>
      </c>
      <c r="AB808">
        <f t="shared" si="292"/>
        <v>0.64322897105399623</v>
      </c>
      <c r="AC808">
        <f t="shared" si="293"/>
        <v>6000</v>
      </c>
      <c r="AD808">
        <f t="shared" si="294"/>
        <v>4.7109863155201026</v>
      </c>
      <c r="AE808">
        <f t="shared" si="295"/>
        <v>6.7319306655077922</v>
      </c>
      <c r="AF808">
        <f t="shared" si="296"/>
        <v>6000</v>
      </c>
      <c r="AG808">
        <f t="shared" si="297"/>
        <v>4.7109863155201026</v>
      </c>
      <c r="AH808">
        <f t="shared" si="298"/>
        <v>6.7319306655077922</v>
      </c>
      <c r="AI808" cm="1">
        <f t="array" ref="AI808">_xlfn.LET(
    _xlpm.vals,   _xlfn.HSTACK(S808,V808,Y808,AB808,AE808,AH808),
    _xlpm.ints,   _xlfn.HSTACK(R808,U808,X808,AA808,AD808,AG808),
    _xlpm.slopes, _xlfn.HSTACK(Q808,T808,W808,Z808,AC808,AF808),
    _xlpm.limit,  -0.00001*_xlpm.slopes + 0.1086*_xlpm.slopes + 63.253,
    _xlpm.mask,   (_xlpm.vals&gt;=0) * (_xlpm.ints&lt;=_xlpm.limit),
    _xlpm.validVals, _xlfn._xlws.FILTER(_xlpm.vals, _xlpm.mask),
    _xlpm.minVal, MIN(_xlpm.validVals),
    IFERROR( _xlfn.XMATCH(_xlpm.minVal, _xlpm.vals), "" )
)</f>
        <v>4</v>
      </c>
      <c r="AJ808" cm="1">
        <f t="array" ref="AJ808">_xlfn.LET(
    _xlpm.vals, CHOOSE({1,2,3,4,5,6}, S808, V808, Y808, AB808, AE808, AH808),
    _xlpm.slopes, CHOOSE({1,2,3,4,5,6}, Q808, T808, W808, Z808, AC808, AF808),
    _xlpm.ints, CHOOSE({1,2,3,4,5,6}, R808, U808, X808, AA808, AD808, AG808),
    _xlpm.limit, -0.00001*_xlpm.slopes + 0.1086*_xlpm.slopes + 63.253,
    _xlpm.valid, (_xlpm.vals &gt;= 0) * (_xlpm.ints &lt;= _xlpm.limit),
    _xlpm.target, MIN(_xlfn._xlws.FILTER(_xlpm.vals, _xlpm.valid)),
    IFERROR(
        _xlfn.XLOOKUP(_xlpm.target, _xlpm.vals, _xlpm.vals),
        CHOOSE({1,2,3,4,5,6}, S$1, V$1, Y$1, AB$1, AE$1, AH$1)
    )
)</f>
        <v>0.64322897105399623</v>
      </c>
    </row>
    <row r="809" spans="9:36" x14ac:dyDescent="0.45">
      <c r="I809">
        <v>807</v>
      </c>
      <c r="J809">
        <v>28.9</v>
      </c>
      <c r="K809">
        <f t="shared" si="277"/>
        <v>28.9</v>
      </c>
      <c r="L809">
        <f t="shared" si="276"/>
        <v>8.0277777777777778E-3</v>
      </c>
      <c r="M809">
        <v>-0.18</v>
      </c>
      <c r="N809">
        <f t="shared" si="278"/>
        <v>0</v>
      </c>
      <c r="O809">
        <f t="shared" si="279"/>
        <v>375.56078254945123</v>
      </c>
      <c r="P809">
        <f t="shared" si="280"/>
        <v>1201.7945041582441</v>
      </c>
      <c r="Q809">
        <f t="shared" si="281"/>
        <v>5504.2188290447584</v>
      </c>
      <c r="R809">
        <f t="shared" si="282"/>
        <v>0</v>
      </c>
      <c r="S809">
        <f t="shared" si="283"/>
        <v>5.092813357585686</v>
      </c>
      <c r="T809">
        <f t="shared" si="284"/>
        <v>3557.3117323084025</v>
      </c>
      <c r="U809">
        <f t="shared" si="285"/>
        <v>0</v>
      </c>
      <c r="V809">
        <f t="shared" si="286"/>
        <v>1.4422188588512872</v>
      </c>
      <c r="W809">
        <f t="shared" si="287"/>
        <v>2295.4275029422461</v>
      </c>
      <c r="X809">
        <f t="shared" si="288"/>
        <v>0</v>
      </c>
      <c r="Y809">
        <f t="shared" si="289"/>
        <v>0.61967051425079844</v>
      </c>
      <c r="Z809">
        <f t="shared" si="290"/>
        <v>1730.5840859878715</v>
      </c>
      <c r="AA809">
        <f t="shared" si="291"/>
        <v>0</v>
      </c>
      <c r="AB809">
        <f t="shared" si="292"/>
        <v>0.45741289569656746</v>
      </c>
      <c r="AC809">
        <f t="shared" si="293"/>
        <v>6000</v>
      </c>
      <c r="AD809">
        <f t="shared" si="294"/>
        <v>0</v>
      </c>
      <c r="AE809">
        <f t="shared" si="295"/>
        <v>6.7000407999999982</v>
      </c>
      <c r="AF809">
        <f t="shared" si="296"/>
        <v>6000</v>
      </c>
      <c r="AG809">
        <f t="shared" si="297"/>
        <v>0</v>
      </c>
      <c r="AH809">
        <f t="shared" si="298"/>
        <v>6.7000407999999982</v>
      </c>
      <c r="AI809" cm="1">
        <f t="array" ref="AI809">_xlfn.LET(
    _xlpm.vals,   _xlfn.HSTACK(S809,V809,Y809,AB809,AE809,AH809),
    _xlpm.ints,   _xlfn.HSTACK(R809,U809,X809,AA809,AD809,AG809),
    _xlpm.slopes, _xlfn.HSTACK(Q809,T809,W809,Z809,AC809,AF809),
    _xlpm.limit,  -0.00001*_xlpm.slopes + 0.1086*_xlpm.slopes + 63.253,
    _xlpm.mask,   (_xlpm.vals&gt;=0) * (_xlpm.ints&lt;=_xlpm.limit),
    _xlpm.validVals, _xlfn._xlws.FILTER(_xlpm.vals, _xlpm.mask),
    _xlpm.minVal, MIN(_xlpm.validVals),
    IFERROR( _xlfn.XMATCH(_xlpm.minVal, _xlpm.vals), "" )
)</f>
        <v>4</v>
      </c>
      <c r="AJ809" cm="1">
        <f t="array" ref="AJ809">_xlfn.LET(
    _xlpm.vals, CHOOSE({1,2,3,4,5,6}, S809, V809, Y809, AB809, AE809, AH809),
    _xlpm.slopes, CHOOSE({1,2,3,4,5,6}, Q809, T809, W809, Z809, AC809, AF809),
    _xlpm.ints, CHOOSE({1,2,3,4,5,6}, R809, U809, X809, AA809, AD809, AG809),
    _xlpm.limit, -0.00001*_xlpm.slopes + 0.1086*_xlpm.slopes + 63.253,
    _xlpm.valid, (_xlpm.vals &gt;= 0) * (_xlpm.ints &lt;= _xlpm.limit),
    _xlpm.target, MIN(_xlfn._xlws.FILTER(_xlpm.vals, _xlpm.valid)),
    IFERROR(
        _xlfn.XLOOKUP(_xlpm.target, _xlpm.vals, _xlpm.vals),
        CHOOSE({1,2,3,4,5,6}, S$1, V$1, Y$1, AB$1, AE$1, AH$1)
    )
)</f>
        <v>0.45741289569656746</v>
      </c>
    </row>
    <row r="810" spans="9:36" x14ac:dyDescent="0.45">
      <c r="I810">
        <v>808</v>
      </c>
      <c r="J810">
        <v>28.5</v>
      </c>
      <c r="K810">
        <f t="shared" si="277"/>
        <v>28.5</v>
      </c>
      <c r="L810">
        <f t="shared" si="276"/>
        <v>7.9166666666666673E-3</v>
      </c>
      <c r="M810">
        <v>-0.69</v>
      </c>
      <c r="N810">
        <f t="shared" si="278"/>
        <v>0</v>
      </c>
      <c r="O810">
        <f t="shared" si="279"/>
        <v>370.36270943457998</v>
      </c>
      <c r="P810">
        <f t="shared" si="280"/>
        <v>1185.160670190656</v>
      </c>
      <c r="Q810">
        <f t="shared" si="281"/>
        <v>5428.0358694732049</v>
      </c>
      <c r="R810">
        <f t="shared" si="282"/>
        <v>0</v>
      </c>
      <c r="S810">
        <f t="shared" si="283"/>
        <v>4.874146776352335</v>
      </c>
      <c r="T810">
        <f t="shared" si="284"/>
        <v>3508.0755837643419</v>
      </c>
      <c r="U810">
        <f t="shared" si="285"/>
        <v>0</v>
      </c>
      <c r="V810">
        <f t="shared" si="286"/>
        <v>1.3931004034766072</v>
      </c>
      <c r="W810">
        <f t="shared" si="287"/>
        <v>2263.656880064153</v>
      </c>
      <c r="X810">
        <f t="shared" si="288"/>
        <v>0</v>
      </c>
      <c r="Y810">
        <f t="shared" si="289"/>
        <v>0.60821847037900101</v>
      </c>
      <c r="Z810">
        <f t="shared" si="290"/>
        <v>1706.6313650745446</v>
      </c>
      <c r="AA810">
        <f t="shared" si="291"/>
        <v>0</v>
      </c>
      <c r="AB810">
        <f t="shared" si="292"/>
        <v>0.45209068114391471</v>
      </c>
      <c r="AC810">
        <f t="shared" si="293"/>
        <v>6000</v>
      </c>
      <c r="AD810">
        <f t="shared" si="294"/>
        <v>0</v>
      </c>
      <c r="AE810">
        <f t="shared" si="295"/>
        <v>6.7000407999999982</v>
      </c>
      <c r="AF810">
        <f t="shared" si="296"/>
        <v>6000</v>
      </c>
      <c r="AG810">
        <f t="shared" si="297"/>
        <v>0</v>
      </c>
      <c r="AH810">
        <f t="shared" si="298"/>
        <v>6.7000407999999982</v>
      </c>
      <c r="AI810" cm="1">
        <f t="array" ref="AI810">_xlfn.LET(
    _xlpm.vals,   _xlfn.HSTACK(S810,V810,Y810,AB810,AE810,AH810),
    _xlpm.ints,   _xlfn.HSTACK(R810,U810,X810,AA810,AD810,AG810),
    _xlpm.slopes, _xlfn.HSTACK(Q810,T810,W810,Z810,AC810,AF810),
    _xlpm.limit,  -0.00001*_xlpm.slopes + 0.1086*_xlpm.slopes + 63.253,
    _xlpm.mask,   (_xlpm.vals&gt;=0) * (_xlpm.ints&lt;=_xlpm.limit),
    _xlpm.validVals, _xlfn._xlws.FILTER(_xlpm.vals, _xlpm.mask),
    _xlpm.minVal, MIN(_xlpm.validVals),
    IFERROR( _xlfn.XMATCH(_xlpm.minVal, _xlpm.vals), "" )
)</f>
        <v>4</v>
      </c>
      <c r="AJ810" cm="1">
        <f t="array" ref="AJ810">_xlfn.LET(
    _xlpm.vals, CHOOSE({1,2,3,4,5,6}, S810, V810, Y810, AB810, AE810, AH810),
    _xlpm.slopes, CHOOSE({1,2,3,4,5,6}, Q810, T810, W810, Z810, AC810, AF810),
    _xlpm.ints, CHOOSE({1,2,3,4,5,6}, R810, U810, X810, AA810, AD810, AG810),
    _xlpm.limit, -0.00001*_xlpm.slopes + 0.1086*_xlpm.slopes + 63.253,
    _xlpm.valid, (_xlpm.vals &gt;= 0) * (_xlpm.ints &lt;= _xlpm.limit),
    _xlpm.target, MIN(_xlfn._xlws.FILTER(_xlpm.vals, _xlpm.valid)),
    IFERROR(
        _xlfn.XLOOKUP(_xlpm.target, _xlpm.vals, _xlpm.vals),
        CHOOSE({1,2,3,4,5,6}, S$1, V$1, Y$1, AB$1, AE$1, AH$1)
    )
)</f>
        <v>0.45209068114391471</v>
      </c>
    </row>
    <row r="811" spans="9:36" x14ac:dyDescent="0.45">
      <c r="I811">
        <v>809</v>
      </c>
      <c r="J811">
        <v>27.9</v>
      </c>
      <c r="K811">
        <f t="shared" si="277"/>
        <v>27.9</v>
      </c>
      <c r="L811">
        <f t="shared" si="276"/>
        <v>7.7499999999999999E-3</v>
      </c>
      <c r="M811">
        <v>-0.38</v>
      </c>
      <c r="N811">
        <f t="shared" si="278"/>
        <v>0</v>
      </c>
      <c r="O811">
        <f t="shared" si="279"/>
        <v>362.565599762273</v>
      </c>
      <c r="P811">
        <f t="shared" si="280"/>
        <v>1160.2099192392736</v>
      </c>
      <c r="Q811">
        <f t="shared" si="281"/>
        <v>5313.7614301158737</v>
      </c>
      <c r="R811">
        <f t="shared" si="282"/>
        <v>0</v>
      </c>
      <c r="S811">
        <f t="shared" si="283"/>
        <v>4.55956536124034</v>
      </c>
      <c r="T811">
        <f t="shared" si="284"/>
        <v>3434.2213609482501</v>
      </c>
      <c r="U811">
        <f t="shared" si="285"/>
        <v>0</v>
      </c>
      <c r="V811">
        <f t="shared" si="286"/>
        <v>1.322513092057749</v>
      </c>
      <c r="W811">
        <f t="shared" si="287"/>
        <v>2216.0009457470123</v>
      </c>
      <c r="X811">
        <f t="shared" si="288"/>
        <v>0</v>
      </c>
      <c r="Y811">
        <f t="shared" si="289"/>
        <v>0.59164859836974193</v>
      </c>
      <c r="Z811">
        <f t="shared" si="290"/>
        <v>1670.702283704554</v>
      </c>
      <c r="AA811">
        <f t="shared" si="291"/>
        <v>0</v>
      </c>
      <c r="AB811">
        <f t="shared" si="292"/>
        <v>0.44428041565966303</v>
      </c>
      <c r="AC811">
        <f t="shared" si="293"/>
        <v>6000</v>
      </c>
      <c r="AD811">
        <f t="shared" si="294"/>
        <v>0</v>
      </c>
      <c r="AE811">
        <f t="shared" si="295"/>
        <v>6.7000407999999982</v>
      </c>
      <c r="AF811">
        <f t="shared" si="296"/>
        <v>6000</v>
      </c>
      <c r="AG811">
        <f t="shared" si="297"/>
        <v>0</v>
      </c>
      <c r="AH811">
        <f t="shared" si="298"/>
        <v>6.7000407999999982</v>
      </c>
      <c r="AI811" cm="1">
        <f t="array" ref="AI811">_xlfn.LET(
    _xlpm.vals,   _xlfn.HSTACK(S811,V811,Y811,AB811,AE811,AH811),
    _xlpm.ints,   _xlfn.HSTACK(R811,U811,X811,AA811,AD811,AG811),
    _xlpm.slopes, _xlfn.HSTACK(Q811,T811,W811,Z811,AC811,AF811),
    _xlpm.limit,  -0.00001*_xlpm.slopes + 0.1086*_xlpm.slopes + 63.253,
    _xlpm.mask,   (_xlpm.vals&gt;=0) * (_xlpm.ints&lt;=_xlpm.limit),
    _xlpm.validVals, _xlfn._xlws.FILTER(_xlpm.vals, _xlpm.mask),
    _xlpm.minVal, MIN(_xlpm.validVals),
    IFERROR( _xlfn.XMATCH(_xlpm.minVal, _xlpm.vals), "" )
)</f>
        <v>4</v>
      </c>
      <c r="AJ811" cm="1">
        <f t="array" ref="AJ811">_xlfn.LET(
    _xlpm.vals, CHOOSE({1,2,3,4,5,6}, S811, V811, Y811, AB811, AE811, AH811),
    _xlpm.slopes, CHOOSE({1,2,3,4,5,6}, Q811, T811, W811, Z811, AC811, AF811),
    _xlpm.ints, CHOOSE({1,2,3,4,5,6}, R811, U811, X811, AA811, AD811, AG811),
    _xlpm.limit, -0.00001*_xlpm.slopes + 0.1086*_xlpm.slopes + 63.253,
    _xlpm.valid, (_xlpm.vals &gt;= 0) * (_xlpm.ints &lt;= _xlpm.limit),
    _xlpm.target, MIN(_xlfn._xlws.FILTER(_xlpm.vals, _xlpm.valid)),
    IFERROR(
        _xlfn.XLOOKUP(_xlpm.target, _xlpm.vals, _xlpm.vals),
        CHOOSE({1,2,3,4,5,6}, S$1, V$1, Y$1, AB$1, AE$1, AH$1)
    )
)</f>
        <v>0.44428041565966303</v>
      </c>
    </row>
    <row r="812" spans="9:36" x14ac:dyDescent="0.45">
      <c r="I812">
        <v>810</v>
      </c>
      <c r="J812">
        <v>27.1</v>
      </c>
      <c r="K812">
        <f t="shared" si="277"/>
        <v>27.1</v>
      </c>
      <c r="L812">
        <f t="shared" si="276"/>
        <v>7.5277777777777782E-3</v>
      </c>
      <c r="M812">
        <v>-0.52</v>
      </c>
      <c r="N812">
        <f t="shared" si="278"/>
        <v>0</v>
      </c>
      <c r="O812">
        <f t="shared" si="279"/>
        <v>352.1694535325305</v>
      </c>
      <c r="P812">
        <f t="shared" si="280"/>
        <v>1126.9422513040977</v>
      </c>
      <c r="Q812">
        <f t="shared" si="281"/>
        <v>5161.3955109727676</v>
      </c>
      <c r="R812">
        <f t="shared" si="282"/>
        <v>0</v>
      </c>
      <c r="S812">
        <f t="shared" si="283"/>
        <v>4.1645008878546612</v>
      </c>
      <c r="T812">
        <f t="shared" si="284"/>
        <v>3335.7490638601289</v>
      </c>
      <c r="U812">
        <f t="shared" si="285"/>
        <v>0</v>
      </c>
      <c r="V812">
        <f t="shared" si="286"/>
        <v>1.2339844054457212</v>
      </c>
      <c r="W812">
        <f t="shared" si="287"/>
        <v>2152.4596999908263</v>
      </c>
      <c r="X812">
        <f t="shared" si="288"/>
        <v>0</v>
      </c>
      <c r="Y812">
        <f t="shared" si="289"/>
        <v>0.57064211023357814</v>
      </c>
      <c r="Z812">
        <f t="shared" si="290"/>
        <v>1622.7968418779005</v>
      </c>
      <c r="AA812">
        <f t="shared" si="291"/>
        <v>0</v>
      </c>
      <c r="AB812">
        <f t="shared" si="292"/>
        <v>0.43416893119949046</v>
      </c>
      <c r="AC812">
        <f t="shared" si="293"/>
        <v>6000</v>
      </c>
      <c r="AD812">
        <f t="shared" si="294"/>
        <v>0</v>
      </c>
      <c r="AE812">
        <f t="shared" si="295"/>
        <v>6.7000407999999982</v>
      </c>
      <c r="AF812">
        <f t="shared" si="296"/>
        <v>6000</v>
      </c>
      <c r="AG812">
        <f t="shared" si="297"/>
        <v>0</v>
      </c>
      <c r="AH812">
        <f t="shared" si="298"/>
        <v>6.7000407999999982</v>
      </c>
      <c r="AI812" cm="1">
        <f t="array" ref="AI812">_xlfn.LET(
    _xlpm.vals,   _xlfn.HSTACK(S812,V812,Y812,AB812,AE812,AH812),
    _xlpm.ints,   _xlfn.HSTACK(R812,U812,X812,AA812,AD812,AG812),
    _xlpm.slopes, _xlfn.HSTACK(Q812,T812,W812,Z812,AC812,AF812),
    _xlpm.limit,  -0.00001*_xlpm.slopes + 0.1086*_xlpm.slopes + 63.253,
    _xlpm.mask,   (_xlpm.vals&gt;=0) * (_xlpm.ints&lt;=_xlpm.limit),
    _xlpm.validVals, _xlfn._xlws.FILTER(_xlpm.vals, _xlpm.mask),
    _xlpm.minVal, MIN(_xlpm.validVals),
    IFERROR( _xlfn.XMATCH(_xlpm.minVal, _xlpm.vals), "" )
)</f>
        <v>4</v>
      </c>
      <c r="AJ812" cm="1">
        <f t="array" ref="AJ812">_xlfn.LET(
    _xlpm.vals, CHOOSE({1,2,3,4,5,6}, S812, V812, Y812, AB812, AE812, AH812),
    _xlpm.slopes, CHOOSE({1,2,3,4,5,6}, Q812, T812, W812, Z812, AC812, AF812),
    _xlpm.ints, CHOOSE({1,2,3,4,5,6}, R812, U812, X812, AA812, AD812, AG812),
    _xlpm.limit, -0.00001*_xlpm.slopes + 0.1086*_xlpm.slopes + 63.253,
    _xlpm.valid, (_xlpm.vals &gt;= 0) * (_xlpm.ints &lt;= _xlpm.limit),
    _xlpm.target, MIN(_xlfn._xlws.FILTER(_xlpm.vals, _xlpm.valid)),
    IFERROR(
        _xlfn.XLOOKUP(_xlpm.target, _xlpm.vals, _xlpm.vals),
        CHOOSE({1,2,3,4,5,6}, S$1, V$1, Y$1, AB$1, AE$1, AH$1)
    )
)</f>
        <v>0.43416893119949046</v>
      </c>
    </row>
    <row r="813" spans="9:36" x14ac:dyDescent="0.45">
      <c r="I813">
        <v>811</v>
      </c>
      <c r="J813">
        <v>25.2</v>
      </c>
      <c r="K813">
        <f t="shared" si="277"/>
        <v>25.2</v>
      </c>
      <c r="L813">
        <f t="shared" si="276"/>
        <v>7.0000000000000001E-3</v>
      </c>
      <c r="M813">
        <v>-0.19</v>
      </c>
      <c r="N813">
        <f t="shared" si="278"/>
        <v>0</v>
      </c>
      <c r="O813">
        <f t="shared" si="279"/>
        <v>327.47860623689172</v>
      </c>
      <c r="P813">
        <f t="shared" si="280"/>
        <v>1047.9315399580535</v>
      </c>
      <c r="Q813">
        <f t="shared" si="281"/>
        <v>4799.5264530078848</v>
      </c>
      <c r="R813">
        <f t="shared" si="282"/>
        <v>0</v>
      </c>
      <c r="S813">
        <f t="shared" si="283"/>
        <v>3.332250690096302</v>
      </c>
      <c r="T813">
        <f t="shared" si="284"/>
        <v>3101.8773582758381</v>
      </c>
      <c r="U813">
        <f t="shared" si="285"/>
        <v>0</v>
      </c>
      <c r="V813">
        <f t="shared" si="286"/>
        <v>1.0478029451209649</v>
      </c>
      <c r="W813">
        <f t="shared" si="287"/>
        <v>2001.549241319882</v>
      </c>
      <c r="X813">
        <f t="shared" si="288"/>
        <v>0</v>
      </c>
      <c r="Y813">
        <f t="shared" si="289"/>
        <v>0.52532077604851501</v>
      </c>
      <c r="Z813">
        <f t="shared" si="290"/>
        <v>1509.021417539597</v>
      </c>
      <c r="AA813">
        <f t="shared" si="291"/>
        <v>0</v>
      </c>
      <c r="AB813">
        <f t="shared" si="292"/>
        <v>0.41136338888171387</v>
      </c>
      <c r="AC813">
        <f t="shared" si="293"/>
        <v>6000</v>
      </c>
      <c r="AD813">
        <f t="shared" si="294"/>
        <v>0</v>
      </c>
      <c r="AE813">
        <f t="shared" si="295"/>
        <v>6.7000407999999982</v>
      </c>
      <c r="AF813">
        <f t="shared" si="296"/>
        <v>6000</v>
      </c>
      <c r="AG813">
        <f t="shared" si="297"/>
        <v>0</v>
      </c>
      <c r="AH813">
        <f t="shared" si="298"/>
        <v>6.7000407999999982</v>
      </c>
      <c r="AI813" cm="1">
        <f t="array" ref="AI813">_xlfn.LET(
    _xlpm.vals,   _xlfn.HSTACK(S813,V813,Y813,AB813,AE813,AH813),
    _xlpm.ints,   _xlfn.HSTACK(R813,U813,X813,AA813,AD813,AG813),
    _xlpm.slopes, _xlfn.HSTACK(Q813,T813,W813,Z813,AC813,AF813),
    _xlpm.limit,  -0.00001*_xlpm.slopes + 0.1086*_xlpm.slopes + 63.253,
    _xlpm.mask,   (_xlpm.vals&gt;=0) * (_xlpm.ints&lt;=_xlpm.limit),
    _xlpm.validVals, _xlfn._xlws.FILTER(_xlpm.vals, _xlpm.mask),
    _xlpm.minVal, MIN(_xlpm.validVals),
    IFERROR( _xlfn.XMATCH(_xlpm.minVal, _xlpm.vals), "" )
)</f>
        <v>4</v>
      </c>
      <c r="AJ813" cm="1">
        <f t="array" ref="AJ813">_xlfn.LET(
    _xlpm.vals, CHOOSE({1,2,3,4,5,6}, S813, V813, Y813, AB813, AE813, AH813),
    _xlpm.slopes, CHOOSE({1,2,3,4,5,6}, Q813, T813, W813, Z813, AC813, AF813),
    _xlpm.ints, CHOOSE({1,2,3,4,5,6}, R813, U813, X813, AA813, AD813, AG813),
    _xlpm.limit, -0.00001*_xlpm.slopes + 0.1086*_xlpm.slopes + 63.253,
    _xlpm.valid, (_xlpm.vals &gt;= 0) * (_xlpm.ints &lt;= _xlpm.limit),
    _xlpm.target, MIN(_xlfn._xlws.FILTER(_xlpm.vals, _xlpm.valid)),
    IFERROR(
        _xlfn.XLOOKUP(_xlpm.target, _xlpm.vals, _xlpm.vals),
        CHOOSE({1,2,3,4,5,6}, S$1, V$1, Y$1, AB$1, AE$1, AH$1)
    )
)</f>
        <v>0.41136338888171387</v>
      </c>
    </row>
    <row r="814" spans="9:36" x14ac:dyDescent="0.45">
      <c r="I814">
        <v>812</v>
      </c>
      <c r="J814">
        <v>23.2</v>
      </c>
      <c r="K814">
        <f t="shared" si="277"/>
        <v>23.2</v>
      </c>
      <c r="L814">
        <f t="shared" si="276"/>
        <v>6.4444444444444445E-3</v>
      </c>
      <c r="M814">
        <v>-0.5</v>
      </c>
      <c r="N814">
        <f t="shared" si="278"/>
        <v>0</v>
      </c>
      <c r="O814">
        <f t="shared" si="279"/>
        <v>301.4882406625353</v>
      </c>
      <c r="P814">
        <f t="shared" si="280"/>
        <v>964.76237012011302</v>
      </c>
      <c r="Q814">
        <f t="shared" si="281"/>
        <v>4418.6116551501173</v>
      </c>
      <c r="R814">
        <f t="shared" si="282"/>
        <v>0</v>
      </c>
      <c r="S814">
        <f t="shared" si="283"/>
        <v>2.6052194980522261</v>
      </c>
      <c r="T814">
        <f t="shared" si="284"/>
        <v>2855.6966155555347</v>
      </c>
      <c r="U814">
        <f t="shared" si="285"/>
        <v>0</v>
      </c>
      <c r="V814">
        <f t="shared" si="286"/>
        <v>0.8851356977664937</v>
      </c>
      <c r="W814">
        <f t="shared" si="287"/>
        <v>1842.6961269294159</v>
      </c>
      <c r="X814">
        <f t="shared" si="288"/>
        <v>0</v>
      </c>
      <c r="Y814">
        <f t="shared" si="289"/>
        <v>0.48367709876966503</v>
      </c>
      <c r="Z814">
        <f t="shared" si="290"/>
        <v>1389.2578129729627</v>
      </c>
      <c r="AA814">
        <f t="shared" si="291"/>
        <v>0</v>
      </c>
      <c r="AB814">
        <f t="shared" si="292"/>
        <v>0.388817268645472</v>
      </c>
      <c r="AC814">
        <f t="shared" si="293"/>
        <v>6000</v>
      </c>
      <c r="AD814">
        <f t="shared" si="294"/>
        <v>0</v>
      </c>
      <c r="AE814">
        <f t="shared" si="295"/>
        <v>6.7000407999999982</v>
      </c>
      <c r="AF814">
        <f t="shared" si="296"/>
        <v>6000</v>
      </c>
      <c r="AG814">
        <f t="shared" si="297"/>
        <v>0</v>
      </c>
      <c r="AH814">
        <f t="shared" si="298"/>
        <v>6.7000407999999982</v>
      </c>
      <c r="AI814" cm="1">
        <f t="array" ref="AI814">_xlfn.LET(
    _xlpm.vals,   _xlfn.HSTACK(S814,V814,Y814,AB814,AE814,AH814),
    _xlpm.ints,   _xlfn.HSTACK(R814,U814,X814,AA814,AD814,AG814),
    _xlpm.slopes, _xlfn.HSTACK(Q814,T814,W814,Z814,AC814,AF814),
    _xlpm.limit,  -0.00001*_xlpm.slopes + 0.1086*_xlpm.slopes + 63.253,
    _xlpm.mask,   (_xlpm.vals&gt;=0) * (_xlpm.ints&lt;=_xlpm.limit),
    _xlpm.validVals, _xlfn._xlws.FILTER(_xlpm.vals, _xlpm.mask),
    _xlpm.minVal, MIN(_xlpm.validVals),
    IFERROR( _xlfn.XMATCH(_xlpm.minVal, _xlpm.vals), "" )
)</f>
        <v>4</v>
      </c>
      <c r="AJ814" cm="1">
        <f t="array" ref="AJ814">_xlfn.LET(
    _xlpm.vals, CHOOSE({1,2,3,4,5,6}, S814, V814, Y814, AB814, AE814, AH814),
    _xlpm.slopes, CHOOSE({1,2,3,4,5,6}, Q814, T814, W814, Z814, AC814, AF814),
    _xlpm.ints, CHOOSE({1,2,3,4,5,6}, R814, U814, X814, AA814, AD814, AG814),
    _xlpm.limit, -0.00001*_xlpm.slopes + 0.1086*_xlpm.slopes + 63.253,
    _xlpm.valid, (_xlpm.vals &gt;= 0) * (_xlpm.ints &lt;= _xlpm.limit),
    _xlpm.target, MIN(_xlfn._xlws.FILTER(_xlpm.vals, _xlpm.valid)),
    IFERROR(
        _xlfn.XLOOKUP(_xlpm.target, _xlpm.vals, _xlpm.vals),
        CHOOSE({1,2,3,4,5,6}, S$1, V$1, Y$1, AB$1, AE$1, AH$1)
    )
)</f>
        <v>0.388817268645472</v>
      </c>
    </row>
    <row r="815" spans="9:36" x14ac:dyDescent="0.45">
      <c r="I815">
        <v>813</v>
      </c>
      <c r="J815">
        <v>21.6</v>
      </c>
      <c r="K815">
        <f t="shared" si="277"/>
        <v>21.6</v>
      </c>
      <c r="L815">
        <f t="shared" si="276"/>
        <v>6.0000000000000001E-3</v>
      </c>
      <c r="M815">
        <v>-1.17</v>
      </c>
      <c r="N815">
        <f t="shared" si="278"/>
        <v>0</v>
      </c>
      <c r="O815">
        <f t="shared" si="279"/>
        <v>280.69594820305008</v>
      </c>
      <c r="P815">
        <f t="shared" si="280"/>
        <v>898.22703424976032</v>
      </c>
      <c r="Q815">
        <f t="shared" si="281"/>
        <v>4113.8798168639023</v>
      </c>
      <c r="R815">
        <f t="shared" si="282"/>
        <v>0</v>
      </c>
      <c r="S815">
        <f t="shared" si="283"/>
        <v>2.1231068749461448</v>
      </c>
      <c r="T815">
        <f t="shared" si="284"/>
        <v>2658.7520213792905</v>
      </c>
      <c r="U815">
        <f t="shared" si="285"/>
        <v>0</v>
      </c>
      <c r="V815">
        <f t="shared" si="286"/>
        <v>0.77675870666282942</v>
      </c>
      <c r="W815">
        <f t="shared" si="287"/>
        <v>1715.6136354170421</v>
      </c>
      <c r="X815">
        <f t="shared" si="288"/>
        <v>0</v>
      </c>
      <c r="Y815">
        <f t="shared" si="289"/>
        <v>0.45407540490358178</v>
      </c>
      <c r="Z815">
        <f t="shared" si="290"/>
        <v>1293.4469293196548</v>
      </c>
      <c r="AA815">
        <f t="shared" si="291"/>
        <v>0</v>
      </c>
      <c r="AB815">
        <f t="shared" si="292"/>
        <v>0.37153089745921197</v>
      </c>
      <c r="AC815">
        <f t="shared" si="293"/>
        <v>6000</v>
      </c>
      <c r="AD815">
        <f t="shared" si="294"/>
        <v>0</v>
      </c>
      <c r="AE815">
        <f t="shared" si="295"/>
        <v>6.7000407999999982</v>
      </c>
      <c r="AF815">
        <f t="shared" si="296"/>
        <v>6000</v>
      </c>
      <c r="AG815">
        <f t="shared" si="297"/>
        <v>0</v>
      </c>
      <c r="AH815">
        <f t="shared" si="298"/>
        <v>6.7000407999999982</v>
      </c>
      <c r="AI815" cm="1">
        <f t="array" ref="AI815">_xlfn.LET(
    _xlpm.vals,   _xlfn.HSTACK(S815,V815,Y815,AB815,AE815,AH815),
    _xlpm.ints,   _xlfn.HSTACK(R815,U815,X815,AA815,AD815,AG815),
    _xlpm.slopes, _xlfn.HSTACK(Q815,T815,W815,Z815,AC815,AF815),
    _xlpm.limit,  -0.00001*_xlpm.slopes + 0.1086*_xlpm.slopes + 63.253,
    _xlpm.mask,   (_xlpm.vals&gt;=0) * (_xlpm.ints&lt;=_xlpm.limit),
    _xlpm.validVals, _xlfn._xlws.FILTER(_xlpm.vals, _xlpm.mask),
    _xlpm.minVal, MIN(_xlpm.validVals),
    IFERROR( _xlfn.XMATCH(_xlpm.minVal, _xlpm.vals), "" )
)</f>
        <v>4</v>
      </c>
      <c r="AJ815" cm="1">
        <f t="array" ref="AJ815">_xlfn.LET(
    _xlpm.vals, CHOOSE({1,2,3,4,5,6}, S815, V815, Y815, AB815, AE815, AH815),
    _xlpm.slopes, CHOOSE({1,2,3,4,5,6}, Q815, T815, W815, Z815, AC815, AF815),
    _xlpm.ints, CHOOSE({1,2,3,4,5,6}, R815, U815, X815, AA815, AD815, AG815),
    _xlpm.limit, -0.00001*_xlpm.slopes + 0.1086*_xlpm.slopes + 63.253,
    _xlpm.valid, (_xlpm.vals &gt;= 0) * (_xlpm.ints &lt;= _xlpm.limit),
    _xlpm.target, MIN(_xlfn._xlws.FILTER(_xlpm.vals, _xlpm.valid)),
    IFERROR(
        _xlfn.XLOOKUP(_xlpm.target, _xlpm.vals, _xlpm.vals),
        CHOOSE({1,2,3,4,5,6}, S$1, V$1, Y$1, AB$1, AE$1, AH$1)
    )
)</f>
        <v>0.37153089745921197</v>
      </c>
    </row>
    <row r="816" spans="9:36" x14ac:dyDescent="0.45">
      <c r="I816">
        <v>814</v>
      </c>
      <c r="J816">
        <v>20.3</v>
      </c>
      <c r="K816">
        <f t="shared" si="277"/>
        <v>20.3</v>
      </c>
      <c r="L816">
        <f t="shared" si="276"/>
        <v>5.6388888888888895E-3</v>
      </c>
      <c r="M816">
        <v>-0.72</v>
      </c>
      <c r="N816">
        <f t="shared" si="278"/>
        <v>0</v>
      </c>
      <c r="O816">
        <f t="shared" si="279"/>
        <v>263.80221057971835</v>
      </c>
      <c r="P816">
        <f t="shared" si="280"/>
        <v>844.16707385509881</v>
      </c>
      <c r="Q816">
        <f t="shared" si="281"/>
        <v>3866.2851982563525</v>
      </c>
      <c r="R816">
        <f t="shared" si="282"/>
        <v>0</v>
      </c>
      <c r="S816">
        <f t="shared" si="283"/>
        <v>1.7903798177287202</v>
      </c>
      <c r="T816">
        <f t="shared" si="284"/>
        <v>2498.7345386110924</v>
      </c>
      <c r="U816">
        <f t="shared" si="285"/>
        <v>0</v>
      </c>
      <c r="V816">
        <f t="shared" si="286"/>
        <v>0.70128431501698552</v>
      </c>
      <c r="W816">
        <f t="shared" si="287"/>
        <v>1612.3591110632387</v>
      </c>
      <c r="X816">
        <f t="shared" si="288"/>
        <v>0</v>
      </c>
      <c r="Y816">
        <f t="shared" si="289"/>
        <v>0.43200888146676464</v>
      </c>
      <c r="Z816">
        <f t="shared" si="290"/>
        <v>1215.6005863513421</v>
      </c>
      <c r="AA816">
        <f t="shared" si="291"/>
        <v>0</v>
      </c>
      <c r="AB816">
        <f t="shared" si="292"/>
        <v>0.35778602872303411</v>
      </c>
      <c r="AC816">
        <f t="shared" si="293"/>
        <v>6000</v>
      </c>
      <c r="AD816">
        <f t="shared" si="294"/>
        <v>0</v>
      </c>
      <c r="AE816">
        <f t="shared" si="295"/>
        <v>6.7000407999999982</v>
      </c>
      <c r="AF816">
        <f t="shared" si="296"/>
        <v>6000</v>
      </c>
      <c r="AG816">
        <f t="shared" si="297"/>
        <v>0</v>
      </c>
      <c r="AH816">
        <f t="shared" si="298"/>
        <v>6.7000407999999982</v>
      </c>
      <c r="AI816" cm="1">
        <f t="array" ref="AI816">_xlfn.LET(
    _xlpm.vals,   _xlfn.HSTACK(S816,V816,Y816,AB816,AE816,AH816),
    _xlpm.ints,   _xlfn.HSTACK(R816,U816,X816,AA816,AD816,AG816),
    _xlpm.slopes, _xlfn.HSTACK(Q816,T816,W816,Z816,AC816,AF816),
    _xlpm.limit,  -0.00001*_xlpm.slopes + 0.1086*_xlpm.slopes + 63.253,
    _xlpm.mask,   (_xlpm.vals&gt;=0) * (_xlpm.ints&lt;=_xlpm.limit),
    _xlpm.validVals, _xlfn._xlws.FILTER(_xlpm.vals, _xlpm.mask),
    _xlpm.minVal, MIN(_xlpm.validVals),
    IFERROR( _xlfn.XMATCH(_xlpm.minVal, _xlpm.vals), "" )
)</f>
        <v>4</v>
      </c>
      <c r="AJ816" cm="1">
        <f t="array" ref="AJ816">_xlfn.LET(
    _xlpm.vals, CHOOSE({1,2,3,4,5,6}, S816, V816, Y816, AB816, AE816, AH816),
    _xlpm.slopes, CHOOSE({1,2,3,4,5,6}, Q816, T816, W816, Z816, AC816, AF816),
    _xlpm.ints, CHOOSE({1,2,3,4,5,6}, R816, U816, X816, AA816, AD816, AG816),
    _xlpm.limit, -0.00001*_xlpm.slopes + 0.1086*_xlpm.slopes + 63.253,
    _xlpm.valid, (_xlpm.vals &gt;= 0) * (_xlpm.ints &lt;= _xlpm.limit),
    _xlpm.target, MIN(_xlfn._xlws.FILTER(_xlpm.vals, _xlpm.valid)),
    IFERROR(
        _xlfn.XLOOKUP(_xlpm.target, _xlpm.vals, _xlpm.vals),
        CHOOSE({1,2,3,4,5,6}, S$1, V$1, Y$1, AB$1, AE$1, AH$1)
    )
)</f>
        <v>0.35778602872303411</v>
      </c>
    </row>
    <row r="817" spans="9:36" x14ac:dyDescent="0.45">
      <c r="I817">
        <v>815</v>
      </c>
      <c r="J817">
        <v>18.899999999999999</v>
      </c>
      <c r="K817">
        <f t="shared" si="277"/>
        <v>18.899999999999999</v>
      </c>
      <c r="L817">
        <f t="shared" si="276"/>
        <v>5.2499999999999995E-3</v>
      </c>
      <c r="M817">
        <v>-0.87</v>
      </c>
      <c r="N817">
        <f t="shared" si="278"/>
        <v>0</v>
      </c>
      <c r="O817">
        <f t="shared" si="279"/>
        <v>245.60895467766881</v>
      </c>
      <c r="P817">
        <f t="shared" si="280"/>
        <v>785.94865496854027</v>
      </c>
      <c r="Q817">
        <f t="shared" si="281"/>
        <v>3599.6448397559143</v>
      </c>
      <c r="R817">
        <f t="shared" si="282"/>
        <v>0</v>
      </c>
      <c r="S817">
        <f t="shared" si="283"/>
        <v>1.4857994131124139</v>
      </c>
      <c r="T817">
        <f t="shared" si="284"/>
        <v>2326.4080187068794</v>
      </c>
      <c r="U817">
        <f t="shared" si="285"/>
        <v>0</v>
      </c>
      <c r="V817">
        <f t="shared" si="286"/>
        <v>0.63116045705257195</v>
      </c>
      <c r="W817">
        <f t="shared" si="287"/>
        <v>1501.1619309899118</v>
      </c>
      <c r="X817">
        <f t="shared" si="288"/>
        <v>0</v>
      </c>
      <c r="Y817">
        <f t="shared" si="289"/>
        <v>0.409843047676412</v>
      </c>
      <c r="Z817">
        <f t="shared" si="290"/>
        <v>1131.766063154698</v>
      </c>
      <c r="AA817">
        <f t="shared" si="291"/>
        <v>0</v>
      </c>
      <c r="AB817">
        <f t="shared" si="292"/>
        <v>0.34311697932439078</v>
      </c>
      <c r="AC817">
        <f t="shared" si="293"/>
        <v>6000</v>
      </c>
      <c r="AD817">
        <f t="shared" si="294"/>
        <v>0</v>
      </c>
      <c r="AE817">
        <f t="shared" si="295"/>
        <v>6.7000407999999982</v>
      </c>
      <c r="AF817">
        <f t="shared" si="296"/>
        <v>6000</v>
      </c>
      <c r="AG817">
        <f t="shared" si="297"/>
        <v>0</v>
      </c>
      <c r="AH817">
        <f t="shared" si="298"/>
        <v>6.7000407999999982</v>
      </c>
      <c r="AI817" cm="1">
        <f t="array" ref="AI817">_xlfn.LET(
    _xlpm.vals,   _xlfn.HSTACK(S817,V817,Y817,AB817,AE817,AH817),
    _xlpm.ints,   _xlfn.HSTACK(R817,U817,X817,AA817,AD817,AG817),
    _xlpm.slopes, _xlfn.HSTACK(Q817,T817,W817,Z817,AC817,AF817),
    _xlpm.limit,  -0.00001*_xlpm.slopes + 0.1086*_xlpm.slopes + 63.253,
    _xlpm.mask,   (_xlpm.vals&gt;=0) * (_xlpm.ints&lt;=_xlpm.limit),
    _xlpm.validVals, _xlfn._xlws.FILTER(_xlpm.vals, _xlpm.mask),
    _xlpm.minVal, MIN(_xlpm.validVals),
    IFERROR( _xlfn.XMATCH(_xlpm.minVal, _xlpm.vals), "" )
)</f>
        <v>4</v>
      </c>
      <c r="AJ817" cm="1">
        <f t="array" ref="AJ817">_xlfn.LET(
    _xlpm.vals, CHOOSE({1,2,3,4,5,6}, S817, V817, Y817, AB817, AE817, AH817),
    _xlpm.slopes, CHOOSE({1,2,3,4,5,6}, Q817, T817, W817, Z817, AC817, AF817),
    _xlpm.ints, CHOOSE({1,2,3,4,5,6}, R817, U817, X817, AA817, AD817, AG817),
    _xlpm.limit, -0.00001*_xlpm.slopes + 0.1086*_xlpm.slopes + 63.253,
    _xlpm.valid, (_xlpm.vals &gt;= 0) * (_xlpm.ints &lt;= _xlpm.limit),
    _xlpm.target, MIN(_xlfn._xlws.FILTER(_xlpm.vals, _xlpm.valid)),
    IFERROR(
        _xlfn.XLOOKUP(_xlpm.target, _xlpm.vals, _xlpm.vals),
        CHOOSE({1,2,3,4,5,6}, S$1, V$1, Y$1, AB$1, AE$1, AH$1)
    )
)</f>
        <v>0.34311697932439078</v>
      </c>
    </row>
    <row r="818" spans="9:36" x14ac:dyDescent="0.45">
      <c r="I818">
        <v>816</v>
      </c>
      <c r="J818">
        <v>18.8</v>
      </c>
      <c r="K818">
        <f t="shared" si="277"/>
        <v>18.8</v>
      </c>
      <c r="L818">
        <f t="shared" si="276"/>
        <v>5.2222222222222227E-3</v>
      </c>
      <c r="M818">
        <v>3.36</v>
      </c>
      <c r="N818">
        <f t="shared" si="278"/>
        <v>3.36</v>
      </c>
      <c r="O818">
        <f t="shared" si="279"/>
        <v>244.30943639895099</v>
      </c>
      <c r="P818">
        <f t="shared" si="280"/>
        <v>781.79019647664325</v>
      </c>
      <c r="Q818">
        <f t="shared" si="281"/>
        <v>3580.5990998630259</v>
      </c>
      <c r="R818">
        <f t="shared" si="282"/>
        <v>8.9609687184900206</v>
      </c>
      <c r="S818">
        <f t="shared" si="283"/>
        <v>1.6031921217064862</v>
      </c>
      <c r="T818">
        <f t="shared" si="284"/>
        <v>2314.098981570864</v>
      </c>
      <c r="U818">
        <f t="shared" si="285"/>
        <v>13.865282679285235</v>
      </c>
      <c r="V818">
        <f t="shared" si="286"/>
        <v>0.81401946930661062</v>
      </c>
      <c r="W818">
        <f t="shared" si="287"/>
        <v>1493.2192752703886</v>
      </c>
      <c r="X818">
        <f t="shared" si="288"/>
        <v>21.487558497740469</v>
      </c>
      <c r="Y818">
        <f t="shared" si="289"/>
        <v>0.62708390557498173</v>
      </c>
      <c r="Z818">
        <f t="shared" si="290"/>
        <v>1125.7778829263661</v>
      </c>
      <c r="AA818">
        <f t="shared" si="291"/>
        <v>28.500858840752983</v>
      </c>
      <c r="AB818">
        <f t="shared" si="292"/>
        <v>0.57521633090388735</v>
      </c>
      <c r="AC818">
        <f t="shared" si="293"/>
        <v>6000</v>
      </c>
      <c r="AD818">
        <f t="shared" si="294"/>
        <v>5.3476060878876837</v>
      </c>
      <c r="AE818">
        <f t="shared" si="295"/>
        <v>6.7367978354370788</v>
      </c>
      <c r="AF818">
        <f t="shared" si="296"/>
        <v>6000</v>
      </c>
      <c r="AG818">
        <f t="shared" si="297"/>
        <v>5.3476060878876837</v>
      </c>
      <c r="AH818">
        <f t="shared" si="298"/>
        <v>6.7367978354370788</v>
      </c>
      <c r="AI818" cm="1">
        <f t="array" ref="AI818">_xlfn.LET(
    _xlpm.vals,   _xlfn.HSTACK(S818,V818,Y818,AB818,AE818,AH818),
    _xlpm.ints,   _xlfn.HSTACK(R818,U818,X818,AA818,AD818,AG818),
    _xlpm.slopes, _xlfn.HSTACK(Q818,T818,W818,Z818,AC818,AF818),
    _xlpm.limit,  -0.00001*_xlpm.slopes + 0.1086*_xlpm.slopes + 63.253,
    _xlpm.mask,   (_xlpm.vals&gt;=0) * (_xlpm.ints&lt;=_xlpm.limit),
    _xlpm.validVals, _xlfn._xlws.FILTER(_xlpm.vals, _xlpm.mask),
    _xlpm.minVal, MIN(_xlpm.validVals),
    IFERROR( _xlfn.XMATCH(_xlpm.minVal, _xlpm.vals), "" )
)</f>
        <v>4</v>
      </c>
      <c r="AJ818" cm="1">
        <f t="array" ref="AJ818">_xlfn.LET(
    _xlpm.vals, CHOOSE({1,2,3,4,5,6}, S818, V818, Y818, AB818, AE818, AH818),
    _xlpm.slopes, CHOOSE({1,2,3,4,5,6}, Q818, T818, W818, Z818, AC818, AF818),
    _xlpm.ints, CHOOSE({1,2,3,4,5,6}, R818, U818, X818, AA818, AD818, AG818),
    _xlpm.limit, -0.00001*_xlpm.slopes + 0.1086*_xlpm.slopes + 63.253,
    _xlpm.valid, (_xlpm.vals &gt;= 0) * (_xlpm.ints &lt;= _xlpm.limit),
    _xlpm.target, MIN(_xlfn._xlws.FILTER(_xlpm.vals, _xlpm.valid)),
    IFERROR(
        _xlfn.XLOOKUP(_xlpm.target, _xlpm.vals, _xlpm.vals),
        CHOOSE({1,2,3,4,5,6}, S$1, V$1, Y$1, AB$1, AE$1, AH$1)
    )
)</f>
        <v>0.57521633090388735</v>
      </c>
    </row>
    <row r="819" spans="9:36" x14ac:dyDescent="0.45">
      <c r="I819">
        <v>817</v>
      </c>
      <c r="J819">
        <v>19.5</v>
      </c>
      <c r="K819">
        <f t="shared" si="277"/>
        <v>19.5</v>
      </c>
      <c r="L819">
        <f t="shared" si="276"/>
        <v>5.4166666666666669E-3</v>
      </c>
      <c r="M819">
        <v>8.84</v>
      </c>
      <c r="N819">
        <f t="shared" si="278"/>
        <v>8.84</v>
      </c>
      <c r="O819">
        <f t="shared" si="279"/>
        <v>253.40606434997582</v>
      </c>
      <c r="P819">
        <f t="shared" si="280"/>
        <v>810.89940591992263</v>
      </c>
      <c r="Q819">
        <f t="shared" si="281"/>
        <v>3713.9192791132459</v>
      </c>
      <c r="R819">
        <f t="shared" si="282"/>
        <v>22.729568273249285</v>
      </c>
      <c r="S819">
        <f t="shared" si="283"/>
        <v>1.9916527690982981</v>
      </c>
      <c r="T819">
        <f t="shared" si="284"/>
        <v>2400.2622415229707</v>
      </c>
      <c r="U819">
        <f t="shared" si="285"/>
        <v>35.169399557933019</v>
      </c>
      <c r="V819">
        <f t="shared" si="286"/>
        <v>1.2035765963954401</v>
      </c>
      <c r="W819">
        <f t="shared" si="287"/>
        <v>1548.8178653070522</v>
      </c>
      <c r="X819">
        <f t="shared" si="288"/>
        <v>54.503362665697246</v>
      </c>
      <c r="Y819">
        <f t="shared" si="289"/>
        <v>1.0825853230244358</v>
      </c>
      <c r="Z819">
        <f t="shared" si="290"/>
        <v>1167.6951445246884</v>
      </c>
      <c r="AA819">
        <f t="shared" si="291"/>
        <v>72.292654646862331</v>
      </c>
      <c r="AB819">
        <f t="shared" si="292"/>
        <v>1.0698946251267949</v>
      </c>
      <c r="AC819">
        <f t="shared" si="293"/>
        <v>6000</v>
      </c>
      <c r="AD819">
        <f t="shared" si="294"/>
        <v>14.069296969323549</v>
      </c>
      <c r="AE819">
        <f t="shared" si="295"/>
        <v>6.81645023798621</v>
      </c>
      <c r="AF819">
        <f t="shared" si="296"/>
        <v>6000</v>
      </c>
      <c r="AG819">
        <f t="shared" si="297"/>
        <v>14.069296969323549</v>
      </c>
      <c r="AH819">
        <f t="shared" si="298"/>
        <v>6.81645023798621</v>
      </c>
      <c r="AI819" cm="1">
        <f t="array" ref="AI819">_xlfn.LET(
    _xlpm.vals,   _xlfn.HSTACK(S819,V819,Y819,AB819,AE819,AH819),
    _xlpm.ints,   _xlfn.HSTACK(R819,U819,X819,AA819,AD819,AG819),
    _xlpm.slopes, _xlfn.HSTACK(Q819,T819,W819,Z819,AC819,AF819),
    _xlpm.limit,  -0.00001*_xlpm.slopes + 0.1086*_xlpm.slopes + 63.253,
    _xlpm.mask,   (_xlpm.vals&gt;=0) * (_xlpm.ints&lt;=_xlpm.limit),
    _xlpm.validVals, _xlfn._xlws.FILTER(_xlpm.vals, _xlpm.mask),
    _xlpm.minVal, MIN(_xlpm.validVals),
    IFERROR( _xlfn.XMATCH(_xlpm.minVal, _xlpm.vals), "" )
)</f>
        <v>4</v>
      </c>
      <c r="AJ819" cm="1">
        <f t="array" ref="AJ819">_xlfn.LET(
    _xlpm.vals, CHOOSE({1,2,3,4,5,6}, S819, V819, Y819, AB819, AE819, AH819),
    _xlpm.slopes, CHOOSE({1,2,3,4,5,6}, Q819, T819, W819, Z819, AC819, AF819),
    _xlpm.ints, CHOOSE({1,2,3,4,5,6}, R819, U819, X819, AA819, AD819, AG819),
    _xlpm.limit, -0.00001*_xlpm.slopes + 0.1086*_xlpm.slopes + 63.253,
    _xlpm.valid, (_xlpm.vals &gt;= 0) * (_xlpm.ints &lt;= _xlpm.limit),
    _xlpm.target, MIN(_xlfn._xlws.FILTER(_xlpm.vals, _xlpm.valid)),
    IFERROR(
        _xlfn.XLOOKUP(_xlpm.target, _xlpm.vals, _xlpm.vals),
        CHOOSE({1,2,3,4,5,6}, S$1, V$1, Y$1, AB$1, AE$1, AH$1)
    )
)</f>
        <v>1.0698946251267949</v>
      </c>
    </row>
    <row r="820" spans="9:36" x14ac:dyDescent="0.45">
      <c r="I820">
        <v>818</v>
      </c>
      <c r="J820">
        <v>20.8</v>
      </c>
      <c r="K820">
        <f t="shared" si="277"/>
        <v>20.8</v>
      </c>
      <c r="L820">
        <f t="shared" si="276"/>
        <v>5.7777777777777784E-3</v>
      </c>
      <c r="M820">
        <v>10.47</v>
      </c>
      <c r="N820">
        <f t="shared" si="278"/>
        <v>10.47</v>
      </c>
      <c r="O820">
        <f t="shared" si="279"/>
        <v>270.29980197330752</v>
      </c>
      <c r="P820">
        <f t="shared" si="280"/>
        <v>864.95936631458414</v>
      </c>
      <c r="Q820">
        <f t="shared" si="281"/>
        <v>3961.5138977207953</v>
      </c>
      <c r="R820">
        <f t="shared" si="282"/>
        <v>25.238112961777436</v>
      </c>
      <c r="S820">
        <f t="shared" si="283"/>
        <v>2.340842029130644</v>
      </c>
      <c r="T820">
        <f t="shared" si="284"/>
        <v>2560.2797242911693</v>
      </c>
      <c r="U820">
        <f t="shared" si="285"/>
        <v>39.050863974642112</v>
      </c>
      <c r="V820">
        <f t="shared" si="286"/>
        <v>1.3656823857032629</v>
      </c>
      <c r="W820">
        <f t="shared" si="287"/>
        <v>1652.0723896608556</v>
      </c>
      <c r="X820">
        <f t="shared" si="288"/>
        <v>60.518616421434906</v>
      </c>
      <c r="Y820">
        <f t="shared" si="289"/>
        <v>1.2305173064714949</v>
      </c>
      <c r="Z820">
        <f t="shared" si="290"/>
        <v>1245.5414874930011</v>
      </c>
      <c r="AA820">
        <f t="shared" si="291"/>
        <v>80.271220392319904</v>
      </c>
      <c r="AB820">
        <f t="shared" si="292"/>
        <v>1.2226654143906608</v>
      </c>
      <c r="AC820">
        <f t="shared" si="293"/>
        <v>6000</v>
      </c>
      <c r="AD820">
        <f t="shared" si="294"/>
        <v>16.663522541721441</v>
      </c>
      <c r="AE820">
        <f t="shared" si="295"/>
        <v>6.8446860878962505</v>
      </c>
      <c r="AF820">
        <f t="shared" si="296"/>
        <v>6000</v>
      </c>
      <c r="AG820">
        <f t="shared" si="297"/>
        <v>16.663522541721441</v>
      </c>
      <c r="AH820">
        <f t="shared" si="298"/>
        <v>6.8446860878962505</v>
      </c>
      <c r="AI820" cm="1">
        <f t="array" ref="AI820">_xlfn.LET(
    _xlpm.vals,   _xlfn.HSTACK(S820,V820,Y820,AB820,AE820,AH820),
    _xlpm.ints,   _xlfn.HSTACK(R820,U820,X820,AA820,AD820,AG820),
    _xlpm.slopes, _xlfn.HSTACK(Q820,T820,W820,Z820,AC820,AF820),
    _xlpm.limit,  -0.00001*_xlpm.slopes + 0.1086*_xlpm.slopes + 63.253,
    _xlpm.mask,   (_xlpm.vals&gt;=0) * (_xlpm.ints&lt;=_xlpm.limit),
    _xlpm.validVals, _xlfn._xlws.FILTER(_xlpm.vals, _xlpm.mask),
    _xlpm.minVal, MIN(_xlpm.validVals),
    IFERROR( _xlfn.XMATCH(_xlpm.minVal, _xlpm.vals), "" )
)</f>
        <v>4</v>
      </c>
      <c r="AJ820" cm="1">
        <f t="array" ref="AJ820">_xlfn.LET(
    _xlpm.vals, CHOOSE({1,2,3,4,5,6}, S820, V820, Y820, AB820, AE820, AH820),
    _xlpm.slopes, CHOOSE({1,2,3,4,5,6}, Q820, T820, W820, Z820, AC820, AF820),
    _xlpm.ints, CHOOSE({1,2,3,4,5,6}, R820, U820, X820, AA820, AD820, AG820),
    _xlpm.limit, -0.00001*_xlpm.slopes + 0.1086*_xlpm.slopes + 63.253,
    _xlpm.valid, (_xlpm.vals &gt;= 0) * (_xlpm.ints &lt;= _xlpm.limit),
    _xlpm.target, MIN(_xlfn._xlws.FILTER(_xlpm.vals, _xlpm.valid)),
    IFERROR(
        _xlfn.XLOOKUP(_xlpm.target, _xlpm.vals, _xlpm.vals),
        CHOOSE({1,2,3,4,5,6}, S$1, V$1, Y$1, AB$1, AE$1, AH$1)
    )
)</f>
        <v>1.2226654143906608</v>
      </c>
    </row>
    <row r="821" spans="9:36" x14ac:dyDescent="0.45">
      <c r="I821">
        <v>819</v>
      </c>
      <c r="J821">
        <v>21.8</v>
      </c>
      <c r="K821">
        <f t="shared" si="277"/>
        <v>21.8</v>
      </c>
      <c r="L821">
        <f t="shared" si="276"/>
        <v>6.0555555555555553E-3</v>
      </c>
      <c r="M821">
        <v>11.79</v>
      </c>
      <c r="N821">
        <f t="shared" si="278"/>
        <v>11.79</v>
      </c>
      <c r="O821">
        <f t="shared" si="279"/>
        <v>283.2949847604857</v>
      </c>
      <c r="P821">
        <f t="shared" si="280"/>
        <v>906.54395123355425</v>
      </c>
      <c r="Q821">
        <f t="shared" si="281"/>
        <v>4151.9712966496782</v>
      </c>
      <c r="R821">
        <f t="shared" si="282"/>
        <v>27.116325884539517</v>
      </c>
      <c r="S821">
        <f t="shared" si="283"/>
        <v>2.640043052184494</v>
      </c>
      <c r="T821">
        <f t="shared" si="284"/>
        <v>2683.3700956513208</v>
      </c>
      <c r="U821">
        <f t="shared" si="285"/>
        <v>41.957017753780733</v>
      </c>
      <c r="V821">
        <f t="shared" si="286"/>
        <v>1.4987502952146241</v>
      </c>
      <c r="W821">
        <f t="shared" si="287"/>
        <v>1731.4989468560887</v>
      </c>
      <c r="X821">
        <f t="shared" si="288"/>
        <v>65.022394005859141</v>
      </c>
      <c r="Y821">
        <f t="shared" si="289"/>
        <v>1.3493527531636691</v>
      </c>
      <c r="Z821">
        <f t="shared" si="290"/>
        <v>1305.4232897763181</v>
      </c>
      <c r="AA821">
        <f t="shared" si="291"/>
        <v>86.24498093832706</v>
      </c>
      <c r="AB821">
        <f t="shared" si="292"/>
        <v>1.344263983953967</v>
      </c>
      <c r="AC821">
        <f t="shared" si="293"/>
        <v>6000</v>
      </c>
      <c r="AD821">
        <f t="shared" si="294"/>
        <v>18.764367790534461</v>
      </c>
      <c r="AE821">
        <f t="shared" si="295"/>
        <v>6.869032559768649</v>
      </c>
      <c r="AF821">
        <f t="shared" si="296"/>
        <v>6000</v>
      </c>
      <c r="AG821">
        <f t="shared" si="297"/>
        <v>18.764367790534461</v>
      </c>
      <c r="AH821">
        <f t="shared" si="298"/>
        <v>6.869032559768649</v>
      </c>
      <c r="AI821" cm="1">
        <f t="array" ref="AI821">_xlfn.LET(
    _xlpm.vals,   _xlfn.HSTACK(S821,V821,Y821,AB821,AE821,AH821),
    _xlpm.ints,   _xlfn.HSTACK(R821,U821,X821,AA821,AD821,AG821),
    _xlpm.slopes, _xlfn.HSTACK(Q821,T821,W821,Z821,AC821,AF821),
    _xlpm.limit,  -0.00001*_xlpm.slopes + 0.1086*_xlpm.slopes + 63.253,
    _xlpm.mask,   (_xlpm.vals&gt;=0) * (_xlpm.ints&lt;=_xlpm.limit),
    _xlpm.validVals, _xlfn._xlws.FILTER(_xlpm.vals, _xlpm.mask),
    _xlpm.minVal, MIN(_xlpm.validVals),
    IFERROR( _xlfn.XMATCH(_xlpm.minVal, _xlpm.vals), "" )
)</f>
        <v>4</v>
      </c>
      <c r="AJ821" cm="1">
        <f t="array" ref="AJ821">_xlfn.LET(
    _xlpm.vals, CHOOSE({1,2,3,4,5,6}, S821, V821, Y821, AB821, AE821, AH821),
    _xlpm.slopes, CHOOSE({1,2,3,4,5,6}, Q821, T821, W821, Z821, AC821, AF821),
    _xlpm.ints, CHOOSE({1,2,3,4,5,6}, R821, U821, X821, AA821, AD821, AG821),
    _xlpm.limit, -0.00001*_xlpm.slopes + 0.1086*_xlpm.slopes + 63.253,
    _xlpm.valid, (_xlpm.vals &gt;= 0) * (_xlpm.ints &lt;= _xlpm.limit),
    _xlpm.target, MIN(_xlfn._xlws.FILTER(_xlpm.vals, _xlpm.valid)),
    IFERROR(
        _xlfn.XLOOKUP(_xlpm.target, _xlpm.vals, _xlpm.vals),
        CHOOSE({1,2,3,4,5,6}, S$1, V$1, Y$1, AB$1, AE$1, AH$1)
    )
)</f>
        <v>1.344263983953967</v>
      </c>
    </row>
    <row r="822" spans="9:36" x14ac:dyDescent="0.45">
      <c r="I822">
        <v>820</v>
      </c>
      <c r="J822">
        <v>22.5</v>
      </c>
      <c r="K822">
        <f t="shared" si="277"/>
        <v>22.5</v>
      </c>
      <c r="L822">
        <f t="shared" si="276"/>
        <v>6.2500000000000003E-3</v>
      </c>
      <c r="M822">
        <v>9.43</v>
      </c>
      <c r="N822">
        <f t="shared" si="278"/>
        <v>9.43</v>
      </c>
      <c r="O822">
        <f t="shared" si="279"/>
        <v>292.39161271151056</v>
      </c>
      <c r="P822">
        <f t="shared" si="280"/>
        <v>935.65316067683386</v>
      </c>
      <c r="Q822">
        <f t="shared" si="281"/>
        <v>4285.2914758998995</v>
      </c>
      <c r="R822">
        <f t="shared" si="282"/>
        <v>21.013708707523602</v>
      </c>
      <c r="S822">
        <f t="shared" si="283"/>
        <v>2.7228097056209921</v>
      </c>
      <c r="T822">
        <f t="shared" si="284"/>
        <v>2769.5333556034284</v>
      </c>
      <c r="U822">
        <f t="shared" si="285"/>
        <v>32.514454689343957</v>
      </c>
      <c r="V822">
        <f t="shared" si="286"/>
        <v>1.3704027396500997</v>
      </c>
      <c r="W822">
        <f t="shared" si="287"/>
        <v>1787.0975368927527</v>
      </c>
      <c r="X822">
        <f t="shared" si="288"/>
        <v>50.388893131129898</v>
      </c>
      <c r="Y822">
        <f t="shared" si="289"/>
        <v>1.1477944346354239</v>
      </c>
      <c r="Z822">
        <f t="shared" si="290"/>
        <v>1347.3405513746407</v>
      </c>
      <c r="AA822">
        <f t="shared" si="291"/>
        <v>66.83526797254035</v>
      </c>
      <c r="AB822">
        <f t="shared" si="292"/>
        <v>1.1295257267630308</v>
      </c>
      <c r="AC822">
        <f t="shared" si="293"/>
        <v>6000</v>
      </c>
      <c r="AD822">
        <f t="shared" si="294"/>
        <v>15.008311133565732</v>
      </c>
      <c r="AE822">
        <f t="shared" si="295"/>
        <v>6.826435234557434</v>
      </c>
      <c r="AF822">
        <f t="shared" si="296"/>
        <v>6000</v>
      </c>
      <c r="AG822">
        <f t="shared" si="297"/>
        <v>15.008311133565732</v>
      </c>
      <c r="AH822">
        <f t="shared" si="298"/>
        <v>6.826435234557434</v>
      </c>
      <c r="AI822" cm="1">
        <f t="array" ref="AI822">_xlfn.LET(
    _xlpm.vals,   _xlfn.HSTACK(S822,V822,Y822,AB822,AE822,AH822),
    _xlpm.ints,   _xlfn.HSTACK(R822,U822,X822,AA822,AD822,AG822),
    _xlpm.slopes, _xlfn.HSTACK(Q822,T822,W822,Z822,AC822,AF822),
    _xlpm.limit,  -0.00001*_xlpm.slopes + 0.1086*_xlpm.slopes + 63.253,
    _xlpm.mask,   (_xlpm.vals&gt;=0) * (_xlpm.ints&lt;=_xlpm.limit),
    _xlpm.validVals, _xlfn._xlws.FILTER(_xlpm.vals, _xlpm.mask),
    _xlpm.minVal, MIN(_xlpm.validVals),
    IFERROR( _xlfn.XMATCH(_xlpm.minVal, _xlpm.vals), "" )
)</f>
        <v>4</v>
      </c>
      <c r="AJ822" cm="1">
        <f t="array" ref="AJ822">_xlfn.LET(
    _xlpm.vals, CHOOSE({1,2,3,4,5,6}, S822, V822, Y822, AB822, AE822, AH822),
    _xlpm.slopes, CHOOSE({1,2,3,4,5,6}, Q822, T822, W822, Z822, AC822, AF822),
    _xlpm.ints, CHOOSE({1,2,3,4,5,6}, R822, U822, X822, AA822, AD822, AG822),
    _xlpm.limit, -0.00001*_xlpm.slopes + 0.1086*_xlpm.slopes + 63.253,
    _xlpm.valid, (_xlpm.vals &gt;= 0) * (_xlpm.ints &lt;= _xlpm.limit),
    _xlpm.target, MIN(_xlfn._xlws.FILTER(_xlpm.vals, _xlpm.valid)),
    IFERROR(
        _xlfn.XLOOKUP(_xlpm.target, _xlpm.vals, _xlpm.vals),
        CHOOSE({1,2,3,4,5,6}, S$1, V$1, Y$1, AB$1, AE$1, AH$1)
    )
)</f>
        <v>1.1295257267630308</v>
      </c>
    </row>
    <row r="823" spans="9:36" x14ac:dyDescent="0.45">
      <c r="I823">
        <v>821</v>
      </c>
      <c r="J823">
        <v>23.1</v>
      </c>
      <c r="K823">
        <f t="shared" si="277"/>
        <v>23.1</v>
      </c>
      <c r="L823">
        <f t="shared" si="276"/>
        <v>6.4166666666666669E-3</v>
      </c>
      <c r="M823">
        <v>7.66</v>
      </c>
      <c r="N823">
        <f t="shared" si="278"/>
        <v>7.66</v>
      </c>
      <c r="O823">
        <f t="shared" si="279"/>
        <v>300.18872238381749</v>
      </c>
      <c r="P823">
        <f t="shared" si="280"/>
        <v>960.603911628216</v>
      </c>
      <c r="Q823">
        <f t="shared" si="281"/>
        <v>4399.5659152572289</v>
      </c>
      <c r="R823">
        <f t="shared" si="282"/>
        <v>16.626097495520394</v>
      </c>
      <c r="S823">
        <f t="shared" si="283"/>
        <v>2.8284106262260105</v>
      </c>
      <c r="T823">
        <f t="shared" si="284"/>
        <v>2843.3875784195193</v>
      </c>
      <c r="U823">
        <f t="shared" si="285"/>
        <v>25.725515719420066</v>
      </c>
      <c r="V823">
        <f t="shared" si="286"/>
        <v>1.2914938517795309</v>
      </c>
      <c r="W823">
        <f t="shared" si="287"/>
        <v>1834.7534712098925</v>
      </c>
      <c r="X823">
        <f t="shared" si="288"/>
        <v>39.867814936902299</v>
      </c>
      <c r="Y823">
        <f t="shared" si="289"/>
        <v>1.0069389701880906</v>
      </c>
      <c r="Z823">
        <f t="shared" si="290"/>
        <v>1383.2696327446311</v>
      </c>
      <c r="AA823">
        <f t="shared" si="291"/>
        <v>52.880226756585685</v>
      </c>
      <c r="AB823">
        <f t="shared" si="292"/>
        <v>0.96993255207431206</v>
      </c>
      <c r="AC823">
        <f t="shared" si="293"/>
        <v>6000</v>
      </c>
      <c r="AD823">
        <f t="shared" si="294"/>
        <v>12.191268640839183</v>
      </c>
      <c r="AE823">
        <f t="shared" si="295"/>
        <v>6.7972895405316622</v>
      </c>
      <c r="AF823">
        <f t="shared" si="296"/>
        <v>6000</v>
      </c>
      <c r="AG823">
        <f t="shared" si="297"/>
        <v>12.191268640839183</v>
      </c>
      <c r="AH823">
        <f t="shared" si="298"/>
        <v>6.7972895405316622</v>
      </c>
      <c r="AI823" cm="1">
        <f t="array" ref="AI823">_xlfn.LET(
    _xlpm.vals,   _xlfn.HSTACK(S823,V823,Y823,AB823,AE823,AH823),
    _xlpm.ints,   _xlfn.HSTACK(R823,U823,X823,AA823,AD823,AG823),
    _xlpm.slopes, _xlfn.HSTACK(Q823,T823,W823,Z823,AC823,AF823),
    _xlpm.limit,  -0.00001*_xlpm.slopes + 0.1086*_xlpm.slopes + 63.253,
    _xlpm.mask,   (_xlpm.vals&gt;=0) * (_xlpm.ints&lt;=_xlpm.limit),
    _xlpm.validVals, _xlfn._xlws.FILTER(_xlpm.vals, _xlpm.mask),
    _xlpm.minVal, MIN(_xlpm.validVals),
    IFERROR( _xlfn.XMATCH(_xlpm.minVal, _xlpm.vals), "" )
)</f>
        <v>4</v>
      </c>
      <c r="AJ823" cm="1">
        <f t="array" ref="AJ823">_xlfn.LET(
    _xlpm.vals, CHOOSE({1,2,3,4,5,6}, S823, V823, Y823, AB823, AE823, AH823),
    _xlpm.slopes, CHOOSE({1,2,3,4,5,6}, Q823, T823, W823, Z823, AC823, AF823),
    _xlpm.ints, CHOOSE({1,2,3,4,5,6}, R823, U823, X823, AA823, AD823, AG823),
    _xlpm.limit, -0.00001*_xlpm.slopes + 0.1086*_xlpm.slopes + 63.253,
    _xlpm.valid, (_xlpm.vals &gt;= 0) * (_xlpm.ints &lt;= _xlpm.limit),
    _xlpm.target, MIN(_xlfn._xlws.FILTER(_xlpm.vals, _xlpm.valid)),
    IFERROR(
        _xlfn.XLOOKUP(_xlpm.target, _xlpm.vals, _xlpm.vals),
        CHOOSE({1,2,3,4,5,6}, S$1, V$1, Y$1, AB$1, AE$1, AH$1)
    )
)</f>
        <v>0.96993255207431206</v>
      </c>
    </row>
    <row r="824" spans="9:36" x14ac:dyDescent="0.45">
      <c r="I824">
        <v>822</v>
      </c>
      <c r="J824">
        <v>23.7</v>
      </c>
      <c r="K824">
        <f t="shared" si="277"/>
        <v>23.7</v>
      </c>
      <c r="L824">
        <f t="shared" si="276"/>
        <v>6.5833333333333334E-3</v>
      </c>
      <c r="M824">
        <v>6.17</v>
      </c>
      <c r="N824">
        <f t="shared" si="278"/>
        <v>6.17</v>
      </c>
      <c r="O824">
        <f t="shared" si="279"/>
        <v>307.98583205612437</v>
      </c>
      <c r="P824">
        <f t="shared" si="280"/>
        <v>985.55466257959802</v>
      </c>
      <c r="Q824">
        <f t="shared" si="281"/>
        <v>4513.8403546145591</v>
      </c>
      <c r="R824">
        <f t="shared" si="282"/>
        <v>13.053000395192493</v>
      </c>
      <c r="S824">
        <f t="shared" si="283"/>
        <v>2.9651558915646006</v>
      </c>
      <c r="T824">
        <f t="shared" si="284"/>
        <v>2917.2418012356102</v>
      </c>
      <c r="U824">
        <f t="shared" si="285"/>
        <v>20.196872233101899</v>
      </c>
      <c r="V824">
        <f t="shared" si="286"/>
        <v>1.2410599031609983</v>
      </c>
      <c r="W824">
        <f t="shared" si="287"/>
        <v>1882.409405527032</v>
      </c>
      <c r="X824">
        <f t="shared" si="288"/>
        <v>31.299864821979906</v>
      </c>
      <c r="Y824">
        <f t="shared" si="289"/>
        <v>0.89801479881711532</v>
      </c>
      <c r="Z824">
        <f t="shared" si="290"/>
        <v>1419.198714114621</v>
      </c>
      <c r="AA824">
        <f t="shared" si="291"/>
        <v>41.515792923598347</v>
      </c>
      <c r="AB824">
        <f t="shared" si="292"/>
        <v>0.84204051142863989</v>
      </c>
      <c r="AC824">
        <f t="shared" si="293"/>
        <v>6000</v>
      </c>
      <c r="AD824">
        <f t="shared" si="294"/>
        <v>9.8198599887699434</v>
      </c>
      <c r="AE824">
        <f t="shared" si="295"/>
        <v>6.7746548052677822</v>
      </c>
      <c r="AF824">
        <f t="shared" si="296"/>
        <v>6000</v>
      </c>
      <c r="AG824">
        <f t="shared" si="297"/>
        <v>9.8198599887699434</v>
      </c>
      <c r="AH824">
        <f t="shared" si="298"/>
        <v>6.7746548052677822</v>
      </c>
      <c r="AI824" cm="1">
        <f t="array" ref="AI824">_xlfn.LET(
    _xlpm.vals,   _xlfn.HSTACK(S824,V824,Y824,AB824,AE824,AH824),
    _xlpm.ints,   _xlfn.HSTACK(R824,U824,X824,AA824,AD824,AG824),
    _xlpm.slopes, _xlfn.HSTACK(Q824,T824,W824,Z824,AC824,AF824),
    _xlpm.limit,  -0.00001*_xlpm.slopes + 0.1086*_xlpm.slopes + 63.253,
    _xlpm.mask,   (_xlpm.vals&gt;=0) * (_xlpm.ints&lt;=_xlpm.limit),
    _xlpm.validVals, _xlfn._xlws.FILTER(_xlpm.vals, _xlpm.mask),
    _xlpm.minVal, MIN(_xlpm.validVals),
    IFERROR( _xlfn.XMATCH(_xlpm.minVal, _xlpm.vals), "" )
)</f>
        <v>4</v>
      </c>
      <c r="AJ824" cm="1">
        <f t="array" ref="AJ824">_xlfn.LET(
    _xlpm.vals, CHOOSE({1,2,3,4,5,6}, S824, V824, Y824, AB824, AE824, AH824),
    _xlpm.slopes, CHOOSE({1,2,3,4,5,6}, Q824, T824, W824, Z824, AC824, AF824),
    _xlpm.ints, CHOOSE({1,2,3,4,5,6}, R824, U824, X824, AA824, AD824, AG824),
    _xlpm.limit, -0.00001*_xlpm.slopes + 0.1086*_xlpm.slopes + 63.253,
    _xlpm.valid, (_xlpm.vals &gt;= 0) * (_xlpm.ints &lt;= _xlpm.limit),
    _xlpm.target, MIN(_xlfn._xlws.FILTER(_xlpm.vals, _xlpm.valid)),
    IFERROR(
        _xlfn.XLOOKUP(_xlpm.target, _xlpm.vals, _xlpm.vals),
        CHOOSE({1,2,3,4,5,6}, S$1, V$1, Y$1, AB$1, AE$1, AH$1)
    )
)</f>
        <v>0.84204051142863989</v>
      </c>
    </row>
    <row r="825" spans="9:36" x14ac:dyDescent="0.45">
      <c r="I825">
        <v>823</v>
      </c>
      <c r="J825">
        <v>24.4</v>
      </c>
      <c r="K825">
        <f t="shared" si="277"/>
        <v>24.4</v>
      </c>
      <c r="L825">
        <f t="shared" si="276"/>
        <v>6.7777777777777775E-3</v>
      </c>
      <c r="M825">
        <v>10.09</v>
      </c>
      <c r="N825">
        <f t="shared" si="278"/>
        <v>10.09</v>
      </c>
      <c r="O825">
        <f t="shared" si="279"/>
        <v>317.08246000714911</v>
      </c>
      <c r="P825">
        <f t="shared" si="280"/>
        <v>1014.6638720228772</v>
      </c>
      <c r="Q825">
        <f t="shared" si="281"/>
        <v>4647.1605338647778</v>
      </c>
      <c r="R825">
        <f t="shared" si="282"/>
        <v>20.733607510585106</v>
      </c>
      <c r="S825">
        <f t="shared" si="283"/>
        <v>3.3416248130564195</v>
      </c>
      <c r="T825">
        <f t="shared" si="284"/>
        <v>3003.4050611877165</v>
      </c>
      <c r="U825">
        <f t="shared" si="285"/>
        <v>32.08105486435128</v>
      </c>
      <c r="V825">
        <f t="shared" si="286"/>
        <v>1.5233376124053084</v>
      </c>
      <c r="W825">
        <f t="shared" si="287"/>
        <v>1938.0079955636952</v>
      </c>
      <c r="X825">
        <f t="shared" si="288"/>
        <v>49.717236857842828</v>
      </c>
      <c r="Y825">
        <f t="shared" si="289"/>
        <v>1.2160551406116498</v>
      </c>
      <c r="Z825">
        <f t="shared" si="290"/>
        <v>1461.1159757129431</v>
      </c>
      <c r="AA825">
        <f t="shared" si="291"/>
        <v>65.944390554499847</v>
      </c>
      <c r="AB825">
        <f t="shared" si="292"/>
        <v>1.1919938036153956</v>
      </c>
      <c r="AC825">
        <f t="shared" si="293"/>
        <v>6000</v>
      </c>
      <c r="AD825">
        <f t="shared" si="294"/>
        <v>16.058733757972242</v>
      </c>
      <c r="AE825">
        <f t="shared" si="295"/>
        <v>6.837921753928546</v>
      </c>
      <c r="AF825">
        <f t="shared" si="296"/>
        <v>6000</v>
      </c>
      <c r="AG825">
        <f t="shared" si="297"/>
        <v>16.058733757972242</v>
      </c>
      <c r="AH825">
        <f t="shared" si="298"/>
        <v>6.837921753928546</v>
      </c>
      <c r="AI825" cm="1">
        <f t="array" ref="AI825">_xlfn.LET(
    _xlpm.vals,   _xlfn.HSTACK(S825,V825,Y825,AB825,AE825,AH825),
    _xlpm.ints,   _xlfn.HSTACK(R825,U825,X825,AA825,AD825,AG825),
    _xlpm.slopes, _xlfn.HSTACK(Q825,T825,W825,Z825,AC825,AF825),
    _xlpm.limit,  -0.00001*_xlpm.slopes + 0.1086*_xlpm.slopes + 63.253,
    _xlpm.mask,   (_xlpm.vals&gt;=0) * (_xlpm.ints&lt;=_xlpm.limit),
    _xlpm.validVals, _xlfn._xlws.FILTER(_xlpm.vals, _xlpm.mask),
    _xlpm.minVal, MIN(_xlpm.validVals),
    IFERROR( _xlfn.XMATCH(_xlpm.minVal, _xlpm.vals), "" )
)</f>
        <v>4</v>
      </c>
      <c r="AJ825" cm="1">
        <f t="array" ref="AJ825">_xlfn.LET(
    _xlpm.vals, CHOOSE({1,2,3,4,5,6}, S825, V825, Y825, AB825, AE825, AH825),
    _xlpm.slopes, CHOOSE({1,2,3,4,5,6}, Q825, T825, W825, Z825, AC825, AF825),
    _xlpm.ints, CHOOSE({1,2,3,4,5,6}, R825, U825, X825, AA825, AD825, AG825),
    _xlpm.limit, -0.00001*_xlpm.slopes + 0.1086*_xlpm.slopes + 63.253,
    _xlpm.valid, (_xlpm.vals &gt;= 0) * (_xlpm.ints &lt;= _xlpm.limit),
    _xlpm.target, MIN(_xlfn._xlws.FILTER(_xlpm.vals, _xlpm.valid)),
    IFERROR(
        _xlfn.XLOOKUP(_xlpm.target, _xlpm.vals, _xlpm.vals),
        CHOOSE({1,2,3,4,5,6}, S$1, V$1, Y$1, AB$1, AE$1, AH$1)
    )
)</f>
        <v>1.1919938036153956</v>
      </c>
    </row>
    <row r="826" spans="9:36" x14ac:dyDescent="0.45">
      <c r="I826">
        <v>824</v>
      </c>
      <c r="J826">
        <v>25.4</v>
      </c>
      <c r="K826">
        <f t="shared" si="277"/>
        <v>25.4</v>
      </c>
      <c r="L826">
        <f t="shared" si="276"/>
        <v>7.0555555555555554E-3</v>
      </c>
      <c r="M826">
        <v>11.03</v>
      </c>
      <c r="N826">
        <f t="shared" si="278"/>
        <v>11.03</v>
      </c>
      <c r="O826">
        <f t="shared" si="279"/>
        <v>330.0776427943274</v>
      </c>
      <c r="P826">
        <f t="shared" si="280"/>
        <v>1056.2484569418477</v>
      </c>
      <c r="Q826">
        <f t="shared" si="281"/>
        <v>4837.6179327936625</v>
      </c>
      <c r="R826">
        <f t="shared" si="282"/>
        <v>21.772852424786333</v>
      </c>
      <c r="S826">
        <f t="shared" si="283"/>
        <v>3.7376984153066735</v>
      </c>
      <c r="T826">
        <f t="shared" si="284"/>
        <v>3126.4954325478693</v>
      </c>
      <c r="U826">
        <f t="shared" si="285"/>
        <v>33.68907571132479</v>
      </c>
      <c r="V826">
        <f t="shared" si="286"/>
        <v>1.6501373799547245</v>
      </c>
      <c r="W826">
        <f t="shared" si="287"/>
        <v>2017.4345527589292</v>
      </c>
      <c r="X826">
        <f t="shared" si="288"/>
        <v>52.209248222786073</v>
      </c>
      <c r="Y826">
        <f t="shared" si="289"/>
        <v>1.301507803849161</v>
      </c>
      <c r="Z826">
        <f t="shared" si="290"/>
        <v>1520.9977779962608</v>
      </c>
      <c r="AA826">
        <f t="shared" si="291"/>
        <v>69.249766739945414</v>
      </c>
      <c r="AB826">
        <f t="shared" si="292"/>
        <v>1.2781112441992695</v>
      </c>
      <c r="AC826">
        <f t="shared" si="293"/>
        <v>6000</v>
      </c>
      <c r="AD826">
        <f t="shared" si="294"/>
        <v>17.554790223036058</v>
      </c>
      <c r="AE826">
        <f t="shared" si="295"/>
        <v>6.8548543734654395</v>
      </c>
      <c r="AF826">
        <f t="shared" si="296"/>
        <v>6000</v>
      </c>
      <c r="AG826">
        <f t="shared" si="297"/>
        <v>17.554790223036058</v>
      </c>
      <c r="AH826">
        <f t="shared" si="298"/>
        <v>6.8548543734654395</v>
      </c>
      <c r="AI826" cm="1">
        <f t="array" ref="AI826">_xlfn.LET(
    _xlpm.vals,   _xlfn.HSTACK(S826,V826,Y826,AB826,AE826,AH826),
    _xlpm.ints,   _xlfn.HSTACK(R826,U826,X826,AA826,AD826,AG826),
    _xlpm.slopes, _xlfn.HSTACK(Q826,T826,W826,Z826,AC826,AF826),
    _xlpm.limit,  -0.00001*_xlpm.slopes + 0.1086*_xlpm.slopes + 63.253,
    _xlpm.mask,   (_xlpm.vals&gt;=0) * (_xlpm.ints&lt;=_xlpm.limit),
    _xlpm.validVals, _xlfn._xlws.FILTER(_xlpm.vals, _xlpm.mask),
    _xlpm.minVal, MIN(_xlpm.validVals),
    IFERROR( _xlfn.XMATCH(_xlpm.minVal, _xlpm.vals), "" )
)</f>
        <v>4</v>
      </c>
      <c r="AJ826" cm="1">
        <f t="array" ref="AJ826">_xlfn.LET(
    _xlpm.vals, CHOOSE({1,2,3,4,5,6}, S826, V826, Y826, AB826, AE826, AH826),
    _xlpm.slopes, CHOOSE({1,2,3,4,5,6}, Q826, T826, W826, Z826, AC826, AF826),
    _xlpm.ints, CHOOSE({1,2,3,4,5,6}, R826, U826, X826, AA826, AD826, AG826),
    _xlpm.limit, -0.00001*_xlpm.slopes + 0.1086*_xlpm.slopes + 63.253,
    _xlpm.valid, (_xlpm.vals &gt;= 0) * (_xlpm.ints &lt;= _xlpm.limit),
    _xlpm.target, MIN(_xlfn._xlws.FILTER(_xlpm.vals, _xlpm.valid)),
    IFERROR(
        _xlfn.XLOOKUP(_xlpm.target, _xlpm.vals, _xlpm.vals),
        CHOOSE({1,2,3,4,5,6}, S$1, V$1, Y$1, AB$1, AE$1, AH$1)
    )
)</f>
        <v>1.2781112441992695</v>
      </c>
    </row>
    <row r="827" spans="9:36" x14ac:dyDescent="0.45">
      <c r="I827">
        <v>825</v>
      </c>
      <c r="J827">
        <v>26.3</v>
      </c>
      <c r="K827">
        <f t="shared" si="277"/>
        <v>26.3</v>
      </c>
      <c r="L827">
        <f t="shared" si="276"/>
        <v>7.3055555555555556E-3</v>
      </c>
      <c r="M827">
        <v>11.04</v>
      </c>
      <c r="N827">
        <f t="shared" si="278"/>
        <v>11.04</v>
      </c>
      <c r="O827">
        <f t="shared" si="279"/>
        <v>341.77330730278788</v>
      </c>
      <c r="P827">
        <f t="shared" si="280"/>
        <v>1093.6745833689213</v>
      </c>
      <c r="Q827">
        <f t="shared" si="281"/>
        <v>5009.0295918296597</v>
      </c>
      <c r="R827">
        <f t="shared" si="282"/>
        <v>21.046837989544184</v>
      </c>
      <c r="S827">
        <f t="shared" si="283"/>
        <v>4.0960453187120844</v>
      </c>
      <c r="T827">
        <f t="shared" si="284"/>
        <v>3237.2767667720068</v>
      </c>
      <c r="U827">
        <f t="shared" si="285"/>
        <v>32.565715537875803</v>
      </c>
      <c r="V827">
        <f t="shared" si="286"/>
        <v>1.7189308163326504</v>
      </c>
      <c r="W827">
        <f t="shared" si="287"/>
        <v>2088.9184542346397</v>
      </c>
      <c r="X827">
        <f t="shared" si="288"/>
        <v>50.468334027283952</v>
      </c>
      <c r="Y827">
        <f t="shared" si="289"/>
        <v>1.3103478525139385</v>
      </c>
      <c r="Z827">
        <f t="shared" si="290"/>
        <v>1574.8914000512466</v>
      </c>
      <c r="AA827">
        <f t="shared" si="291"/>
        <v>66.940637494522477</v>
      </c>
      <c r="AB827">
        <f t="shared" si="292"/>
        <v>1.2796514400122836</v>
      </c>
      <c r="AC827">
        <f t="shared" si="293"/>
        <v>6000</v>
      </c>
      <c r="AD827">
        <f t="shared" si="294"/>
        <v>17.570705717345245</v>
      </c>
      <c r="AE827">
        <f t="shared" si="295"/>
        <v>6.8550381058177763</v>
      </c>
      <c r="AF827">
        <f t="shared" si="296"/>
        <v>6000</v>
      </c>
      <c r="AG827">
        <f t="shared" si="297"/>
        <v>17.570705717345245</v>
      </c>
      <c r="AH827">
        <f t="shared" si="298"/>
        <v>6.8550381058177763</v>
      </c>
      <c r="AI827" cm="1">
        <f t="array" ref="AI827">_xlfn.LET(
    _xlpm.vals,   _xlfn.HSTACK(S827,V827,Y827,AB827,AE827,AH827),
    _xlpm.ints,   _xlfn.HSTACK(R827,U827,X827,AA827,AD827,AG827),
    _xlpm.slopes, _xlfn.HSTACK(Q827,T827,W827,Z827,AC827,AF827),
    _xlpm.limit,  -0.00001*_xlpm.slopes + 0.1086*_xlpm.slopes + 63.253,
    _xlpm.mask,   (_xlpm.vals&gt;=0) * (_xlpm.ints&lt;=_xlpm.limit),
    _xlpm.validVals, _xlfn._xlws.FILTER(_xlpm.vals, _xlpm.mask),
    _xlpm.minVal, MIN(_xlpm.validVals),
    IFERROR( _xlfn.XMATCH(_xlpm.minVal, _xlpm.vals), "" )
)</f>
        <v>4</v>
      </c>
      <c r="AJ827" cm="1">
        <f t="array" ref="AJ827">_xlfn.LET(
    _xlpm.vals, CHOOSE({1,2,3,4,5,6}, S827, V827, Y827, AB827, AE827, AH827),
    _xlpm.slopes, CHOOSE({1,2,3,4,5,6}, Q827, T827, W827, Z827, AC827, AF827),
    _xlpm.ints, CHOOSE({1,2,3,4,5,6}, R827, U827, X827, AA827, AD827, AG827),
    _xlpm.limit, -0.00001*_xlpm.slopes + 0.1086*_xlpm.slopes + 63.253,
    _xlpm.valid, (_xlpm.vals &gt;= 0) * (_xlpm.ints &lt;= _xlpm.limit),
    _xlpm.target, MIN(_xlfn._xlws.FILTER(_xlpm.vals, _xlpm.valid)),
    IFERROR(
        _xlfn.XLOOKUP(_xlpm.target, _xlpm.vals, _xlpm.vals),
        CHOOSE({1,2,3,4,5,6}, S$1, V$1, Y$1, AB$1, AE$1, AH$1)
    )
)</f>
        <v>1.2796514400122836</v>
      </c>
    </row>
    <row r="828" spans="9:36" x14ac:dyDescent="0.45">
      <c r="I828">
        <v>826</v>
      </c>
      <c r="J828">
        <v>26.7</v>
      </c>
      <c r="K828">
        <f t="shared" si="277"/>
        <v>26.7</v>
      </c>
      <c r="L828">
        <f t="shared" si="276"/>
        <v>7.4166666666666669E-3</v>
      </c>
      <c r="M828">
        <v>6.71</v>
      </c>
      <c r="N828">
        <f t="shared" si="278"/>
        <v>6.71</v>
      </c>
      <c r="O828">
        <f t="shared" si="279"/>
        <v>346.97138041765913</v>
      </c>
      <c r="P828">
        <f t="shared" si="280"/>
        <v>1110.3084173365094</v>
      </c>
      <c r="Q828">
        <f t="shared" si="281"/>
        <v>5085.2125514012132</v>
      </c>
      <c r="R828">
        <f t="shared" si="282"/>
        <v>12.600413343812187</v>
      </c>
      <c r="S828">
        <f t="shared" si="283"/>
        <v>4.1384179547004853</v>
      </c>
      <c r="T828">
        <f t="shared" si="284"/>
        <v>3286.5129153160678</v>
      </c>
      <c r="U828">
        <f t="shared" si="285"/>
        <v>19.496585511709398</v>
      </c>
      <c r="V828">
        <f t="shared" si="286"/>
        <v>1.509034900965629</v>
      </c>
      <c r="W828">
        <f t="shared" si="287"/>
        <v>2120.6890771127328</v>
      </c>
      <c r="X828">
        <f t="shared" si="288"/>
        <v>30.214603724952788</v>
      </c>
      <c r="Y828">
        <f t="shared" si="289"/>
        <v>0.98298123918692359</v>
      </c>
      <c r="Z828">
        <f t="shared" si="290"/>
        <v>1598.8441209645734</v>
      </c>
      <c r="AA828">
        <f t="shared" si="291"/>
        <v>40.076314662958211</v>
      </c>
      <c r="AB828">
        <f t="shared" si="292"/>
        <v>0.90380366012428348</v>
      </c>
      <c r="AC828">
        <f t="shared" si="293"/>
        <v>6000</v>
      </c>
      <c r="AD828">
        <f t="shared" si="294"/>
        <v>10.679296681466177</v>
      </c>
      <c r="AE828">
        <f t="shared" si="295"/>
        <v>6.7826553426757554</v>
      </c>
      <c r="AF828">
        <f t="shared" si="296"/>
        <v>6000</v>
      </c>
      <c r="AG828">
        <f t="shared" si="297"/>
        <v>10.679296681466177</v>
      </c>
      <c r="AH828">
        <f t="shared" si="298"/>
        <v>6.7826553426757554</v>
      </c>
      <c r="AI828" cm="1">
        <f t="array" ref="AI828">_xlfn.LET(
    _xlpm.vals,   _xlfn.HSTACK(S828,V828,Y828,AB828,AE828,AH828),
    _xlpm.ints,   _xlfn.HSTACK(R828,U828,X828,AA828,AD828,AG828),
    _xlpm.slopes, _xlfn.HSTACK(Q828,T828,W828,Z828,AC828,AF828),
    _xlpm.limit,  -0.00001*_xlpm.slopes + 0.1086*_xlpm.slopes + 63.253,
    _xlpm.mask,   (_xlpm.vals&gt;=0) * (_xlpm.ints&lt;=_xlpm.limit),
    _xlpm.validVals, _xlfn._xlws.FILTER(_xlpm.vals, _xlpm.mask),
    _xlpm.minVal, MIN(_xlpm.validVals),
    IFERROR( _xlfn.XMATCH(_xlpm.minVal, _xlpm.vals), "" )
)</f>
        <v>4</v>
      </c>
      <c r="AJ828" cm="1">
        <f t="array" ref="AJ828">_xlfn.LET(
    _xlpm.vals, CHOOSE({1,2,3,4,5,6}, S828, V828, Y828, AB828, AE828, AH828),
    _xlpm.slopes, CHOOSE({1,2,3,4,5,6}, Q828, T828, W828, Z828, AC828, AF828),
    _xlpm.ints, CHOOSE({1,2,3,4,5,6}, R828, U828, X828, AA828, AD828, AG828),
    _xlpm.limit, -0.00001*_xlpm.slopes + 0.1086*_xlpm.slopes + 63.253,
    _xlpm.valid, (_xlpm.vals &gt;= 0) * (_xlpm.ints &lt;= _xlpm.limit),
    _xlpm.target, MIN(_xlfn._xlws.FILTER(_xlpm.vals, _xlpm.valid)),
    IFERROR(
        _xlfn.XLOOKUP(_xlpm.target, _xlpm.vals, _xlpm.vals),
        CHOOSE({1,2,3,4,5,6}, S$1, V$1, Y$1, AB$1, AE$1, AH$1)
    )
)</f>
        <v>0.90380366012428348</v>
      </c>
    </row>
    <row r="829" spans="9:36" x14ac:dyDescent="0.45">
      <c r="I829">
        <v>827</v>
      </c>
      <c r="J829">
        <v>26.7</v>
      </c>
      <c r="K829">
        <f t="shared" si="277"/>
        <v>26.7</v>
      </c>
      <c r="L829">
        <f t="shared" si="276"/>
        <v>7.4166666666666669E-3</v>
      </c>
      <c r="M829">
        <v>4.84</v>
      </c>
      <c r="N829">
        <f t="shared" si="278"/>
        <v>4.84</v>
      </c>
      <c r="O829">
        <f t="shared" si="279"/>
        <v>346.97138041765913</v>
      </c>
      <c r="P829">
        <f t="shared" si="280"/>
        <v>1110.3084173365094</v>
      </c>
      <c r="Q829">
        <f t="shared" si="281"/>
        <v>5085.2125514012132</v>
      </c>
      <c r="R829">
        <f t="shared" si="282"/>
        <v>9.0888227397989549</v>
      </c>
      <c r="S829">
        <f t="shared" si="283"/>
        <v>4.088962132381174</v>
      </c>
      <c r="T829">
        <f t="shared" si="284"/>
        <v>3286.5129153160678</v>
      </c>
      <c r="U829">
        <f t="shared" si="285"/>
        <v>14.063110860905141</v>
      </c>
      <c r="V829">
        <f t="shared" si="286"/>
        <v>1.4130104567327095</v>
      </c>
      <c r="W829">
        <f t="shared" si="287"/>
        <v>2120.6890771127328</v>
      </c>
      <c r="X829">
        <f t="shared" si="288"/>
        <v>21.794140391769222</v>
      </c>
      <c r="Y829">
        <f t="shared" si="289"/>
        <v>0.85234149762720968</v>
      </c>
      <c r="Z829">
        <f t="shared" si="290"/>
        <v>1598.8441209645734</v>
      </c>
      <c r="AA829">
        <f t="shared" si="291"/>
        <v>28.907505658527235</v>
      </c>
      <c r="AB829">
        <f t="shared" si="292"/>
        <v>0.75414136641465712</v>
      </c>
      <c r="AC829">
        <f t="shared" si="293"/>
        <v>6000</v>
      </c>
      <c r="AD829">
        <f t="shared" si="294"/>
        <v>7.703099245647735</v>
      </c>
      <c r="AE829">
        <f t="shared" si="295"/>
        <v>6.7559421140475502</v>
      </c>
      <c r="AF829">
        <f t="shared" si="296"/>
        <v>6000</v>
      </c>
      <c r="AG829">
        <f t="shared" si="297"/>
        <v>7.703099245647735</v>
      </c>
      <c r="AH829">
        <f t="shared" si="298"/>
        <v>6.7559421140475502</v>
      </c>
      <c r="AI829" cm="1">
        <f t="array" ref="AI829">_xlfn.LET(
    _xlpm.vals,   _xlfn.HSTACK(S829,V829,Y829,AB829,AE829,AH829),
    _xlpm.ints,   _xlfn.HSTACK(R829,U829,X829,AA829,AD829,AG829),
    _xlpm.slopes, _xlfn.HSTACK(Q829,T829,W829,Z829,AC829,AF829),
    _xlpm.limit,  -0.00001*_xlpm.slopes + 0.1086*_xlpm.slopes + 63.253,
    _xlpm.mask,   (_xlpm.vals&gt;=0) * (_xlpm.ints&lt;=_xlpm.limit),
    _xlpm.validVals, _xlfn._xlws.FILTER(_xlpm.vals, _xlpm.mask),
    _xlpm.minVal, MIN(_xlpm.validVals),
    IFERROR( _xlfn.XMATCH(_xlpm.minVal, _xlpm.vals), "" )
)</f>
        <v>4</v>
      </c>
      <c r="AJ829" cm="1">
        <f t="array" ref="AJ829">_xlfn.LET(
    _xlpm.vals, CHOOSE({1,2,3,4,5,6}, S829, V829, Y829, AB829, AE829, AH829),
    _xlpm.slopes, CHOOSE({1,2,3,4,5,6}, Q829, T829, W829, Z829, AC829, AF829),
    _xlpm.ints, CHOOSE({1,2,3,4,5,6}, R829, U829, X829, AA829, AD829, AG829),
    _xlpm.limit, -0.00001*_xlpm.slopes + 0.1086*_xlpm.slopes + 63.253,
    _xlpm.valid, (_xlpm.vals &gt;= 0) * (_xlpm.ints &lt;= _xlpm.limit),
    _xlpm.target, MIN(_xlfn._xlws.FILTER(_xlpm.vals, _xlpm.valid)),
    IFERROR(
        _xlfn.XLOOKUP(_xlpm.target, _xlpm.vals, _xlpm.vals),
        CHOOSE({1,2,3,4,5,6}, S$1, V$1, Y$1, AB$1, AE$1, AH$1)
    )
)</f>
        <v>0.75414136641465712</v>
      </c>
    </row>
    <row r="830" spans="9:36" x14ac:dyDescent="0.45">
      <c r="I830">
        <v>828</v>
      </c>
      <c r="J830">
        <v>26.8</v>
      </c>
      <c r="K830">
        <f t="shared" si="277"/>
        <v>26.8</v>
      </c>
      <c r="L830">
        <f t="shared" si="276"/>
        <v>7.4444444444444445E-3</v>
      </c>
      <c r="M830">
        <v>6.22</v>
      </c>
      <c r="N830">
        <f t="shared" si="278"/>
        <v>6.22</v>
      </c>
      <c r="O830">
        <f t="shared" si="279"/>
        <v>348.270898696377</v>
      </c>
      <c r="P830">
        <f t="shared" si="280"/>
        <v>1114.4668758284065</v>
      </c>
      <c r="Q830">
        <f t="shared" si="281"/>
        <v>5104.2582912941016</v>
      </c>
      <c r="R830">
        <f t="shared" si="282"/>
        <v>11.636680859823082</v>
      </c>
      <c r="S830">
        <f t="shared" si="283"/>
        <v>4.1698383854620191</v>
      </c>
      <c r="T830">
        <f t="shared" si="284"/>
        <v>3298.8219524520832</v>
      </c>
      <c r="U830">
        <f t="shared" si="285"/>
        <v>18.005404843915446</v>
      </c>
      <c r="V830">
        <f t="shared" si="286"/>
        <v>1.4926913633840941</v>
      </c>
      <c r="W830">
        <f t="shared" si="287"/>
        <v>2128.6317328322561</v>
      </c>
      <c r="X830">
        <f t="shared" si="288"/>
        <v>27.903664051303519</v>
      </c>
      <c r="Y830">
        <f t="shared" si="289"/>
        <v>0.94972141987464109</v>
      </c>
      <c r="Z830">
        <f t="shared" si="290"/>
        <v>1604.8323011929053</v>
      </c>
      <c r="AA830">
        <f t="shared" si="291"/>
        <v>37.011109956937304</v>
      </c>
      <c r="AB830">
        <f t="shared" si="292"/>
        <v>0.86425419118019353</v>
      </c>
      <c r="AC830">
        <f t="shared" si="293"/>
        <v>6000</v>
      </c>
      <c r="AD830">
        <f t="shared" si="294"/>
        <v>9.899437460315891</v>
      </c>
      <c r="AE830">
        <f t="shared" si="295"/>
        <v>6.7753858678374934</v>
      </c>
      <c r="AF830">
        <f t="shared" si="296"/>
        <v>6000</v>
      </c>
      <c r="AG830">
        <f t="shared" si="297"/>
        <v>9.899437460315891</v>
      </c>
      <c r="AH830">
        <f t="shared" si="298"/>
        <v>6.7753858678374934</v>
      </c>
      <c r="AI830" cm="1">
        <f t="array" ref="AI830">_xlfn.LET(
    _xlpm.vals,   _xlfn.HSTACK(S830,V830,Y830,AB830,AE830,AH830),
    _xlpm.ints,   _xlfn.HSTACK(R830,U830,X830,AA830,AD830,AG830),
    _xlpm.slopes, _xlfn.HSTACK(Q830,T830,W830,Z830,AC830,AF830),
    _xlpm.limit,  -0.00001*_xlpm.slopes + 0.1086*_xlpm.slopes + 63.253,
    _xlpm.mask,   (_xlpm.vals&gt;=0) * (_xlpm.ints&lt;=_xlpm.limit),
    _xlpm.validVals, _xlfn._xlws.FILTER(_xlpm.vals, _xlpm.mask),
    _xlpm.minVal, MIN(_xlpm.validVals),
    IFERROR( _xlfn.XMATCH(_xlpm.minVal, _xlpm.vals), "" )
)</f>
        <v>4</v>
      </c>
      <c r="AJ830" cm="1">
        <f t="array" ref="AJ830">_xlfn.LET(
    _xlpm.vals, CHOOSE({1,2,3,4,5,6}, S830, V830, Y830, AB830, AE830, AH830),
    _xlpm.slopes, CHOOSE({1,2,3,4,5,6}, Q830, T830, W830, Z830, AC830, AF830),
    _xlpm.ints, CHOOSE({1,2,3,4,5,6}, R830, U830, X830, AA830, AD830, AG830),
    _xlpm.limit, -0.00001*_xlpm.slopes + 0.1086*_xlpm.slopes + 63.253,
    _xlpm.valid, (_xlpm.vals &gt;= 0) * (_xlpm.ints &lt;= _xlpm.limit),
    _xlpm.target, MIN(_xlfn._xlws.FILTER(_xlpm.vals, _xlpm.valid)),
    IFERROR(
        _xlfn.XLOOKUP(_xlpm.target, _xlpm.vals, _xlpm.vals),
        CHOOSE({1,2,3,4,5,6}, S$1, V$1, Y$1, AB$1, AE$1, AH$1)
    )
)</f>
        <v>0.86425419118019353</v>
      </c>
    </row>
    <row r="831" spans="9:36" x14ac:dyDescent="0.45">
      <c r="I831">
        <v>829</v>
      </c>
      <c r="J831">
        <v>27.1</v>
      </c>
      <c r="K831">
        <f t="shared" si="277"/>
        <v>27.1</v>
      </c>
      <c r="L831">
        <f t="shared" si="276"/>
        <v>7.5277777777777782E-3</v>
      </c>
      <c r="M831">
        <v>9.1300000000000008</v>
      </c>
      <c r="N831">
        <f t="shared" si="278"/>
        <v>9.1300000000000008</v>
      </c>
      <c r="O831">
        <f t="shared" si="279"/>
        <v>352.1694535325305</v>
      </c>
      <c r="P831">
        <f t="shared" si="280"/>
        <v>1126.9422513040977</v>
      </c>
      <c r="Q831">
        <f t="shared" si="281"/>
        <v>5161.3955109727676</v>
      </c>
      <c r="R831">
        <f t="shared" si="282"/>
        <v>16.891764570335845</v>
      </c>
      <c r="S831">
        <f t="shared" si="283"/>
        <v>4.3856352257891746</v>
      </c>
      <c r="T831">
        <f t="shared" si="284"/>
        <v>3335.7490638601289</v>
      </c>
      <c r="U831">
        <f t="shared" si="285"/>
        <v>26.136581666262899</v>
      </c>
      <c r="V831">
        <f t="shared" si="286"/>
        <v>1.6770782245010072</v>
      </c>
      <c r="W831">
        <f t="shared" si="287"/>
        <v>2152.4596999908263</v>
      </c>
      <c r="X831">
        <f t="shared" si="288"/>
        <v>40.504859545622082</v>
      </c>
      <c r="Y831">
        <f t="shared" si="289"/>
        <v>1.1694131421902592</v>
      </c>
      <c r="Z831">
        <f t="shared" si="290"/>
        <v>1622.7968418779005</v>
      </c>
      <c r="AA831">
        <f t="shared" si="291"/>
        <v>53.725195647318174</v>
      </c>
      <c r="AB831">
        <f t="shared" si="292"/>
        <v>1.1116190086361093</v>
      </c>
      <c r="AC831">
        <f t="shared" si="293"/>
        <v>6000</v>
      </c>
      <c r="AD831">
        <f t="shared" si="294"/>
        <v>14.530846304290044</v>
      </c>
      <c r="AE831">
        <f t="shared" si="295"/>
        <v>6.821324585999001</v>
      </c>
      <c r="AF831">
        <f t="shared" si="296"/>
        <v>6000</v>
      </c>
      <c r="AG831">
        <f t="shared" si="297"/>
        <v>14.530846304290044</v>
      </c>
      <c r="AH831">
        <f t="shared" si="298"/>
        <v>6.821324585999001</v>
      </c>
      <c r="AI831" cm="1">
        <f t="array" ref="AI831">_xlfn.LET(
    _xlpm.vals,   _xlfn.HSTACK(S831,V831,Y831,AB831,AE831,AH831),
    _xlpm.ints,   _xlfn.HSTACK(R831,U831,X831,AA831,AD831,AG831),
    _xlpm.slopes, _xlfn.HSTACK(Q831,T831,W831,Z831,AC831,AF831),
    _xlpm.limit,  -0.00001*_xlpm.slopes + 0.1086*_xlpm.slopes + 63.253,
    _xlpm.mask,   (_xlpm.vals&gt;=0) * (_xlpm.ints&lt;=_xlpm.limit),
    _xlpm.validVals, _xlfn._xlws.FILTER(_xlpm.vals, _xlpm.mask),
    _xlpm.minVal, MIN(_xlpm.validVals),
    IFERROR( _xlfn.XMATCH(_xlpm.minVal, _xlpm.vals), "" )
)</f>
        <v>4</v>
      </c>
      <c r="AJ831" cm="1">
        <f t="array" ref="AJ831">_xlfn.LET(
    _xlpm.vals, CHOOSE({1,2,3,4,5,6}, S831, V831, Y831, AB831, AE831, AH831),
    _xlpm.slopes, CHOOSE({1,2,3,4,5,6}, Q831, T831, W831, Z831, AC831, AF831),
    _xlpm.ints, CHOOSE({1,2,3,4,5,6}, R831, U831, X831, AA831, AD831, AG831),
    _xlpm.limit, -0.00001*_xlpm.slopes + 0.1086*_xlpm.slopes + 63.253,
    _xlpm.valid, (_xlpm.vals &gt;= 0) * (_xlpm.ints &lt;= _xlpm.limit),
    _xlpm.target, MIN(_xlfn._xlws.FILTER(_xlpm.vals, _xlpm.valid)),
    IFERROR(
        _xlfn.XLOOKUP(_xlpm.target, _xlpm.vals, _xlpm.vals),
        CHOOSE({1,2,3,4,5,6}, S$1, V$1, Y$1, AB$1, AE$1, AH$1)
    )
)</f>
        <v>1.1116190086361093</v>
      </c>
    </row>
    <row r="832" spans="9:36" x14ac:dyDescent="0.45">
      <c r="I832">
        <v>830</v>
      </c>
      <c r="J832">
        <v>27.3</v>
      </c>
      <c r="K832">
        <f t="shared" si="277"/>
        <v>27.3</v>
      </c>
      <c r="L832">
        <f t="shared" si="276"/>
        <v>7.5833333333333334E-3</v>
      </c>
      <c r="M832">
        <v>7.79</v>
      </c>
      <c r="N832">
        <f t="shared" si="278"/>
        <v>7.79</v>
      </c>
      <c r="O832">
        <f t="shared" si="279"/>
        <v>354.76849008996612</v>
      </c>
      <c r="P832">
        <f t="shared" si="280"/>
        <v>1135.2591682878917</v>
      </c>
      <c r="Q832">
        <f t="shared" si="281"/>
        <v>5199.4869907585444</v>
      </c>
      <c r="R832">
        <f t="shared" si="282"/>
        <v>14.306992311620228</v>
      </c>
      <c r="S832">
        <f t="shared" si="283"/>
        <v>4.4405605267802075</v>
      </c>
      <c r="T832">
        <f t="shared" si="284"/>
        <v>3360.3671381321597</v>
      </c>
      <c r="U832">
        <f t="shared" si="285"/>
        <v>22.137170536223191</v>
      </c>
      <c r="V832">
        <f t="shared" si="286"/>
        <v>1.6227899793359011</v>
      </c>
      <c r="W832">
        <f t="shared" si="287"/>
        <v>2168.345011429873</v>
      </c>
      <c r="X832">
        <f t="shared" si="288"/>
        <v>34.306819260324943</v>
      </c>
      <c r="Y832">
        <f t="shared" si="289"/>
        <v>1.0718904431623653</v>
      </c>
      <c r="Z832">
        <f t="shared" si="290"/>
        <v>1634.7732023345641</v>
      </c>
      <c r="AA832">
        <f t="shared" si="291"/>
        <v>45.504183880014331</v>
      </c>
      <c r="AB832">
        <f t="shared" si="292"/>
        <v>0.99733195574369882</v>
      </c>
      <c r="AC832">
        <f t="shared" si="293"/>
        <v>6000</v>
      </c>
      <c r="AD832">
        <f t="shared" si="294"/>
        <v>12.398170066858647</v>
      </c>
      <c r="AE832">
        <f t="shared" si="295"/>
        <v>6.7993472596193545</v>
      </c>
      <c r="AF832">
        <f t="shared" si="296"/>
        <v>6000</v>
      </c>
      <c r="AG832">
        <f t="shared" si="297"/>
        <v>12.398170066858647</v>
      </c>
      <c r="AH832">
        <f t="shared" si="298"/>
        <v>6.7993472596193545</v>
      </c>
      <c r="AI832" cm="1">
        <f t="array" ref="AI832">_xlfn.LET(
    _xlpm.vals,   _xlfn.HSTACK(S832,V832,Y832,AB832,AE832,AH832),
    _xlpm.ints,   _xlfn.HSTACK(R832,U832,X832,AA832,AD832,AG832),
    _xlpm.slopes, _xlfn.HSTACK(Q832,T832,W832,Z832,AC832,AF832),
    _xlpm.limit,  -0.00001*_xlpm.slopes + 0.1086*_xlpm.slopes + 63.253,
    _xlpm.mask,   (_xlpm.vals&gt;=0) * (_xlpm.ints&lt;=_xlpm.limit),
    _xlpm.validVals, _xlfn._xlws.FILTER(_xlpm.vals, _xlpm.mask),
    _xlpm.minVal, MIN(_xlpm.validVals),
    IFERROR( _xlfn.XMATCH(_xlpm.minVal, _xlpm.vals), "" )
)</f>
        <v>4</v>
      </c>
      <c r="AJ832" cm="1">
        <f t="array" ref="AJ832">_xlfn.LET(
    _xlpm.vals, CHOOSE({1,2,3,4,5,6}, S832, V832, Y832, AB832, AE832, AH832),
    _xlpm.slopes, CHOOSE({1,2,3,4,5,6}, Q832, T832, W832, Z832, AC832, AF832),
    _xlpm.ints, CHOOSE({1,2,3,4,5,6}, R832, U832, X832, AA832, AD832, AG832),
    _xlpm.limit, -0.00001*_xlpm.slopes + 0.1086*_xlpm.slopes + 63.253,
    _xlpm.valid, (_xlpm.vals &gt;= 0) * (_xlpm.ints &lt;= _xlpm.limit),
    _xlpm.target, MIN(_xlfn._xlws.FILTER(_xlpm.vals, _xlpm.valid)),
    IFERROR(
        _xlfn.XLOOKUP(_xlpm.target, _xlpm.vals, _xlpm.vals),
        CHOOSE({1,2,3,4,5,6}, S$1, V$1, Y$1, AB$1, AE$1, AH$1)
    )
)</f>
        <v>0.99733195574369882</v>
      </c>
    </row>
    <row r="833" spans="9:36" x14ac:dyDescent="0.45">
      <c r="I833">
        <v>831</v>
      </c>
      <c r="J833">
        <v>27.8</v>
      </c>
      <c r="K833">
        <f t="shared" si="277"/>
        <v>27.8</v>
      </c>
      <c r="L833">
        <f t="shared" si="276"/>
        <v>7.7222222222222223E-3</v>
      </c>
      <c r="M833">
        <v>9.3699999999999992</v>
      </c>
      <c r="N833">
        <f t="shared" si="278"/>
        <v>9.3699999999999992</v>
      </c>
      <c r="O833">
        <f t="shared" si="279"/>
        <v>361.26608148355524</v>
      </c>
      <c r="P833">
        <f t="shared" si="280"/>
        <v>1156.0514607473767</v>
      </c>
      <c r="Q833">
        <f t="shared" si="281"/>
        <v>5294.7156902229854</v>
      </c>
      <c r="R833">
        <f t="shared" si="282"/>
        <v>16.899284917505224</v>
      </c>
      <c r="S833">
        <f t="shared" si="283"/>
        <v>4.7203176259217319</v>
      </c>
      <c r="T833">
        <f t="shared" si="284"/>
        <v>3421.9123238122352</v>
      </c>
      <c r="U833">
        <f t="shared" si="285"/>
        <v>26.148217879112813</v>
      </c>
      <c r="V833">
        <f t="shared" si="286"/>
        <v>1.7564957165213033</v>
      </c>
      <c r="W833">
        <f t="shared" si="287"/>
        <v>2208.0582900274894</v>
      </c>
      <c r="X833">
        <f t="shared" si="288"/>
        <v>40.522892629410435</v>
      </c>
      <c r="Y833">
        <f t="shared" si="289"/>
        <v>1.1980666102383435</v>
      </c>
      <c r="Z833">
        <f t="shared" si="290"/>
        <v>1664.7141034762224</v>
      </c>
      <c r="AA833">
        <f t="shared" si="291"/>
        <v>53.749114529287453</v>
      </c>
      <c r="AB833">
        <f t="shared" si="292"/>
        <v>1.1347025558663435</v>
      </c>
      <c r="AC833">
        <f t="shared" si="293"/>
        <v>6000</v>
      </c>
      <c r="AD833">
        <f t="shared" si="294"/>
        <v>14.912818167710594</v>
      </c>
      <c r="AE833">
        <f t="shared" si="295"/>
        <v>6.8254075654787298</v>
      </c>
      <c r="AF833">
        <f t="shared" si="296"/>
        <v>6000</v>
      </c>
      <c r="AG833">
        <f t="shared" si="297"/>
        <v>14.912818167710594</v>
      </c>
      <c r="AH833">
        <f t="shared" si="298"/>
        <v>6.8254075654787298</v>
      </c>
      <c r="AI833" cm="1">
        <f t="array" ref="AI833">_xlfn.LET(
    _xlpm.vals,   _xlfn.HSTACK(S833,V833,Y833,AB833,AE833,AH833),
    _xlpm.ints,   _xlfn.HSTACK(R833,U833,X833,AA833,AD833,AG833),
    _xlpm.slopes, _xlfn.HSTACK(Q833,T833,W833,Z833,AC833,AF833),
    _xlpm.limit,  -0.00001*_xlpm.slopes + 0.1086*_xlpm.slopes + 63.253,
    _xlpm.mask,   (_xlpm.vals&gt;=0) * (_xlpm.ints&lt;=_xlpm.limit),
    _xlpm.validVals, _xlfn._xlws.FILTER(_xlpm.vals, _xlpm.mask),
    _xlpm.minVal, MIN(_xlpm.validVals),
    IFERROR( _xlfn.XMATCH(_xlpm.minVal, _xlpm.vals), "" )
)</f>
        <v>4</v>
      </c>
      <c r="AJ833" cm="1">
        <f t="array" ref="AJ833">_xlfn.LET(
    _xlpm.vals, CHOOSE({1,2,3,4,5,6}, S833, V833, Y833, AB833, AE833, AH833),
    _xlpm.slopes, CHOOSE({1,2,3,4,5,6}, Q833, T833, W833, Z833, AC833, AF833),
    _xlpm.ints, CHOOSE({1,2,3,4,5,6}, R833, U833, X833, AA833, AD833, AG833),
    _xlpm.limit, -0.00001*_xlpm.slopes + 0.1086*_xlpm.slopes + 63.253,
    _xlpm.valid, (_xlpm.vals &gt;= 0) * (_xlpm.ints &lt;= _xlpm.limit),
    _xlpm.target, MIN(_xlfn._xlws.FILTER(_xlpm.vals, _xlpm.valid)),
    IFERROR(
        _xlfn.XLOOKUP(_xlpm.target, _xlpm.vals, _xlpm.vals),
        CHOOSE({1,2,3,4,5,6}, S$1, V$1, Y$1, AB$1, AE$1, AH$1)
    )
)</f>
        <v>1.1347025558663435</v>
      </c>
    </row>
    <row r="834" spans="9:36" x14ac:dyDescent="0.45">
      <c r="I834">
        <v>832</v>
      </c>
      <c r="J834">
        <v>28.3</v>
      </c>
      <c r="K834">
        <f t="shared" si="277"/>
        <v>28.3</v>
      </c>
      <c r="L834">
        <f t="shared" ref="L834:L897" si="299">K834*(1/3600)</f>
        <v>7.8611111111111121E-3</v>
      </c>
      <c r="M834">
        <v>10.28</v>
      </c>
      <c r="N834">
        <f t="shared" si="278"/>
        <v>10.28</v>
      </c>
      <c r="O834">
        <f t="shared" si="279"/>
        <v>367.76367287714436</v>
      </c>
      <c r="P834">
        <f t="shared" si="280"/>
        <v>1176.8437532068619</v>
      </c>
      <c r="Q834">
        <f t="shared" si="281"/>
        <v>5389.9443896874282</v>
      </c>
      <c r="R834">
        <f t="shared" si="282"/>
        <v>18.212946517018498</v>
      </c>
      <c r="S834">
        <f t="shared" si="283"/>
        <v>4.9910906359765459</v>
      </c>
      <c r="T834">
        <f t="shared" si="284"/>
        <v>3483.4575094923111</v>
      </c>
      <c r="U834">
        <f t="shared" si="285"/>
        <v>28.180842921602949</v>
      </c>
      <c r="V834">
        <f t="shared" si="286"/>
        <v>1.8560030955900075</v>
      </c>
      <c r="W834">
        <f t="shared" si="287"/>
        <v>2247.7715686251063</v>
      </c>
      <c r="X834">
        <f t="shared" si="288"/>
        <v>43.672929344473687</v>
      </c>
      <c r="Y834">
        <f t="shared" si="289"/>
        <v>1.2750738694875736</v>
      </c>
      <c r="Z834">
        <f t="shared" si="290"/>
        <v>1694.6550046178811</v>
      </c>
      <c r="AA834">
        <f t="shared" si="291"/>
        <v>57.927288227739403</v>
      </c>
      <c r="AB834">
        <f t="shared" si="292"/>
        <v>1.2153957735110708</v>
      </c>
      <c r="AC834">
        <f t="shared" si="293"/>
        <v>6000</v>
      </c>
      <c r="AD834">
        <f t="shared" si="294"/>
        <v>16.361128149846841</v>
      </c>
      <c r="AE834">
        <f t="shared" si="295"/>
        <v>6.8412901813142906</v>
      </c>
      <c r="AF834">
        <f t="shared" si="296"/>
        <v>6000</v>
      </c>
      <c r="AG834">
        <f t="shared" si="297"/>
        <v>16.361128149846841</v>
      </c>
      <c r="AH834">
        <f t="shared" si="298"/>
        <v>6.8412901813142906</v>
      </c>
      <c r="AI834" cm="1">
        <f t="array" ref="AI834">_xlfn.LET(
    _xlpm.vals,   _xlfn.HSTACK(S834,V834,Y834,AB834,AE834,AH834),
    _xlpm.ints,   _xlfn.HSTACK(R834,U834,X834,AA834,AD834,AG834),
    _xlpm.slopes, _xlfn.HSTACK(Q834,T834,W834,Z834,AC834,AF834),
    _xlpm.limit,  -0.00001*_xlpm.slopes + 0.1086*_xlpm.slopes + 63.253,
    _xlpm.mask,   (_xlpm.vals&gt;=0) * (_xlpm.ints&lt;=_xlpm.limit),
    _xlpm.validVals, _xlfn._xlws.FILTER(_xlpm.vals, _xlpm.mask),
    _xlpm.minVal, MIN(_xlpm.validVals),
    IFERROR( _xlfn.XMATCH(_xlpm.minVal, _xlpm.vals), "" )
)</f>
        <v>4</v>
      </c>
      <c r="AJ834" cm="1">
        <f t="array" ref="AJ834">_xlfn.LET(
    _xlpm.vals, CHOOSE({1,2,3,4,5,6}, S834, V834, Y834, AB834, AE834, AH834),
    _xlpm.slopes, CHOOSE({1,2,3,4,5,6}, Q834, T834, W834, Z834, AC834, AF834),
    _xlpm.ints, CHOOSE({1,2,3,4,5,6}, R834, U834, X834, AA834, AD834, AG834),
    _xlpm.limit, -0.00001*_xlpm.slopes + 0.1086*_xlpm.slopes + 63.253,
    _xlpm.valid, (_xlpm.vals &gt;= 0) * (_xlpm.ints &lt;= _xlpm.limit),
    _xlpm.target, MIN(_xlfn._xlws.FILTER(_xlpm.vals, _xlpm.valid)),
    IFERROR(
        _xlfn.XLOOKUP(_xlpm.target, _xlpm.vals, _xlpm.vals),
        CHOOSE({1,2,3,4,5,6}, S$1, V$1, Y$1, AB$1, AE$1, AH$1)
    )
)</f>
        <v>1.2153957735110708</v>
      </c>
    </row>
    <row r="835" spans="9:36" x14ac:dyDescent="0.45">
      <c r="I835">
        <v>833</v>
      </c>
      <c r="J835">
        <v>28.8</v>
      </c>
      <c r="K835">
        <f t="shared" ref="K835:K898" si="300">IF(J835&lt;0,0,J835)</f>
        <v>28.8</v>
      </c>
      <c r="L835">
        <f t="shared" si="299"/>
        <v>8.0000000000000002E-3</v>
      </c>
      <c r="M835">
        <v>11.08</v>
      </c>
      <c r="N835">
        <f t="shared" ref="N835:N898" si="301">IF(M835&lt;0,0,M835)</f>
        <v>11.08</v>
      </c>
      <c r="O835">
        <f t="shared" ref="O835:O898" si="302">(K835*0.44704*60)/(PI()*$B$2)</f>
        <v>374.26126427073348</v>
      </c>
      <c r="P835">
        <f t="shared" ref="P835:P898" si="303">O835*3.2</f>
        <v>1197.6360456663472</v>
      </c>
      <c r="Q835">
        <f t="shared" ref="Q835:Q898" si="304">IF(4.58*P835&lt;1000,1000,4.58*P835)</f>
        <v>5485.17308915187</v>
      </c>
      <c r="R835">
        <f t="shared" ref="R835:R898" si="305">(1000*N835*60)/(Q835*2*PI())</f>
        <v>19.289492682873934</v>
      </c>
      <c r="S835">
        <f t="shared" ref="S835:S898" si="306">(0.072946 + (0.000364279 * Q835) + (-0.00248749 * R835) + (0.00000951906 * Q835 * R835) + (-0.000000165418 * Q835^2) + (0.000045414 * R835^2) + (-0.00000000135106 * Q835^2 * R835) + (0.0000000203184 * Q835 * R835^2) + (0.0000000000481318 * Q835^3) + (-0.00000034778 * R835^3))</f>
        <v>5.2684221162297149</v>
      </c>
      <c r="T835">
        <f t="shared" ref="T835:T898" si="307">IF(2.96*P835&lt;1000,6000,2.96*P835)</f>
        <v>3545.0026951723876</v>
      </c>
      <c r="U835">
        <f t="shared" ref="U835:U898" si="308">(1000*N835*60)/(T835*2*PI())</f>
        <v>29.846579894446833</v>
      </c>
      <c r="V835">
        <f t="shared" ref="V835:V898" si="309">(0.072946 + (0.000364279 * T835) + (-0.00248749 * U835) + (0.00000951906 * T835 * U835) + (-0.000000165418 * T835^2) + (0.000045414 * U835^2) + (-0.00000000135106 * T835^2 * U835) + (0.0000000203184 * T835 * U835^2) + (0.0000000000481318 * T835^3) + (-0.00000034778 * U835^3))</f>
        <v>1.9513282849152604</v>
      </c>
      <c r="W835">
        <f t="shared" ref="W835:W898" si="310">IF(1.91*P835&lt;1000,6000,1.91*P835)</f>
        <v>2287.4848472227231</v>
      </c>
      <c r="X835">
        <f t="shared" ref="X835:X898" si="311">(1000*N835*60)/(W835*2*PI())</f>
        <v>46.254385595582526</v>
      </c>
      <c r="Y835">
        <f t="shared" ref="Y835:Y898" si="312">(0.072946 + (0.000364279 * W835) + (-0.00248749 * X835) + (0.00000951906 * W835 * X835) + (-0.000000165418 * W835^2) + (0.000045414 * X835^2) + (-0.00000000135106 * W835^2 * X835) + (0.0000000203184 * W835 * X835^2) + (0.0000000000481318 * W835^3) + (-0.00000034778 * X835^3))</f>
        <v>1.3440814125586504</v>
      </c>
      <c r="Z835">
        <f t="shared" ref="Z835:Z898" si="313">IF(1.44*P835&lt;1000,6000,1.44*P835)</f>
        <v>1724.5959057595398</v>
      </c>
      <c r="AA835">
        <f t="shared" ref="AA835:AA898" si="314">(1000*N835*60)/(Z835*2*PI())</f>
        <v>61.351303116362935</v>
      </c>
      <c r="AB835">
        <f t="shared" ref="AB835:AB898" si="315">(0.072946 + (0.000364279 * Z835) + (-0.00248749 * AA835) + (0.00000951906 * Z835 * AA835) + (-0.000000165418 * Z835^2) + (0.000045414 * AA835^2) + (-0.00000000135106 * Z835^2 * AA835) + (0.0000000203184 * Z835 * AA835^2) + (0.0000000000481318 * Z835^3) + (-0.00000034778 * AA835^3))</f>
        <v>1.2866265180058527</v>
      </c>
      <c r="AC835">
        <f t="shared" ref="AC835:AC898" si="316">IF(0.74*P835&lt;1000,6000,0.74*P835)</f>
        <v>6000</v>
      </c>
      <c r="AD835">
        <f t="shared" ref="AD835:AD898" si="317">(1000*N835*60)/(AC835*2*PI())</f>
        <v>17.634367694582004</v>
      </c>
      <c r="AE835">
        <f t="shared" ref="AE835:AE898" si="318">(0.072946 + (0.000364279 * AC835) + (-0.00248749 * AD835) + (0.00000951906 * AC835 * AD835) + (-0.000000165418 * AC835^2) + (0.000045414 * AD835^2) + (-0.00000000135106 * AC835^2 * AD835) + (0.0000000203184 * AC835 * AD835^2) + (0.0000000000481318 * AC835^3) + (-0.00000034778 * AD835^3))</f>
        <v>6.8557737899462037</v>
      </c>
      <c r="AF835">
        <f t="shared" ref="AF835:AF898" si="319">IF(0.68*P835&lt;1000,6000,0.68*P835)</f>
        <v>6000</v>
      </c>
      <c r="AG835">
        <f t="shared" ref="AG835:AG898" si="320">(1000*N835*60)/(AF835*2*PI())</f>
        <v>17.634367694582004</v>
      </c>
      <c r="AH835">
        <f t="shared" ref="AH835:AH898" si="321">(0.072946 + (0.000364279 * AF835) + (-0.00248749 * AG835) + (0.00000951906 * AF835 * AG835) + (-0.000000165418 * AF835^2) + (0.000045414 * AG835^2) + (-0.00000000135106 * AF835^2 * AG835) + (0.0000000203184 * AF835 * AG835^2) + (0.0000000000481318 * AF835^3) + (-0.00000034778 * AG835^3))</f>
        <v>6.8557737899462037</v>
      </c>
      <c r="AI835" cm="1">
        <f t="array" ref="AI835">_xlfn.LET(
    _xlpm.vals,   _xlfn.HSTACK(S835,V835,Y835,AB835,AE835,AH835),
    _xlpm.ints,   _xlfn.HSTACK(R835,U835,X835,AA835,AD835,AG835),
    _xlpm.slopes, _xlfn.HSTACK(Q835,T835,W835,Z835,AC835,AF835),
    _xlpm.limit,  -0.00001*_xlpm.slopes + 0.1086*_xlpm.slopes + 63.253,
    _xlpm.mask,   (_xlpm.vals&gt;=0) * (_xlpm.ints&lt;=_xlpm.limit),
    _xlpm.validVals, _xlfn._xlws.FILTER(_xlpm.vals, _xlpm.mask),
    _xlpm.minVal, MIN(_xlpm.validVals),
    IFERROR( _xlfn.XMATCH(_xlpm.minVal, _xlpm.vals), "" )
)</f>
        <v>4</v>
      </c>
      <c r="AJ835" cm="1">
        <f t="array" ref="AJ835">_xlfn.LET(
    _xlpm.vals, CHOOSE({1,2,3,4,5,6}, S835, V835, Y835, AB835, AE835, AH835),
    _xlpm.slopes, CHOOSE({1,2,3,4,5,6}, Q835, T835, W835, Z835, AC835, AF835),
    _xlpm.ints, CHOOSE({1,2,3,4,5,6}, R835, U835, X835, AA835, AD835, AG835),
    _xlpm.limit, -0.00001*_xlpm.slopes + 0.1086*_xlpm.slopes + 63.253,
    _xlpm.valid, (_xlpm.vals &gt;= 0) * (_xlpm.ints &lt;= _xlpm.limit),
    _xlpm.target, MIN(_xlfn._xlws.FILTER(_xlpm.vals, _xlpm.valid)),
    IFERROR(
        _xlfn.XLOOKUP(_xlpm.target, _xlpm.vals, _xlpm.vals),
        CHOOSE({1,2,3,4,5,6}, S$1, V$1, Y$1, AB$1, AE$1, AH$1)
    )
)</f>
        <v>1.2866265180058527</v>
      </c>
    </row>
    <row r="836" spans="9:36" x14ac:dyDescent="0.45">
      <c r="I836">
        <v>834</v>
      </c>
      <c r="J836">
        <v>28.9</v>
      </c>
      <c r="K836">
        <f t="shared" si="300"/>
        <v>28.9</v>
      </c>
      <c r="L836">
        <f t="shared" si="299"/>
        <v>8.0277777777777778E-3</v>
      </c>
      <c r="M836">
        <v>4.84</v>
      </c>
      <c r="N836">
        <f t="shared" si="301"/>
        <v>4.84</v>
      </c>
      <c r="O836">
        <f t="shared" si="302"/>
        <v>375.56078254945123</v>
      </c>
      <c r="P836">
        <f t="shared" si="303"/>
        <v>1201.7945041582441</v>
      </c>
      <c r="Q836">
        <f t="shared" si="304"/>
        <v>5504.2188290447584</v>
      </c>
      <c r="R836">
        <f t="shared" si="305"/>
        <v>8.3969400398834644</v>
      </c>
      <c r="S836">
        <f t="shared" si="306"/>
        <v>5.1790593069848212</v>
      </c>
      <c r="T836">
        <f t="shared" si="307"/>
        <v>3557.3117323084025</v>
      </c>
      <c r="U836">
        <f t="shared" si="308"/>
        <v>12.992562629279144</v>
      </c>
      <c r="V836">
        <f t="shared" si="309"/>
        <v>1.6468290419749749</v>
      </c>
      <c r="W836">
        <f t="shared" si="310"/>
        <v>2295.4275029422461</v>
      </c>
      <c r="X836">
        <f t="shared" si="311"/>
        <v>20.135070880977107</v>
      </c>
      <c r="Y836">
        <f t="shared" si="312"/>
        <v>0.90068781881881577</v>
      </c>
      <c r="Z836">
        <f t="shared" si="313"/>
        <v>1730.5840859878715</v>
      </c>
      <c r="AA836">
        <f t="shared" si="314"/>
        <v>26.706934293518241</v>
      </c>
      <c r="AB836">
        <f t="shared" si="315"/>
        <v>0.77371979301602578</v>
      </c>
      <c r="AC836">
        <f t="shared" si="316"/>
        <v>6000</v>
      </c>
      <c r="AD836">
        <f t="shared" si="317"/>
        <v>7.703099245647735</v>
      </c>
      <c r="AE836">
        <f t="shared" si="318"/>
        <v>6.7559421140475502</v>
      </c>
      <c r="AF836">
        <f t="shared" si="319"/>
        <v>6000</v>
      </c>
      <c r="AG836">
        <f t="shared" si="320"/>
        <v>7.703099245647735</v>
      </c>
      <c r="AH836">
        <f t="shared" si="321"/>
        <v>6.7559421140475502</v>
      </c>
      <c r="AI836" cm="1">
        <f t="array" ref="AI836">_xlfn.LET(
    _xlpm.vals,   _xlfn.HSTACK(S836,V836,Y836,AB836,AE836,AH836),
    _xlpm.ints,   _xlfn.HSTACK(R836,U836,X836,AA836,AD836,AG836),
    _xlpm.slopes, _xlfn.HSTACK(Q836,T836,W836,Z836,AC836,AF836),
    _xlpm.limit,  -0.00001*_xlpm.slopes + 0.1086*_xlpm.slopes + 63.253,
    _xlpm.mask,   (_xlpm.vals&gt;=0) * (_xlpm.ints&lt;=_xlpm.limit),
    _xlpm.validVals, _xlfn._xlws.FILTER(_xlpm.vals, _xlpm.mask),
    _xlpm.minVal, MIN(_xlpm.validVals),
    IFERROR( _xlfn.XMATCH(_xlpm.minVal, _xlpm.vals), "" )
)</f>
        <v>4</v>
      </c>
      <c r="AJ836" cm="1">
        <f t="array" ref="AJ836">_xlfn.LET(
    _xlpm.vals, CHOOSE({1,2,3,4,5,6}, S836, V836, Y836, AB836, AE836, AH836),
    _xlpm.slopes, CHOOSE({1,2,3,4,5,6}, Q836, T836, W836, Z836, AC836, AF836),
    _xlpm.ints, CHOOSE({1,2,3,4,5,6}, R836, U836, X836, AA836, AD836, AG836),
    _xlpm.limit, -0.00001*_xlpm.slopes + 0.1086*_xlpm.slopes + 63.253,
    _xlpm.valid, (_xlpm.vals &gt;= 0) * (_xlpm.ints &lt;= _xlpm.limit),
    _xlpm.target, MIN(_xlfn._xlws.FILTER(_xlpm.vals, _xlpm.valid)),
    IFERROR(
        _xlfn.XLOOKUP(_xlpm.target, _xlpm.vals, _xlpm.vals),
        CHOOSE({1,2,3,4,5,6}, S$1, V$1, Y$1, AB$1, AE$1, AH$1)
    )
)</f>
        <v>0.77371979301602578</v>
      </c>
    </row>
    <row r="837" spans="9:36" x14ac:dyDescent="0.45">
      <c r="I837">
        <v>835</v>
      </c>
      <c r="J837">
        <v>28.9</v>
      </c>
      <c r="K837">
        <f t="shared" si="300"/>
        <v>28.9</v>
      </c>
      <c r="L837">
        <f t="shared" si="299"/>
        <v>8.0277777777777778E-3</v>
      </c>
      <c r="M837">
        <v>3.39</v>
      </c>
      <c r="N837">
        <f t="shared" si="301"/>
        <v>3.39</v>
      </c>
      <c r="O837">
        <f t="shared" si="302"/>
        <v>375.56078254945123</v>
      </c>
      <c r="P837">
        <f t="shared" si="303"/>
        <v>1201.7945041582441</v>
      </c>
      <c r="Q837">
        <f t="shared" si="304"/>
        <v>5504.2188290447584</v>
      </c>
      <c r="R837">
        <f t="shared" si="305"/>
        <v>5.8813278378522611</v>
      </c>
      <c r="S837">
        <f t="shared" si="306"/>
        <v>5.1509680797691777</v>
      </c>
      <c r="T837">
        <f t="shared" si="307"/>
        <v>3557.3117323084025</v>
      </c>
      <c r="U837">
        <f t="shared" si="308"/>
        <v>9.1001626680281618</v>
      </c>
      <c r="V837">
        <f t="shared" si="309"/>
        <v>1.5816338390827593</v>
      </c>
      <c r="W837">
        <f t="shared" si="310"/>
        <v>2295.4275029422461</v>
      </c>
      <c r="X837">
        <f t="shared" si="311"/>
        <v>14.102869893907519</v>
      </c>
      <c r="Y837">
        <f t="shared" si="312"/>
        <v>0.80968061005297831</v>
      </c>
      <c r="Z837">
        <f t="shared" si="313"/>
        <v>1730.5840859878715</v>
      </c>
      <c r="AA837">
        <f t="shared" si="314"/>
        <v>18.705889928724552</v>
      </c>
      <c r="AB837">
        <f t="shared" si="315"/>
        <v>0.66926257008218404</v>
      </c>
      <c r="AC837">
        <f t="shared" si="316"/>
        <v>6000</v>
      </c>
      <c r="AD837">
        <f t="shared" si="317"/>
        <v>5.3953525708152519</v>
      </c>
      <c r="AE837">
        <f t="shared" si="318"/>
        <v>6.7371681650675566</v>
      </c>
      <c r="AF837">
        <f t="shared" si="319"/>
        <v>6000</v>
      </c>
      <c r="AG837">
        <f t="shared" si="320"/>
        <v>5.3953525708152519</v>
      </c>
      <c r="AH837">
        <f t="shared" si="321"/>
        <v>6.7371681650675566</v>
      </c>
      <c r="AI837" cm="1">
        <f t="array" ref="AI837">_xlfn.LET(
    _xlpm.vals,   _xlfn.HSTACK(S837,V837,Y837,AB837,AE837,AH837),
    _xlpm.ints,   _xlfn.HSTACK(R837,U837,X837,AA837,AD837,AG837),
    _xlpm.slopes, _xlfn.HSTACK(Q837,T837,W837,Z837,AC837,AF837),
    _xlpm.limit,  -0.00001*_xlpm.slopes + 0.1086*_xlpm.slopes + 63.253,
    _xlpm.mask,   (_xlpm.vals&gt;=0) * (_xlpm.ints&lt;=_xlpm.limit),
    _xlpm.validVals, _xlfn._xlws.FILTER(_xlpm.vals, _xlpm.mask),
    _xlpm.minVal, MIN(_xlpm.validVals),
    IFERROR( _xlfn.XMATCH(_xlpm.minVal, _xlpm.vals), "" )
)</f>
        <v>4</v>
      </c>
      <c r="AJ837" cm="1">
        <f t="array" ref="AJ837">_xlfn.LET(
    _xlpm.vals, CHOOSE({1,2,3,4,5,6}, S837, V837, Y837, AB837, AE837, AH837),
    _xlpm.slopes, CHOOSE({1,2,3,4,5,6}, Q837, T837, W837, Z837, AC837, AF837),
    _xlpm.ints, CHOOSE({1,2,3,4,5,6}, R837, U837, X837, AA837, AD837, AG837),
    _xlpm.limit, -0.00001*_xlpm.slopes + 0.1086*_xlpm.slopes + 63.253,
    _xlpm.valid, (_xlpm.vals &gt;= 0) * (_xlpm.ints &lt;= _xlpm.limit),
    _xlpm.target, MIN(_xlfn._xlws.FILTER(_xlpm.vals, _xlpm.valid)),
    IFERROR(
        _xlfn.XLOOKUP(_xlpm.target, _xlpm.vals, _xlpm.vals),
        CHOOSE({1,2,3,4,5,6}, S$1, V$1, Y$1, AB$1, AE$1, AH$1)
    )
)</f>
        <v>0.66926257008218404</v>
      </c>
    </row>
    <row r="838" spans="9:36" x14ac:dyDescent="0.45">
      <c r="I838">
        <v>836</v>
      </c>
      <c r="J838">
        <v>29.1</v>
      </c>
      <c r="K838">
        <f t="shared" si="300"/>
        <v>29.1</v>
      </c>
      <c r="L838">
        <f t="shared" si="299"/>
        <v>8.083333333333333E-3</v>
      </c>
      <c r="M838">
        <v>7.59</v>
      </c>
      <c r="N838">
        <f t="shared" si="301"/>
        <v>7.59</v>
      </c>
      <c r="O838">
        <f t="shared" si="302"/>
        <v>378.15981910688697</v>
      </c>
      <c r="P838">
        <f t="shared" si="303"/>
        <v>1210.1114211420384</v>
      </c>
      <c r="Q838">
        <f t="shared" si="304"/>
        <v>5542.3103088305361</v>
      </c>
      <c r="R838">
        <f t="shared" si="305"/>
        <v>13.077427470736966</v>
      </c>
      <c r="S838">
        <f t="shared" si="306"/>
        <v>5.3458056973430335</v>
      </c>
      <c r="T838">
        <f t="shared" si="307"/>
        <v>3581.9298065804337</v>
      </c>
      <c r="U838">
        <f t="shared" si="308"/>
        <v>20.234668181072738</v>
      </c>
      <c r="V838">
        <f t="shared" si="309"/>
        <v>1.8017650910337013</v>
      </c>
      <c r="W838">
        <f t="shared" si="310"/>
        <v>2311.3128143812933</v>
      </c>
      <c r="X838">
        <f t="shared" si="311"/>
        <v>31.358438647107494</v>
      </c>
      <c r="Y838">
        <f t="shared" si="312"/>
        <v>1.09123303218954</v>
      </c>
      <c r="Z838">
        <f t="shared" si="313"/>
        <v>1742.5604464445353</v>
      </c>
      <c r="AA838">
        <f t="shared" si="314"/>
        <v>41.593484594427302</v>
      </c>
      <c r="AB838">
        <f t="shared" si="315"/>
        <v>0.99073700058365766</v>
      </c>
      <c r="AC838">
        <f t="shared" si="316"/>
        <v>6000</v>
      </c>
      <c r="AD838">
        <f t="shared" si="317"/>
        <v>12.079860180674856</v>
      </c>
      <c r="AE838">
        <f t="shared" si="318"/>
        <v>6.7961870194263669</v>
      </c>
      <c r="AF838">
        <f t="shared" si="319"/>
        <v>6000</v>
      </c>
      <c r="AG838">
        <f t="shared" si="320"/>
        <v>12.079860180674856</v>
      </c>
      <c r="AH838">
        <f t="shared" si="321"/>
        <v>6.7961870194263669</v>
      </c>
      <c r="AI838" cm="1">
        <f t="array" ref="AI838">_xlfn.LET(
    _xlpm.vals,   _xlfn.HSTACK(S838,V838,Y838,AB838,AE838,AH838),
    _xlpm.ints,   _xlfn.HSTACK(R838,U838,X838,AA838,AD838,AG838),
    _xlpm.slopes, _xlfn.HSTACK(Q838,T838,W838,Z838,AC838,AF838),
    _xlpm.limit,  -0.00001*_xlpm.slopes + 0.1086*_xlpm.slopes + 63.253,
    _xlpm.mask,   (_xlpm.vals&gt;=0) * (_xlpm.ints&lt;=_xlpm.limit),
    _xlpm.validVals, _xlfn._xlws.FILTER(_xlpm.vals, _xlpm.mask),
    _xlpm.minVal, MIN(_xlpm.validVals),
    IFERROR( _xlfn.XMATCH(_xlpm.minVal, _xlpm.vals), "" )
)</f>
        <v>4</v>
      </c>
      <c r="AJ838" cm="1">
        <f t="array" ref="AJ838">_xlfn.LET(
    _xlpm.vals, CHOOSE({1,2,3,4,5,6}, S838, V838, Y838, AB838, AE838, AH838),
    _xlpm.slopes, CHOOSE({1,2,3,4,5,6}, Q838, T838, W838, Z838, AC838, AF838),
    _xlpm.ints, CHOOSE({1,2,3,4,5,6}, R838, U838, X838, AA838, AD838, AG838),
    _xlpm.limit, -0.00001*_xlpm.slopes + 0.1086*_xlpm.slopes + 63.253,
    _xlpm.valid, (_xlpm.vals &gt;= 0) * (_xlpm.ints &lt;= _xlpm.limit),
    _xlpm.target, MIN(_xlfn._xlws.FILTER(_xlpm.vals, _xlpm.valid)),
    IFERROR(
        _xlfn.XLOOKUP(_xlpm.target, _xlpm.vals, _xlpm.vals),
        CHOOSE({1,2,3,4,5,6}, S$1, V$1, Y$1, AB$1, AE$1, AH$1)
    )
)</f>
        <v>0.99073700058365766</v>
      </c>
    </row>
    <row r="839" spans="9:36" x14ac:dyDescent="0.45">
      <c r="I839">
        <v>837</v>
      </c>
      <c r="J839">
        <v>29.1</v>
      </c>
      <c r="K839">
        <f t="shared" si="300"/>
        <v>29.1</v>
      </c>
      <c r="L839">
        <f t="shared" si="299"/>
        <v>8.083333333333333E-3</v>
      </c>
      <c r="M839">
        <v>2.95</v>
      </c>
      <c r="N839">
        <f t="shared" si="301"/>
        <v>2.95</v>
      </c>
      <c r="O839">
        <f t="shared" si="302"/>
        <v>378.15981910688697</v>
      </c>
      <c r="P839">
        <f t="shared" si="303"/>
        <v>1210.1114211420384</v>
      </c>
      <c r="Q839">
        <f t="shared" si="304"/>
        <v>5542.3103088305361</v>
      </c>
      <c r="R839">
        <f t="shared" si="305"/>
        <v>5.0827946032508633</v>
      </c>
      <c r="S839">
        <f t="shared" si="306"/>
        <v>5.2534876946589257</v>
      </c>
      <c r="T839">
        <f t="shared" si="307"/>
        <v>3581.9298065804337</v>
      </c>
      <c r="U839">
        <f t="shared" si="308"/>
        <v>7.8645943523273498</v>
      </c>
      <c r="V839">
        <f t="shared" si="309"/>
        <v>1.586815225293785</v>
      </c>
      <c r="W839">
        <f t="shared" si="310"/>
        <v>2311.3128143812933</v>
      </c>
      <c r="X839">
        <f t="shared" si="311"/>
        <v>12.188062451774323</v>
      </c>
      <c r="Y839">
        <f t="shared" si="312"/>
        <v>0.78848422853550748</v>
      </c>
      <c r="Z839">
        <f t="shared" si="313"/>
        <v>1742.5604464445353</v>
      </c>
      <c r="AA839">
        <f t="shared" si="314"/>
        <v>16.166110613117329</v>
      </c>
      <c r="AB839">
        <f t="shared" si="315"/>
        <v>0.64138371905677172</v>
      </c>
      <c r="AC839">
        <f t="shared" si="316"/>
        <v>6000</v>
      </c>
      <c r="AD839">
        <f t="shared" si="317"/>
        <v>4.6950708212109129</v>
      </c>
      <c r="AE839">
        <f t="shared" si="318"/>
        <v>6.7318106707060545</v>
      </c>
      <c r="AF839">
        <f t="shared" si="319"/>
        <v>6000</v>
      </c>
      <c r="AG839">
        <f t="shared" si="320"/>
        <v>4.6950708212109129</v>
      </c>
      <c r="AH839">
        <f t="shared" si="321"/>
        <v>6.7318106707060545</v>
      </c>
      <c r="AI839" cm="1">
        <f t="array" ref="AI839">_xlfn.LET(
    _xlpm.vals,   _xlfn.HSTACK(S839,V839,Y839,AB839,AE839,AH839),
    _xlpm.ints,   _xlfn.HSTACK(R839,U839,X839,AA839,AD839,AG839),
    _xlpm.slopes, _xlfn.HSTACK(Q839,T839,W839,Z839,AC839,AF839),
    _xlpm.limit,  -0.00001*_xlpm.slopes + 0.1086*_xlpm.slopes + 63.253,
    _xlpm.mask,   (_xlpm.vals&gt;=0) * (_xlpm.ints&lt;=_xlpm.limit),
    _xlpm.validVals, _xlfn._xlws.FILTER(_xlpm.vals, _xlpm.mask),
    _xlpm.minVal, MIN(_xlpm.validVals),
    IFERROR( _xlfn.XMATCH(_xlpm.minVal, _xlpm.vals), "" )
)</f>
        <v>4</v>
      </c>
      <c r="AJ839" cm="1">
        <f t="array" ref="AJ839">_xlfn.LET(
    _xlpm.vals, CHOOSE({1,2,3,4,5,6}, S839, V839, Y839, AB839, AE839, AH839),
    _xlpm.slopes, CHOOSE({1,2,3,4,5,6}, Q839, T839, W839, Z839, AC839, AF839),
    _xlpm.ints, CHOOSE({1,2,3,4,5,6}, R839, U839, X839, AA839, AD839, AG839),
    _xlpm.limit, -0.00001*_xlpm.slopes + 0.1086*_xlpm.slopes + 63.253,
    _xlpm.valid, (_xlpm.vals &gt;= 0) * (_xlpm.ints &lt;= _xlpm.limit),
    _xlpm.target, MIN(_xlfn._xlws.FILTER(_xlpm.vals, _xlpm.valid)),
    IFERROR(
        _xlfn.XLOOKUP(_xlpm.target, _xlpm.vals, _xlpm.vals),
        CHOOSE({1,2,3,4,5,6}, S$1, V$1, Y$1, AB$1, AE$1, AH$1)
    )
)</f>
        <v>0.64138371905677172</v>
      </c>
    </row>
    <row r="840" spans="9:36" x14ac:dyDescent="0.45">
      <c r="I840">
        <v>838</v>
      </c>
      <c r="J840">
        <v>28.2</v>
      </c>
      <c r="K840">
        <f t="shared" si="300"/>
        <v>28.2</v>
      </c>
      <c r="L840">
        <f t="shared" si="299"/>
        <v>7.8333333333333328E-3</v>
      </c>
      <c r="M840">
        <v>0.02</v>
      </c>
      <c r="N840">
        <f t="shared" si="301"/>
        <v>0.02</v>
      </c>
      <c r="O840">
        <f t="shared" si="302"/>
        <v>366.46415459842649</v>
      </c>
      <c r="P840">
        <f t="shared" si="303"/>
        <v>1172.6852947149648</v>
      </c>
      <c r="Q840">
        <f t="shared" si="304"/>
        <v>5370.8986497945389</v>
      </c>
      <c r="R840">
        <f t="shared" si="305"/>
        <v>3.5559399676547705E-2</v>
      </c>
      <c r="S840">
        <f t="shared" si="306"/>
        <v>4.7152081261922039</v>
      </c>
      <c r="T840">
        <f t="shared" si="307"/>
        <v>3471.1484723562958</v>
      </c>
      <c r="U840">
        <f t="shared" si="308"/>
        <v>5.502096301303664E-2</v>
      </c>
      <c r="V840">
        <f t="shared" si="309"/>
        <v>1.3581346681372921</v>
      </c>
      <c r="W840">
        <f t="shared" si="310"/>
        <v>2239.8289129055829</v>
      </c>
      <c r="X840">
        <f t="shared" si="311"/>
        <v>8.5268089276747894E-2</v>
      </c>
      <c r="Y840">
        <f t="shared" si="312"/>
        <v>0.60087243779094679</v>
      </c>
      <c r="Z840">
        <f t="shared" si="313"/>
        <v>1688.6668243895492</v>
      </c>
      <c r="AA840">
        <f t="shared" si="314"/>
        <v>0.11309864619346423</v>
      </c>
      <c r="AB840">
        <f t="shared" si="315"/>
        <v>0.44926220260825878</v>
      </c>
      <c r="AC840">
        <f t="shared" si="316"/>
        <v>6000</v>
      </c>
      <c r="AD840">
        <f t="shared" si="317"/>
        <v>3.1830988618379068E-2</v>
      </c>
      <c r="AE840">
        <f t="shared" si="318"/>
        <v>6.7002315960836931</v>
      </c>
      <c r="AF840">
        <f t="shared" si="319"/>
        <v>6000</v>
      </c>
      <c r="AG840">
        <f t="shared" si="320"/>
        <v>3.1830988618379068E-2</v>
      </c>
      <c r="AH840">
        <f t="shared" si="321"/>
        <v>6.7002315960836931</v>
      </c>
      <c r="AI840" cm="1">
        <f t="array" ref="AI840">_xlfn.LET(
    _xlpm.vals,   _xlfn.HSTACK(S840,V840,Y840,AB840,AE840,AH840),
    _xlpm.ints,   _xlfn.HSTACK(R840,U840,X840,AA840,AD840,AG840),
    _xlpm.slopes, _xlfn.HSTACK(Q840,T840,W840,Z840,AC840,AF840),
    _xlpm.limit,  -0.00001*_xlpm.slopes + 0.1086*_xlpm.slopes + 63.253,
    _xlpm.mask,   (_xlpm.vals&gt;=0) * (_xlpm.ints&lt;=_xlpm.limit),
    _xlpm.validVals, _xlfn._xlws.FILTER(_xlpm.vals, _xlpm.mask),
    _xlpm.minVal, MIN(_xlpm.validVals),
    IFERROR( _xlfn.XMATCH(_xlpm.minVal, _xlpm.vals), "" )
)</f>
        <v>4</v>
      </c>
      <c r="AJ840" cm="1">
        <f t="array" ref="AJ840">_xlfn.LET(
    _xlpm.vals, CHOOSE({1,2,3,4,5,6}, S840, V840, Y840, AB840, AE840, AH840),
    _xlpm.slopes, CHOOSE({1,2,3,4,5,6}, Q840, T840, W840, Z840, AC840, AF840),
    _xlpm.ints, CHOOSE({1,2,3,4,5,6}, R840, U840, X840, AA840, AD840, AG840),
    _xlpm.limit, -0.00001*_xlpm.slopes + 0.1086*_xlpm.slopes + 63.253,
    _xlpm.valid, (_xlpm.vals &gt;= 0) * (_xlpm.ints &lt;= _xlpm.limit),
    _xlpm.target, MIN(_xlfn._xlws.FILTER(_xlpm.vals, _xlpm.valid)),
    IFERROR(
        _xlfn.XLOOKUP(_xlpm.target, _xlpm.vals, _xlpm.vals),
        CHOOSE({1,2,3,4,5,6}, S$1, V$1, Y$1, AB$1, AE$1, AH$1)
    )
)</f>
        <v>0.44926220260825878</v>
      </c>
    </row>
    <row r="841" spans="9:36" x14ac:dyDescent="0.45">
      <c r="I841">
        <v>839</v>
      </c>
      <c r="J841">
        <v>27.7</v>
      </c>
      <c r="K841">
        <f t="shared" si="300"/>
        <v>27.7</v>
      </c>
      <c r="L841">
        <f t="shared" si="299"/>
        <v>7.6944444444444439E-3</v>
      </c>
      <c r="M841">
        <v>-0.42</v>
      </c>
      <c r="N841">
        <f t="shared" si="301"/>
        <v>0</v>
      </c>
      <c r="O841">
        <f t="shared" si="302"/>
        <v>359.96656320483743</v>
      </c>
      <c r="P841">
        <f t="shared" si="303"/>
        <v>1151.8930022554798</v>
      </c>
      <c r="Q841">
        <f t="shared" si="304"/>
        <v>5275.6699503300979</v>
      </c>
      <c r="R841">
        <f t="shared" si="305"/>
        <v>0</v>
      </c>
      <c r="S841">
        <f t="shared" si="306"/>
        <v>4.4582192996683272</v>
      </c>
      <c r="T841">
        <f t="shared" si="307"/>
        <v>3409.6032866762203</v>
      </c>
      <c r="U841">
        <f t="shared" si="308"/>
        <v>0</v>
      </c>
      <c r="V841">
        <f t="shared" si="309"/>
        <v>1.2997908525828987</v>
      </c>
      <c r="W841">
        <f t="shared" si="310"/>
        <v>2200.1156343079665</v>
      </c>
      <c r="X841">
        <f t="shared" si="311"/>
        <v>0</v>
      </c>
      <c r="Y841">
        <f t="shared" si="312"/>
        <v>0.58628286218456604</v>
      </c>
      <c r="Z841">
        <f t="shared" si="313"/>
        <v>1658.7259232478909</v>
      </c>
      <c r="AA841">
        <f t="shared" si="314"/>
        <v>0</v>
      </c>
      <c r="AB841">
        <f t="shared" si="315"/>
        <v>0.44172115784179278</v>
      </c>
      <c r="AC841">
        <f t="shared" si="316"/>
        <v>6000</v>
      </c>
      <c r="AD841">
        <f t="shared" si="317"/>
        <v>0</v>
      </c>
      <c r="AE841">
        <f t="shared" si="318"/>
        <v>6.7000407999999982</v>
      </c>
      <c r="AF841">
        <f t="shared" si="319"/>
        <v>6000</v>
      </c>
      <c r="AG841">
        <f t="shared" si="320"/>
        <v>0</v>
      </c>
      <c r="AH841">
        <f t="shared" si="321"/>
        <v>6.7000407999999982</v>
      </c>
      <c r="AI841" cm="1">
        <f t="array" ref="AI841">_xlfn.LET(
    _xlpm.vals,   _xlfn.HSTACK(S841,V841,Y841,AB841,AE841,AH841),
    _xlpm.ints,   _xlfn.HSTACK(R841,U841,X841,AA841,AD841,AG841),
    _xlpm.slopes, _xlfn.HSTACK(Q841,T841,W841,Z841,AC841,AF841),
    _xlpm.limit,  -0.00001*_xlpm.slopes + 0.1086*_xlpm.slopes + 63.253,
    _xlpm.mask,   (_xlpm.vals&gt;=0) * (_xlpm.ints&lt;=_xlpm.limit),
    _xlpm.validVals, _xlfn._xlws.FILTER(_xlpm.vals, _xlpm.mask),
    _xlpm.minVal, MIN(_xlpm.validVals),
    IFERROR( _xlfn.XMATCH(_xlpm.minVal, _xlpm.vals), "" )
)</f>
        <v>4</v>
      </c>
      <c r="AJ841" cm="1">
        <f t="array" ref="AJ841">_xlfn.LET(
    _xlpm.vals, CHOOSE({1,2,3,4,5,6}, S841, V841, Y841, AB841, AE841, AH841),
    _xlpm.slopes, CHOOSE({1,2,3,4,5,6}, Q841, T841, W841, Z841, AC841, AF841),
    _xlpm.ints, CHOOSE({1,2,3,4,5,6}, R841, U841, X841, AA841, AD841, AG841),
    _xlpm.limit, -0.00001*_xlpm.slopes + 0.1086*_xlpm.slopes + 63.253,
    _xlpm.valid, (_xlpm.vals &gt;= 0) * (_xlpm.ints &lt;= _xlpm.limit),
    _xlpm.target, MIN(_xlfn._xlws.FILTER(_xlpm.vals, _xlpm.valid)),
    IFERROR(
        _xlfn.XLOOKUP(_xlpm.target, _xlpm.vals, _xlpm.vals),
        CHOOSE({1,2,3,4,5,6}, S$1, V$1, Y$1, AB$1, AE$1, AH$1)
    )
)</f>
        <v>0.44172115784179278</v>
      </c>
    </row>
    <row r="842" spans="9:36" x14ac:dyDescent="0.45">
      <c r="I842">
        <v>840</v>
      </c>
      <c r="J842">
        <v>27</v>
      </c>
      <c r="K842">
        <f t="shared" si="300"/>
        <v>27</v>
      </c>
      <c r="L842">
        <f t="shared" si="299"/>
        <v>7.4999999999999997E-3</v>
      </c>
      <c r="M842">
        <v>-0.49</v>
      </c>
      <c r="N842">
        <f t="shared" si="301"/>
        <v>0</v>
      </c>
      <c r="O842">
        <f t="shared" si="302"/>
        <v>350.86993525381263</v>
      </c>
      <c r="P842">
        <f t="shared" si="303"/>
        <v>1122.7837928122005</v>
      </c>
      <c r="Q842">
        <f t="shared" si="304"/>
        <v>5142.3497710798783</v>
      </c>
      <c r="R842">
        <f t="shared" si="305"/>
        <v>0</v>
      </c>
      <c r="S842">
        <f t="shared" si="306"/>
        <v>4.1170318369606225</v>
      </c>
      <c r="T842">
        <f t="shared" si="307"/>
        <v>3323.4400267241135</v>
      </c>
      <c r="U842">
        <f t="shared" si="308"/>
        <v>0</v>
      </c>
      <c r="V842">
        <f t="shared" si="309"/>
        <v>1.2233552153255756</v>
      </c>
      <c r="W842">
        <f t="shared" si="310"/>
        <v>2144.5170442713029</v>
      </c>
      <c r="X842">
        <f t="shared" si="311"/>
        <v>0</v>
      </c>
      <c r="Y842">
        <f t="shared" si="312"/>
        <v>0.56810036543779741</v>
      </c>
      <c r="Z842">
        <f t="shared" si="313"/>
        <v>1616.8086616495686</v>
      </c>
      <c r="AA842">
        <f t="shared" si="314"/>
        <v>0</v>
      </c>
      <c r="AB842">
        <f t="shared" si="315"/>
        <v>0.43292788455477682</v>
      </c>
      <c r="AC842">
        <f t="shared" si="316"/>
        <v>6000</v>
      </c>
      <c r="AD842">
        <f t="shared" si="317"/>
        <v>0</v>
      </c>
      <c r="AE842">
        <f t="shared" si="318"/>
        <v>6.7000407999999982</v>
      </c>
      <c r="AF842">
        <f t="shared" si="319"/>
        <v>6000</v>
      </c>
      <c r="AG842">
        <f t="shared" si="320"/>
        <v>0</v>
      </c>
      <c r="AH842">
        <f t="shared" si="321"/>
        <v>6.7000407999999982</v>
      </c>
      <c r="AI842" cm="1">
        <f t="array" ref="AI842">_xlfn.LET(
    _xlpm.vals,   _xlfn.HSTACK(S842,V842,Y842,AB842,AE842,AH842),
    _xlpm.ints,   _xlfn.HSTACK(R842,U842,X842,AA842,AD842,AG842),
    _xlpm.slopes, _xlfn.HSTACK(Q842,T842,W842,Z842,AC842,AF842),
    _xlpm.limit,  -0.00001*_xlpm.slopes + 0.1086*_xlpm.slopes + 63.253,
    _xlpm.mask,   (_xlpm.vals&gt;=0) * (_xlpm.ints&lt;=_xlpm.limit),
    _xlpm.validVals, _xlfn._xlws.FILTER(_xlpm.vals, _xlpm.mask),
    _xlpm.minVal, MIN(_xlpm.validVals),
    IFERROR( _xlfn.XMATCH(_xlpm.minVal, _xlpm.vals), "" )
)</f>
        <v>4</v>
      </c>
      <c r="AJ842" cm="1">
        <f t="array" ref="AJ842">_xlfn.LET(
    _xlpm.vals, CHOOSE({1,2,3,4,5,6}, S842, V842, Y842, AB842, AE842, AH842),
    _xlpm.slopes, CHOOSE({1,2,3,4,5,6}, Q842, T842, W842, Z842, AC842, AF842),
    _xlpm.ints, CHOOSE({1,2,3,4,5,6}, R842, U842, X842, AA842, AD842, AG842),
    _xlpm.limit, -0.00001*_xlpm.slopes + 0.1086*_xlpm.slopes + 63.253,
    _xlpm.valid, (_xlpm.vals &gt;= 0) * (_xlpm.ints &lt;= _xlpm.limit),
    _xlpm.target, MIN(_xlfn._xlws.FILTER(_xlpm.vals, _xlpm.valid)),
    IFERROR(
        _xlfn.XLOOKUP(_xlpm.target, _xlpm.vals, _xlpm.vals),
        CHOOSE({1,2,3,4,5,6}, S$1, V$1, Y$1, AB$1, AE$1, AH$1)
    )
)</f>
        <v>0.43292788455477682</v>
      </c>
    </row>
    <row r="843" spans="9:36" x14ac:dyDescent="0.45">
      <c r="I843">
        <v>841</v>
      </c>
      <c r="J843">
        <v>25.9</v>
      </c>
      <c r="K843">
        <f t="shared" si="300"/>
        <v>25.9</v>
      </c>
      <c r="L843">
        <f t="shared" si="299"/>
        <v>7.1944444444444443E-3</v>
      </c>
      <c r="M843">
        <v>-0.47</v>
      </c>
      <c r="N843">
        <f t="shared" si="301"/>
        <v>0</v>
      </c>
      <c r="O843">
        <f t="shared" si="302"/>
        <v>336.57523418791652</v>
      </c>
      <c r="P843">
        <f t="shared" si="303"/>
        <v>1077.040749401333</v>
      </c>
      <c r="Q843">
        <f t="shared" si="304"/>
        <v>4932.8466322581053</v>
      </c>
      <c r="R843">
        <f t="shared" si="305"/>
        <v>0</v>
      </c>
      <c r="S843">
        <f t="shared" si="306"/>
        <v>3.6220665298294086</v>
      </c>
      <c r="T843">
        <f t="shared" si="307"/>
        <v>3188.0406182279457</v>
      </c>
      <c r="U843">
        <f t="shared" si="308"/>
        <v>0</v>
      </c>
      <c r="V843">
        <f t="shared" si="309"/>
        <v>1.1126049495628667</v>
      </c>
      <c r="W843">
        <f t="shared" si="310"/>
        <v>2057.1478313565458</v>
      </c>
      <c r="X843">
        <f t="shared" si="311"/>
        <v>0</v>
      </c>
      <c r="Y843">
        <f t="shared" si="312"/>
        <v>0.5413104741643886</v>
      </c>
      <c r="Z843">
        <f t="shared" si="313"/>
        <v>1550.9386791379195</v>
      </c>
      <c r="AA843">
        <f t="shared" si="314"/>
        <v>0</v>
      </c>
      <c r="AB843">
        <f t="shared" si="315"/>
        <v>0.41958479072721394</v>
      </c>
      <c r="AC843">
        <f t="shared" si="316"/>
        <v>6000</v>
      </c>
      <c r="AD843">
        <f t="shared" si="317"/>
        <v>0</v>
      </c>
      <c r="AE843">
        <f t="shared" si="318"/>
        <v>6.7000407999999982</v>
      </c>
      <c r="AF843">
        <f t="shared" si="319"/>
        <v>6000</v>
      </c>
      <c r="AG843">
        <f t="shared" si="320"/>
        <v>0</v>
      </c>
      <c r="AH843">
        <f t="shared" si="321"/>
        <v>6.7000407999999982</v>
      </c>
      <c r="AI843" cm="1">
        <f t="array" ref="AI843">_xlfn.LET(
    _xlpm.vals,   _xlfn.HSTACK(S843,V843,Y843,AB843,AE843,AH843),
    _xlpm.ints,   _xlfn.HSTACK(R843,U843,X843,AA843,AD843,AG843),
    _xlpm.slopes, _xlfn.HSTACK(Q843,T843,W843,Z843,AC843,AF843),
    _xlpm.limit,  -0.00001*_xlpm.slopes + 0.1086*_xlpm.slopes + 63.253,
    _xlpm.mask,   (_xlpm.vals&gt;=0) * (_xlpm.ints&lt;=_xlpm.limit),
    _xlpm.validVals, _xlfn._xlws.FILTER(_xlpm.vals, _xlpm.mask),
    _xlpm.minVal, MIN(_xlpm.validVals),
    IFERROR( _xlfn.XMATCH(_xlpm.minVal, _xlpm.vals), "" )
)</f>
        <v>4</v>
      </c>
      <c r="AJ843" cm="1">
        <f t="array" ref="AJ843">_xlfn.LET(
    _xlpm.vals, CHOOSE({1,2,3,4,5,6}, S843, V843, Y843, AB843, AE843, AH843),
    _xlpm.slopes, CHOOSE({1,2,3,4,5,6}, Q843, T843, W843, Z843, AC843, AF843),
    _xlpm.ints, CHOOSE({1,2,3,4,5,6}, R843, U843, X843, AA843, AD843, AG843),
    _xlpm.limit, -0.00001*_xlpm.slopes + 0.1086*_xlpm.slopes + 63.253,
    _xlpm.valid, (_xlpm.vals &gt;= 0) * (_xlpm.ints &lt;= _xlpm.limit),
    _xlpm.target, MIN(_xlfn._xlws.FILTER(_xlpm.vals, _xlpm.valid)),
    IFERROR(
        _xlfn.XLOOKUP(_xlpm.target, _xlpm.vals, _xlpm.vals),
        CHOOSE({1,2,3,4,5,6}, S$1, V$1, Y$1, AB$1, AE$1, AH$1)
    )
)</f>
        <v>0.41958479072721394</v>
      </c>
    </row>
    <row r="844" spans="9:36" x14ac:dyDescent="0.45">
      <c r="I844">
        <v>842</v>
      </c>
      <c r="J844">
        <v>25.4</v>
      </c>
      <c r="K844">
        <f t="shared" si="300"/>
        <v>25.4</v>
      </c>
      <c r="L844">
        <f t="shared" si="299"/>
        <v>7.0555555555555554E-3</v>
      </c>
      <c r="M844">
        <v>-0.39</v>
      </c>
      <c r="N844">
        <f t="shared" si="301"/>
        <v>0</v>
      </c>
      <c r="O844">
        <f t="shared" si="302"/>
        <v>330.0776427943274</v>
      </c>
      <c r="P844">
        <f t="shared" si="303"/>
        <v>1056.2484569418477</v>
      </c>
      <c r="Q844">
        <f t="shared" si="304"/>
        <v>4837.6179327936625</v>
      </c>
      <c r="R844">
        <f t="shared" si="305"/>
        <v>0</v>
      </c>
      <c r="S844">
        <f t="shared" si="306"/>
        <v>3.4131114291862326</v>
      </c>
      <c r="T844">
        <f t="shared" si="307"/>
        <v>3126.4954325478693</v>
      </c>
      <c r="U844">
        <f t="shared" si="308"/>
        <v>0</v>
      </c>
      <c r="V844">
        <f t="shared" si="309"/>
        <v>1.0658817343038651</v>
      </c>
      <c r="W844">
        <f t="shared" si="310"/>
        <v>2017.4345527589292</v>
      </c>
      <c r="X844">
        <f t="shared" si="311"/>
        <v>0</v>
      </c>
      <c r="Y844">
        <f t="shared" si="312"/>
        <v>0.52980911884629722</v>
      </c>
      <c r="Z844">
        <f t="shared" si="313"/>
        <v>1520.9977779962608</v>
      </c>
      <c r="AA844">
        <f t="shared" si="314"/>
        <v>0</v>
      </c>
      <c r="AB844">
        <f t="shared" si="315"/>
        <v>0.41369261304352711</v>
      </c>
      <c r="AC844">
        <f t="shared" si="316"/>
        <v>6000</v>
      </c>
      <c r="AD844">
        <f t="shared" si="317"/>
        <v>0</v>
      </c>
      <c r="AE844">
        <f t="shared" si="318"/>
        <v>6.7000407999999982</v>
      </c>
      <c r="AF844">
        <f t="shared" si="319"/>
        <v>6000</v>
      </c>
      <c r="AG844">
        <f t="shared" si="320"/>
        <v>0</v>
      </c>
      <c r="AH844">
        <f t="shared" si="321"/>
        <v>6.7000407999999982</v>
      </c>
      <c r="AI844" cm="1">
        <f t="array" ref="AI844">_xlfn.LET(
    _xlpm.vals,   _xlfn.HSTACK(S844,V844,Y844,AB844,AE844,AH844),
    _xlpm.ints,   _xlfn.HSTACK(R844,U844,X844,AA844,AD844,AG844),
    _xlpm.slopes, _xlfn.HSTACK(Q844,T844,W844,Z844,AC844,AF844),
    _xlpm.limit,  -0.00001*_xlpm.slopes + 0.1086*_xlpm.slopes + 63.253,
    _xlpm.mask,   (_xlpm.vals&gt;=0) * (_xlpm.ints&lt;=_xlpm.limit),
    _xlpm.validVals, _xlfn._xlws.FILTER(_xlpm.vals, _xlpm.mask),
    _xlpm.minVal, MIN(_xlpm.validVals),
    IFERROR( _xlfn.XMATCH(_xlpm.minVal, _xlpm.vals), "" )
)</f>
        <v>4</v>
      </c>
      <c r="AJ844" cm="1">
        <f t="array" ref="AJ844">_xlfn.LET(
    _xlpm.vals, CHOOSE({1,2,3,4,5,6}, S844, V844, Y844, AB844, AE844, AH844),
    _xlpm.slopes, CHOOSE({1,2,3,4,5,6}, Q844, T844, W844, Z844, AC844, AF844),
    _xlpm.ints, CHOOSE({1,2,3,4,5,6}, R844, U844, X844, AA844, AD844, AG844),
    _xlpm.limit, -0.00001*_xlpm.slopes + 0.1086*_xlpm.slopes + 63.253,
    _xlpm.valid, (_xlpm.vals &gt;= 0) * (_xlpm.ints &lt;= _xlpm.limit),
    _xlpm.target, MIN(_xlfn._xlws.FILTER(_xlpm.vals, _xlpm.valid)),
    IFERROR(
        _xlfn.XLOOKUP(_xlpm.target, _xlpm.vals, _xlpm.vals),
        CHOOSE({1,2,3,4,5,6}, S$1, V$1, Y$1, AB$1, AE$1, AH$1)
    )
)</f>
        <v>0.41369261304352711</v>
      </c>
    </row>
    <row r="845" spans="9:36" x14ac:dyDescent="0.45">
      <c r="I845">
        <v>843</v>
      </c>
      <c r="J845">
        <v>24.9</v>
      </c>
      <c r="K845">
        <f t="shared" si="300"/>
        <v>24.9</v>
      </c>
      <c r="L845">
        <f t="shared" si="299"/>
        <v>6.9166666666666664E-3</v>
      </c>
      <c r="M845">
        <v>-0.31</v>
      </c>
      <c r="N845">
        <f t="shared" si="301"/>
        <v>0</v>
      </c>
      <c r="O845">
        <f t="shared" si="302"/>
        <v>323.58005140073828</v>
      </c>
      <c r="P845">
        <f t="shared" si="303"/>
        <v>1035.4561644823625</v>
      </c>
      <c r="Q845">
        <f t="shared" si="304"/>
        <v>4742.3892333292206</v>
      </c>
      <c r="R845">
        <f t="shared" si="305"/>
        <v>0</v>
      </c>
      <c r="S845">
        <f t="shared" si="306"/>
        <v>3.213825382378749</v>
      </c>
      <c r="T845">
        <f t="shared" si="307"/>
        <v>3064.9502468677929</v>
      </c>
      <c r="U845">
        <f t="shared" si="308"/>
        <v>0</v>
      </c>
      <c r="V845">
        <f t="shared" si="309"/>
        <v>1.0213254005234986</v>
      </c>
      <c r="W845">
        <f t="shared" si="310"/>
        <v>1977.7212741613123</v>
      </c>
      <c r="X845">
        <f t="shared" si="311"/>
        <v>0</v>
      </c>
      <c r="Y845">
        <f t="shared" si="312"/>
        <v>0.51870485781884934</v>
      </c>
      <c r="Z845">
        <f t="shared" si="313"/>
        <v>1491.056876854602</v>
      </c>
      <c r="AA845">
        <f t="shared" si="314"/>
        <v>0</v>
      </c>
      <c r="AB845">
        <f t="shared" si="315"/>
        <v>0.40789762405788776</v>
      </c>
      <c r="AC845">
        <f t="shared" si="316"/>
        <v>6000</v>
      </c>
      <c r="AD845">
        <f t="shared" si="317"/>
        <v>0</v>
      </c>
      <c r="AE845">
        <f t="shared" si="318"/>
        <v>6.7000407999999982</v>
      </c>
      <c r="AF845">
        <f t="shared" si="319"/>
        <v>6000</v>
      </c>
      <c r="AG845">
        <f t="shared" si="320"/>
        <v>0</v>
      </c>
      <c r="AH845">
        <f t="shared" si="321"/>
        <v>6.7000407999999982</v>
      </c>
      <c r="AI845" cm="1">
        <f t="array" ref="AI845">_xlfn.LET(
    _xlpm.vals,   _xlfn.HSTACK(S845,V845,Y845,AB845,AE845,AH845),
    _xlpm.ints,   _xlfn.HSTACK(R845,U845,X845,AA845,AD845,AG845),
    _xlpm.slopes, _xlfn.HSTACK(Q845,T845,W845,Z845,AC845,AF845),
    _xlpm.limit,  -0.00001*_xlpm.slopes + 0.1086*_xlpm.slopes + 63.253,
    _xlpm.mask,   (_xlpm.vals&gt;=0) * (_xlpm.ints&lt;=_xlpm.limit),
    _xlpm.validVals, _xlfn._xlws.FILTER(_xlpm.vals, _xlpm.mask),
    _xlpm.minVal, MIN(_xlpm.validVals),
    IFERROR( _xlfn.XMATCH(_xlpm.minVal, _xlpm.vals), "" )
)</f>
        <v>4</v>
      </c>
      <c r="AJ845" cm="1">
        <f t="array" ref="AJ845">_xlfn.LET(
    _xlpm.vals, CHOOSE({1,2,3,4,5,6}, S845, V845, Y845, AB845, AE845, AH845),
    _xlpm.slopes, CHOOSE({1,2,3,4,5,6}, Q845, T845, W845, Z845, AC845, AF845),
    _xlpm.ints, CHOOSE({1,2,3,4,5,6}, R845, U845, X845, AA845, AD845, AG845),
    _xlpm.limit, -0.00001*_xlpm.slopes + 0.1086*_xlpm.slopes + 63.253,
    _xlpm.valid, (_xlpm.vals &gt;= 0) * (_xlpm.ints &lt;= _xlpm.limit),
    _xlpm.target, MIN(_xlfn._xlws.FILTER(_xlpm.vals, _xlpm.valid)),
    IFERROR(
        _xlfn.XLOOKUP(_xlpm.target, _xlpm.vals, _xlpm.vals),
        CHOOSE({1,2,3,4,5,6}, S$1, V$1, Y$1, AB$1, AE$1, AH$1)
    )
)</f>
        <v>0.40789762405788776</v>
      </c>
    </row>
    <row r="846" spans="9:36" x14ac:dyDescent="0.45">
      <c r="I846">
        <v>844</v>
      </c>
      <c r="J846">
        <v>24.7</v>
      </c>
      <c r="K846">
        <f t="shared" si="300"/>
        <v>24.7</v>
      </c>
      <c r="L846">
        <f t="shared" si="299"/>
        <v>6.8611111111111112E-3</v>
      </c>
      <c r="M846">
        <v>6.04</v>
      </c>
      <c r="N846">
        <f t="shared" si="301"/>
        <v>6.04</v>
      </c>
      <c r="O846">
        <f t="shared" si="302"/>
        <v>320.98101484330266</v>
      </c>
      <c r="P846">
        <f t="shared" si="303"/>
        <v>1027.1392474985685</v>
      </c>
      <c r="Q846">
        <f t="shared" si="304"/>
        <v>4704.2977535434438</v>
      </c>
      <c r="R846">
        <f t="shared" si="305"/>
        <v>12.260650664184245</v>
      </c>
      <c r="S846">
        <f t="shared" si="306"/>
        <v>3.3092688842493407</v>
      </c>
      <c r="T846">
        <f t="shared" si="307"/>
        <v>3040.3321725957626</v>
      </c>
      <c r="U846">
        <f t="shared" si="308"/>
        <v>18.970871635798595</v>
      </c>
      <c r="V846">
        <f t="shared" si="309"/>
        <v>1.305223491351732</v>
      </c>
      <c r="W846">
        <f t="shared" si="310"/>
        <v>1961.8359627222658</v>
      </c>
      <c r="X846">
        <f t="shared" si="311"/>
        <v>29.399884838724525</v>
      </c>
      <c r="Y846">
        <f t="shared" si="312"/>
        <v>0.90226840771581085</v>
      </c>
      <c r="Z846">
        <f t="shared" si="313"/>
        <v>1479.0805163979385</v>
      </c>
      <c r="AA846">
        <f t="shared" si="314"/>
        <v>38.995680584697112</v>
      </c>
      <c r="AB846">
        <f t="shared" si="315"/>
        <v>0.83651882469833427</v>
      </c>
      <c r="AC846">
        <f t="shared" si="316"/>
        <v>6000</v>
      </c>
      <c r="AD846">
        <f t="shared" si="317"/>
        <v>9.6129585627504781</v>
      </c>
      <c r="AE846">
        <f t="shared" si="318"/>
        <v>6.772763355734722</v>
      </c>
      <c r="AF846">
        <f t="shared" si="319"/>
        <v>6000</v>
      </c>
      <c r="AG846">
        <f t="shared" si="320"/>
        <v>9.6129585627504781</v>
      </c>
      <c r="AH846">
        <f t="shared" si="321"/>
        <v>6.772763355734722</v>
      </c>
      <c r="AI846" cm="1">
        <f t="array" ref="AI846">_xlfn.LET(
    _xlpm.vals,   _xlfn.HSTACK(S846,V846,Y846,AB846,AE846,AH846),
    _xlpm.ints,   _xlfn.HSTACK(R846,U846,X846,AA846,AD846,AG846),
    _xlpm.slopes, _xlfn.HSTACK(Q846,T846,W846,Z846,AC846,AF846),
    _xlpm.limit,  -0.00001*_xlpm.slopes + 0.1086*_xlpm.slopes + 63.253,
    _xlpm.mask,   (_xlpm.vals&gt;=0) * (_xlpm.ints&lt;=_xlpm.limit),
    _xlpm.validVals, _xlfn._xlws.FILTER(_xlpm.vals, _xlpm.mask),
    _xlpm.minVal, MIN(_xlpm.validVals),
    IFERROR( _xlfn.XMATCH(_xlpm.minVal, _xlpm.vals), "" )
)</f>
        <v>4</v>
      </c>
      <c r="AJ846" cm="1">
        <f t="array" ref="AJ846">_xlfn.LET(
    _xlpm.vals, CHOOSE({1,2,3,4,5,6}, S846, V846, Y846, AB846, AE846, AH846),
    _xlpm.slopes, CHOOSE({1,2,3,4,5,6}, Q846, T846, W846, Z846, AC846, AF846),
    _xlpm.ints, CHOOSE({1,2,3,4,5,6}, R846, U846, X846, AA846, AD846, AG846),
    _xlpm.limit, -0.00001*_xlpm.slopes + 0.1086*_xlpm.slopes + 63.253,
    _xlpm.valid, (_xlpm.vals &gt;= 0) * (_xlpm.ints &lt;= _xlpm.limit),
    _xlpm.target, MIN(_xlfn._xlws.FILTER(_xlpm.vals, _xlpm.valid)),
    IFERROR(
        _xlfn.XLOOKUP(_xlpm.target, _xlpm.vals, _xlpm.vals),
        CHOOSE({1,2,3,4,5,6}, S$1, V$1, Y$1, AB$1, AE$1, AH$1)
    )
)</f>
        <v>0.83651882469833427</v>
      </c>
    </row>
    <row r="847" spans="9:36" x14ac:dyDescent="0.45">
      <c r="I847">
        <v>845</v>
      </c>
      <c r="J847">
        <v>25</v>
      </c>
      <c r="K847">
        <f t="shared" si="300"/>
        <v>25</v>
      </c>
      <c r="L847">
        <f t="shared" si="299"/>
        <v>6.9444444444444441E-3</v>
      </c>
      <c r="M847">
        <v>6.4</v>
      </c>
      <c r="N847">
        <f t="shared" si="301"/>
        <v>6.4</v>
      </c>
      <c r="O847">
        <f t="shared" si="302"/>
        <v>324.87956967945615</v>
      </c>
      <c r="P847">
        <f t="shared" si="303"/>
        <v>1039.6146229742596</v>
      </c>
      <c r="Q847">
        <f t="shared" si="304"/>
        <v>4761.434973222109</v>
      </c>
      <c r="R847">
        <f t="shared" si="305"/>
        <v>12.835520907246659</v>
      </c>
      <c r="S847">
        <f t="shared" si="306"/>
        <v>3.4322851610363925</v>
      </c>
      <c r="T847">
        <f t="shared" si="307"/>
        <v>3077.2592840038087</v>
      </c>
      <c r="U847">
        <f t="shared" si="308"/>
        <v>19.860366809185706</v>
      </c>
      <c r="V847">
        <f t="shared" si="309"/>
        <v>1.3481851619245639</v>
      </c>
      <c r="W847">
        <f t="shared" si="310"/>
        <v>1985.6639298808359</v>
      </c>
      <c r="X847">
        <f t="shared" si="311"/>
        <v>30.778369505334918</v>
      </c>
      <c r="Y847">
        <f t="shared" si="312"/>
        <v>0.93323894275043284</v>
      </c>
      <c r="Z847">
        <f t="shared" si="313"/>
        <v>1497.0450570829339</v>
      </c>
      <c r="AA847">
        <f t="shared" si="314"/>
        <v>40.824087329992842</v>
      </c>
      <c r="AB847">
        <f t="shared" si="315"/>
        <v>0.86836893738758214</v>
      </c>
      <c r="AC847">
        <f t="shared" si="316"/>
        <v>6000</v>
      </c>
      <c r="AD847">
        <f t="shared" si="317"/>
        <v>10.185916357881302</v>
      </c>
      <c r="AE847">
        <f t="shared" si="318"/>
        <v>6.77803414930057</v>
      </c>
      <c r="AF847">
        <f t="shared" si="319"/>
        <v>6000</v>
      </c>
      <c r="AG847">
        <f t="shared" si="320"/>
        <v>10.185916357881302</v>
      </c>
      <c r="AH847">
        <f t="shared" si="321"/>
        <v>6.77803414930057</v>
      </c>
      <c r="AI847" cm="1">
        <f t="array" ref="AI847">_xlfn.LET(
    _xlpm.vals,   _xlfn.HSTACK(S847,V847,Y847,AB847,AE847,AH847),
    _xlpm.ints,   _xlfn.HSTACK(R847,U847,X847,AA847,AD847,AG847),
    _xlpm.slopes, _xlfn.HSTACK(Q847,T847,W847,Z847,AC847,AF847),
    _xlpm.limit,  -0.00001*_xlpm.slopes + 0.1086*_xlpm.slopes + 63.253,
    _xlpm.mask,   (_xlpm.vals&gt;=0) * (_xlpm.ints&lt;=_xlpm.limit),
    _xlpm.validVals, _xlfn._xlws.FILTER(_xlpm.vals, _xlpm.mask),
    _xlpm.minVal, MIN(_xlpm.validVals),
    IFERROR( _xlfn.XMATCH(_xlpm.minVal, _xlpm.vals), "" )
)</f>
        <v>4</v>
      </c>
      <c r="AJ847" cm="1">
        <f t="array" ref="AJ847">_xlfn.LET(
    _xlpm.vals, CHOOSE({1,2,3,4,5,6}, S847, V847, Y847, AB847, AE847, AH847),
    _xlpm.slopes, CHOOSE({1,2,3,4,5,6}, Q847, T847, W847, Z847, AC847, AF847),
    _xlpm.ints, CHOOSE({1,2,3,4,5,6}, R847, U847, X847, AA847, AD847, AG847),
    _xlpm.limit, -0.00001*_xlpm.slopes + 0.1086*_xlpm.slopes + 63.253,
    _xlpm.valid, (_xlpm.vals &gt;= 0) * (_xlpm.ints &lt;= _xlpm.limit),
    _xlpm.target, MIN(_xlfn._xlws.FILTER(_xlpm.vals, _xlpm.valid)),
    IFERROR(
        _xlfn.XLOOKUP(_xlpm.target, _xlpm.vals, _xlpm.vals),
        CHOOSE({1,2,3,4,5,6}, S$1, V$1, Y$1, AB$1, AE$1, AH$1)
    )
)</f>
        <v>0.86836893738758214</v>
      </c>
    </row>
    <row r="848" spans="9:36" x14ac:dyDescent="0.45">
      <c r="I848">
        <v>846</v>
      </c>
      <c r="J848">
        <v>25.6</v>
      </c>
      <c r="K848">
        <f t="shared" si="300"/>
        <v>25.6</v>
      </c>
      <c r="L848">
        <f t="shared" si="299"/>
        <v>7.1111111111111115E-3</v>
      </c>
      <c r="M848">
        <v>9.5</v>
      </c>
      <c r="N848">
        <f t="shared" si="301"/>
        <v>9.5</v>
      </c>
      <c r="O848">
        <f t="shared" si="302"/>
        <v>332.67667935176308</v>
      </c>
      <c r="P848">
        <f t="shared" si="303"/>
        <v>1064.565373925642</v>
      </c>
      <c r="Q848">
        <f t="shared" si="304"/>
        <v>4875.7094125794401</v>
      </c>
      <c r="R848">
        <f t="shared" si="305"/>
        <v>18.60617807294361</v>
      </c>
      <c r="S848">
        <f t="shared" si="306"/>
        <v>3.7629715577993377</v>
      </c>
      <c r="T848">
        <f t="shared" si="307"/>
        <v>3151.1135068199005</v>
      </c>
      <c r="U848">
        <f t="shared" si="308"/>
        <v>28.789289045297881</v>
      </c>
      <c r="V848">
        <f t="shared" si="309"/>
        <v>1.5724358364100908</v>
      </c>
      <c r="W848">
        <f t="shared" si="310"/>
        <v>2033.3198641979761</v>
      </c>
      <c r="X848">
        <f t="shared" si="311"/>
        <v>44.615861557110854</v>
      </c>
      <c r="Y848">
        <f t="shared" si="312"/>
        <v>1.1794683809447093</v>
      </c>
      <c r="Z848">
        <f t="shared" si="313"/>
        <v>1532.9741384529245</v>
      </c>
      <c r="AA848">
        <f t="shared" si="314"/>
        <v>59.17798303755675</v>
      </c>
      <c r="AB848">
        <f t="shared" si="315"/>
        <v>1.1405416808581286</v>
      </c>
      <c r="AC848">
        <f t="shared" si="316"/>
        <v>6000</v>
      </c>
      <c r="AD848">
        <f t="shared" si="317"/>
        <v>15.119719593730057</v>
      </c>
      <c r="AE848">
        <f t="shared" si="318"/>
        <v>6.8276376776674139</v>
      </c>
      <c r="AF848">
        <f t="shared" si="319"/>
        <v>6000</v>
      </c>
      <c r="AG848">
        <f t="shared" si="320"/>
        <v>15.119719593730057</v>
      </c>
      <c r="AH848">
        <f t="shared" si="321"/>
        <v>6.8276376776674139</v>
      </c>
      <c r="AI848" cm="1">
        <f t="array" ref="AI848">_xlfn.LET(
    _xlpm.vals,   _xlfn.HSTACK(S848,V848,Y848,AB848,AE848,AH848),
    _xlpm.ints,   _xlfn.HSTACK(R848,U848,X848,AA848,AD848,AG848),
    _xlpm.slopes, _xlfn.HSTACK(Q848,T848,W848,Z848,AC848,AF848),
    _xlpm.limit,  -0.00001*_xlpm.slopes + 0.1086*_xlpm.slopes + 63.253,
    _xlpm.mask,   (_xlpm.vals&gt;=0) * (_xlpm.ints&lt;=_xlpm.limit),
    _xlpm.validVals, _xlfn._xlws.FILTER(_xlpm.vals, _xlpm.mask),
    _xlpm.minVal, MIN(_xlpm.validVals),
    IFERROR( _xlfn.XMATCH(_xlpm.minVal, _xlpm.vals), "" )
)</f>
        <v>4</v>
      </c>
      <c r="AJ848" cm="1">
        <f t="array" ref="AJ848">_xlfn.LET(
    _xlpm.vals, CHOOSE({1,2,3,4,5,6}, S848, V848, Y848, AB848, AE848, AH848),
    _xlpm.slopes, CHOOSE({1,2,3,4,5,6}, Q848, T848, W848, Z848, AC848, AF848),
    _xlpm.ints, CHOOSE({1,2,3,4,5,6}, R848, U848, X848, AA848, AD848, AG848),
    _xlpm.limit, -0.00001*_xlpm.slopes + 0.1086*_xlpm.slopes + 63.253,
    _xlpm.valid, (_xlpm.vals &gt;= 0) * (_xlpm.ints &lt;= _xlpm.limit),
    _xlpm.target, MIN(_xlfn._xlws.FILTER(_xlpm.vals, _xlpm.valid)),
    IFERROR(
        _xlfn.XLOOKUP(_xlpm.target, _xlpm.vals, _xlpm.vals),
        CHOOSE({1,2,3,4,5,6}, S$1, V$1, Y$1, AB$1, AE$1, AH$1)
    )
)</f>
        <v>1.1405416808581286</v>
      </c>
    </row>
    <row r="849" spans="9:36" x14ac:dyDescent="0.45">
      <c r="I849">
        <v>847</v>
      </c>
      <c r="J849">
        <v>26.1</v>
      </c>
      <c r="K849">
        <f t="shared" si="300"/>
        <v>26.1</v>
      </c>
      <c r="L849">
        <f t="shared" si="299"/>
        <v>7.2500000000000004E-3</v>
      </c>
      <c r="M849">
        <v>9.4499999999999993</v>
      </c>
      <c r="N849">
        <f t="shared" si="301"/>
        <v>9.4499999999999993</v>
      </c>
      <c r="O849">
        <f t="shared" si="302"/>
        <v>339.17427074535226</v>
      </c>
      <c r="P849">
        <f t="shared" si="303"/>
        <v>1085.3576663851272</v>
      </c>
      <c r="Q849">
        <f t="shared" si="304"/>
        <v>4970.9381120438829</v>
      </c>
      <c r="R849">
        <f t="shared" si="305"/>
        <v>18.153686627975468</v>
      </c>
      <c r="S849">
        <f t="shared" si="306"/>
        <v>3.9623734721692667</v>
      </c>
      <c r="T849">
        <f t="shared" si="307"/>
        <v>3212.6586924999765</v>
      </c>
      <c r="U849">
        <f t="shared" si="308"/>
        <v>28.08915025544853</v>
      </c>
      <c r="V849">
        <f t="shared" si="309"/>
        <v>1.6089896100432781</v>
      </c>
      <c r="W849">
        <f t="shared" si="310"/>
        <v>2073.033142795593</v>
      </c>
      <c r="X849">
        <f t="shared" si="311"/>
        <v>43.530829715250078</v>
      </c>
      <c r="Y849">
        <f t="shared" si="312"/>
        <v>1.1811907240901793</v>
      </c>
      <c r="Z849">
        <f t="shared" si="313"/>
        <v>1562.915039594583</v>
      </c>
      <c r="AA849">
        <f t="shared" si="314"/>
        <v>57.738808858421983</v>
      </c>
      <c r="AB849">
        <f t="shared" si="315"/>
        <v>1.1371254959793433</v>
      </c>
      <c r="AC849">
        <f t="shared" si="316"/>
        <v>6000</v>
      </c>
      <c r="AD849">
        <f t="shared" si="317"/>
        <v>15.040142122184109</v>
      </c>
      <c r="AE849">
        <f t="shared" si="318"/>
        <v>6.8267784056843732</v>
      </c>
      <c r="AF849">
        <f t="shared" si="319"/>
        <v>6000</v>
      </c>
      <c r="AG849">
        <f t="shared" si="320"/>
        <v>15.040142122184109</v>
      </c>
      <c r="AH849">
        <f t="shared" si="321"/>
        <v>6.8267784056843732</v>
      </c>
      <c r="AI849" cm="1">
        <f t="array" ref="AI849">_xlfn.LET(
    _xlpm.vals,   _xlfn.HSTACK(S849,V849,Y849,AB849,AE849,AH849),
    _xlpm.ints,   _xlfn.HSTACK(R849,U849,X849,AA849,AD849,AG849),
    _xlpm.slopes, _xlfn.HSTACK(Q849,T849,W849,Z849,AC849,AF849),
    _xlpm.limit,  -0.00001*_xlpm.slopes + 0.1086*_xlpm.slopes + 63.253,
    _xlpm.mask,   (_xlpm.vals&gt;=0) * (_xlpm.ints&lt;=_xlpm.limit),
    _xlpm.validVals, _xlfn._xlws.FILTER(_xlpm.vals, _xlpm.mask),
    _xlpm.minVal, MIN(_xlpm.validVals),
    IFERROR( _xlfn.XMATCH(_xlpm.minVal, _xlpm.vals), "" )
)</f>
        <v>4</v>
      </c>
      <c r="AJ849" cm="1">
        <f t="array" ref="AJ849">_xlfn.LET(
    _xlpm.vals, CHOOSE({1,2,3,4,5,6}, S849, V849, Y849, AB849, AE849, AH849),
    _xlpm.slopes, CHOOSE({1,2,3,4,5,6}, Q849, T849, W849, Z849, AC849, AF849),
    _xlpm.ints, CHOOSE({1,2,3,4,5,6}, R849, U849, X849, AA849, AD849, AG849),
    _xlpm.limit, -0.00001*_xlpm.slopes + 0.1086*_xlpm.slopes + 63.253,
    _xlpm.valid, (_xlpm.vals &gt;= 0) * (_xlpm.ints &lt;= _xlpm.limit),
    _xlpm.target, MIN(_xlfn._xlws.FILTER(_xlpm.vals, _xlpm.valid)),
    IFERROR(
        _xlfn.XLOOKUP(_xlpm.target, _xlpm.vals, _xlpm.vals),
        CHOOSE({1,2,3,4,5,6}, S$1, V$1, Y$1, AB$1, AE$1, AH$1)
    )
)</f>
        <v>1.1371254959793433</v>
      </c>
    </row>
    <row r="850" spans="9:36" x14ac:dyDescent="0.45">
      <c r="I850">
        <v>848</v>
      </c>
      <c r="J850">
        <v>26.5</v>
      </c>
      <c r="K850">
        <f t="shared" si="300"/>
        <v>26.5</v>
      </c>
      <c r="L850">
        <f t="shared" si="299"/>
        <v>7.3611111111111108E-3</v>
      </c>
      <c r="M850">
        <v>6.75</v>
      </c>
      <c r="N850">
        <f t="shared" si="301"/>
        <v>6.75</v>
      </c>
      <c r="O850">
        <f t="shared" si="302"/>
        <v>344.37234386022351</v>
      </c>
      <c r="P850">
        <f t="shared" si="303"/>
        <v>1101.9915003527153</v>
      </c>
      <c r="Q850">
        <f t="shared" si="304"/>
        <v>5047.1210716154364</v>
      </c>
      <c r="R850">
        <f t="shared" si="305"/>
        <v>12.771191940435573</v>
      </c>
      <c r="S850">
        <f t="shared" si="306"/>
        <v>4.0516097893107421</v>
      </c>
      <c r="T850">
        <f t="shared" si="307"/>
        <v>3261.8948410440371</v>
      </c>
      <c r="U850">
        <f t="shared" si="308"/>
        <v>19.760830772700992</v>
      </c>
      <c r="V850">
        <f t="shared" si="309"/>
        <v>1.4929143513714522</v>
      </c>
      <c r="W850">
        <f t="shared" si="310"/>
        <v>2104.803765673686</v>
      </c>
      <c r="X850">
        <f t="shared" si="311"/>
        <v>30.624114705337661</v>
      </c>
      <c r="Y850">
        <f t="shared" si="312"/>
        <v>0.98247246972097768</v>
      </c>
      <c r="Z850">
        <f t="shared" si="313"/>
        <v>1586.8677605079099</v>
      </c>
      <c r="AA850">
        <f t="shared" si="314"/>
        <v>40.619485477218703</v>
      </c>
      <c r="AB850">
        <f t="shared" si="315"/>
        <v>0.90595762743395691</v>
      </c>
      <c r="AC850">
        <f t="shared" si="316"/>
        <v>6000</v>
      </c>
      <c r="AD850">
        <f t="shared" si="317"/>
        <v>10.742958658702936</v>
      </c>
      <c r="AE850">
        <f t="shared" si="318"/>
        <v>6.7832571695917743</v>
      </c>
      <c r="AF850">
        <f t="shared" si="319"/>
        <v>6000</v>
      </c>
      <c r="AG850">
        <f t="shared" si="320"/>
        <v>10.742958658702936</v>
      </c>
      <c r="AH850">
        <f t="shared" si="321"/>
        <v>6.7832571695917743</v>
      </c>
      <c r="AI850" cm="1">
        <f t="array" ref="AI850">_xlfn.LET(
    _xlpm.vals,   _xlfn.HSTACK(S850,V850,Y850,AB850,AE850,AH850),
    _xlpm.ints,   _xlfn.HSTACK(R850,U850,X850,AA850,AD850,AG850),
    _xlpm.slopes, _xlfn.HSTACK(Q850,T850,W850,Z850,AC850,AF850),
    _xlpm.limit,  -0.00001*_xlpm.slopes + 0.1086*_xlpm.slopes + 63.253,
    _xlpm.mask,   (_xlpm.vals&gt;=0) * (_xlpm.ints&lt;=_xlpm.limit),
    _xlpm.validVals, _xlfn._xlws.FILTER(_xlpm.vals, _xlpm.mask),
    _xlpm.minVal, MIN(_xlpm.validVals),
    IFERROR( _xlfn.XMATCH(_xlpm.minVal, _xlpm.vals), "" )
)</f>
        <v>4</v>
      </c>
      <c r="AJ850" cm="1">
        <f t="array" ref="AJ850">_xlfn.LET(
    _xlpm.vals, CHOOSE({1,2,3,4,5,6}, S850, V850, Y850, AB850, AE850, AH850),
    _xlpm.slopes, CHOOSE({1,2,3,4,5,6}, Q850, T850, W850, Z850, AC850, AF850),
    _xlpm.ints, CHOOSE({1,2,3,4,5,6}, R850, U850, X850, AA850, AD850, AG850),
    _xlpm.limit, -0.00001*_xlpm.slopes + 0.1086*_xlpm.slopes + 63.253,
    _xlpm.valid, (_xlpm.vals &gt;= 0) * (_xlpm.ints &lt;= _xlpm.limit),
    _xlpm.target, MIN(_xlfn._xlws.FILTER(_xlpm.vals, _xlpm.valid)),
    IFERROR(
        _xlfn.XLOOKUP(_xlpm.target, _xlpm.vals, _xlpm.vals),
        CHOOSE({1,2,3,4,5,6}, S$1, V$1, Y$1, AB$1, AE$1, AH$1)
    )
)</f>
        <v>0.90595762743395691</v>
      </c>
    </row>
    <row r="851" spans="9:36" x14ac:dyDescent="0.45">
      <c r="I851">
        <v>849</v>
      </c>
      <c r="J851">
        <v>27.1</v>
      </c>
      <c r="K851">
        <f t="shared" si="300"/>
        <v>27.1</v>
      </c>
      <c r="L851">
        <f t="shared" si="299"/>
        <v>7.5277777777777782E-3</v>
      </c>
      <c r="M851">
        <v>9.33</v>
      </c>
      <c r="N851">
        <f t="shared" si="301"/>
        <v>9.33</v>
      </c>
      <c r="O851">
        <f t="shared" si="302"/>
        <v>352.1694535325305</v>
      </c>
      <c r="P851">
        <f t="shared" si="303"/>
        <v>1126.9422513040977</v>
      </c>
      <c r="Q851">
        <f t="shared" si="304"/>
        <v>5161.3955109727676</v>
      </c>
      <c r="R851">
        <f t="shared" si="305"/>
        <v>17.261792271767078</v>
      </c>
      <c r="S851">
        <f t="shared" si="306"/>
        <v>4.3913634066252873</v>
      </c>
      <c r="T851">
        <f t="shared" si="307"/>
        <v>3335.7490638601289</v>
      </c>
      <c r="U851">
        <f t="shared" si="308"/>
        <v>26.70912452861258</v>
      </c>
      <c r="V851">
        <f t="shared" si="309"/>
        <v>1.6882344338436486</v>
      </c>
      <c r="W851">
        <f t="shared" si="310"/>
        <v>2152.4596999908263</v>
      </c>
      <c r="X851">
        <f t="shared" si="311"/>
        <v>41.392151101933628</v>
      </c>
      <c r="Y851">
        <f t="shared" si="312"/>
        <v>1.1847577926686104</v>
      </c>
      <c r="Z851">
        <f t="shared" si="313"/>
        <v>1622.7968418779005</v>
      </c>
      <c r="AA851">
        <f t="shared" si="314"/>
        <v>54.902089308814737</v>
      </c>
      <c r="AB851">
        <f t="shared" si="315"/>
        <v>1.1290829554463606</v>
      </c>
      <c r="AC851">
        <f t="shared" si="316"/>
        <v>6000</v>
      </c>
      <c r="AD851">
        <f t="shared" si="317"/>
        <v>14.849156190473837</v>
      </c>
      <c r="AE851">
        <f t="shared" si="318"/>
        <v>6.8247239903510106</v>
      </c>
      <c r="AF851">
        <f t="shared" si="319"/>
        <v>6000</v>
      </c>
      <c r="AG851">
        <f t="shared" si="320"/>
        <v>14.849156190473837</v>
      </c>
      <c r="AH851">
        <f t="shared" si="321"/>
        <v>6.8247239903510106</v>
      </c>
      <c r="AI851" cm="1">
        <f t="array" ref="AI851">_xlfn.LET(
    _xlpm.vals,   _xlfn.HSTACK(S851,V851,Y851,AB851,AE851,AH851),
    _xlpm.ints,   _xlfn.HSTACK(R851,U851,X851,AA851,AD851,AG851),
    _xlpm.slopes, _xlfn.HSTACK(Q851,T851,W851,Z851,AC851,AF851),
    _xlpm.limit,  -0.00001*_xlpm.slopes + 0.1086*_xlpm.slopes + 63.253,
    _xlpm.mask,   (_xlpm.vals&gt;=0) * (_xlpm.ints&lt;=_xlpm.limit),
    _xlpm.validVals, _xlfn._xlws.FILTER(_xlpm.vals, _xlpm.mask),
    _xlpm.minVal, MIN(_xlpm.validVals),
    IFERROR( _xlfn.XMATCH(_xlpm.minVal, _xlpm.vals), "" )
)</f>
        <v>4</v>
      </c>
      <c r="AJ851" cm="1">
        <f t="array" ref="AJ851">_xlfn.LET(
    _xlpm.vals, CHOOSE({1,2,3,4,5,6}, S851, V851, Y851, AB851, AE851, AH851),
    _xlpm.slopes, CHOOSE({1,2,3,4,5,6}, Q851, T851, W851, Z851, AC851, AF851),
    _xlpm.ints, CHOOSE({1,2,3,4,5,6}, R851, U851, X851, AA851, AD851, AG851),
    _xlpm.limit, -0.00001*_xlpm.slopes + 0.1086*_xlpm.slopes + 63.253,
    _xlpm.valid, (_xlpm.vals &gt;= 0) * (_xlpm.ints &lt;= _xlpm.limit),
    _xlpm.target, MIN(_xlfn._xlws.FILTER(_xlpm.vals, _xlpm.valid)),
    IFERROR(
        _xlfn.XLOOKUP(_xlpm.target, _xlpm.vals, _xlpm.vals),
        CHOOSE({1,2,3,4,5,6}, S$1, V$1, Y$1, AB$1, AE$1, AH$1)
    )
)</f>
        <v>1.1290829554463606</v>
      </c>
    </row>
    <row r="852" spans="9:36" x14ac:dyDescent="0.45">
      <c r="I852">
        <v>850</v>
      </c>
      <c r="J852">
        <v>27.6</v>
      </c>
      <c r="K852">
        <f t="shared" si="300"/>
        <v>27.6</v>
      </c>
      <c r="L852">
        <f t="shared" si="299"/>
        <v>7.6666666666666671E-3</v>
      </c>
      <c r="M852">
        <v>9.19</v>
      </c>
      <c r="N852">
        <f t="shared" si="301"/>
        <v>9.19</v>
      </c>
      <c r="O852">
        <f t="shared" si="302"/>
        <v>358.66704492611962</v>
      </c>
      <c r="P852">
        <f t="shared" si="303"/>
        <v>1147.7345437635829</v>
      </c>
      <c r="Q852">
        <f t="shared" si="304"/>
        <v>5256.6242104372095</v>
      </c>
      <c r="R852">
        <f t="shared" si="305"/>
        <v>16.694751632925268</v>
      </c>
      <c r="S852">
        <f t="shared" si="306"/>
        <v>4.6195911264716631</v>
      </c>
      <c r="T852">
        <f t="shared" si="307"/>
        <v>3397.2942495402053</v>
      </c>
      <c r="U852">
        <f t="shared" si="308"/>
        <v>25.831744080674902</v>
      </c>
      <c r="V852">
        <f t="shared" si="309"/>
        <v>1.7272613338869252</v>
      </c>
      <c r="W852">
        <f t="shared" si="310"/>
        <v>2192.1729785884431</v>
      </c>
      <c r="X852">
        <f t="shared" si="311"/>
        <v>40.032441088375769</v>
      </c>
      <c r="Y852">
        <f t="shared" si="312"/>
        <v>1.1813547495886878</v>
      </c>
      <c r="Z852">
        <f t="shared" si="313"/>
        <v>1652.7377430195593</v>
      </c>
      <c r="AA852">
        <f t="shared" si="314"/>
        <v>53.098585054720644</v>
      </c>
      <c r="AB852">
        <f t="shared" si="315"/>
        <v>1.1184394961089292</v>
      </c>
      <c r="AC852">
        <f t="shared" si="316"/>
        <v>6000</v>
      </c>
      <c r="AD852">
        <f t="shared" si="317"/>
        <v>14.626339270145182</v>
      </c>
      <c r="AE852">
        <f t="shared" si="318"/>
        <v>6.8223411727095442</v>
      </c>
      <c r="AF852">
        <f t="shared" si="319"/>
        <v>6000</v>
      </c>
      <c r="AG852">
        <f t="shared" si="320"/>
        <v>14.626339270145182</v>
      </c>
      <c r="AH852">
        <f t="shared" si="321"/>
        <v>6.8223411727095442</v>
      </c>
      <c r="AI852" cm="1">
        <f t="array" ref="AI852">_xlfn.LET(
    _xlpm.vals,   _xlfn.HSTACK(S852,V852,Y852,AB852,AE852,AH852),
    _xlpm.ints,   _xlfn.HSTACK(R852,U852,X852,AA852,AD852,AG852),
    _xlpm.slopes, _xlfn.HSTACK(Q852,T852,W852,Z852,AC852,AF852),
    _xlpm.limit,  -0.00001*_xlpm.slopes + 0.1086*_xlpm.slopes + 63.253,
    _xlpm.mask,   (_xlpm.vals&gt;=0) * (_xlpm.ints&lt;=_xlpm.limit),
    _xlpm.validVals, _xlfn._xlws.FILTER(_xlpm.vals, _xlpm.mask),
    _xlpm.minVal, MIN(_xlpm.validVals),
    IFERROR( _xlfn.XMATCH(_xlpm.minVal, _xlpm.vals), "" )
)</f>
        <v>4</v>
      </c>
      <c r="AJ852" cm="1">
        <f t="array" ref="AJ852">_xlfn.LET(
    _xlpm.vals, CHOOSE({1,2,3,4,5,6}, S852, V852, Y852, AB852, AE852, AH852),
    _xlpm.slopes, CHOOSE({1,2,3,4,5,6}, Q852, T852, W852, Z852, AC852, AF852),
    _xlpm.ints, CHOOSE({1,2,3,4,5,6}, R852, U852, X852, AA852, AD852, AG852),
    _xlpm.limit, -0.00001*_xlpm.slopes + 0.1086*_xlpm.slopes + 63.253,
    _xlpm.valid, (_xlpm.vals &gt;= 0) * (_xlpm.ints &lt;= _xlpm.limit),
    _xlpm.target, MIN(_xlfn._xlws.FILTER(_xlpm.vals, _xlpm.valid)),
    IFERROR(
        _xlfn.XLOOKUP(_xlpm.target, _xlpm.vals, _xlpm.vals),
        CHOOSE({1,2,3,4,5,6}, S$1, V$1, Y$1, AB$1, AE$1, AH$1)
    )
)</f>
        <v>1.1184394961089292</v>
      </c>
    </row>
    <row r="853" spans="9:36" x14ac:dyDescent="0.45">
      <c r="I853">
        <v>851</v>
      </c>
      <c r="J853">
        <v>28.1</v>
      </c>
      <c r="K853">
        <f t="shared" si="300"/>
        <v>28.1</v>
      </c>
      <c r="L853">
        <f t="shared" si="299"/>
        <v>7.805555555555556E-3</v>
      </c>
      <c r="M853">
        <v>10.34</v>
      </c>
      <c r="N853">
        <f t="shared" si="301"/>
        <v>10.34</v>
      </c>
      <c r="O853">
        <f t="shared" si="302"/>
        <v>365.16463631970868</v>
      </c>
      <c r="P853">
        <f t="shared" si="303"/>
        <v>1168.5268362230679</v>
      </c>
      <c r="Q853">
        <f t="shared" si="304"/>
        <v>5351.8529099016514</v>
      </c>
      <c r="R853">
        <f t="shared" si="305"/>
        <v>18.449633866343753</v>
      </c>
      <c r="S853">
        <f t="shared" si="306"/>
        <v>4.8930078949266713</v>
      </c>
      <c r="T853">
        <f t="shared" si="307"/>
        <v>3458.8394352202808</v>
      </c>
      <c r="U853">
        <f t="shared" si="308"/>
        <v>28.547068617518381</v>
      </c>
      <c r="V853">
        <f t="shared" si="309"/>
        <v>1.8393049336787513</v>
      </c>
      <c r="W853">
        <f t="shared" si="310"/>
        <v>2231.8862571860595</v>
      </c>
      <c r="X853">
        <f t="shared" si="311"/>
        <v>44.24048330254157</v>
      </c>
      <c r="Y853">
        <f t="shared" si="312"/>
        <v>1.2767412116583108</v>
      </c>
      <c r="Z853">
        <f t="shared" si="313"/>
        <v>1682.6786441612178</v>
      </c>
      <c r="AA853">
        <f t="shared" si="314"/>
        <v>58.680085491565549</v>
      </c>
      <c r="AB853">
        <f t="shared" si="315"/>
        <v>1.2201610421559732</v>
      </c>
      <c r="AC853">
        <f t="shared" si="316"/>
        <v>6000</v>
      </c>
      <c r="AD853">
        <f t="shared" si="317"/>
        <v>16.456621115701978</v>
      </c>
      <c r="AE853">
        <f t="shared" si="318"/>
        <v>6.8423596069338695</v>
      </c>
      <c r="AF853">
        <f t="shared" si="319"/>
        <v>6000</v>
      </c>
      <c r="AG853">
        <f t="shared" si="320"/>
        <v>16.456621115701978</v>
      </c>
      <c r="AH853">
        <f t="shared" si="321"/>
        <v>6.8423596069338695</v>
      </c>
      <c r="AI853" cm="1">
        <f t="array" ref="AI853">_xlfn.LET(
    _xlpm.vals,   _xlfn.HSTACK(S853,V853,Y853,AB853,AE853,AH853),
    _xlpm.ints,   _xlfn.HSTACK(R853,U853,X853,AA853,AD853,AG853),
    _xlpm.slopes, _xlfn.HSTACK(Q853,T853,W853,Z853,AC853,AF853),
    _xlpm.limit,  -0.00001*_xlpm.slopes + 0.1086*_xlpm.slopes + 63.253,
    _xlpm.mask,   (_xlpm.vals&gt;=0) * (_xlpm.ints&lt;=_xlpm.limit),
    _xlpm.validVals, _xlfn._xlws.FILTER(_xlpm.vals, _xlpm.mask),
    _xlpm.minVal, MIN(_xlpm.validVals),
    IFERROR( _xlfn.XMATCH(_xlpm.minVal, _xlpm.vals), "" )
)</f>
        <v>4</v>
      </c>
      <c r="AJ853" cm="1">
        <f t="array" ref="AJ853">_xlfn.LET(
    _xlpm.vals, CHOOSE({1,2,3,4,5,6}, S853, V853, Y853, AB853, AE853, AH853),
    _xlpm.slopes, CHOOSE({1,2,3,4,5,6}, Q853, T853, W853, Z853, AC853, AF853),
    _xlpm.ints, CHOOSE({1,2,3,4,5,6}, R853, U853, X853, AA853, AD853, AG853),
    _xlpm.limit, -0.00001*_xlpm.slopes + 0.1086*_xlpm.slopes + 63.253,
    _xlpm.valid, (_xlpm.vals &gt;= 0) * (_xlpm.ints &lt;= _xlpm.limit),
    _xlpm.target, MIN(_xlfn._xlws.FILTER(_xlpm.vals, _xlpm.valid)),
    IFERROR(
        _xlfn.XLOOKUP(_xlpm.target, _xlpm.vals, _xlpm.vals),
        CHOOSE({1,2,3,4,5,6}, S$1, V$1, Y$1, AB$1, AE$1, AH$1)
    )
)</f>
        <v>1.2201610421559732</v>
      </c>
    </row>
    <row r="854" spans="9:36" x14ac:dyDescent="0.45">
      <c r="I854">
        <v>852</v>
      </c>
      <c r="J854">
        <v>28.6</v>
      </c>
      <c r="K854">
        <f t="shared" si="300"/>
        <v>28.6</v>
      </c>
      <c r="L854">
        <f t="shared" si="299"/>
        <v>7.9444444444444449E-3</v>
      </c>
      <c r="M854">
        <v>10.58</v>
      </c>
      <c r="N854">
        <f t="shared" si="301"/>
        <v>10.58</v>
      </c>
      <c r="O854">
        <f t="shared" si="302"/>
        <v>371.6622277132978</v>
      </c>
      <c r="P854">
        <f t="shared" si="303"/>
        <v>1189.3191286825529</v>
      </c>
      <c r="Q854">
        <f t="shared" si="304"/>
        <v>5447.0816093660924</v>
      </c>
      <c r="R854">
        <f t="shared" si="305"/>
        <v>18.547832604713403</v>
      </c>
      <c r="S854">
        <f t="shared" si="306"/>
        <v>5.1516777079056251</v>
      </c>
      <c r="T854">
        <f t="shared" si="307"/>
        <v>3520.3846209003564</v>
      </c>
      <c r="U854">
        <f t="shared" si="308"/>
        <v>28.699011259995739</v>
      </c>
      <c r="V854">
        <f t="shared" si="309"/>
        <v>1.903126302366779</v>
      </c>
      <c r="W854">
        <f t="shared" si="310"/>
        <v>2271.5995357836759</v>
      </c>
      <c r="X854">
        <f t="shared" si="311"/>
        <v>44.475954622820623</v>
      </c>
      <c r="Y854">
        <f t="shared" si="312"/>
        <v>1.3026069087290379</v>
      </c>
      <c r="Z854">
        <f t="shared" si="313"/>
        <v>1712.6195453028761</v>
      </c>
      <c r="AA854">
        <f t="shared" si="314"/>
        <v>58.992412034435688</v>
      </c>
      <c r="AB854">
        <f t="shared" si="315"/>
        <v>1.2423686632211801</v>
      </c>
      <c r="AC854">
        <f t="shared" si="316"/>
        <v>6000</v>
      </c>
      <c r="AD854">
        <f t="shared" si="317"/>
        <v>16.838592979122527</v>
      </c>
      <c r="AE854">
        <f t="shared" si="318"/>
        <v>6.8466646761474763</v>
      </c>
      <c r="AF854">
        <f t="shared" si="319"/>
        <v>6000</v>
      </c>
      <c r="AG854">
        <f t="shared" si="320"/>
        <v>16.838592979122527</v>
      </c>
      <c r="AH854">
        <f t="shared" si="321"/>
        <v>6.8466646761474763</v>
      </c>
      <c r="AI854" cm="1">
        <f t="array" ref="AI854">_xlfn.LET(
    _xlpm.vals,   _xlfn.HSTACK(S854,V854,Y854,AB854,AE854,AH854),
    _xlpm.ints,   _xlfn.HSTACK(R854,U854,X854,AA854,AD854,AG854),
    _xlpm.slopes, _xlfn.HSTACK(Q854,T854,W854,Z854,AC854,AF854),
    _xlpm.limit,  -0.00001*_xlpm.slopes + 0.1086*_xlpm.slopes + 63.253,
    _xlpm.mask,   (_xlpm.vals&gt;=0) * (_xlpm.ints&lt;=_xlpm.limit),
    _xlpm.validVals, _xlfn._xlws.FILTER(_xlpm.vals, _xlpm.mask),
    _xlpm.minVal, MIN(_xlpm.validVals),
    IFERROR( _xlfn.XMATCH(_xlpm.minVal, _xlpm.vals), "" )
)</f>
        <v>4</v>
      </c>
      <c r="AJ854" cm="1">
        <f t="array" ref="AJ854">_xlfn.LET(
    _xlpm.vals, CHOOSE({1,2,3,4,5,6}, S854, V854, Y854, AB854, AE854, AH854),
    _xlpm.slopes, CHOOSE({1,2,3,4,5,6}, Q854, T854, W854, Z854, AC854, AF854),
    _xlpm.ints, CHOOSE({1,2,3,4,5,6}, R854, U854, X854, AA854, AD854, AG854),
    _xlpm.limit, -0.00001*_xlpm.slopes + 0.1086*_xlpm.slopes + 63.253,
    _xlpm.valid, (_xlpm.vals &gt;= 0) * (_xlpm.ints &lt;= _xlpm.limit),
    _xlpm.target, MIN(_xlfn._xlws.FILTER(_xlpm.vals, _xlpm.valid)),
    IFERROR(
        _xlfn.XLOOKUP(_xlpm.target, _xlpm.vals, _xlpm.vals),
        CHOOSE({1,2,3,4,5,6}, S$1, V$1, Y$1, AB$1, AE$1, AH$1)
    )
)</f>
        <v>1.2423686632211801</v>
      </c>
    </row>
    <row r="855" spans="9:36" x14ac:dyDescent="0.45">
      <c r="I855">
        <v>853</v>
      </c>
      <c r="J855">
        <v>29.3</v>
      </c>
      <c r="K855">
        <f t="shared" si="300"/>
        <v>29.3</v>
      </c>
      <c r="L855">
        <f t="shared" si="299"/>
        <v>8.1388888888888882E-3</v>
      </c>
      <c r="M855">
        <v>12.85</v>
      </c>
      <c r="N855">
        <f t="shared" si="301"/>
        <v>12.85</v>
      </c>
      <c r="O855">
        <f t="shared" si="302"/>
        <v>380.7588556643226</v>
      </c>
      <c r="P855">
        <f t="shared" si="303"/>
        <v>1218.4283381258324</v>
      </c>
      <c r="Q855">
        <f t="shared" si="304"/>
        <v>5580.4017886163128</v>
      </c>
      <c r="R855">
        <f t="shared" si="305"/>
        <v>21.989180308516364</v>
      </c>
      <c r="S855">
        <f t="shared" si="306"/>
        <v>5.5800868696235195</v>
      </c>
      <c r="T855">
        <f t="shared" si="307"/>
        <v>3606.547880852464</v>
      </c>
      <c r="U855">
        <f t="shared" si="308"/>
        <v>34.023799261150316</v>
      </c>
      <c r="V855">
        <f t="shared" si="309"/>
        <v>2.1022478631417192</v>
      </c>
      <c r="W855">
        <f t="shared" si="310"/>
        <v>2327.1981258203396</v>
      </c>
      <c r="X855">
        <f t="shared" si="311"/>
        <v>52.727982101049719</v>
      </c>
      <c r="Y855">
        <f t="shared" si="312"/>
        <v>1.4892905946989747</v>
      </c>
      <c r="Z855">
        <f t="shared" si="313"/>
        <v>1754.5368069011986</v>
      </c>
      <c r="AA855">
        <f t="shared" si="314"/>
        <v>69.937809592364545</v>
      </c>
      <c r="AB855">
        <f t="shared" si="315"/>
        <v>1.4435873395965637</v>
      </c>
      <c r="AC855">
        <f t="shared" si="316"/>
        <v>6000</v>
      </c>
      <c r="AD855">
        <f t="shared" si="317"/>
        <v>20.45141018730855</v>
      </c>
      <c r="AE855">
        <f t="shared" si="318"/>
        <v>6.8895285843750234</v>
      </c>
      <c r="AF855">
        <f t="shared" si="319"/>
        <v>6000</v>
      </c>
      <c r="AG855">
        <f t="shared" si="320"/>
        <v>20.45141018730855</v>
      </c>
      <c r="AH855">
        <f t="shared" si="321"/>
        <v>6.8895285843750234</v>
      </c>
      <c r="AI855" cm="1">
        <f t="array" ref="AI855">_xlfn.LET(
    _xlpm.vals,   _xlfn.HSTACK(S855,V855,Y855,AB855,AE855,AH855),
    _xlpm.ints,   _xlfn.HSTACK(R855,U855,X855,AA855,AD855,AG855),
    _xlpm.slopes, _xlfn.HSTACK(Q855,T855,W855,Z855,AC855,AF855),
    _xlpm.limit,  -0.00001*_xlpm.slopes + 0.1086*_xlpm.slopes + 63.253,
    _xlpm.mask,   (_xlpm.vals&gt;=0) * (_xlpm.ints&lt;=_xlpm.limit),
    _xlpm.validVals, _xlfn._xlws.FILTER(_xlpm.vals, _xlpm.mask),
    _xlpm.minVal, MIN(_xlpm.validVals),
    IFERROR( _xlfn.XMATCH(_xlpm.minVal, _xlpm.vals), "" )
)</f>
        <v>4</v>
      </c>
      <c r="AJ855" cm="1">
        <f t="array" ref="AJ855">_xlfn.LET(
    _xlpm.vals, CHOOSE({1,2,3,4,5,6}, S855, V855, Y855, AB855, AE855, AH855),
    _xlpm.slopes, CHOOSE({1,2,3,4,5,6}, Q855, T855, W855, Z855, AC855, AF855),
    _xlpm.ints, CHOOSE({1,2,3,4,5,6}, R855, U855, X855, AA855, AD855, AG855),
    _xlpm.limit, -0.00001*_xlpm.slopes + 0.1086*_xlpm.slopes + 63.253,
    _xlpm.valid, (_xlpm.vals &gt;= 0) * (_xlpm.ints &lt;= _xlpm.limit),
    _xlpm.target, MIN(_xlfn._xlws.FILTER(_xlpm.vals, _xlpm.valid)),
    IFERROR(
        _xlfn.XLOOKUP(_xlpm.target, _xlpm.vals, _xlpm.vals),
        CHOOSE({1,2,3,4,5,6}, S$1, V$1, Y$1, AB$1, AE$1, AH$1)
    )
)</f>
        <v>1.4435873395965637</v>
      </c>
    </row>
    <row r="856" spans="9:36" x14ac:dyDescent="0.45">
      <c r="I856">
        <v>854</v>
      </c>
      <c r="J856">
        <v>29.5</v>
      </c>
      <c r="K856">
        <f t="shared" si="300"/>
        <v>29.5</v>
      </c>
      <c r="L856">
        <f t="shared" si="299"/>
        <v>8.1944444444444452E-3</v>
      </c>
      <c r="M856">
        <v>9.2799999999999994</v>
      </c>
      <c r="N856">
        <f t="shared" si="301"/>
        <v>9.2799999999999994</v>
      </c>
      <c r="O856">
        <f t="shared" si="302"/>
        <v>383.35789222175828</v>
      </c>
      <c r="P856">
        <f t="shared" si="303"/>
        <v>1226.7452551096264</v>
      </c>
      <c r="Q856">
        <f t="shared" si="304"/>
        <v>5618.4932684020896</v>
      </c>
      <c r="R856">
        <f t="shared" si="305"/>
        <v>15.772462131786144</v>
      </c>
      <c r="S856">
        <f t="shared" si="306"/>
        <v>5.6045162488065339</v>
      </c>
      <c r="T856">
        <f t="shared" si="307"/>
        <v>3631.1659551244943</v>
      </c>
      <c r="U856">
        <f t="shared" si="308"/>
        <v>24.404688028236674</v>
      </c>
      <c r="V856">
        <f t="shared" si="309"/>
        <v>1.9331064690212005</v>
      </c>
      <c r="W856">
        <f t="shared" si="310"/>
        <v>2343.0834372593863</v>
      </c>
      <c r="X856">
        <f t="shared" si="311"/>
        <v>37.820877781979348</v>
      </c>
      <c r="Y856">
        <f t="shared" si="312"/>
        <v>1.2206695388129203</v>
      </c>
      <c r="Z856">
        <f t="shared" si="313"/>
        <v>1766.5131673578619</v>
      </c>
      <c r="AA856">
        <f t="shared" si="314"/>
        <v>50.165192058042052</v>
      </c>
      <c r="AB856">
        <f t="shared" si="315"/>
        <v>1.1335559138718416</v>
      </c>
      <c r="AC856">
        <f t="shared" si="316"/>
        <v>6000</v>
      </c>
      <c r="AD856">
        <f t="shared" si="317"/>
        <v>14.769578718927887</v>
      </c>
      <c r="AE856">
        <f t="shared" si="318"/>
        <v>6.8238712521780922</v>
      </c>
      <c r="AF856">
        <f t="shared" si="319"/>
        <v>6000</v>
      </c>
      <c r="AG856">
        <f t="shared" si="320"/>
        <v>14.769578718927887</v>
      </c>
      <c r="AH856">
        <f t="shared" si="321"/>
        <v>6.8238712521780922</v>
      </c>
      <c r="AI856" cm="1">
        <f t="array" ref="AI856">_xlfn.LET(
    _xlpm.vals,   _xlfn.HSTACK(S856,V856,Y856,AB856,AE856,AH856),
    _xlpm.ints,   _xlfn.HSTACK(R856,U856,X856,AA856,AD856,AG856),
    _xlpm.slopes, _xlfn.HSTACK(Q856,T856,W856,Z856,AC856,AF856),
    _xlpm.limit,  -0.00001*_xlpm.slopes + 0.1086*_xlpm.slopes + 63.253,
    _xlpm.mask,   (_xlpm.vals&gt;=0) * (_xlpm.ints&lt;=_xlpm.limit),
    _xlpm.validVals, _xlfn._xlws.FILTER(_xlpm.vals, _xlpm.mask),
    _xlpm.minVal, MIN(_xlpm.validVals),
    IFERROR( _xlfn.XMATCH(_xlpm.minVal, _xlpm.vals), "" )
)</f>
        <v>4</v>
      </c>
      <c r="AJ856" cm="1">
        <f t="array" ref="AJ856">_xlfn.LET(
    _xlpm.vals, CHOOSE({1,2,3,4,5,6}, S856, V856, Y856, AB856, AE856, AH856),
    _xlpm.slopes, CHOOSE({1,2,3,4,5,6}, Q856, T856, W856, Z856, AC856, AF856),
    _xlpm.ints, CHOOSE({1,2,3,4,5,6}, R856, U856, X856, AA856, AD856, AG856),
    _xlpm.limit, -0.00001*_xlpm.slopes + 0.1086*_xlpm.slopes + 63.253,
    _xlpm.valid, (_xlpm.vals &gt;= 0) * (_xlpm.ints &lt;= _xlpm.limit),
    _xlpm.target, MIN(_xlfn._xlws.FILTER(_xlpm.vals, _xlpm.valid)),
    IFERROR(
        _xlfn.XLOOKUP(_xlpm.target, _xlpm.vals, _xlpm.vals),
        CHOOSE({1,2,3,4,5,6}, S$1, V$1, Y$1, AB$1, AE$1, AH$1)
    )
)</f>
        <v>1.1335559138718416</v>
      </c>
    </row>
    <row r="857" spans="9:36" x14ac:dyDescent="0.45">
      <c r="I857">
        <v>855</v>
      </c>
      <c r="J857">
        <v>29.3</v>
      </c>
      <c r="K857">
        <f t="shared" si="300"/>
        <v>29.3</v>
      </c>
      <c r="L857">
        <f t="shared" si="299"/>
        <v>8.1388888888888882E-3</v>
      </c>
      <c r="M857">
        <v>1.78</v>
      </c>
      <c r="N857">
        <f t="shared" si="301"/>
        <v>1.78</v>
      </c>
      <c r="O857">
        <f t="shared" si="302"/>
        <v>380.7588556643226</v>
      </c>
      <c r="P857">
        <f t="shared" si="303"/>
        <v>1218.4283381258324</v>
      </c>
      <c r="Q857">
        <f t="shared" si="304"/>
        <v>5580.4017886163128</v>
      </c>
      <c r="R857">
        <f t="shared" si="305"/>
        <v>3.0459720583003209</v>
      </c>
      <c r="S857">
        <f t="shared" si="306"/>
        <v>5.3463208761972307</v>
      </c>
      <c r="T857">
        <f t="shared" si="307"/>
        <v>3606.547880852464</v>
      </c>
      <c r="U857">
        <f t="shared" si="308"/>
        <v>4.7130243334511723</v>
      </c>
      <c r="V857">
        <f t="shared" si="309"/>
        <v>1.5628804957409055</v>
      </c>
      <c r="W857">
        <f t="shared" si="310"/>
        <v>2327.1981258203396</v>
      </c>
      <c r="X857">
        <f t="shared" si="311"/>
        <v>7.3039539408457976</v>
      </c>
      <c r="Y857">
        <f t="shared" si="312"/>
        <v>0.72645751759491706</v>
      </c>
      <c r="Z857">
        <f t="shared" si="313"/>
        <v>1754.5368069011986</v>
      </c>
      <c r="AA857">
        <f t="shared" si="314"/>
        <v>9.6878833520940777</v>
      </c>
      <c r="AB857">
        <f t="shared" si="315"/>
        <v>0.56753519748592918</v>
      </c>
      <c r="AC857">
        <f t="shared" si="316"/>
        <v>6000</v>
      </c>
      <c r="AD857">
        <f t="shared" si="317"/>
        <v>2.8329579870357371</v>
      </c>
      <c r="AE857">
        <f t="shared" si="318"/>
        <v>6.7183415438158782</v>
      </c>
      <c r="AF857">
        <f t="shared" si="319"/>
        <v>6000</v>
      </c>
      <c r="AG857">
        <f t="shared" si="320"/>
        <v>2.8329579870357371</v>
      </c>
      <c r="AH857">
        <f t="shared" si="321"/>
        <v>6.7183415438158782</v>
      </c>
      <c r="AI857" cm="1">
        <f t="array" ref="AI857">_xlfn.LET(
    _xlpm.vals,   _xlfn.HSTACK(S857,V857,Y857,AB857,AE857,AH857),
    _xlpm.ints,   _xlfn.HSTACK(R857,U857,X857,AA857,AD857,AG857),
    _xlpm.slopes, _xlfn.HSTACK(Q857,T857,W857,Z857,AC857,AF857),
    _xlpm.limit,  -0.00001*_xlpm.slopes + 0.1086*_xlpm.slopes + 63.253,
    _xlpm.mask,   (_xlpm.vals&gt;=0) * (_xlpm.ints&lt;=_xlpm.limit),
    _xlpm.validVals, _xlfn._xlws.FILTER(_xlpm.vals, _xlpm.mask),
    _xlpm.minVal, MIN(_xlpm.validVals),
    IFERROR( _xlfn.XMATCH(_xlpm.minVal, _xlpm.vals), "" )
)</f>
        <v>4</v>
      </c>
      <c r="AJ857" cm="1">
        <f t="array" ref="AJ857">_xlfn.LET(
    _xlpm.vals, CHOOSE({1,2,3,4,5,6}, S857, V857, Y857, AB857, AE857, AH857),
    _xlpm.slopes, CHOOSE({1,2,3,4,5,6}, Q857, T857, W857, Z857, AC857, AF857),
    _xlpm.ints, CHOOSE({1,2,3,4,5,6}, R857, U857, X857, AA857, AD857, AG857),
    _xlpm.limit, -0.00001*_xlpm.slopes + 0.1086*_xlpm.slopes + 63.253,
    _xlpm.valid, (_xlpm.vals &gt;= 0) * (_xlpm.ints &lt;= _xlpm.limit),
    _xlpm.target, MIN(_xlfn._xlws.FILTER(_xlpm.vals, _xlpm.valid)),
    IFERROR(
        _xlfn.XLOOKUP(_xlpm.target, _xlpm.vals, _xlpm.vals),
        CHOOSE({1,2,3,4,5,6}, S$1, V$1, Y$1, AB$1, AE$1, AH$1)
    )
)</f>
        <v>0.56753519748592918</v>
      </c>
    </row>
    <row r="858" spans="9:36" x14ac:dyDescent="0.45">
      <c r="I858">
        <v>856</v>
      </c>
      <c r="J858">
        <v>29.2</v>
      </c>
      <c r="K858">
        <f t="shared" si="300"/>
        <v>29.2</v>
      </c>
      <c r="L858">
        <f t="shared" si="299"/>
        <v>8.1111111111111106E-3</v>
      </c>
      <c r="M858">
        <v>3.34</v>
      </c>
      <c r="N858">
        <f t="shared" si="301"/>
        <v>3.34</v>
      </c>
      <c r="O858">
        <f t="shared" si="302"/>
        <v>379.45933738560478</v>
      </c>
      <c r="P858">
        <f t="shared" si="303"/>
        <v>1214.2698796339353</v>
      </c>
      <c r="Q858">
        <f t="shared" si="304"/>
        <v>5561.3560487234236</v>
      </c>
      <c r="R858">
        <f t="shared" si="305"/>
        <v>5.7350492067374566</v>
      </c>
      <c r="S858">
        <f t="shared" si="306"/>
        <v>5.3164387813235834</v>
      </c>
      <c r="T858">
        <f t="shared" si="307"/>
        <v>3594.2388437164482</v>
      </c>
      <c r="U858">
        <f t="shared" si="308"/>
        <v>8.8738261374518768</v>
      </c>
      <c r="V858">
        <f t="shared" si="309"/>
        <v>1.6158996867384521</v>
      </c>
      <c r="W858">
        <f t="shared" si="310"/>
        <v>2319.2554701008162</v>
      </c>
      <c r="X858">
        <f t="shared" si="311"/>
        <v>13.752107521914951</v>
      </c>
      <c r="Y858">
        <f t="shared" si="312"/>
        <v>0.81453370192479502</v>
      </c>
      <c r="Z858">
        <f t="shared" si="313"/>
        <v>1748.5486266728667</v>
      </c>
      <c r="AA858">
        <f t="shared" si="314"/>
        <v>18.240642615873302</v>
      </c>
      <c r="AB858">
        <f t="shared" si="315"/>
        <v>0.66917420741920164</v>
      </c>
      <c r="AC858">
        <f t="shared" si="316"/>
        <v>6000</v>
      </c>
      <c r="AD858">
        <f t="shared" si="317"/>
        <v>5.3157750992693042</v>
      </c>
      <c r="AE858">
        <f t="shared" si="318"/>
        <v>6.7365513587076817</v>
      </c>
      <c r="AF858">
        <f t="shared" si="319"/>
        <v>6000</v>
      </c>
      <c r="AG858">
        <f t="shared" si="320"/>
        <v>5.3157750992693042</v>
      </c>
      <c r="AH858">
        <f t="shared" si="321"/>
        <v>6.7365513587076817</v>
      </c>
      <c r="AI858" cm="1">
        <f t="array" ref="AI858">_xlfn.LET(
    _xlpm.vals,   _xlfn.HSTACK(S858,V858,Y858,AB858,AE858,AH858),
    _xlpm.ints,   _xlfn.HSTACK(R858,U858,X858,AA858,AD858,AG858),
    _xlpm.slopes, _xlfn.HSTACK(Q858,T858,W858,Z858,AC858,AF858),
    _xlpm.limit,  -0.00001*_xlpm.slopes + 0.1086*_xlpm.slopes + 63.253,
    _xlpm.mask,   (_xlpm.vals&gt;=0) * (_xlpm.ints&lt;=_xlpm.limit),
    _xlpm.validVals, _xlfn._xlws.FILTER(_xlpm.vals, _xlpm.mask),
    _xlpm.minVal, MIN(_xlpm.validVals),
    IFERROR( _xlfn.XMATCH(_xlpm.minVal, _xlpm.vals), "" )
)</f>
        <v>4</v>
      </c>
      <c r="AJ858" cm="1">
        <f t="array" ref="AJ858">_xlfn.LET(
    _xlpm.vals, CHOOSE({1,2,3,4,5,6}, S858, V858, Y858, AB858, AE858, AH858),
    _xlpm.slopes, CHOOSE({1,2,3,4,5,6}, Q858, T858, W858, Z858, AC858, AF858),
    _xlpm.ints, CHOOSE({1,2,3,4,5,6}, R858, U858, X858, AA858, AD858, AG858),
    _xlpm.limit, -0.00001*_xlpm.slopes + 0.1086*_xlpm.slopes + 63.253,
    _xlpm.valid, (_xlpm.vals &gt;= 0) * (_xlpm.ints &lt;= _xlpm.limit),
    _xlpm.target, MIN(_xlfn._xlws.FILTER(_xlpm.vals, _xlpm.valid)),
    IFERROR(
        _xlfn.XLOOKUP(_xlpm.target, _xlpm.vals, _xlpm.vals),
        CHOOSE({1,2,3,4,5,6}, S$1, V$1, Y$1, AB$1, AE$1, AH$1)
    )
)</f>
        <v>0.66917420741920164</v>
      </c>
    </row>
    <row r="859" spans="9:36" x14ac:dyDescent="0.45">
      <c r="I859">
        <v>857</v>
      </c>
      <c r="J859">
        <v>28.9</v>
      </c>
      <c r="K859">
        <f t="shared" si="300"/>
        <v>28.9</v>
      </c>
      <c r="L859">
        <f t="shared" si="299"/>
        <v>8.0277777777777778E-3</v>
      </c>
      <c r="M859">
        <v>0.69</v>
      </c>
      <c r="N859">
        <f t="shared" si="301"/>
        <v>0.69</v>
      </c>
      <c r="O859">
        <f t="shared" si="302"/>
        <v>375.56078254945123</v>
      </c>
      <c r="P859">
        <f t="shared" si="303"/>
        <v>1201.7945041582441</v>
      </c>
      <c r="Q859">
        <f t="shared" si="304"/>
        <v>5504.2188290447584</v>
      </c>
      <c r="R859">
        <f t="shared" si="305"/>
        <v>1.1970844271734691</v>
      </c>
      <c r="S859">
        <f t="shared" si="306"/>
        <v>5.1037821891512056</v>
      </c>
      <c r="T859">
        <f t="shared" si="307"/>
        <v>3557.3117323084025</v>
      </c>
      <c r="U859">
        <f t="shared" si="308"/>
        <v>1.8522454988021921</v>
      </c>
      <c r="V859">
        <f t="shared" si="309"/>
        <v>1.4690664773982522</v>
      </c>
      <c r="W859">
        <f t="shared" si="310"/>
        <v>2295.4275029422461</v>
      </c>
      <c r="X859">
        <f t="shared" si="311"/>
        <v>2.8704956421227692</v>
      </c>
      <c r="Y859">
        <f t="shared" si="312"/>
        <v>0.65556743230413939</v>
      </c>
      <c r="Z859">
        <f t="shared" si="313"/>
        <v>1730.5840859878715</v>
      </c>
      <c r="AA859">
        <f t="shared" si="314"/>
        <v>3.807393525315617</v>
      </c>
      <c r="AB859">
        <f t="shared" si="315"/>
        <v>0.49640620648003442</v>
      </c>
      <c r="AC859">
        <f t="shared" si="316"/>
        <v>6000</v>
      </c>
      <c r="AD859">
        <f t="shared" si="317"/>
        <v>1.0981691073340778</v>
      </c>
      <c r="AE859">
        <f t="shared" si="318"/>
        <v>6.7068187448354131</v>
      </c>
      <c r="AF859">
        <f t="shared" si="319"/>
        <v>6000</v>
      </c>
      <c r="AG859">
        <f t="shared" si="320"/>
        <v>1.0981691073340778</v>
      </c>
      <c r="AH859">
        <f t="shared" si="321"/>
        <v>6.7068187448354131</v>
      </c>
      <c r="AI859" cm="1">
        <f t="array" ref="AI859">_xlfn.LET(
    _xlpm.vals,   _xlfn.HSTACK(S859,V859,Y859,AB859,AE859,AH859),
    _xlpm.ints,   _xlfn.HSTACK(R859,U859,X859,AA859,AD859,AG859),
    _xlpm.slopes, _xlfn.HSTACK(Q859,T859,W859,Z859,AC859,AF859),
    _xlpm.limit,  -0.00001*_xlpm.slopes + 0.1086*_xlpm.slopes + 63.253,
    _xlpm.mask,   (_xlpm.vals&gt;=0) * (_xlpm.ints&lt;=_xlpm.limit),
    _xlpm.validVals, _xlfn._xlws.FILTER(_xlpm.vals, _xlpm.mask),
    _xlpm.minVal, MIN(_xlpm.validVals),
    IFERROR( _xlfn.XMATCH(_xlpm.minVal, _xlpm.vals), "" )
)</f>
        <v>4</v>
      </c>
      <c r="AJ859" cm="1">
        <f t="array" ref="AJ859">_xlfn.LET(
    _xlpm.vals, CHOOSE({1,2,3,4,5,6}, S859, V859, Y859, AB859, AE859, AH859),
    _xlpm.slopes, CHOOSE({1,2,3,4,5,6}, Q859, T859, W859, Z859, AC859, AF859),
    _xlpm.ints, CHOOSE({1,2,3,4,5,6}, R859, U859, X859, AA859, AD859, AG859),
    _xlpm.limit, -0.00001*_xlpm.slopes + 0.1086*_xlpm.slopes + 63.253,
    _xlpm.valid, (_xlpm.vals &gt;= 0) * (_xlpm.ints &lt;= _xlpm.limit),
    _xlpm.target, MIN(_xlfn._xlws.FILTER(_xlpm.vals, _xlpm.valid)),
    IFERROR(
        _xlfn.XLOOKUP(_xlpm.target, _xlpm.vals, _xlpm.vals),
        CHOOSE({1,2,3,4,5,6}, S$1, V$1, Y$1, AB$1, AE$1, AH$1)
    )
)</f>
        <v>0.49640620648003442</v>
      </c>
    </row>
    <row r="860" spans="9:36" x14ac:dyDescent="0.45">
      <c r="I860">
        <v>858</v>
      </c>
      <c r="J860">
        <v>28.5</v>
      </c>
      <c r="K860">
        <f t="shared" si="300"/>
        <v>28.5</v>
      </c>
      <c r="L860">
        <f t="shared" si="299"/>
        <v>7.9166666666666673E-3</v>
      </c>
      <c r="M860">
        <v>0.03</v>
      </c>
      <c r="N860">
        <f t="shared" si="301"/>
        <v>0.03</v>
      </c>
      <c r="O860">
        <f t="shared" si="302"/>
        <v>370.36270943457998</v>
      </c>
      <c r="P860">
        <f t="shared" si="303"/>
        <v>1185.160670190656</v>
      </c>
      <c r="Q860">
        <f t="shared" si="304"/>
        <v>5428.0358694732049</v>
      </c>
      <c r="R860">
        <f t="shared" si="305"/>
        <v>5.2777635309402375E-2</v>
      </c>
      <c r="S860">
        <f t="shared" si="306"/>
        <v>4.8746420137264561</v>
      </c>
      <c r="T860">
        <f t="shared" si="307"/>
        <v>3508.0755837643419</v>
      </c>
      <c r="U860">
        <f t="shared" si="308"/>
        <v>8.1662692471980686E-2</v>
      </c>
      <c r="V860">
        <f t="shared" si="309"/>
        <v>1.3942672548854069</v>
      </c>
      <c r="W860">
        <f t="shared" si="310"/>
        <v>2263.656880064153</v>
      </c>
      <c r="X860">
        <f t="shared" si="311"/>
        <v>0.12655579566338371</v>
      </c>
      <c r="Y860">
        <f t="shared" si="312"/>
        <v>0.60975598843363288</v>
      </c>
      <c r="Z860">
        <f t="shared" si="313"/>
        <v>1706.6313650745446</v>
      </c>
      <c r="AA860">
        <f t="shared" si="314"/>
        <v>0.16786220119240478</v>
      </c>
      <c r="AB860">
        <f t="shared" si="315"/>
        <v>0.45374183854482142</v>
      </c>
      <c r="AC860">
        <f t="shared" si="316"/>
        <v>6000</v>
      </c>
      <c r="AD860">
        <f t="shared" si="317"/>
        <v>4.7746482927568605E-2</v>
      </c>
      <c r="AE860">
        <f t="shared" si="318"/>
        <v>6.7003271212558078</v>
      </c>
      <c r="AF860">
        <f t="shared" si="319"/>
        <v>6000</v>
      </c>
      <c r="AG860">
        <f t="shared" si="320"/>
        <v>4.7746482927568605E-2</v>
      </c>
      <c r="AH860">
        <f t="shared" si="321"/>
        <v>6.7003271212558078</v>
      </c>
      <c r="AI860" cm="1">
        <f t="array" ref="AI860">_xlfn.LET(
    _xlpm.vals,   _xlfn.HSTACK(S860,V860,Y860,AB860,AE860,AH860),
    _xlpm.ints,   _xlfn.HSTACK(R860,U860,X860,AA860,AD860,AG860),
    _xlpm.slopes, _xlfn.HSTACK(Q860,T860,W860,Z860,AC860,AF860),
    _xlpm.limit,  -0.00001*_xlpm.slopes + 0.1086*_xlpm.slopes + 63.253,
    _xlpm.mask,   (_xlpm.vals&gt;=0) * (_xlpm.ints&lt;=_xlpm.limit),
    _xlpm.validVals, _xlfn._xlws.FILTER(_xlpm.vals, _xlpm.mask),
    _xlpm.minVal, MIN(_xlpm.validVals),
    IFERROR( _xlfn.XMATCH(_xlpm.minVal, _xlpm.vals), "" )
)</f>
        <v>4</v>
      </c>
      <c r="AJ860" cm="1">
        <f t="array" ref="AJ860">_xlfn.LET(
    _xlpm.vals, CHOOSE({1,2,3,4,5,6}, S860, V860, Y860, AB860, AE860, AH860),
    _xlpm.slopes, CHOOSE({1,2,3,4,5,6}, Q860, T860, W860, Z860, AC860, AF860),
    _xlpm.ints, CHOOSE({1,2,3,4,5,6}, R860, U860, X860, AA860, AD860, AG860),
    _xlpm.limit, -0.00001*_xlpm.slopes + 0.1086*_xlpm.slopes + 63.253,
    _xlpm.valid, (_xlpm.vals &gt;= 0) * (_xlpm.ints &lt;= _xlpm.limit),
    _xlpm.target, MIN(_xlfn._xlws.FILTER(_xlpm.vals, _xlpm.valid)),
    IFERROR(
        _xlfn.XLOOKUP(_xlpm.target, _xlpm.vals, _xlpm.vals),
        CHOOSE({1,2,3,4,5,6}, S$1, V$1, Y$1, AB$1, AE$1, AH$1)
    )
)</f>
        <v>0.45374183854482142</v>
      </c>
    </row>
    <row r="861" spans="9:36" x14ac:dyDescent="0.45">
      <c r="I861">
        <v>859</v>
      </c>
      <c r="J861">
        <v>28.2</v>
      </c>
      <c r="K861">
        <f t="shared" si="300"/>
        <v>28.2</v>
      </c>
      <c r="L861">
        <f t="shared" si="299"/>
        <v>7.8333333333333328E-3</v>
      </c>
      <c r="M861">
        <v>2.2400000000000002</v>
      </c>
      <c r="N861">
        <f t="shared" si="301"/>
        <v>2.2400000000000002</v>
      </c>
      <c r="O861">
        <f t="shared" si="302"/>
        <v>366.46415459842649</v>
      </c>
      <c r="P861">
        <f t="shared" si="303"/>
        <v>1172.6852947149648</v>
      </c>
      <c r="Q861">
        <f t="shared" si="304"/>
        <v>5370.8986497945389</v>
      </c>
      <c r="R861">
        <f t="shared" si="305"/>
        <v>3.9826527637733427</v>
      </c>
      <c r="S861">
        <f t="shared" si="306"/>
        <v>4.7557858656375096</v>
      </c>
      <c r="T861">
        <f t="shared" si="307"/>
        <v>3471.1484723562958</v>
      </c>
      <c r="U861">
        <f t="shared" si="308"/>
        <v>6.1623478574601043</v>
      </c>
      <c r="V861">
        <f t="shared" si="309"/>
        <v>1.4496429548959344</v>
      </c>
      <c r="W861">
        <f t="shared" si="310"/>
        <v>2239.8289129055829</v>
      </c>
      <c r="X861">
        <f t="shared" si="311"/>
        <v>9.5500259989957641</v>
      </c>
      <c r="Y861">
        <f t="shared" si="312"/>
        <v>0.72296407934607565</v>
      </c>
      <c r="Z861">
        <f t="shared" si="313"/>
        <v>1688.6668243895492</v>
      </c>
      <c r="AA861">
        <f t="shared" si="314"/>
        <v>12.667048373667994</v>
      </c>
      <c r="AB861">
        <f t="shared" si="315"/>
        <v>0.58355112386456631</v>
      </c>
      <c r="AC861">
        <f t="shared" si="316"/>
        <v>6000</v>
      </c>
      <c r="AD861">
        <f t="shared" si="317"/>
        <v>3.5650707252584559</v>
      </c>
      <c r="AE861">
        <f t="shared" si="318"/>
        <v>6.7235018642396334</v>
      </c>
      <c r="AF861">
        <f t="shared" si="319"/>
        <v>6000</v>
      </c>
      <c r="AG861">
        <f t="shared" si="320"/>
        <v>3.5650707252584559</v>
      </c>
      <c r="AH861">
        <f t="shared" si="321"/>
        <v>6.7235018642396334</v>
      </c>
      <c r="AI861" cm="1">
        <f t="array" ref="AI861">_xlfn.LET(
    _xlpm.vals,   _xlfn.HSTACK(S861,V861,Y861,AB861,AE861,AH861),
    _xlpm.ints,   _xlfn.HSTACK(R861,U861,X861,AA861,AD861,AG861),
    _xlpm.slopes, _xlfn.HSTACK(Q861,T861,W861,Z861,AC861,AF861),
    _xlpm.limit,  -0.00001*_xlpm.slopes + 0.1086*_xlpm.slopes + 63.253,
    _xlpm.mask,   (_xlpm.vals&gt;=0) * (_xlpm.ints&lt;=_xlpm.limit),
    _xlpm.validVals, _xlfn._xlws.FILTER(_xlpm.vals, _xlpm.mask),
    _xlpm.minVal, MIN(_xlpm.validVals),
    IFERROR( _xlfn.XMATCH(_xlpm.minVal, _xlpm.vals), "" )
)</f>
        <v>4</v>
      </c>
      <c r="AJ861" cm="1">
        <f t="array" ref="AJ861">_xlfn.LET(
    _xlpm.vals, CHOOSE({1,2,3,4,5,6}, S861, V861, Y861, AB861, AE861, AH861),
    _xlpm.slopes, CHOOSE({1,2,3,4,5,6}, Q861, T861, W861, Z861, AC861, AF861),
    _xlpm.ints, CHOOSE({1,2,3,4,5,6}, R861, U861, X861, AA861, AD861, AG861),
    _xlpm.limit, -0.00001*_xlpm.slopes + 0.1086*_xlpm.slopes + 63.253,
    _xlpm.valid, (_xlpm.vals &gt;= 0) * (_xlpm.ints &lt;= _xlpm.limit),
    _xlpm.target, MIN(_xlfn._xlws.FILTER(_xlpm.vals, _xlpm.valid)),
    IFERROR(
        _xlfn.XLOOKUP(_xlpm.target, _xlpm.vals, _xlpm.vals),
        CHOOSE({1,2,3,4,5,6}, S$1, V$1, Y$1, AB$1, AE$1, AH$1)
    )
)</f>
        <v>0.58355112386456631</v>
      </c>
    </row>
    <row r="862" spans="9:36" x14ac:dyDescent="0.45">
      <c r="I862">
        <v>860</v>
      </c>
      <c r="J862">
        <v>28</v>
      </c>
      <c r="K862">
        <f t="shared" si="300"/>
        <v>28</v>
      </c>
      <c r="L862">
        <f t="shared" si="299"/>
        <v>7.7777777777777776E-3</v>
      </c>
      <c r="M862">
        <v>2.5499999999999998</v>
      </c>
      <c r="N862">
        <f t="shared" si="301"/>
        <v>2.5499999999999998</v>
      </c>
      <c r="O862">
        <f t="shared" si="302"/>
        <v>363.86511804099086</v>
      </c>
      <c r="P862">
        <f t="shared" si="303"/>
        <v>1164.3683777311708</v>
      </c>
      <c r="Q862">
        <f t="shared" si="304"/>
        <v>5332.8071700087621</v>
      </c>
      <c r="R862">
        <f t="shared" si="305"/>
        <v>4.5662079120366874</v>
      </c>
      <c r="S862">
        <f t="shared" si="306"/>
        <v>4.6590573494700447</v>
      </c>
      <c r="T862">
        <f t="shared" si="307"/>
        <v>3446.5303980842655</v>
      </c>
      <c r="U862">
        <f t="shared" si="308"/>
        <v>7.0652811611919022</v>
      </c>
      <c r="V862">
        <f t="shared" si="309"/>
        <v>1.4404968512527678</v>
      </c>
      <c r="W862">
        <f t="shared" si="310"/>
        <v>2223.9436014665362</v>
      </c>
      <c r="X862">
        <f t="shared" si="311"/>
        <v>10.949336249805251</v>
      </c>
      <c r="Y862">
        <f t="shared" si="312"/>
        <v>0.73615944349919682</v>
      </c>
      <c r="Z862">
        <f t="shared" si="313"/>
        <v>1676.6904639328859</v>
      </c>
      <c r="AA862">
        <f t="shared" si="314"/>
        <v>14.523077942450021</v>
      </c>
      <c r="AB862">
        <f t="shared" si="315"/>
        <v>0.60177504464459808</v>
      </c>
      <c r="AC862">
        <f t="shared" si="316"/>
        <v>6000</v>
      </c>
      <c r="AD862">
        <f t="shared" si="317"/>
        <v>4.058451048843331</v>
      </c>
      <c r="AE862">
        <f t="shared" si="318"/>
        <v>6.7270784427452295</v>
      </c>
      <c r="AF862">
        <f t="shared" si="319"/>
        <v>6000</v>
      </c>
      <c r="AG862">
        <f t="shared" si="320"/>
        <v>4.058451048843331</v>
      </c>
      <c r="AH862">
        <f t="shared" si="321"/>
        <v>6.7270784427452295</v>
      </c>
      <c r="AI862" cm="1">
        <f t="array" ref="AI862">_xlfn.LET(
    _xlpm.vals,   _xlfn.HSTACK(S862,V862,Y862,AB862,AE862,AH862),
    _xlpm.ints,   _xlfn.HSTACK(R862,U862,X862,AA862,AD862,AG862),
    _xlpm.slopes, _xlfn.HSTACK(Q862,T862,W862,Z862,AC862,AF862),
    _xlpm.limit,  -0.00001*_xlpm.slopes + 0.1086*_xlpm.slopes + 63.253,
    _xlpm.mask,   (_xlpm.vals&gt;=0) * (_xlpm.ints&lt;=_xlpm.limit),
    _xlpm.validVals, _xlfn._xlws.FILTER(_xlpm.vals, _xlpm.mask),
    _xlpm.minVal, MIN(_xlpm.validVals),
    IFERROR( _xlfn.XMATCH(_xlpm.minVal, _xlpm.vals), "" )
)</f>
        <v>4</v>
      </c>
      <c r="AJ862" cm="1">
        <f t="array" ref="AJ862">_xlfn.LET(
    _xlpm.vals, CHOOSE({1,2,3,4,5,6}, S862, V862, Y862, AB862, AE862, AH862),
    _xlpm.slopes, CHOOSE({1,2,3,4,5,6}, Q862, T862, W862, Z862, AC862, AF862),
    _xlpm.ints, CHOOSE({1,2,3,4,5,6}, R862, U862, X862, AA862, AD862, AG862),
    _xlpm.limit, -0.00001*_xlpm.slopes + 0.1086*_xlpm.slopes + 63.253,
    _xlpm.valid, (_xlpm.vals &gt;= 0) * (_xlpm.ints &lt;= _xlpm.limit),
    _xlpm.target, MIN(_xlfn._xlws.FILTER(_xlpm.vals, _xlpm.valid)),
    IFERROR(
        _xlfn.XLOOKUP(_xlpm.target, _xlpm.vals, _xlpm.vals),
        CHOOSE({1,2,3,4,5,6}, S$1, V$1, Y$1, AB$1, AE$1, AH$1)
    )
)</f>
        <v>0.60177504464459808</v>
      </c>
    </row>
    <row r="863" spans="9:36" x14ac:dyDescent="0.45">
      <c r="I863">
        <v>861</v>
      </c>
      <c r="J863">
        <v>27.9</v>
      </c>
      <c r="K863">
        <f t="shared" si="300"/>
        <v>27.9</v>
      </c>
      <c r="L863">
        <f t="shared" si="299"/>
        <v>7.7499999999999999E-3</v>
      </c>
      <c r="M863">
        <v>1.97</v>
      </c>
      <c r="N863">
        <f t="shared" si="301"/>
        <v>1.97</v>
      </c>
      <c r="O863">
        <f t="shared" si="302"/>
        <v>362.565599762273</v>
      </c>
      <c r="P863">
        <f t="shared" si="303"/>
        <v>1160.2099192392736</v>
      </c>
      <c r="Q863">
        <f t="shared" si="304"/>
        <v>5313.7614301158737</v>
      </c>
      <c r="R863">
        <f t="shared" si="305"/>
        <v>3.5402632430661845</v>
      </c>
      <c r="S863">
        <f t="shared" si="306"/>
        <v>4.5966834729051858</v>
      </c>
      <c r="T863">
        <f t="shared" si="307"/>
        <v>3434.2213609482501</v>
      </c>
      <c r="U863">
        <f t="shared" si="308"/>
        <v>5.4778397477172724</v>
      </c>
      <c r="V863">
        <f t="shared" si="309"/>
        <v>1.4040748476092242</v>
      </c>
      <c r="W863">
        <f t="shared" si="310"/>
        <v>2216.0009457470123</v>
      </c>
      <c r="X863">
        <f t="shared" si="311"/>
        <v>8.4892176194990192</v>
      </c>
      <c r="Y863">
        <f t="shared" si="312"/>
        <v>0.69958778982781933</v>
      </c>
      <c r="Z863">
        <f t="shared" si="313"/>
        <v>1670.702283704554</v>
      </c>
      <c r="AA863">
        <f t="shared" si="314"/>
        <v>11.260003925863282</v>
      </c>
      <c r="AB863">
        <f t="shared" si="315"/>
        <v>0.5624472201975832</v>
      </c>
      <c r="AC863">
        <f t="shared" si="316"/>
        <v>6000</v>
      </c>
      <c r="AD863">
        <f t="shared" si="317"/>
        <v>3.1353523789103384</v>
      </c>
      <c r="AE863">
        <f t="shared" si="318"/>
        <v>6.7204516684740909</v>
      </c>
      <c r="AF863">
        <f t="shared" si="319"/>
        <v>6000</v>
      </c>
      <c r="AG863">
        <f t="shared" si="320"/>
        <v>3.1353523789103384</v>
      </c>
      <c r="AH863">
        <f t="shared" si="321"/>
        <v>6.7204516684740909</v>
      </c>
      <c r="AI863" cm="1">
        <f t="array" ref="AI863">_xlfn.LET(
    _xlpm.vals,   _xlfn.HSTACK(S863,V863,Y863,AB863,AE863,AH863),
    _xlpm.ints,   _xlfn.HSTACK(R863,U863,X863,AA863,AD863,AG863),
    _xlpm.slopes, _xlfn.HSTACK(Q863,T863,W863,Z863,AC863,AF863),
    _xlpm.limit,  -0.00001*_xlpm.slopes + 0.1086*_xlpm.slopes + 63.253,
    _xlpm.mask,   (_xlpm.vals&gt;=0) * (_xlpm.ints&lt;=_xlpm.limit),
    _xlpm.validVals, _xlfn._xlws.FILTER(_xlpm.vals, _xlpm.mask),
    _xlpm.minVal, MIN(_xlpm.validVals),
    IFERROR( _xlfn.XMATCH(_xlpm.minVal, _xlpm.vals), "" )
)</f>
        <v>4</v>
      </c>
      <c r="AJ863" cm="1">
        <f t="array" ref="AJ863">_xlfn.LET(
    _xlpm.vals, CHOOSE({1,2,3,4,5,6}, S863, V863, Y863, AB863, AE863, AH863),
    _xlpm.slopes, CHOOSE({1,2,3,4,5,6}, Q863, T863, W863, Z863, AC863, AF863),
    _xlpm.ints, CHOOSE({1,2,3,4,5,6}, R863, U863, X863, AA863, AD863, AG863),
    _xlpm.limit, -0.00001*_xlpm.slopes + 0.1086*_xlpm.slopes + 63.253,
    _xlpm.valid, (_xlpm.vals &gt;= 0) * (_xlpm.ints &lt;= _xlpm.limit),
    _xlpm.target, MIN(_xlfn._xlws.FILTER(_xlpm.vals, _xlpm.valid)),
    IFERROR(
        _xlfn.XLOOKUP(_xlpm.target, _xlpm.vals, _xlpm.vals),
        CHOOSE({1,2,3,4,5,6}, S$1, V$1, Y$1, AB$1, AE$1, AH$1)
    )
)</f>
        <v>0.5624472201975832</v>
      </c>
    </row>
    <row r="864" spans="9:36" x14ac:dyDescent="0.45">
      <c r="I864">
        <v>862</v>
      </c>
      <c r="J864">
        <v>27.6</v>
      </c>
      <c r="K864">
        <f t="shared" si="300"/>
        <v>27.6</v>
      </c>
      <c r="L864">
        <f t="shared" si="299"/>
        <v>7.6666666666666671E-3</v>
      </c>
      <c r="M864">
        <v>-0.52</v>
      </c>
      <c r="N864">
        <f t="shared" si="301"/>
        <v>0</v>
      </c>
      <c r="O864">
        <f t="shared" si="302"/>
        <v>358.66704492611962</v>
      </c>
      <c r="P864">
        <f t="shared" si="303"/>
        <v>1147.7345437635829</v>
      </c>
      <c r="Q864">
        <f t="shared" si="304"/>
        <v>5256.6242104372095</v>
      </c>
      <c r="R864">
        <f t="shared" si="305"/>
        <v>0</v>
      </c>
      <c r="S864">
        <f t="shared" si="306"/>
        <v>4.4081962425791996</v>
      </c>
      <c r="T864">
        <f t="shared" si="307"/>
        <v>3397.2942495402053</v>
      </c>
      <c r="U864">
        <f t="shared" si="308"/>
        <v>0</v>
      </c>
      <c r="V864">
        <f t="shared" si="309"/>
        <v>1.2885785962676068</v>
      </c>
      <c r="W864">
        <f t="shared" si="310"/>
        <v>2192.1729785884431</v>
      </c>
      <c r="X864">
        <f t="shared" si="311"/>
        <v>0</v>
      </c>
      <c r="Y864">
        <f t="shared" si="312"/>
        <v>0.58362888438978833</v>
      </c>
      <c r="Z864">
        <f t="shared" si="313"/>
        <v>1652.7377430195593</v>
      </c>
      <c r="AA864">
        <f t="shared" si="314"/>
        <v>0</v>
      </c>
      <c r="AB864">
        <f t="shared" si="315"/>
        <v>0.44044953063578168</v>
      </c>
      <c r="AC864">
        <f t="shared" si="316"/>
        <v>6000</v>
      </c>
      <c r="AD864">
        <f t="shared" si="317"/>
        <v>0</v>
      </c>
      <c r="AE864">
        <f t="shared" si="318"/>
        <v>6.7000407999999982</v>
      </c>
      <c r="AF864">
        <f t="shared" si="319"/>
        <v>6000</v>
      </c>
      <c r="AG864">
        <f t="shared" si="320"/>
        <v>0</v>
      </c>
      <c r="AH864">
        <f t="shared" si="321"/>
        <v>6.7000407999999982</v>
      </c>
      <c r="AI864" cm="1">
        <f t="array" ref="AI864">_xlfn.LET(
    _xlpm.vals,   _xlfn.HSTACK(S864,V864,Y864,AB864,AE864,AH864),
    _xlpm.ints,   _xlfn.HSTACK(R864,U864,X864,AA864,AD864,AG864),
    _xlpm.slopes, _xlfn.HSTACK(Q864,T864,W864,Z864,AC864,AF864),
    _xlpm.limit,  -0.00001*_xlpm.slopes + 0.1086*_xlpm.slopes + 63.253,
    _xlpm.mask,   (_xlpm.vals&gt;=0) * (_xlpm.ints&lt;=_xlpm.limit),
    _xlpm.validVals, _xlfn._xlws.FILTER(_xlpm.vals, _xlpm.mask),
    _xlpm.minVal, MIN(_xlpm.validVals),
    IFERROR( _xlfn.XMATCH(_xlpm.minVal, _xlpm.vals), "" )
)</f>
        <v>4</v>
      </c>
      <c r="AJ864" cm="1">
        <f t="array" ref="AJ864">_xlfn.LET(
    _xlpm.vals, CHOOSE({1,2,3,4,5,6}, S864, V864, Y864, AB864, AE864, AH864),
    _xlpm.slopes, CHOOSE({1,2,3,4,5,6}, Q864, T864, W864, Z864, AC864, AF864),
    _xlpm.ints, CHOOSE({1,2,3,4,5,6}, R864, U864, X864, AA864, AD864, AG864),
    _xlpm.limit, -0.00001*_xlpm.slopes + 0.1086*_xlpm.slopes + 63.253,
    _xlpm.valid, (_xlpm.vals &gt;= 0) * (_xlpm.ints &lt;= _xlpm.limit),
    _xlpm.target, MIN(_xlfn._xlws.FILTER(_xlpm.vals, _xlpm.valid)),
    IFERROR(
        _xlfn.XLOOKUP(_xlpm.target, _xlpm.vals, _xlpm.vals),
        CHOOSE({1,2,3,4,5,6}, S$1, V$1, Y$1, AB$1, AE$1, AH$1)
    )
)</f>
        <v>0.44044953063578168</v>
      </c>
    </row>
    <row r="865" spans="9:36" x14ac:dyDescent="0.45">
      <c r="I865">
        <v>863</v>
      </c>
      <c r="J865">
        <v>27.2</v>
      </c>
      <c r="K865">
        <f t="shared" si="300"/>
        <v>27.2</v>
      </c>
      <c r="L865">
        <f t="shared" si="299"/>
        <v>7.5555555555555549E-3</v>
      </c>
      <c r="M865">
        <v>-0.19</v>
      </c>
      <c r="N865">
        <f t="shared" si="301"/>
        <v>0</v>
      </c>
      <c r="O865">
        <f t="shared" si="302"/>
        <v>353.46897181124825</v>
      </c>
      <c r="P865">
        <f t="shared" si="303"/>
        <v>1131.1007097959944</v>
      </c>
      <c r="Q865">
        <f t="shared" si="304"/>
        <v>5180.4412508656542</v>
      </c>
      <c r="R865">
        <f t="shared" si="305"/>
        <v>0</v>
      </c>
      <c r="S865">
        <f t="shared" si="306"/>
        <v>4.2123906185573929</v>
      </c>
      <c r="T865">
        <f t="shared" si="307"/>
        <v>3348.0581009961434</v>
      </c>
      <c r="U865">
        <f t="shared" si="308"/>
        <v>0</v>
      </c>
      <c r="V865">
        <f t="shared" si="309"/>
        <v>1.2447094267983843</v>
      </c>
      <c r="W865">
        <f t="shared" si="310"/>
        <v>2160.4023557103492</v>
      </c>
      <c r="X865">
        <f t="shared" si="311"/>
        <v>0</v>
      </c>
      <c r="Y865">
        <f t="shared" si="312"/>
        <v>0.57320219876916501</v>
      </c>
      <c r="Z865">
        <f t="shared" si="313"/>
        <v>1628.7850221062317</v>
      </c>
      <c r="AA865">
        <f t="shared" si="314"/>
        <v>0</v>
      </c>
      <c r="AB865">
        <f t="shared" si="315"/>
        <v>0.43541491957720291</v>
      </c>
      <c r="AC865">
        <f t="shared" si="316"/>
        <v>6000</v>
      </c>
      <c r="AD865">
        <f t="shared" si="317"/>
        <v>0</v>
      </c>
      <c r="AE865">
        <f t="shared" si="318"/>
        <v>6.7000407999999982</v>
      </c>
      <c r="AF865">
        <f t="shared" si="319"/>
        <v>6000</v>
      </c>
      <c r="AG865">
        <f t="shared" si="320"/>
        <v>0</v>
      </c>
      <c r="AH865">
        <f t="shared" si="321"/>
        <v>6.7000407999999982</v>
      </c>
      <c r="AI865" cm="1">
        <f t="array" ref="AI865">_xlfn.LET(
    _xlpm.vals,   _xlfn.HSTACK(S865,V865,Y865,AB865,AE865,AH865),
    _xlpm.ints,   _xlfn.HSTACK(R865,U865,X865,AA865,AD865,AG865),
    _xlpm.slopes, _xlfn.HSTACK(Q865,T865,W865,Z865,AC865,AF865),
    _xlpm.limit,  -0.00001*_xlpm.slopes + 0.1086*_xlpm.slopes + 63.253,
    _xlpm.mask,   (_xlpm.vals&gt;=0) * (_xlpm.ints&lt;=_xlpm.limit),
    _xlpm.validVals, _xlfn._xlws.FILTER(_xlpm.vals, _xlpm.mask),
    _xlpm.minVal, MIN(_xlpm.validVals),
    IFERROR( _xlfn.XMATCH(_xlpm.minVal, _xlpm.vals), "" )
)</f>
        <v>4</v>
      </c>
      <c r="AJ865" cm="1">
        <f t="array" ref="AJ865">_xlfn.LET(
    _xlpm.vals, CHOOSE({1,2,3,4,5,6}, S865, V865, Y865, AB865, AE865, AH865),
    _xlpm.slopes, CHOOSE({1,2,3,4,5,6}, Q865, T865, W865, Z865, AC865, AF865),
    _xlpm.ints, CHOOSE({1,2,3,4,5,6}, R865, U865, X865, AA865, AD865, AG865),
    _xlpm.limit, -0.00001*_xlpm.slopes + 0.1086*_xlpm.slopes + 63.253,
    _xlpm.valid, (_xlpm.vals &gt;= 0) * (_xlpm.ints &lt;= _xlpm.limit),
    _xlpm.target, MIN(_xlfn._xlws.FILTER(_xlpm.vals, _xlpm.valid)),
    IFERROR(
        _xlfn.XLOOKUP(_xlpm.target, _xlpm.vals, _xlpm.vals),
        CHOOSE({1,2,3,4,5,6}, S$1, V$1, Y$1, AB$1, AE$1, AH$1)
    )
)</f>
        <v>0.43541491957720291</v>
      </c>
    </row>
    <row r="866" spans="9:36" x14ac:dyDescent="0.45">
      <c r="I866">
        <v>864</v>
      </c>
      <c r="J866">
        <v>26.7</v>
      </c>
      <c r="K866">
        <f t="shared" si="300"/>
        <v>26.7</v>
      </c>
      <c r="L866">
        <f t="shared" si="299"/>
        <v>7.4166666666666669E-3</v>
      </c>
      <c r="M866">
        <v>-0.08</v>
      </c>
      <c r="N866">
        <f t="shared" si="301"/>
        <v>0</v>
      </c>
      <c r="O866">
        <f t="shared" si="302"/>
        <v>346.97138041765913</v>
      </c>
      <c r="P866">
        <f t="shared" si="303"/>
        <v>1110.3084173365094</v>
      </c>
      <c r="Q866">
        <f t="shared" si="304"/>
        <v>5085.2125514012132</v>
      </c>
      <c r="R866">
        <f t="shared" si="305"/>
        <v>0</v>
      </c>
      <c r="S866">
        <f t="shared" si="306"/>
        <v>3.9771288115687939</v>
      </c>
      <c r="T866">
        <f t="shared" si="307"/>
        <v>3286.5129153160678</v>
      </c>
      <c r="U866">
        <f t="shared" si="308"/>
        <v>0</v>
      </c>
      <c r="V866">
        <f t="shared" si="309"/>
        <v>1.1920372464935614</v>
      </c>
      <c r="W866">
        <f t="shared" si="310"/>
        <v>2120.6890771127328</v>
      </c>
      <c r="X866">
        <f t="shared" si="311"/>
        <v>0</v>
      </c>
      <c r="Y866">
        <f t="shared" si="312"/>
        <v>0.56058374644918718</v>
      </c>
      <c r="Z866">
        <f t="shared" si="313"/>
        <v>1598.8441209645734</v>
      </c>
      <c r="AA866">
        <f t="shared" si="314"/>
        <v>0</v>
      </c>
      <c r="AB866">
        <f t="shared" si="315"/>
        <v>0.42923377490976167</v>
      </c>
      <c r="AC866">
        <f t="shared" si="316"/>
        <v>6000</v>
      </c>
      <c r="AD866">
        <f t="shared" si="317"/>
        <v>0</v>
      </c>
      <c r="AE866">
        <f t="shared" si="318"/>
        <v>6.7000407999999982</v>
      </c>
      <c r="AF866">
        <f t="shared" si="319"/>
        <v>6000</v>
      </c>
      <c r="AG866">
        <f t="shared" si="320"/>
        <v>0</v>
      </c>
      <c r="AH866">
        <f t="shared" si="321"/>
        <v>6.7000407999999982</v>
      </c>
      <c r="AI866" cm="1">
        <f t="array" ref="AI866">_xlfn.LET(
    _xlpm.vals,   _xlfn.HSTACK(S866,V866,Y866,AB866,AE866,AH866),
    _xlpm.ints,   _xlfn.HSTACK(R866,U866,X866,AA866,AD866,AG866),
    _xlpm.slopes, _xlfn.HSTACK(Q866,T866,W866,Z866,AC866,AF866),
    _xlpm.limit,  -0.00001*_xlpm.slopes + 0.1086*_xlpm.slopes + 63.253,
    _xlpm.mask,   (_xlpm.vals&gt;=0) * (_xlpm.ints&lt;=_xlpm.limit),
    _xlpm.validVals, _xlfn._xlws.FILTER(_xlpm.vals, _xlpm.mask),
    _xlpm.minVal, MIN(_xlpm.validVals),
    IFERROR( _xlfn.XMATCH(_xlpm.minVal, _xlpm.vals), "" )
)</f>
        <v>4</v>
      </c>
      <c r="AJ866" cm="1">
        <f t="array" ref="AJ866">_xlfn.LET(
    _xlpm.vals, CHOOSE({1,2,3,4,5,6}, S866, V866, Y866, AB866, AE866, AH866),
    _xlpm.slopes, CHOOSE({1,2,3,4,5,6}, Q866, T866, W866, Z866, AC866, AF866),
    _xlpm.ints, CHOOSE({1,2,3,4,5,6}, R866, U866, X866, AA866, AD866, AG866),
    _xlpm.limit, -0.00001*_xlpm.slopes + 0.1086*_xlpm.slopes + 63.253,
    _xlpm.valid, (_xlpm.vals &gt;= 0) * (_xlpm.ints &lt;= _xlpm.limit),
    _xlpm.target, MIN(_xlfn._xlws.FILTER(_xlpm.vals, _xlpm.valid)),
    IFERROR(
        _xlfn.XLOOKUP(_xlpm.target, _xlpm.vals, _xlpm.vals),
        CHOOSE({1,2,3,4,5,6}, S$1, V$1, Y$1, AB$1, AE$1, AH$1)
    )
)</f>
        <v>0.42923377490976167</v>
      </c>
    </row>
    <row r="867" spans="9:36" x14ac:dyDescent="0.45">
      <c r="I867">
        <v>865</v>
      </c>
      <c r="J867">
        <v>26.7</v>
      </c>
      <c r="K867">
        <f t="shared" si="300"/>
        <v>26.7</v>
      </c>
      <c r="L867">
        <f t="shared" si="299"/>
        <v>7.4166666666666669E-3</v>
      </c>
      <c r="M867">
        <v>4.2699999999999996</v>
      </c>
      <c r="N867">
        <f t="shared" si="301"/>
        <v>4.2699999999999996</v>
      </c>
      <c r="O867">
        <f t="shared" si="302"/>
        <v>346.97138041765913</v>
      </c>
      <c r="P867">
        <f t="shared" si="303"/>
        <v>1110.3084173365094</v>
      </c>
      <c r="Q867">
        <f t="shared" si="304"/>
        <v>5085.2125514012132</v>
      </c>
      <c r="R867">
        <f t="shared" si="305"/>
        <v>8.018444855153211</v>
      </c>
      <c r="S867">
        <f t="shared" si="306"/>
        <v>4.0745661648817588</v>
      </c>
      <c r="T867">
        <f t="shared" si="307"/>
        <v>3286.5129153160678</v>
      </c>
      <c r="U867">
        <f t="shared" si="308"/>
        <v>12.406918052905981</v>
      </c>
      <c r="V867">
        <f t="shared" si="309"/>
        <v>1.384870592141672</v>
      </c>
      <c r="W867">
        <f t="shared" si="310"/>
        <v>2120.6890771127328</v>
      </c>
      <c r="X867">
        <f t="shared" si="311"/>
        <v>19.22747509769723</v>
      </c>
      <c r="Y867">
        <f t="shared" si="312"/>
        <v>0.81431798873504291</v>
      </c>
      <c r="Z867">
        <f t="shared" si="313"/>
        <v>1598.8441209645734</v>
      </c>
      <c r="AA867">
        <f t="shared" si="314"/>
        <v>25.503109330973409</v>
      </c>
      <c r="AB867">
        <f t="shared" si="315"/>
        <v>0.71075691128766083</v>
      </c>
      <c r="AC867">
        <f t="shared" si="316"/>
        <v>6000</v>
      </c>
      <c r="AD867">
        <f t="shared" si="317"/>
        <v>6.7959160700239316</v>
      </c>
      <c r="AE867">
        <f t="shared" si="318"/>
        <v>6.7483582038810441</v>
      </c>
      <c r="AF867">
        <f t="shared" si="319"/>
        <v>6000</v>
      </c>
      <c r="AG867">
        <f t="shared" si="320"/>
        <v>6.7959160700239316</v>
      </c>
      <c r="AH867">
        <f t="shared" si="321"/>
        <v>6.7483582038810441</v>
      </c>
      <c r="AI867" cm="1">
        <f t="array" ref="AI867">_xlfn.LET(
    _xlpm.vals,   _xlfn.HSTACK(S867,V867,Y867,AB867,AE867,AH867),
    _xlpm.ints,   _xlfn.HSTACK(R867,U867,X867,AA867,AD867,AG867),
    _xlpm.slopes, _xlfn.HSTACK(Q867,T867,W867,Z867,AC867,AF867),
    _xlpm.limit,  -0.00001*_xlpm.slopes + 0.1086*_xlpm.slopes + 63.253,
    _xlpm.mask,   (_xlpm.vals&gt;=0) * (_xlpm.ints&lt;=_xlpm.limit),
    _xlpm.validVals, _xlfn._xlws.FILTER(_xlpm.vals, _xlpm.mask),
    _xlpm.minVal, MIN(_xlpm.validVals),
    IFERROR( _xlfn.XMATCH(_xlpm.minVal, _xlpm.vals), "" )
)</f>
        <v>4</v>
      </c>
      <c r="AJ867" cm="1">
        <f t="array" ref="AJ867">_xlfn.LET(
    _xlpm.vals, CHOOSE({1,2,3,4,5,6}, S867, V867, Y867, AB867, AE867, AH867),
    _xlpm.slopes, CHOOSE({1,2,3,4,5,6}, Q867, T867, W867, Z867, AC867, AF867),
    _xlpm.ints, CHOOSE({1,2,3,4,5,6}, R867, U867, X867, AA867, AD867, AG867),
    _xlpm.limit, -0.00001*_xlpm.slopes + 0.1086*_xlpm.slopes + 63.253,
    _xlpm.valid, (_xlpm.vals &gt;= 0) * (_xlpm.ints &lt;= _xlpm.limit),
    _xlpm.target, MIN(_xlfn._xlws.FILTER(_xlpm.vals, _xlpm.valid)),
    IFERROR(
        _xlfn.XLOOKUP(_xlpm.target, _xlpm.vals, _xlpm.vals),
        CHOOSE({1,2,3,4,5,6}, S$1, V$1, Y$1, AB$1, AE$1, AH$1)
    )
)</f>
        <v>0.71075691128766083</v>
      </c>
    </row>
    <row r="868" spans="9:36" x14ac:dyDescent="0.45">
      <c r="I868">
        <v>866</v>
      </c>
      <c r="J868">
        <v>27.1</v>
      </c>
      <c r="K868">
        <f t="shared" si="300"/>
        <v>27.1</v>
      </c>
      <c r="L868">
        <f t="shared" si="299"/>
        <v>7.5277777777777782E-3</v>
      </c>
      <c r="M868">
        <v>11.81</v>
      </c>
      <c r="N868">
        <f t="shared" si="301"/>
        <v>11.81</v>
      </c>
      <c r="O868">
        <f t="shared" si="302"/>
        <v>352.1694535325305</v>
      </c>
      <c r="P868">
        <f t="shared" si="303"/>
        <v>1126.9422513040977</v>
      </c>
      <c r="Q868">
        <f t="shared" si="304"/>
        <v>5161.3955109727676</v>
      </c>
      <c r="R868">
        <f t="shared" si="305"/>
        <v>21.850135769514385</v>
      </c>
      <c r="S868">
        <f t="shared" si="306"/>
        <v>4.4653688315059474</v>
      </c>
      <c r="T868">
        <f t="shared" si="307"/>
        <v>3335.7490638601289</v>
      </c>
      <c r="U868">
        <f t="shared" si="308"/>
        <v>33.808656021748611</v>
      </c>
      <c r="V868">
        <f t="shared" si="309"/>
        <v>1.8310952494567543</v>
      </c>
      <c r="W868">
        <f t="shared" si="310"/>
        <v>2152.4596999908263</v>
      </c>
      <c r="X868">
        <f t="shared" si="311"/>
        <v>52.394566400196801</v>
      </c>
      <c r="Y868">
        <f t="shared" si="312"/>
        <v>1.380583871492427</v>
      </c>
      <c r="Z868">
        <f t="shared" si="313"/>
        <v>1622.7968418779005</v>
      </c>
      <c r="AA868">
        <f t="shared" si="314"/>
        <v>69.495570711372139</v>
      </c>
      <c r="AB868">
        <f t="shared" si="315"/>
        <v>1.3494192599989916</v>
      </c>
      <c r="AC868">
        <f t="shared" si="316"/>
        <v>6000</v>
      </c>
      <c r="AD868">
        <f t="shared" si="317"/>
        <v>18.796198779152839</v>
      </c>
      <c r="AE868">
        <f t="shared" si="318"/>
        <v>6.869411524372687</v>
      </c>
      <c r="AF868">
        <f t="shared" si="319"/>
        <v>6000</v>
      </c>
      <c r="AG868">
        <f t="shared" si="320"/>
        <v>18.796198779152839</v>
      </c>
      <c r="AH868">
        <f t="shared" si="321"/>
        <v>6.869411524372687</v>
      </c>
      <c r="AI868" cm="1">
        <f t="array" ref="AI868">_xlfn.LET(
    _xlpm.vals,   _xlfn.HSTACK(S868,V868,Y868,AB868,AE868,AH868),
    _xlpm.ints,   _xlfn.HSTACK(R868,U868,X868,AA868,AD868,AG868),
    _xlpm.slopes, _xlfn.HSTACK(Q868,T868,W868,Z868,AC868,AF868),
    _xlpm.limit,  -0.00001*_xlpm.slopes + 0.1086*_xlpm.slopes + 63.253,
    _xlpm.mask,   (_xlpm.vals&gt;=0) * (_xlpm.ints&lt;=_xlpm.limit),
    _xlpm.validVals, _xlfn._xlws.FILTER(_xlpm.vals, _xlpm.mask),
    _xlpm.minVal, MIN(_xlpm.validVals),
    IFERROR( _xlfn.XMATCH(_xlpm.minVal, _xlpm.vals), "" )
)</f>
        <v>4</v>
      </c>
      <c r="AJ868" cm="1">
        <f t="array" ref="AJ868">_xlfn.LET(
    _xlpm.vals, CHOOSE({1,2,3,4,5,6}, S868, V868, Y868, AB868, AE868, AH868),
    _xlpm.slopes, CHOOSE({1,2,3,4,5,6}, Q868, T868, W868, Z868, AC868, AF868),
    _xlpm.ints, CHOOSE({1,2,3,4,5,6}, R868, U868, X868, AA868, AD868, AG868),
    _xlpm.limit, -0.00001*_xlpm.slopes + 0.1086*_xlpm.slopes + 63.253,
    _xlpm.valid, (_xlpm.vals &gt;= 0) * (_xlpm.ints &lt;= _xlpm.limit),
    _xlpm.target, MIN(_xlfn._xlws.FILTER(_xlpm.vals, _xlpm.valid)),
    IFERROR(
        _xlfn.XLOOKUP(_xlpm.target, _xlpm.vals, _xlpm.vals),
        CHOOSE({1,2,3,4,5,6}, S$1, V$1, Y$1, AB$1, AE$1, AH$1)
    )
)</f>
        <v>1.3494192599989916</v>
      </c>
    </row>
    <row r="869" spans="9:36" x14ac:dyDescent="0.45">
      <c r="I869">
        <v>867</v>
      </c>
      <c r="J869">
        <v>27.8</v>
      </c>
      <c r="K869">
        <f t="shared" si="300"/>
        <v>27.8</v>
      </c>
      <c r="L869">
        <f t="shared" si="299"/>
        <v>7.7222222222222223E-3</v>
      </c>
      <c r="M869">
        <v>10.029999999999999</v>
      </c>
      <c r="N869">
        <f t="shared" si="301"/>
        <v>10.029999999999999</v>
      </c>
      <c r="O869">
        <f t="shared" si="302"/>
        <v>361.26608148355524</v>
      </c>
      <c r="P869">
        <f t="shared" si="303"/>
        <v>1156.0514607473767</v>
      </c>
      <c r="Q869">
        <f t="shared" si="304"/>
        <v>5294.7156902229854</v>
      </c>
      <c r="R869">
        <f t="shared" si="305"/>
        <v>18.089629426102178</v>
      </c>
      <c r="S869">
        <f t="shared" si="306"/>
        <v>4.7382576015719335</v>
      </c>
      <c r="T869">
        <f t="shared" si="307"/>
        <v>3421.9123238122352</v>
      </c>
      <c r="U869">
        <f t="shared" si="308"/>
        <v>27.990034720117556</v>
      </c>
      <c r="V869">
        <f t="shared" si="309"/>
        <v>1.7928230511417258</v>
      </c>
      <c r="W869">
        <f t="shared" si="310"/>
        <v>2208.0582900274894</v>
      </c>
      <c r="X869">
        <f t="shared" si="311"/>
        <v>43.37722658196229</v>
      </c>
      <c r="Y869">
        <f t="shared" si="312"/>
        <v>1.2485357848443706</v>
      </c>
      <c r="Z869">
        <f t="shared" si="313"/>
        <v>1664.7141034762224</v>
      </c>
      <c r="AA869">
        <f t="shared" si="314"/>
        <v>57.535071369130534</v>
      </c>
      <c r="AB869">
        <f t="shared" si="315"/>
        <v>1.1922542819548727</v>
      </c>
      <c r="AC869">
        <f t="shared" si="316"/>
        <v>6000</v>
      </c>
      <c r="AD869">
        <f t="shared" si="317"/>
        <v>15.963240792117103</v>
      </c>
      <c r="AE869">
        <f t="shared" si="318"/>
        <v>6.8368637582451042</v>
      </c>
      <c r="AF869">
        <f t="shared" si="319"/>
        <v>6000</v>
      </c>
      <c r="AG869">
        <f t="shared" si="320"/>
        <v>15.963240792117103</v>
      </c>
      <c r="AH869">
        <f t="shared" si="321"/>
        <v>6.8368637582451042</v>
      </c>
      <c r="AI869" cm="1">
        <f t="array" ref="AI869">_xlfn.LET(
    _xlpm.vals,   _xlfn.HSTACK(S869,V869,Y869,AB869,AE869,AH869),
    _xlpm.ints,   _xlfn.HSTACK(R869,U869,X869,AA869,AD869,AG869),
    _xlpm.slopes, _xlfn.HSTACK(Q869,T869,W869,Z869,AC869,AF869),
    _xlpm.limit,  -0.00001*_xlpm.slopes + 0.1086*_xlpm.slopes + 63.253,
    _xlpm.mask,   (_xlpm.vals&gt;=0) * (_xlpm.ints&lt;=_xlpm.limit),
    _xlpm.validVals, _xlfn._xlws.FILTER(_xlpm.vals, _xlpm.mask),
    _xlpm.minVal, MIN(_xlpm.validVals),
    IFERROR( _xlfn.XMATCH(_xlpm.minVal, _xlpm.vals), "" )
)</f>
        <v>4</v>
      </c>
      <c r="AJ869" cm="1">
        <f t="array" ref="AJ869">_xlfn.LET(
    _xlpm.vals, CHOOSE({1,2,3,4,5,6}, S869, V869, Y869, AB869, AE869, AH869),
    _xlpm.slopes, CHOOSE({1,2,3,4,5,6}, Q869, T869, W869, Z869, AC869, AF869),
    _xlpm.ints, CHOOSE({1,2,3,4,5,6}, R869, U869, X869, AA869, AD869, AG869),
    _xlpm.limit, -0.00001*_xlpm.slopes + 0.1086*_xlpm.slopes + 63.253,
    _xlpm.valid, (_xlpm.vals &gt;= 0) * (_xlpm.ints &lt;= _xlpm.limit),
    _xlpm.target, MIN(_xlfn._xlws.FILTER(_xlpm.vals, _xlpm.valid)),
    IFERROR(
        _xlfn.XLOOKUP(_xlpm.target, _xlpm.vals, _xlpm.vals),
        CHOOSE({1,2,3,4,5,6}, S$1, V$1, Y$1, AB$1, AE$1, AH$1)
    )
)</f>
        <v>1.1922542819548727</v>
      </c>
    </row>
    <row r="870" spans="9:36" x14ac:dyDescent="0.45">
      <c r="I870">
        <v>868</v>
      </c>
      <c r="J870">
        <v>28</v>
      </c>
      <c r="K870">
        <f t="shared" si="300"/>
        <v>28</v>
      </c>
      <c r="L870">
        <f t="shared" si="299"/>
        <v>7.7777777777777776E-3</v>
      </c>
      <c r="M870">
        <v>2.37</v>
      </c>
      <c r="N870">
        <f t="shared" si="301"/>
        <v>2.37</v>
      </c>
      <c r="O870">
        <f t="shared" si="302"/>
        <v>363.86511804099086</v>
      </c>
      <c r="P870">
        <f t="shared" si="303"/>
        <v>1164.3683777311708</v>
      </c>
      <c r="Q870">
        <f t="shared" si="304"/>
        <v>5332.8071700087621</v>
      </c>
      <c r="R870">
        <f t="shared" si="305"/>
        <v>4.2438873535399804</v>
      </c>
      <c r="S870">
        <f t="shared" si="306"/>
        <v>4.6554513205795205</v>
      </c>
      <c r="T870">
        <f t="shared" si="307"/>
        <v>3446.5303980842655</v>
      </c>
      <c r="U870">
        <f t="shared" si="308"/>
        <v>6.5665554321665915</v>
      </c>
      <c r="V870">
        <f t="shared" si="309"/>
        <v>1.4326185951674406</v>
      </c>
      <c r="W870">
        <f t="shared" si="310"/>
        <v>2223.9436014665362</v>
      </c>
      <c r="X870">
        <f t="shared" si="311"/>
        <v>10.176441926289586</v>
      </c>
      <c r="Y870">
        <f t="shared" si="312"/>
        <v>0.72549529892033138</v>
      </c>
      <c r="Z870">
        <f t="shared" si="313"/>
        <v>1676.6904639328859</v>
      </c>
      <c r="AA870">
        <f t="shared" si="314"/>
        <v>13.497919499453548</v>
      </c>
      <c r="AB870">
        <f t="shared" si="315"/>
        <v>0.58978369745017356</v>
      </c>
      <c r="AC870">
        <f t="shared" si="316"/>
        <v>6000</v>
      </c>
      <c r="AD870">
        <f t="shared" si="317"/>
        <v>3.7719721512779198</v>
      </c>
      <c r="AE870">
        <f t="shared" si="318"/>
        <v>6.7249920368466931</v>
      </c>
      <c r="AF870">
        <f t="shared" si="319"/>
        <v>6000</v>
      </c>
      <c r="AG870">
        <f t="shared" si="320"/>
        <v>3.7719721512779198</v>
      </c>
      <c r="AH870">
        <f t="shared" si="321"/>
        <v>6.7249920368466931</v>
      </c>
      <c r="AI870" cm="1">
        <f t="array" ref="AI870">_xlfn.LET(
    _xlpm.vals,   _xlfn.HSTACK(S870,V870,Y870,AB870,AE870,AH870),
    _xlpm.ints,   _xlfn.HSTACK(R870,U870,X870,AA870,AD870,AG870),
    _xlpm.slopes, _xlfn.HSTACK(Q870,T870,W870,Z870,AC870,AF870),
    _xlpm.limit,  -0.00001*_xlpm.slopes + 0.1086*_xlpm.slopes + 63.253,
    _xlpm.mask,   (_xlpm.vals&gt;=0) * (_xlpm.ints&lt;=_xlpm.limit),
    _xlpm.validVals, _xlfn._xlws.FILTER(_xlpm.vals, _xlpm.mask),
    _xlpm.minVal, MIN(_xlpm.validVals),
    IFERROR( _xlfn.XMATCH(_xlpm.minVal, _xlpm.vals), "" )
)</f>
        <v>4</v>
      </c>
      <c r="AJ870" cm="1">
        <f t="array" ref="AJ870">_xlfn.LET(
    _xlpm.vals, CHOOSE({1,2,3,4,5,6}, S870, V870, Y870, AB870, AE870, AH870),
    _xlpm.slopes, CHOOSE({1,2,3,4,5,6}, Q870, T870, W870, Z870, AC870, AF870),
    _xlpm.ints, CHOOSE({1,2,3,4,5,6}, R870, U870, X870, AA870, AD870, AG870),
    _xlpm.limit, -0.00001*_xlpm.slopes + 0.1086*_xlpm.slopes + 63.253,
    _xlpm.valid, (_xlpm.vals &gt;= 0) * (_xlpm.ints &lt;= _xlpm.limit),
    _xlpm.target, MIN(_xlfn._xlws.FILTER(_xlpm.vals, _xlpm.valid)),
    IFERROR(
        _xlfn.XLOOKUP(_xlpm.target, _xlpm.vals, _xlpm.vals),
        CHOOSE({1,2,3,4,5,6}, S$1, V$1, Y$1, AB$1, AE$1, AH$1)
    )
)</f>
        <v>0.58978369745017356</v>
      </c>
    </row>
    <row r="871" spans="9:36" x14ac:dyDescent="0.45">
      <c r="I871">
        <v>869</v>
      </c>
      <c r="J871">
        <v>27.8</v>
      </c>
      <c r="K871">
        <f t="shared" si="300"/>
        <v>27.8</v>
      </c>
      <c r="L871">
        <f t="shared" si="299"/>
        <v>7.7222222222222223E-3</v>
      </c>
      <c r="M871">
        <v>1.41</v>
      </c>
      <c r="N871">
        <f t="shared" si="301"/>
        <v>1.41</v>
      </c>
      <c r="O871">
        <f t="shared" si="302"/>
        <v>361.26608148355524</v>
      </c>
      <c r="P871">
        <f t="shared" si="303"/>
        <v>1156.0514607473767</v>
      </c>
      <c r="Q871">
        <f t="shared" si="304"/>
        <v>5294.7156902229854</v>
      </c>
      <c r="R871">
        <f t="shared" si="305"/>
        <v>2.5430087229116722</v>
      </c>
      <c r="S871">
        <f t="shared" si="306"/>
        <v>4.5351843666148577</v>
      </c>
      <c r="T871">
        <f t="shared" si="307"/>
        <v>3421.9123238122352</v>
      </c>
      <c r="U871">
        <f t="shared" si="308"/>
        <v>3.9347905239646814</v>
      </c>
      <c r="V871">
        <f t="shared" si="309"/>
        <v>1.368993055214283</v>
      </c>
      <c r="W871">
        <f t="shared" si="310"/>
        <v>2208.0582900274894</v>
      </c>
      <c r="X871">
        <f t="shared" si="311"/>
        <v>6.0978952622698737</v>
      </c>
      <c r="Y871">
        <f t="shared" si="312"/>
        <v>0.665067556697162</v>
      </c>
      <c r="Z871">
        <f t="shared" si="313"/>
        <v>1664.7141034762224</v>
      </c>
      <c r="AA871">
        <f t="shared" si="314"/>
        <v>8.0881805214829576</v>
      </c>
      <c r="AB871">
        <f t="shared" si="315"/>
        <v>0.52576452988961775</v>
      </c>
      <c r="AC871">
        <f t="shared" si="316"/>
        <v>6000</v>
      </c>
      <c r="AD871">
        <f t="shared" si="317"/>
        <v>2.2440846975957243</v>
      </c>
      <c r="AE871">
        <f t="shared" si="318"/>
        <v>6.7143186738446925</v>
      </c>
      <c r="AF871">
        <f t="shared" si="319"/>
        <v>6000</v>
      </c>
      <c r="AG871">
        <f t="shared" si="320"/>
        <v>2.2440846975957243</v>
      </c>
      <c r="AH871">
        <f t="shared" si="321"/>
        <v>6.7143186738446925</v>
      </c>
      <c r="AI871" cm="1">
        <f t="array" ref="AI871">_xlfn.LET(
    _xlpm.vals,   _xlfn.HSTACK(S871,V871,Y871,AB871,AE871,AH871),
    _xlpm.ints,   _xlfn.HSTACK(R871,U871,X871,AA871,AD871,AG871),
    _xlpm.slopes, _xlfn.HSTACK(Q871,T871,W871,Z871,AC871,AF871),
    _xlpm.limit,  -0.00001*_xlpm.slopes + 0.1086*_xlpm.slopes + 63.253,
    _xlpm.mask,   (_xlpm.vals&gt;=0) * (_xlpm.ints&lt;=_xlpm.limit),
    _xlpm.validVals, _xlfn._xlws.FILTER(_xlpm.vals, _xlpm.mask),
    _xlpm.minVal, MIN(_xlpm.validVals),
    IFERROR( _xlfn.XMATCH(_xlpm.minVal, _xlpm.vals), "" )
)</f>
        <v>4</v>
      </c>
      <c r="AJ871" cm="1">
        <f t="array" ref="AJ871">_xlfn.LET(
    _xlpm.vals, CHOOSE({1,2,3,4,5,6}, S871, V871, Y871, AB871, AE871, AH871),
    _xlpm.slopes, CHOOSE({1,2,3,4,5,6}, Q871, T871, W871, Z871, AC871, AF871),
    _xlpm.ints, CHOOSE({1,2,3,4,5,6}, R871, U871, X871, AA871, AD871, AG871),
    _xlpm.limit, -0.00001*_xlpm.slopes + 0.1086*_xlpm.slopes + 63.253,
    _xlpm.valid, (_xlpm.vals &gt;= 0) * (_xlpm.ints &lt;= _xlpm.limit),
    _xlpm.target, MIN(_xlfn._xlws.FILTER(_xlpm.vals, _xlpm.valid)),
    IFERROR(
        _xlfn.XLOOKUP(_xlpm.target, _xlpm.vals, _xlpm.vals),
        CHOOSE({1,2,3,4,5,6}, S$1, V$1, Y$1, AB$1, AE$1, AH$1)
    )
)</f>
        <v>0.52576452988961775</v>
      </c>
    </row>
    <row r="872" spans="9:36" x14ac:dyDescent="0.45">
      <c r="I872">
        <v>870</v>
      </c>
      <c r="J872">
        <v>27.9</v>
      </c>
      <c r="K872">
        <f t="shared" si="300"/>
        <v>27.9</v>
      </c>
      <c r="L872">
        <f t="shared" si="299"/>
        <v>7.7499999999999999E-3</v>
      </c>
      <c r="M872">
        <v>6.15</v>
      </c>
      <c r="N872">
        <f t="shared" si="301"/>
        <v>6.15</v>
      </c>
      <c r="O872">
        <f t="shared" si="302"/>
        <v>362.565599762273</v>
      </c>
      <c r="P872">
        <f t="shared" si="303"/>
        <v>1160.2099192392736</v>
      </c>
      <c r="Q872">
        <f t="shared" si="304"/>
        <v>5313.7614301158737</v>
      </c>
      <c r="R872">
        <f t="shared" si="305"/>
        <v>11.052090834952809</v>
      </c>
      <c r="S872">
        <f t="shared" si="306"/>
        <v>4.6877542882812069</v>
      </c>
      <c r="T872">
        <f t="shared" si="307"/>
        <v>3434.2213609482501</v>
      </c>
      <c r="U872">
        <f t="shared" si="308"/>
        <v>17.100870278406713</v>
      </c>
      <c r="V872">
        <f t="shared" si="309"/>
        <v>1.5984700298496839</v>
      </c>
      <c r="W872">
        <f t="shared" si="310"/>
        <v>2216.0009457470123</v>
      </c>
      <c r="X872">
        <f t="shared" si="311"/>
        <v>26.501872263918258</v>
      </c>
      <c r="Y872">
        <f t="shared" si="312"/>
        <v>0.96597998961736709</v>
      </c>
      <c r="Z872">
        <f t="shared" si="313"/>
        <v>1670.702283704554</v>
      </c>
      <c r="AA872">
        <f t="shared" si="314"/>
        <v>35.151788905613799</v>
      </c>
      <c r="AB872">
        <f t="shared" si="315"/>
        <v>0.86627048512157223</v>
      </c>
      <c r="AC872">
        <f t="shared" si="316"/>
        <v>6000</v>
      </c>
      <c r="AD872">
        <f t="shared" si="317"/>
        <v>9.788029000151564</v>
      </c>
      <c r="AE872">
        <f t="shared" si="318"/>
        <v>6.7743629372208805</v>
      </c>
      <c r="AF872">
        <f t="shared" si="319"/>
        <v>6000</v>
      </c>
      <c r="AG872">
        <f t="shared" si="320"/>
        <v>9.788029000151564</v>
      </c>
      <c r="AH872">
        <f t="shared" si="321"/>
        <v>6.7743629372208805</v>
      </c>
      <c r="AI872" cm="1">
        <f t="array" ref="AI872">_xlfn.LET(
    _xlpm.vals,   _xlfn.HSTACK(S872,V872,Y872,AB872,AE872,AH872),
    _xlpm.ints,   _xlfn.HSTACK(R872,U872,X872,AA872,AD872,AG872),
    _xlpm.slopes, _xlfn.HSTACK(Q872,T872,W872,Z872,AC872,AF872),
    _xlpm.limit,  -0.00001*_xlpm.slopes + 0.1086*_xlpm.slopes + 63.253,
    _xlpm.mask,   (_xlpm.vals&gt;=0) * (_xlpm.ints&lt;=_xlpm.limit),
    _xlpm.validVals, _xlfn._xlws.FILTER(_xlpm.vals, _xlpm.mask),
    _xlpm.minVal, MIN(_xlpm.validVals),
    IFERROR( _xlfn.XMATCH(_xlpm.minVal, _xlpm.vals), "" )
)</f>
        <v>4</v>
      </c>
      <c r="AJ872" cm="1">
        <f t="array" ref="AJ872">_xlfn.LET(
    _xlpm.vals, CHOOSE({1,2,3,4,5,6}, S872, V872, Y872, AB872, AE872, AH872),
    _xlpm.slopes, CHOOSE({1,2,3,4,5,6}, Q872, T872, W872, Z872, AC872, AF872),
    _xlpm.ints, CHOOSE({1,2,3,4,5,6}, R872, U872, X872, AA872, AD872, AG872),
    _xlpm.limit, -0.00001*_xlpm.slopes + 0.1086*_xlpm.slopes + 63.253,
    _xlpm.valid, (_xlpm.vals &gt;= 0) * (_xlpm.ints &lt;= _xlpm.limit),
    _xlpm.target, MIN(_xlfn._xlws.FILTER(_xlpm.vals, _xlpm.valid)),
    IFERROR(
        _xlfn.XLOOKUP(_xlpm.target, _xlpm.vals, _xlpm.vals),
        CHOOSE({1,2,3,4,5,6}, S$1, V$1, Y$1, AB$1, AE$1, AH$1)
    )
)</f>
        <v>0.86627048512157223</v>
      </c>
    </row>
    <row r="873" spans="9:36" x14ac:dyDescent="0.45">
      <c r="I873">
        <v>871</v>
      </c>
      <c r="J873">
        <v>28.1</v>
      </c>
      <c r="K873">
        <f t="shared" si="300"/>
        <v>28.1</v>
      </c>
      <c r="L873">
        <f t="shared" si="299"/>
        <v>7.805555555555556E-3</v>
      </c>
      <c r="M873">
        <v>3.93</v>
      </c>
      <c r="N873">
        <f t="shared" si="301"/>
        <v>3.93</v>
      </c>
      <c r="O873">
        <f t="shared" si="302"/>
        <v>365.16463631970868</v>
      </c>
      <c r="P873">
        <f t="shared" si="303"/>
        <v>1168.5268362230679</v>
      </c>
      <c r="Q873">
        <f t="shared" si="304"/>
        <v>5351.8529099016514</v>
      </c>
      <c r="R873">
        <f t="shared" si="305"/>
        <v>7.0122883070339412</v>
      </c>
      <c r="S873">
        <f t="shared" si="306"/>
        <v>4.7385554333795801</v>
      </c>
      <c r="T873">
        <f t="shared" si="307"/>
        <v>3458.8394352202808</v>
      </c>
      <c r="U873">
        <f t="shared" si="308"/>
        <v>10.850094745343059</v>
      </c>
      <c r="V873">
        <f t="shared" si="309"/>
        <v>1.5136847271442531</v>
      </c>
      <c r="W873">
        <f t="shared" si="310"/>
        <v>2231.8862571860595</v>
      </c>
      <c r="X873">
        <f t="shared" si="311"/>
        <v>16.814806516343172</v>
      </c>
      <c r="Y873">
        <f t="shared" si="312"/>
        <v>0.82334788702100059</v>
      </c>
      <c r="Z873">
        <f t="shared" si="313"/>
        <v>1682.6786441612178</v>
      </c>
      <c r="AA873">
        <f t="shared" si="314"/>
        <v>22.302972532094063</v>
      </c>
      <c r="AB873">
        <f t="shared" si="315"/>
        <v>0.69904169488696044</v>
      </c>
      <c r="AC873">
        <f t="shared" si="316"/>
        <v>6000</v>
      </c>
      <c r="AD873">
        <f t="shared" si="317"/>
        <v>6.254789263511487</v>
      </c>
      <c r="AE873">
        <f t="shared" si="318"/>
        <v>6.7439599466664042</v>
      </c>
      <c r="AF873">
        <f t="shared" si="319"/>
        <v>6000</v>
      </c>
      <c r="AG873">
        <f t="shared" si="320"/>
        <v>6.254789263511487</v>
      </c>
      <c r="AH873">
        <f t="shared" si="321"/>
        <v>6.7439599466664042</v>
      </c>
      <c r="AI873" cm="1">
        <f t="array" ref="AI873">_xlfn.LET(
    _xlpm.vals,   _xlfn.HSTACK(S873,V873,Y873,AB873,AE873,AH873),
    _xlpm.ints,   _xlfn.HSTACK(R873,U873,X873,AA873,AD873,AG873),
    _xlpm.slopes, _xlfn.HSTACK(Q873,T873,W873,Z873,AC873,AF873),
    _xlpm.limit,  -0.00001*_xlpm.slopes + 0.1086*_xlpm.slopes + 63.253,
    _xlpm.mask,   (_xlpm.vals&gt;=0) * (_xlpm.ints&lt;=_xlpm.limit),
    _xlpm.validVals, _xlfn._xlws.FILTER(_xlpm.vals, _xlpm.mask),
    _xlpm.minVal, MIN(_xlpm.validVals),
    IFERROR( _xlfn.XMATCH(_xlpm.minVal, _xlpm.vals), "" )
)</f>
        <v>4</v>
      </c>
      <c r="AJ873" cm="1">
        <f t="array" ref="AJ873">_xlfn.LET(
    _xlpm.vals, CHOOSE({1,2,3,4,5,6}, S873, V873, Y873, AB873, AE873, AH873),
    _xlpm.slopes, CHOOSE({1,2,3,4,5,6}, Q873, T873, W873, Z873, AC873, AF873),
    _xlpm.ints, CHOOSE({1,2,3,4,5,6}, R873, U873, X873, AA873, AD873, AG873),
    _xlpm.limit, -0.00001*_xlpm.slopes + 0.1086*_xlpm.slopes + 63.253,
    _xlpm.valid, (_xlpm.vals &gt;= 0) * (_xlpm.ints &lt;= _xlpm.limit),
    _xlpm.target, MIN(_xlfn._xlws.FILTER(_xlpm.vals, _xlpm.valid)),
    IFERROR(
        _xlfn.XLOOKUP(_xlpm.target, _xlpm.vals, _xlpm.vals),
        CHOOSE({1,2,3,4,5,6}, S$1, V$1, Y$1, AB$1, AE$1, AH$1)
    )
)</f>
        <v>0.69904169488696044</v>
      </c>
    </row>
    <row r="874" spans="9:36" x14ac:dyDescent="0.45">
      <c r="I874">
        <v>872</v>
      </c>
      <c r="J874">
        <v>28.1</v>
      </c>
      <c r="K874">
        <f t="shared" si="300"/>
        <v>28.1</v>
      </c>
      <c r="L874">
        <f t="shared" si="299"/>
        <v>7.805555555555556E-3</v>
      </c>
      <c r="M874">
        <v>2.72</v>
      </c>
      <c r="N874">
        <f t="shared" si="301"/>
        <v>2.72</v>
      </c>
      <c r="O874">
        <f t="shared" si="302"/>
        <v>365.16463631970868</v>
      </c>
      <c r="P874">
        <f t="shared" si="303"/>
        <v>1168.5268362230679</v>
      </c>
      <c r="Q874">
        <f t="shared" si="304"/>
        <v>5351.8529099016514</v>
      </c>
      <c r="R874">
        <f t="shared" si="305"/>
        <v>4.8532885992703108</v>
      </c>
      <c r="S874">
        <f t="shared" si="306"/>
        <v>4.713615481634756</v>
      </c>
      <c r="T874">
        <f t="shared" si="307"/>
        <v>3458.8394352202808</v>
      </c>
      <c r="U874">
        <f t="shared" si="308"/>
        <v>7.5094803326547384</v>
      </c>
      <c r="V874">
        <f t="shared" si="309"/>
        <v>1.4592023947447224</v>
      </c>
      <c r="W874">
        <f t="shared" si="310"/>
        <v>2231.8862571860595</v>
      </c>
      <c r="X874">
        <f t="shared" si="311"/>
        <v>11.637728683067028</v>
      </c>
      <c r="Y874">
        <f t="shared" si="312"/>
        <v>0.7488143113966329</v>
      </c>
      <c r="Z874">
        <f t="shared" si="313"/>
        <v>1682.6786441612178</v>
      </c>
      <c r="AA874">
        <f t="shared" si="314"/>
        <v>15.436154017123627</v>
      </c>
      <c r="AB874">
        <f t="shared" si="315"/>
        <v>0.61435187423681481</v>
      </c>
      <c r="AC874">
        <f t="shared" si="316"/>
        <v>6000</v>
      </c>
      <c r="AD874">
        <f t="shared" si="317"/>
        <v>4.3290144520995533</v>
      </c>
      <c r="AE874">
        <f t="shared" si="318"/>
        <v>6.7290735181994386</v>
      </c>
      <c r="AF874">
        <f t="shared" si="319"/>
        <v>6000</v>
      </c>
      <c r="AG874">
        <f t="shared" si="320"/>
        <v>4.3290144520995533</v>
      </c>
      <c r="AH874">
        <f t="shared" si="321"/>
        <v>6.7290735181994386</v>
      </c>
      <c r="AI874" cm="1">
        <f t="array" ref="AI874">_xlfn.LET(
    _xlpm.vals,   _xlfn.HSTACK(S874,V874,Y874,AB874,AE874,AH874),
    _xlpm.ints,   _xlfn.HSTACK(R874,U874,X874,AA874,AD874,AG874),
    _xlpm.slopes, _xlfn.HSTACK(Q874,T874,W874,Z874,AC874,AF874),
    _xlpm.limit,  -0.00001*_xlpm.slopes + 0.1086*_xlpm.slopes + 63.253,
    _xlpm.mask,   (_xlpm.vals&gt;=0) * (_xlpm.ints&lt;=_xlpm.limit),
    _xlpm.validVals, _xlfn._xlws.FILTER(_xlpm.vals, _xlpm.mask),
    _xlpm.minVal, MIN(_xlpm.validVals),
    IFERROR( _xlfn.XMATCH(_xlpm.minVal, _xlpm.vals), "" )
)</f>
        <v>4</v>
      </c>
      <c r="AJ874" cm="1">
        <f t="array" ref="AJ874">_xlfn.LET(
    _xlpm.vals, CHOOSE({1,2,3,4,5,6}, S874, V874, Y874, AB874, AE874, AH874),
    _xlpm.slopes, CHOOSE({1,2,3,4,5,6}, Q874, T874, W874, Z874, AC874, AF874),
    _xlpm.ints, CHOOSE({1,2,3,4,5,6}, R874, U874, X874, AA874, AD874, AG874),
    _xlpm.limit, -0.00001*_xlpm.slopes + 0.1086*_xlpm.slopes + 63.253,
    _xlpm.valid, (_xlpm.vals &gt;= 0) * (_xlpm.ints &lt;= _xlpm.limit),
    _xlpm.target, MIN(_xlfn._xlws.FILTER(_xlpm.vals, _xlpm.valid)),
    IFERROR(
        _xlfn.XLOOKUP(_xlpm.target, _xlpm.vals, _xlpm.vals),
        CHOOSE({1,2,3,4,5,6}, S$1, V$1, Y$1, AB$1, AE$1, AH$1)
    )
)</f>
        <v>0.61435187423681481</v>
      </c>
    </row>
    <row r="875" spans="9:36" x14ac:dyDescent="0.45">
      <c r="I875">
        <v>873</v>
      </c>
      <c r="J875">
        <v>27.8</v>
      </c>
      <c r="K875">
        <f t="shared" si="300"/>
        <v>27.8</v>
      </c>
      <c r="L875">
        <f t="shared" si="299"/>
        <v>7.7222222222222223E-3</v>
      </c>
      <c r="M875">
        <v>0.49</v>
      </c>
      <c r="N875">
        <f t="shared" si="301"/>
        <v>0.49</v>
      </c>
      <c r="O875">
        <f t="shared" si="302"/>
        <v>361.26608148355524</v>
      </c>
      <c r="P875">
        <f t="shared" si="303"/>
        <v>1156.0514607473767</v>
      </c>
      <c r="Q875">
        <f t="shared" si="304"/>
        <v>5294.7156902229854</v>
      </c>
      <c r="R875">
        <f t="shared" si="305"/>
        <v>0.88374062001894982</v>
      </c>
      <c r="S875">
        <f t="shared" si="306"/>
        <v>4.5176648824586643</v>
      </c>
      <c r="T875">
        <f t="shared" si="307"/>
        <v>3421.9123238122352</v>
      </c>
      <c r="U875">
        <f t="shared" si="308"/>
        <v>1.3674094728671589</v>
      </c>
      <c r="V875">
        <f t="shared" si="309"/>
        <v>1.3308232321236335</v>
      </c>
      <c r="W875">
        <f t="shared" si="310"/>
        <v>2208.0582900274894</v>
      </c>
      <c r="X875">
        <f t="shared" si="311"/>
        <v>2.119126722349105</v>
      </c>
      <c r="Y875">
        <f t="shared" si="312"/>
        <v>0.61466906214272687</v>
      </c>
      <c r="Z875">
        <f t="shared" si="313"/>
        <v>1664.7141034762224</v>
      </c>
      <c r="AA875">
        <f t="shared" si="314"/>
        <v>2.8107861386713822</v>
      </c>
      <c r="AB875">
        <f t="shared" si="315"/>
        <v>0.47064173534984521</v>
      </c>
      <c r="AC875">
        <f t="shared" si="316"/>
        <v>6000</v>
      </c>
      <c r="AD875">
        <f t="shared" si="317"/>
        <v>0.77985922115028716</v>
      </c>
      <c r="AE875">
        <f t="shared" si="318"/>
        <v>6.7048127491872718</v>
      </c>
      <c r="AF875">
        <f t="shared" si="319"/>
        <v>6000</v>
      </c>
      <c r="AG875">
        <f t="shared" si="320"/>
        <v>0.77985922115028716</v>
      </c>
      <c r="AH875">
        <f t="shared" si="321"/>
        <v>6.7048127491872718</v>
      </c>
      <c r="AI875" cm="1">
        <f t="array" ref="AI875">_xlfn.LET(
    _xlpm.vals,   _xlfn.HSTACK(S875,V875,Y875,AB875,AE875,AH875),
    _xlpm.ints,   _xlfn.HSTACK(R875,U875,X875,AA875,AD875,AG875),
    _xlpm.slopes, _xlfn.HSTACK(Q875,T875,W875,Z875,AC875,AF875),
    _xlpm.limit,  -0.00001*_xlpm.slopes + 0.1086*_xlpm.slopes + 63.253,
    _xlpm.mask,   (_xlpm.vals&gt;=0) * (_xlpm.ints&lt;=_xlpm.limit),
    _xlpm.validVals, _xlfn._xlws.FILTER(_xlpm.vals, _xlpm.mask),
    _xlpm.minVal, MIN(_xlpm.validVals),
    IFERROR( _xlfn.XMATCH(_xlpm.minVal, _xlpm.vals), "" )
)</f>
        <v>4</v>
      </c>
      <c r="AJ875" cm="1">
        <f t="array" ref="AJ875">_xlfn.LET(
    _xlpm.vals, CHOOSE({1,2,3,4,5,6}, S875, V875, Y875, AB875, AE875, AH875),
    _xlpm.slopes, CHOOSE({1,2,3,4,5,6}, Q875, T875, W875, Z875, AC875, AF875),
    _xlpm.ints, CHOOSE({1,2,3,4,5,6}, R875, U875, X875, AA875, AD875, AG875),
    _xlpm.limit, -0.00001*_xlpm.slopes + 0.1086*_xlpm.slopes + 63.253,
    _xlpm.valid, (_xlpm.vals &gt;= 0) * (_xlpm.ints &lt;= _xlpm.limit),
    _xlpm.target, MIN(_xlfn._xlws.FILTER(_xlpm.vals, _xlpm.valid)),
    IFERROR(
        _xlfn.XLOOKUP(_xlpm.target, _xlpm.vals, _xlpm.vals),
        CHOOSE({1,2,3,4,5,6}, S$1, V$1, Y$1, AB$1, AE$1, AH$1)
    )
)</f>
        <v>0.47064173534984521</v>
      </c>
    </row>
    <row r="876" spans="9:36" x14ac:dyDescent="0.45">
      <c r="I876">
        <v>874</v>
      </c>
      <c r="J876">
        <v>27.4</v>
      </c>
      <c r="K876">
        <f t="shared" si="300"/>
        <v>27.4</v>
      </c>
      <c r="L876">
        <f t="shared" si="299"/>
        <v>7.611111111111111E-3</v>
      </c>
      <c r="M876">
        <v>-0.85</v>
      </c>
      <c r="N876">
        <f t="shared" si="301"/>
        <v>0</v>
      </c>
      <c r="O876">
        <f t="shared" si="302"/>
        <v>356.06800836868388</v>
      </c>
      <c r="P876">
        <f t="shared" si="303"/>
        <v>1139.4176267797884</v>
      </c>
      <c r="Q876">
        <f t="shared" si="304"/>
        <v>5218.5327306514309</v>
      </c>
      <c r="R876">
        <f t="shared" si="305"/>
        <v>0</v>
      </c>
      <c r="S876">
        <f t="shared" si="306"/>
        <v>4.3094401000137363</v>
      </c>
      <c r="T876">
        <f t="shared" si="307"/>
        <v>3372.6761752681737</v>
      </c>
      <c r="U876">
        <f t="shared" si="308"/>
        <v>0</v>
      </c>
      <c r="V876">
        <f t="shared" si="309"/>
        <v>1.2664491175479435</v>
      </c>
      <c r="W876">
        <f t="shared" si="310"/>
        <v>2176.2876671493959</v>
      </c>
      <c r="X876">
        <f t="shared" si="311"/>
        <v>0</v>
      </c>
      <c r="Y876">
        <f t="shared" si="312"/>
        <v>0.57837798587580025</v>
      </c>
      <c r="Z876">
        <f t="shared" si="313"/>
        <v>1640.7613825628953</v>
      </c>
      <c r="AA876">
        <f t="shared" si="314"/>
        <v>0</v>
      </c>
      <c r="AB876">
        <f t="shared" si="315"/>
        <v>0.43792196957517288</v>
      </c>
      <c r="AC876">
        <f t="shared" si="316"/>
        <v>6000</v>
      </c>
      <c r="AD876">
        <f t="shared" si="317"/>
        <v>0</v>
      </c>
      <c r="AE876">
        <f t="shared" si="318"/>
        <v>6.7000407999999982</v>
      </c>
      <c r="AF876">
        <f t="shared" si="319"/>
        <v>6000</v>
      </c>
      <c r="AG876">
        <f t="shared" si="320"/>
        <v>0</v>
      </c>
      <c r="AH876">
        <f t="shared" si="321"/>
        <v>6.7000407999999982</v>
      </c>
      <c r="AI876" cm="1">
        <f t="array" ref="AI876">_xlfn.LET(
    _xlpm.vals,   _xlfn.HSTACK(S876,V876,Y876,AB876,AE876,AH876),
    _xlpm.ints,   _xlfn.HSTACK(R876,U876,X876,AA876,AD876,AG876),
    _xlpm.slopes, _xlfn.HSTACK(Q876,T876,W876,Z876,AC876,AF876),
    _xlpm.limit,  -0.00001*_xlpm.slopes + 0.1086*_xlpm.slopes + 63.253,
    _xlpm.mask,   (_xlpm.vals&gt;=0) * (_xlpm.ints&lt;=_xlpm.limit),
    _xlpm.validVals, _xlfn._xlws.FILTER(_xlpm.vals, _xlpm.mask),
    _xlpm.minVal, MIN(_xlpm.validVals),
    IFERROR( _xlfn.XMATCH(_xlpm.minVal, _xlpm.vals), "" )
)</f>
        <v>4</v>
      </c>
      <c r="AJ876" cm="1">
        <f t="array" ref="AJ876">_xlfn.LET(
    _xlpm.vals, CHOOSE({1,2,3,4,5,6}, S876, V876, Y876, AB876, AE876, AH876),
    _xlpm.slopes, CHOOSE({1,2,3,4,5,6}, Q876, T876, W876, Z876, AC876, AF876),
    _xlpm.ints, CHOOSE({1,2,3,4,5,6}, R876, U876, X876, AA876, AD876, AG876),
    _xlpm.limit, -0.00001*_xlpm.slopes + 0.1086*_xlpm.slopes + 63.253,
    _xlpm.valid, (_xlpm.vals &gt;= 0) * (_xlpm.ints &lt;= _xlpm.limit),
    _xlpm.target, MIN(_xlfn._xlws.FILTER(_xlpm.vals, _xlpm.valid)),
    IFERROR(
        _xlfn.XLOOKUP(_xlpm.target, _xlpm.vals, _xlpm.vals),
        CHOOSE({1,2,3,4,5,6}, S$1, V$1, Y$1, AB$1, AE$1, AH$1)
    )
)</f>
        <v>0.43792196957517288</v>
      </c>
    </row>
    <row r="877" spans="9:36" x14ac:dyDescent="0.45">
      <c r="I877">
        <v>875</v>
      </c>
      <c r="J877">
        <v>27.1</v>
      </c>
      <c r="K877">
        <f t="shared" si="300"/>
        <v>27.1</v>
      </c>
      <c r="L877">
        <f t="shared" si="299"/>
        <v>7.5277777777777782E-3</v>
      </c>
      <c r="M877">
        <v>1.34</v>
      </c>
      <c r="N877">
        <f t="shared" si="301"/>
        <v>1.34</v>
      </c>
      <c r="O877">
        <f t="shared" si="302"/>
        <v>352.1694535325305</v>
      </c>
      <c r="P877">
        <f t="shared" si="303"/>
        <v>1126.9422513040977</v>
      </c>
      <c r="Q877">
        <f t="shared" si="304"/>
        <v>5161.3955109727676</v>
      </c>
      <c r="R877">
        <f t="shared" si="305"/>
        <v>2.4791855995892695</v>
      </c>
      <c r="S877">
        <f t="shared" si="306"/>
        <v>4.1918273338620047</v>
      </c>
      <c r="T877">
        <f t="shared" si="307"/>
        <v>3335.7490638601289</v>
      </c>
      <c r="U877">
        <f t="shared" si="308"/>
        <v>3.836037177742857</v>
      </c>
      <c r="V877">
        <f t="shared" si="309"/>
        <v>1.2902255006673546</v>
      </c>
      <c r="W877">
        <f t="shared" si="310"/>
        <v>2152.4596999908263</v>
      </c>
      <c r="X877">
        <f t="shared" si="311"/>
        <v>5.9448534272873594</v>
      </c>
      <c r="Y877">
        <f t="shared" si="312"/>
        <v>0.64352609786836379</v>
      </c>
      <c r="Z877">
        <f t="shared" si="313"/>
        <v>1622.7968418779005</v>
      </c>
      <c r="AA877">
        <f t="shared" si="314"/>
        <v>7.8851875320269826</v>
      </c>
      <c r="AB877">
        <f t="shared" si="315"/>
        <v>0.51300901633821971</v>
      </c>
      <c r="AC877">
        <f t="shared" si="316"/>
        <v>6000</v>
      </c>
      <c r="AD877">
        <f t="shared" si="317"/>
        <v>2.1326762374313977</v>
      </c>
      <c r="AE877">
        <f t="shared" si="318"/>
        <v>6.7135704489161521</v>
      </c>
      <c r="AF877">
        <f t="shared" si="319"/>
        <v>6000</v>
      </c>
      <c r="AG877">
        <f t="shared" si="320"/>
        <v>2.1326762374313977</v>
      </c>
      <c r="AH877">
        <f t="shared" si="321"/>
        <v>6.7135704489161521</v>
      </c>
      <c r="AI877" cm="1">
        <f t="array" ref="AI877">_xlfn.LET(
    _xlpm.vals,   _xlfn.HSTACK(S877,V877,Y877,AB877,AE877,AH877),
    _xlpm.ints,   _xlfn.HSTACK(R877,U877,X877,AA877,AD877,AG877),
    _xlpm.slopes, _xlfn.HSTACK(Q877,T877,W877,Z877,AC877,AF877),
    _xlpm.limit,  -0.00001*_xlpm.slopes + 0.1086*_xlpm.slopes + 63.253,
    _xlpm.mask,   (_xlpm.vals&gt;=0) * (_xlpm.ints&lt;=_xlpm.limit),
    _xlpm.validVals, _xlfn._xlws.FILTER(_xlpm.vals, _xlpm.mask),
    _xlpm.minVal, MIN(_xlpm.validVals),
    IFERROR( _xlfn.XMATCH(_xlpm.minVal, _xlpm.vals), "" )
)</f>
        <v>4</v>
      </c>
      <c r="AJ877" cm="1">
        <f t="array" ref="AJ877">_xlfn.LET(
    _xlpm.vals, CHOOSE({1,2,3,4,5,6}, S877, V877, Y877, AB877, AE877, AH877),
    _xlpm.slopes, CHOOSE({1,2,3,4,5,6}, Q877, T877, W877, Z877, AC877, AF877),
    _xlpm.ints, CHOOSE({1,2,3,4,5,6}, R877, U877, X877, AA877, AD877, AG877),
    _xlpm.limit, -0.00001*_xlpm.slopes + 0.1086*_xlpm.slopes + 63.253,
    _xlpm.valid, (_xlpm.vals &gt;= 0) * (_xlpm.ints &lt;= _xlpm.limit),
    _xlpm.target, MIN(_xlfn._xlws.FILTER(_xlpm.vals, _xlpm.valid)),
    IFERROR(
        _xlfn.XLOOKUP(_xlpm.target, _xlpm.vals, _xlpm.vals),
        CHOOSE({1,2,3,4,5,6}, S$1, V$1, Y$1, AB$1, AE$1, AH$1)
    )
)</f>
        <v>0.51300901633821971</v>
      </c>
    </row>
    <row r="878" spans="9:36" x14ac:dyDescent="0.45">
      <c r="I878">
        <v>876</v>
      </c>
      <c r="J878">
        <v>26.8</v>
      </c>
      <c r="K878">
        <f t="shared" si="300"/>
        <v>26.8</v>
      </c>
      <c r="L878">
        <f t="shared" si="299"/>
        <v>7.4444444444444445E-3</v>
      </c>
      <c r="M878">
        <v>0.86</v>
      </c>
      <c r="N878">
        <f t="shared" si="301"/>
        <v>0.86</v>
      </c>
      <c r="O878">
        <f t="shared" si="302"/>
        <v>348.270898696377</v>
      </c>
      <c r="P878">
        <f t="shared" si="303"/>
        <v>1114.4668758284065</v>
      </c>
      <c r="Q878">
        <f t="shared" si="304"/>
        <v>5104.2582912941016</v>
      </c>
      <c r="R878">
        <f t="shared" si="305"/>
        <v>1.6089301510366318</v>
      </c>
      <c r="S878">
        <f t="shared" si="306"/>
        <v>4.0412704770525432</v>
      </c>
      <c r="T878">
        <f t="shared" si="307"/>
        <v>3298.8219524520832</v>
      </c>
      <c r="U878">
        <f t="shared" si="308"/>
        <v>2.4894932742391127</v>
      </c>
      <c r="V878">
        <f t="shared" si="309"/>
        <v>1.2384534847058908</v>
      </c>
      <c r="W878">
        <f t="shared" si="310"/>
        <v>2128.6317328322561</v>
      </c>
      <c r="X878">
        <f t="shared" si="311"/>
        <v>3.858062875260615</v>
      </c>
      <c r="Y878">
        <f t="shared" si="312"/>
        <v>0.60933038112328997</v>
      </c>
      <c r="Z878">
        <f t="shared" si="313"/>
        <v>1604.8323011929053</v>
      </c>
      <c r="AA878">
        <f t="shared" si="314"/>
        <v>5.1172917303803986</v>
      </c>
      <c r="AB878">
        <f t="shared" si="315"/>
        <v>0.48009564240020658</v>
      </c>
      <c r="AC878">
        <f t="shared" si="316"/>
        <v>6000</v>
      </c>
      <c r="AD878">
        <f t="shared" si="317"/>
        <v>1.3687325105902999</v>
      </c>
      <c r="AE878">
        <f t="shared" si="318"/>
        <v>6.7085503206188601</v>
      </c>
      <c r="AF878">
        <f t="shared" si="319"/>
        <v>6000</v>
      </c>
      <c r="AG878">
        <f t="shared" si="320"/>
        <v>1.3687325105902999</v>
      </c>
      <c r="AH878">
        <f t="shared" si="321"/>
        <v>6.7085503206188601</v>
      </c>
      <c r="AI878" cm="1">
        <f t="array" ref="AI878">_xlfn.LET(
    _xlpm.vals,   _xlfn.HSTACK(S878,V878,Y878,AB878,AE878,AH878),
    _xlpm.ints,   _xlfn.HSTACK(R878,U878,X878,AA878,AD878,AG878),
    _xlpm.slopes, _xlfn.HSTACK(Q878,T878,W878,Z878,AC878,AF878),
    _xlpm.limit,  -0.00001*_xlpm.slopes + 0.1086*_xlpm.slopes + 63.253,
    _xlpm.mask,   (_xlpm.vals&gt;=0) * (_xlpm.ints&lt;=_xlpm.limit),
    _xlpm.validVals, _xlfn._xlws.FILTER(_xlpm.vals, _xlpm.mask),
    _xlpm.minVal, MIN(_xlpm.validVals),
    IFERROR( _xlfn.XMATCH(_xlpm.minVal, _xlpm.vals), "" )
)</f>
        <v>4</v>
      </c>
      <c r="AJ878" cm="1">
        <f t="array" ref="AJ878">_xlfn.LET(
    _xlpm.vals, CHOOSE({1,2,3,4,5,6}, S878, V878, Y878, AB878, AE878, AH878),
    _xlpm.slopes, CHOOSE({1,2,3,4,5,6}, Q878, T878, W878, Z878, AC878, AF878),
    _xlpm.ints, CHOOSE({1,2,3,4,5,6}, R878, U878, X878, AA878, AD878, AG878),
    _xlpm.limit, -0.00001*_xlpm.slopes + 0.1086*_xlpm.slopes + 63.253,
    _xlpm.valid, (_xlpm.vals &gt;= 0) * (_xlpm.ints &lt;= _xlpm.limit),
    _xlpm.target, MIN(_xlfn._xlws.FILTER(_xlpm.vals, _xlpm.valid)),
    IFERROR(
        _xlfn.XLOOKUP(_xlpm.target, _xlpm.vals, _xlpm.vals),
        CHOOSE({1,2,3,4,5,6}, S$1, V$1, Y$1, AB$1, AE$1, AH$1)
    )
)</f>
        <v>0.48009564240020658</v>
      </c>
    </row>
    <row r="879" spans="9:36" x14ac:dyDescent="0.45">
      <c r="I879">
        <v>877</v>
      </c>
      <c r="J879">
        <v>26.6</v>
      </c>
      <c r="K879">
        <f t="shared" si="300"/>
        <v>26.6</v>
      </c>
      <c r="L879">
        <f t="shared" si="299"/>
        <v>7.3888888888888893E-3</v>
      </c>
      <c r="M879">
        <v>1.37</v>
      </c>
      <c r="N879">
        <f t="shared" si="301"/>
        <v>1.37</v>
      </c>
      <c r="O879">
        <f t="shared" si="302"/>
        <v>345.67186213894132</v>
      </c>
      <c r="P879">
        <f t="shared" si="303"/>
        <v>1106.1499588446122</v>
      </c>
      <c r="Q879">
        <f t="shared" si="304"/>
        <v>5066.1668115083239</v>
      </c>
      <c r="R879">
        <f t="shared" si="305"/>
        <v>2.5823342990671878</v>
      </c>
      <c r="S879">
        <f t="shared" si="306"/>
        <v>3.9608697489890039</v>
      </c>
      <c r="T879">
        <f t="shared" si="307"/>
        <v>3274.203878180052</v>
      </c>
      <c r="U879">
        <f t="shared" si="308"/>
        <v>3.9956388816647705</v>
      </c>
      <c r="V879">
        <f t="shared" si="309"/>
        <v>1.2402727846118438</v>
      </c>
      <c r="W879">
        <f t="shared" si="310"/>
        <v>2112.7464213932094</v>
      </c>
      <c r="X879">
        <f t="shared" si="311"/>
        <v>6.1921942878155596</v>
      </c>
      <c r="Y879">
        <f t="shared" si="312"/>
        <v>0.63320568130381361</v>
      </c>
      <c r="Z879">
        <f t="shared" si="313"/>
        <v>1592.8559407362416</v>
      </c>
      <c r="AA879">
        <f t="shared" si="314"/>
        <v>8.2132577011998062</v>
      </c>
      <c r="AB879">
        <f t="shared" si="315"/>
        <v>0.50901478397503119</v>
      </c>
      <c r="AC879">
        <f t="shared" si="316"/>
        <v>6000</v>
      </c>
      <c r="AD879">
        <f t="shared" si="317"/>
        <v>2.1804227203589663</v>
      </c>
      <c r="AE879">
        <f t="shared" si="318"/>
        <v>6.713890615069241</v>
      </c>
      <c r="AF879">
        <f t="shared" si="319"/>
        <v>6000</v>
      </c>
      <c r="AG879">
        <f t="shared" si="320"/>
        <v>2.1804227203589663</v>
      </c>
      <c r="AH879">
        <f t="shared" si="321"/>
        <v>6.713890615069241</v>
      </c>
      <c r="AI879" cm="1">
        <f t="array" ref="AI879">_xlfn.LET(
    _xlpm.vals,   _xlfn.HSTACK(S879,V879,Y879,AB879,AE879,AH879),
    _xlpm.ints,   _xlfn.HSTACK(R879,U879,X879,AA879,AD879,AG879),
    _xlpm.slopes, _xlfn.HSTACK(Q879,T879,W879,Z879,AC879,AF879),
    _xlpm.limit,  -0.00001*_xlpm.slopes + 0.1086*_xlpm.slopes + 63.253,
    _xlpm.mask,   (_xlpm.vals&gt;=0) * (_xlpm.ints&lt;=_xlpm.limit),
    _xlpm.validVals, _xlfn._xlws.FILTER(_xlpm.vals, _xlpm.mask),
    _xlpm.minVal, MIN(_xlpm.validVals),
    IFERROR( _xlfn.XMATCH(_xlpm.minVal, _xlpm.vals), "" )
)</f>
        <v>4</v>
      </c>
      <c r="AJ879" cm="1">
        <f t="array" ref="AJ879">_xlfn.LET(
    _xlpm.vals, CHOOSE({1,2,3,4,5,6}, S879, V879, Y879, AB879, AE879, AH879),
    _xlpm.slopes, CHOOSE({1,2,3,4,5,6}, Q879, T879, W879, Z879, AC879, AF879),
    _xlpm.ints, CHOOSE({1,2,3,4,5,6}, R879, U879, X879, AA879, AD879, AG879),
    _xlpm.limit, -0.00001*_xlpm.slopes + 0.1086*_xlpm.slopes + 63.253,
    _xlpm.valid, (_xlpm.vals &gt;= 0) * (_xlpm.ints &lt;= _xlpm.limit),
    _xlpm.target, MIN(_xlfn._xlws.FILTER(_xlpm.vals, _xlpm.valid)),
    IFERROR(
        _xlfn.XLOOKUP(_xlpm.target, _xlpm.vals, _xlpm.vals),
        CHOOSE({1,2,3,4,5,6}, S$1, V$1, Y$1, AB$1, AE$1, AH$1)
    )
)</f>
        <v>0.50901478397503119</v>
      </c>
    </row>
    <row r="880" spans="9:36" x14ac:dyDescent="0.45">
      <c r="I880">
        <v>878</v>
      </c>
      <c r="J880">
        <v>26.5</v>
      </c>
      <c r="K880">
        <f t="shared" si="300"/>
        <v>26.5</v>
      </c>
      <c r="L880">
        <f t="shared" si="299"/>
        <v>7.3611111111111108E-3</v>
      </c>
      <c r="M880">
        <v>3.38</v>
      </c>
      <c r="N880">
        <f t="shared" si="301"/>
        <v>3.38</v>
      </c>
      <c r="O880">
        <f t="shared" si="302"/>
        <v>344.37234386022351</v>
      </c>
      <c r="P880">
        <f t="shared" si="303"/>
        <v>1101.9915003527153</v>
      </c>
      <c r="Q880">
        <f t="shared" si="304"/>
        <v>5047.1210716154364</v>
      </c>
      <c r="R880">
        <f t="shared" si="305"/>
        <v>6.3950561123958867</v>
      </c>
      <c r="S880">
        <f t="shared" si="306"/>
        <v>3.9631295745311759</v>
      </c>
      <c r="T880">
        <f t="shared" si="307"/>
        <v>3261.8948410440371</v>
      </c>
      <c r="U880">
        <f t="shared" si="308"/>
        <v>9.8950530387747193</v>
      </c>
      <c r="V880">
        <f t="shared" si="309"/>
        <v>1.3226124649158844</v>
      </c>
      <c r="W880">
        <f t="shared" si="310"/>
        <v>2104.803765673686</v>
      </c>
      <c r="X880">
        <f t="shared" si="311"/>
        <v>15.334741882080191</v>
      </c>
      <c r="Y880">
        <f t="shared" si="312"/>
        <v>0.75245612740835477</v>
      </c>
      <c r="Z880">
        <f t="shared" si="313"/>
        <v>1586.8677605079099</v>
      </c>
      <c r="AA880">
        <f t="shared" si="314"/>
        <v>20.339831246370256</v>
      </c>
      <c r="AB880">
        <f t="shared" si="315"/>
        <v>0.64344373863302318</v>
      </c>
      <c r="AC880">
        <f t="shared" si="316"/>
        <v>6000</v>
      </c>
      <c r="AD880">
        <f t="shared" si="317"/>
        <v>5.3794370765060631</v>
      </c>
      <c r="AE880">
        <f t="shared" si="318"/>
        <v>6.7370446399304296</v>
      </c>
      <c r="AF880">
        <f t="shared" si="319"/>
        <v>6000</v>
      </c>
      <c r="AG880">
        <f t="shared" si="320"/>
        <v>5.3794370765060631</v>
      </c>
      <c r="AH880">
        <f t="shared" si="321"/>
        <v>6.7370446399304296</v>
      </c>
      <c r="AI880" cm="1">
        <f t="array" ref="AI880">_xlfn.LET(
    _xlpm.vals,   _xlfn.HSTACK(S880,V880,Y880,AB880,AE880,AH880),
    _xlpm.ints,   _xlfn.HSTACK(R880,U880,X880,AA880,AD880,AG880),
    _xlpm.slopes, _xlfn.HSTACK(Q880,T880,W880,Z880,AC880,AF880),
    _xlpm.limit,  -0.00001*_xlpm.slopes + 0.1086*_xlpm.slopes + 63.253,
    _xlpm.mask,   (_xlpm.vals&gt;=0) * (_xlpm.ints&lt;=_xlpm.limit),
    _xlpm.validVals, _xlfn._xlws.FILTER(_xlpm.vals, _xlpm.mask),
    _xlpm.minVal, MIN(_xlpm.validVals),
    IFERROR( _xlfn.XMATCH(_xlpm.minVal, _xlpm.vals), "" )
)</f>
        <v>4</v>
      </c>
      <c r="AJ880" cm="1">
        <f t="array" ref="AJ880">_xlfn.LET(
    _xlpm.vals, CHOOSE({1,2,3,4,5,6}, S880, V880, Y880, AB880, AE880, AH880),
    _xlpm.slopes, CHOOSE({1,2,3,4,5,6}, Q880, T880, W880, Z880, AC880, AF880),
    _xlpm.ints, CHOOSE({1,2,3,4,5,6}, R880, U880, X880, AA880, AD880, AG880),
    _xlpm.limit, -0.00001*_xlpm.slopes + 0.1086*_xlpm.slopes + 63.253,
    _xlpm.valid, (_xlpm.vals &gt;= 0) * (_xlpm.ints &lt;= _xlpm.limit),
    _xlpm.target, MIN(_xlfn._xlws.FILTER(_xlpm.vals, _xlpm.valid)),
    IFERROR(
        _xlfn.XLOOKUP(_xlpm.target, _xlpm.vals, _xlpm.vals),
        CHOOSE({1,2,3,4,5,6}, S$1, V$1, Y$1, AB$1, AE$1, AH$1)
    )
)</f>
        <v>0.64344373863302318</v>
      </c>
    </row>
    <row r="881" spans="9:36" x14ac:dyDescent="0.45">
      <c r="I881">
        <v>879</v>
      </c>
      <c r="J881">
        <v>26.5</v>
      </c>
      <c r="K881">
        <f t="shared" si="300"/>
        <v>26.5</v>
      </c>
      <c r="L881">
        <f t="shared" si="299"/>
        <v>7.3611111111111108E-3</v>
      </c>
      <c r="M881">
        <v>3.47</v>
      </c>
      <c r="N881">
        <f t="shared" si="301"/>
        <v>3.47</v>
      </c>
      <c r="O881">
        <f t="shared" si="302"/>
        <v>344.37234386022351</v>
      </c>
      <c r="P881">
        <f t="shared" si="303"/>
        <v>1101.9915003527153</v>
      </c>
      <c r="Q881">
        <f t="shared" si="304"/>
        <v>5047.1210716154364</v>
      </c>
      <c r="R881">
        <f t="shared" si="305"/>
        <v>6.5653386716016948</v>
      </c>
      <c r="S881">
        <f t="shared" si="306"/>
        <v>3.9653456442579831</v>
      </c>
      <c r="T881">
        <f t="shared" si="307"/>
        <v>3261.8948410440371</v>
      </c>
      <c r="U881">
        <f t="shared" si="308"/>
        <v>10.158530782410732</v>
      </c>
      <c r="V881">
        <f t="shared" si="309"/>
        <v>1.3269130423801903</v>
      </c>
      <c r="W881">
        <f t="shared" si="310"/>
        <v>2104.803765673686</v>
      </c>
      <c r="X881">
        <f t="shared" si="311"/>
        <v>15.743063411484695</v>
      </c>
      <c r="Y881">
        <f t="shared" si="312"/>
        <v>0.75819358001775461</v>
      </c>
      <c r="Z881">
        <f t="shared" si="313"/>
        <v>1586.8677605079099</v>
      </c>
      <c r="AA881">
        <f t="shared" si="314"/>
        <v>20.881424386066502</v>
      </c>
      <c r="AB881">
        <f t="shared" si="315"/>
        <v>0.64992861108422795</v>
      </c>
      <c r="AC881">
        <f t="shared" si="316"/>
        <v>6000</v>
      </c>
      <c r="AD881">
        <f t="shared" si="317"/>
        <v>5.5226765252887686</v>
      </c>
      <c r="AE881">
        <f t="shared" si="318"/>
        <v>6.7381593144250091</v>
      </c>
      <c r="AF881">
        <f t="shared" si="319"/>
        <v>6000</v>
      </c>
      <c r="AG881">
        <f t="shared" si="320"/>
        <v>5.5226765252887686</v>
      </c>
      <c r="AH881">
        <f t="shared" si="321"/>
        <v>6.7381593144250091</v>
      </c>
      <c r="AI881" cm="1">
        <f t="array" ref="AI881">_xlfn.LET(
    _xlpm.vals,   _xlfn.HSTACK(S881,V881,Y881,AB881,AE881,AH881),
    _xlpm.ints,   _xlfn.HSTACK(R881,U881,X881,AA881,AD881,AG881),
    _xlpm.slopes, _xlfn.HSTACK(Q881,T881,W881,Z881,AC881,AF881),
    _xlpm.limit,  -0.00001*_xlpm.slopes + 0.1086*_xlpm.slopes + 63.253,
    _xlpm.mask,   (_xlpm.vals&gt;=0) * (_xlpm.ints&lt;=_xlpm.limit),
    _xlpm.validVals, _xlfn._xlws.FILTER(_xlpm.vals, _xlpm.mask),
    _xlpm.minVal, MIN(_xlpm.validVals),
    IFERROR( _xlfn.XMATCH(_xlpm.minVal, _xlpm.vals), "" )
)</f>
        <v>4</v>
      </c>
      <c r="AJ881" cm="1">
        <f t="array" ref="AJ881">_xlfn.LET(
    _xlpm.vals, CHOOSE({1,2,3,4,5,6}, S881, V881, Y881, AB881, AE881, AH881),
    _xlpm.slopes, CHOOSE({1,2,3,4,5,6}, Q881, T881, W881, Z881, AC881, AF881),
    _xlpm.ints, CHOOSE({1,2,3,4,5,6}, R881, U881, X881, AA881, AD881, AG881),
    _xlpm.limit, -0.00001*_xlpm.slopes + 0.1086*_xlpm.slopes + 63.253,
    _xlpm.valid, (_xlpm.vals &gt;= 0) * (_xlpm.ints &lt;= _xlpm.limit),
    _xlpm.target, MIN(_xlfn._xlws.FILTER(_xlpm.vals, _xlpm.valid)),
    IFERROR(
        _xlfn.XLOOKUP(_xlpm.target, _xlpm.vals, _xlpm.vals),
        CHOOSE({1,2,3,4,5,6}, S$1, V$1, Y$1, AB$1, AE$1, AH$1)
    )
)</f>
        <v>0.64992861108422795</v>
      </c>
    </row>
    <row r="882" spans="9:36" x14ac:dyDescent="0.45">
      <c r="I882">
        <v>880</v>
      </c>
      <c r="J882">
        <v>26.4</v>
      </c>
      <c r="K882">
        <f t="shared" si="300"/>
        <v>26.4</v>
      </c>
      <c r="L882">
        <f t="shared" si="299"/>
        <v>7.3333333333333332E-3</v>
      </c>
      <c r="M882">
        <v>1.98</v>
      </c>
      <c r="N882">
        <f t="shared" si="301"/>
        <v>1.98</v>
      </c>
      <c r="O882">
        <f t="shared" si="302"/>
        <v>343.0728255815057</v>
      </c>
      <c r="P882">
        <f t="shared" si="303"/>
        <v>1097.8330418608182</v>
      </c>
      <c r="Q882">
        <f t="shared" si="304"/>
        <v>5028.0753317225472</v>
      </c>
      <c r="R882">
        <f t="shared" si="305"/>
        <v>3.7604065157949194</v>
      </c>
      <c r="S882">
        <f t="shared" si="306"/>
        <v>3.8851933355650403</v>
      </c>
      <c r="T882">
        <f t="shared" si="307"/>
        <v>3249.5858039080217</v>
      </c>
      <c r="U882">
        <f t="shared" si="308"/>
        <v>5.8184668386286251</v>
      </c>
      <c r="V882">
        <f t="shared" si="309"/>
        <v>1.2477642151253066</v>
      </c>
      <c r="W882">
        <f t="shared" si="310"/>
        <v>2096.8611099541627</v>
      </c>
      <c r="X882">
        <f t="shared" si="311"/>
        <v>9.0171004410160887</v>
      </c>
      <c r="Y882">
        <f t="shared" si="312"/>
        <v>0.66411640842715425</v>
      </c>
      <c r="Z882">
        <f t="shared" si="313"/>
        <v>1580.879580279578</v>
      </c>
      <c r="AA882">
        <f t="shared" si="314"/>
        <v>11.960181834958842</v>
      </c>
      <c r="AB882">
        <f t="shared" si="315"/>
        <v>0.54592571995874828</v>
      </c>
      <c r="AC882">
        <f t="shared" si="316"/>
        <v>6000</v>
      </c>
      <c r="AD882">
        <f t="shared" si="317"/>
        <v>3.1512678732195276</v>
      </c>
      <c r="AE882">
        <f t="shared" si="318"/>
        <v>6.7205635592743924</v>
      </c>
      <c r="AF882">
        <f t="shared" si="319"/>
        <v>6000</v>
      </c>
      <c r="AG882">
        <f t="shared" si="320"/>
        <v>3.1512678732195276</v>
      </c>
      <c r="AH882">
        <f t="shared" si="321"/>
        <v>6.7205635592743924</v>
      </c>
      <c r="AI882" cm="1">
        <f t="array" ref="AI882">_xlfn.LET(
    _xlpm.vals,   _xlfn.HSTACK(S882,V882,Y882,AB882,AE882,AH882),
    _xlpm.ints,   _xlfn.HSTACK(R882,U882,X882,AA882,AD882,AG882),
    _xlpm.slopes, _xlfn.HSTACK(Q882,T882,W882,Z882,AC882,AF882),
    _xlpm.limit,  -0.00001*_xlpm.slopes + 0.1086*_xlpm.slopes + 63.253,
    _xlpm.mask,   (_xlpm.vals&gt;=0) * (_xlpm.ints&lt;=_xlpm.limit),
    _xlpm.validVals, _xlfn._xlws.FILTER(_xlpm.vals, _xlpm.mask),
    _xlpm.minVal, MIN(_xlpm.validVals),
    IFERROR( _xlfn.XMATCH(_xlpm.minVal, _xlpm.vals), "" )
)</f>
        <v>4</v>
      </c>
      <c r="AJ882" cm="1">
        <f t="array" ref="AJ882">_xlfn.LET(
    _xlpm.vals, CHOOSE({1,2,3,4,5,6}, S882, V882, Y882, AB882, AE882, AH882),
    _xlpm.slopes, CHOOSE({1,2,3,4,5,6}, Q882, T882, W882, Z882, AC882, AF882),
    _xlpm.ints, CHOOSE({1,2,3,4,5,6}, R882, U882, X882, AA882, AD882, AG882),
    _xlpm.limit, -0.00001*_xlpm.slopes + 0.1086*_xlpm.slopes + 63.253,
    _xlpm.valid, (_xlpm.vals &gt;= 0) * (_xlpm.ints &lt;= _xlpm.limit),
    _xlpm.target, MIN(_xlfn._xlws.FILTER(_xlpm.vals, _xlpm.valid)),
    IFERROR(
        _xlfn.XLOOKUP(_xlpm.target, _xlpm.vals, _xlpm.vals),
        CHOOSE({1,2,3,4,5,6}, S$1, V$1, Y$1, AB$1, AE$1, AH$1)
    )
)</f>
        <v>0.54592571995874828</v>
      </c>
    </row>
    <row r="883" spans="9:36" x14ac:dyDescent="0.45">
      <c r="I883">
        <v>881</v>
      </c>
      <c r="J883">
        <v>26.3</v>
      </c>
      <c r="K883">
        <f t="shared" si="300"/>
        <v>26.3</v>
      </c>
      <c r="L883">
        <f t="shared" si="299"/>
        <v>7.3055555555555556E-3</v>
      </c>
      <c r="M883">
        <v>1.06</v>
      </c>
      <c r="N883">
        <f t="shared" si="301"/>
        <v>1.06</v>
      </c>
      <c r="O883">
        <f t="shared" si="302"/>
        <v>341.77330730278788</v>
      </c>
      <c r="P883">
        <f t="shared" si="303"/>
        <v>1093.6745833689213</v>
      </c>
      <c r="Q883">
        <f t="shared" si="304"/>
        <v>5009.0295918296597</v>
      </c>
      <c r="R883">
        <f t="shared" si="305"/>
        <v>2.0208014736337714</v>
      </c>
      <c r="S883">
        <f t="shared" si="306"/>
        <v>3.8197833925167304</v>
      </c>
      <c r="T883">
        <f t="shared" si="307"/>
        <v>3237.2767667720068</v>
      </c>
      <c r="U883">
        <f t="shared" si="308"/>
        <v>3.1267806585279301</v>
      </c>
      <c r="V883">
        <f t="shared" si="309"/>
        <v>1.1969696155325547</v>
      </c>
      <c r="W883">
        <f t="shared" si="310"/>
        <v>2088.9184542346397</v>
      </c>
      <c r="X883">
        <f t="shared" si="311"/>
        <v>4.84569149175009</v>
      </c>
      <c r="Y883">
        <f t="shared" si="312"/>
        <v>0.60856617140098701</v>
      </c>
      <c r="Z883">
        <f t="shared" si="313"/>
        <v>1574.8914000512466</v>
      </c>
      <c r="AA883">
        <f t="shared" si="314"/>
        <v>6.4272713536407444</v>
      </c>
      <c r="AB883">
        <f t="shared" si="315"/>
        <v>0.48630802322627242</v>
      </c>
      <c r="AC883">
        <f t="shared" si="316"/>
        <v>6000</v>
      </c>
      <c r="AD883">
        <f t="shared" si="317"/>
        <v>1.6870423967740906</v>
      </c>
      <c r="AE883">
        <f t="shared" si="318"/>
        <v>6.7106185617930976</v>
      </c>
      <c r="AF883">
        <f t="shared" si="319"/>
        <v>6000</v>
      </c>
      <c r="AG883">
        <f t="shared" si="320"/>
        <v>1.6870423967740906</v>
      </c>
      <c r="AH883">
        <f t="shared" si="321"/>
        <v>6.7106185617930976</v>
      </c>
      <c r="AI883" cm="1">
        <f t="array" ref="AI883">_xlfn.LET(
    _xlpm.vals,   _xlfn.HSTACK(S883,V883,Y883,AB883,AE883,AH883),
    _xlpm.ints,   _xlfn.HSTACK(R883,U883,X883,AA883,AD883,AG883),
    _xlpm.slopes, _xlfn.HSTACK(Q883,T883,W883,Z883,AC883,AF883),
    _xlpm.limit,  -0.00001*_xlpm.slopes + 0.1086*_xlpm.slopes + 63.253,
    _xlpm.mask,   (_xlpm.vals&gt;=0) * (_xlpm.ints&lt;=_xlpm.limit),
    _xlpm.validVals, _xlfn._xlws.FILTER(_xlpm.vals, _xlpm.mask),
    _xlpm.minVal, MIN(_xlpm.validVals),
    IFERROR( _xlfn.XMATCH(_xlpm.minVal, _xlpm.vals), "" )
)</f>
        <v>4</v>
      </c>
      <c r="AJ883" cm="1">
        <f t="array" ref="AJ883">_xlfn.LET(
    _xlpm.vals, CHOOSE({1,2,3,4,5,6}, S883, V883, Y883, AB883, AE883, AH883),
    _xlpm.slopes, CHOOSE({1,2,3,4,5,6}, Q883, T883, W883, Z883, AC883, AF883),
    _xlpm.ints, CHOOSE({1,2,3,4,5,6}, R883, U883, X883, AA883, AD883, AG883),
    _xlpm.limit, -0.00001*_xlpm.slopes + 0.1086*_xlpm.slopes + 63.253,
    _xlpm.valid, (_xlpm.vals &gt;= 0) * (_xlpm.ints &lt;= _xlpm.limit),
    _xlpm.target, MIN(_xlfn._xlws.FILTER(_xlpm.vals, _xlpm.valid)),
    IFERROR(
        _xlfn.XLOOKUP(_xlpm.target, _xlpm.vals, _xlpm.vals),
        CHOOSE({1,2,3,4,5,6}, S$1, V$1, Y$1, AB$1, AE$1, AH$1)
    )
)</f>
        <v>0.48630802322627242</v>
      </c>
    </row>
    <row r="884" spans="9:36" x14ac:dyDescent="0.45">
      <c r="I884">
        <v>882</v>
      </c>
      <c r="J884">
        <v>26.1</v>
      </c>
      <c r="K884">
        <f t="shared" si="300"/>
        <v>26.1</v>
      </c>
      <c r="L884">
        <f t="shared" si="299"/>
        <v>7.2500000000000004E-3</v>
      </c>
      <c r="M884">
        <v>2.3199999999999998</v>
      </c>
      <c r="N884">
        <f t="shared" si="301"/>
        <v>2.3199999999999998</v>
      </c>
      <c r="O884">
        <f t="shared" si="302"/>
        <v>339.17427074535226</v>
      </c>
      <c r="P884">
        <f t="shared" si="303"/>
        <v>1085.3576663851272</v>
      </c>
      <c r="Q884">
        <f t="shared" si="304"/>
        <v>4970.9381120438829</v>
      </c>
      <c r="R884">
        <f t="shared" si="305"/>
        <v>4.4567780927939777</v>
      </c>
      <c r="S884">
        <f t="shared" si="306"/>
        <v>3.7623022572178924</v>
      </c>
      <c r="T884">
        <f t="shared" si="307"/>
        <v>3212.6586924999765</v>
      </c>
      <c r="U884">
        <f t="shared" si="308"/>
        <v>6.8959606976339245</v>
      </c>
      <c r="V884">
        <f t="shared" si="309"/>
        <v>1.234639990708732</v>
      </c>
      <c r="W884">
        <f t="shared" si="310"/>
        <v>2073.033142795593</v>
      </c>
      <c r="X884">
        <f t="shared" si="311"/>
        <v>10.686933856019067</v>
      </c>
      <c r="Y884">
        <f t="shared" si="312"/>
        <v>0.67785449393498121</v>
      </c>
      <c r="Z884">
        <f t="shared" si="313"/>
        <v>1562.915039594583</v>
      </c>
      <c r="AA884">
        <f t="shared" si="314"/>
        <v>14.175030322914179</v>
      </c>
      <c r="AB884">
        <f t="shared" si="315"/>
        <v>0.56533345627199172</v>
      </c>
      <c r="AC884">
        <f t="shared" si="316"/>
        <v>6000</v>
      </c>
      <c r="AD884">
        <f t="shared" si="317"/>
        <v>3.6923946797319718</v>
      </c>
      <c r="AE884">
        <f t="shared" si="318"/>
        <v>6.7244172370506199</v>
      </c>
      <c r="AF884">
        <f t="shared" si="319"/>
        <v>6000</v>
      </c>
      <c r="AG884">
        <f t="shared" si="320"/>
        <v>3.6923946797319718</v>
      </c>
      <c r="AH884">
        <f t="shared" si="321"/>
        <v>6.7244172370506199</v>
      </c>
      <c r="AI884" cm="1">
        <f t="array" ref="AI884">_xlfn.LET(
    _xlpm.vals,   _xlfn.HSTACK(S884,V884,Y884,AB884,AE884,AH884),
    _xlpm.ints,   _xlfn.HSTACK(R884,U884,X884,AA884,AD884,AG884),
    _xlpm.slopes, _xlfn.HSTACK(Q884,T884,W884,Z884,AC884,AF884),
    _xlpm.limit,  -0.00001*_xlpm.slopes + 0.1086*_xlpm.slopes + 63.253,
    _xlpm.mask,   (_xlpm.vals&gt;=0) * (_xlpm.ints&lt;=_xlpm.limit),
    _xlpm.validVals, _xlfn._xlws.FILTER(_xlpm.vals, _xlpm.mask),
    _xlpm.minVal, MIN(_xlpm.validVals),
    IFERROR( _xlfn.XMATCH(_xlpm.minVal, _xlpm.vals), "" )
)</f>
        <v>4</v>
      </c>
      <c r="AJ884" cm="1">
        <f t="array" ref="AJ884">_xlfn.LET(
    _xlpm.vals, CHOOSE({1,2,3,4,5,6}, S884, V884, Y884, AB884, AE884, AH884),
    _xlpm.slopes, CHOOSE({1,2,3,4,5,6}, Q884, T884, W884, Z884, AC884, AF884),
    _xlpm.ints, CHOOSE({1,2,3,4,5,6}, R884, U884, X884, AA884, AD884, AG884),
    _xlpm.limit, -0.00001*_xlpm.slopes + 0.1086*_xlpm.slopes + 63.253,
    _xlpm.valid, (_xlpm.vals &gt;= 0) * (_xlpm.ints &lt;= _xlpm.limit),
    _xlpm.target, MIN(_xlfn._xlws.FILTER(_xlpm.vals, _xlpm.valid)),
    IFERROR(
        _xlfn.XLOOKUP(_xlpm.target, _xlpm.vals, _xlpm.vals),
        CHOOSE({1,2,3,4,5,6}, S$1, V$1, Y$1, AB$1, AE$1, AH$1)
    )
)</f>
        <v>0.56533345627199172</v>
      </c>
    </row>
    <row r="885" spans="9:36" x14ac:dyDescent="0.45">
      <c r="I885">
        <v>883</v>
      </c>
      <c r="J885">
        <v>26</v>
      </c>
      <c r="K885">
        <f t="shared" si="300"/>
        <v>26</v>
      </c>
      <c r="L885">
        <f t="shared" si="299"/>
        <v>7.2222222222222219E-3</v>
      </c>
      <c r="M885">
        <v>2</v>
      </c>
      <c r="N885">
        <f t="shared" si="301"/>
        <v>2</v>
      </c>
      <c r="O885">
        <f t="shared" si="302"/>
        <v>337.87475246663439</v>
      </c>
      <c r="P885">
        <f t="shared" si="303"/>
        <v>1081.1992078932301</v>
      </c>
      <c r="Q885">
        <f t="shared" si="304"/>
        <v>4951.8923721509937</v>
      </c>
      <c r="R885">
        <f t="shared" si="305"/>
        <v>3.8568271956870968</v>
      </c>
      <c r="S885">
        <f t="shared" si="306"/>
        <v>3.7116234685753446</v>
      </c>
      <c r="T885">
        <f t="shared" si="307"/>
        <v>3200.3496553639611</v>
      </c>
      <c r="U885">
        <f t="shared" si="308"/>
        <v>5.9676582960293585</v>
      </c>
      <c r="V885">
        <f t="shared" si="309"/>
        <v>1.2104511605133355</v>
      </c>
      <c r="W885">
        <f t="shared" si="310"/>
        <v>2065.0904870760696</v>
      </c>
      <c r="X885">
        <f t="shared" si="311"/>
        <v>9.2483081446318849</v>
      </c>
      <c r="Y885">
        <f t="shared" si="312"/>
        <v>0.65636737157774849</v>
      </c>
      <c r="Z885">
        <f t="shared" si="313"/>
        <v>1556.9268593662514</v>
      </c>
      <c r="AA885">
        <f t="shared" si="314"/>
        <v>12.266853164060349</v>
      </c>
      <c r="AB885">
        <f t="shared" si="315"/>
        <v>0.54284056535823055</v>
      </c>
      <c r="AC885">
        <f t="shared" si="316"/>
        <v>6000</v>
      </c>
      <c r="AD885">
        <f t="shared" si="317"/>
        <v>3.183098861837907</v>
      </c>
      <c r="AE885">
        <f t="shared" si="318"/>
        <v>6.7207875901722556</v>
      </c>
      <c r="AF885">
        <f t="shared" si="319"/>
        <v>6000</v>
      </c>
      <c r="AG885">
        <f t="shared" si="320"/>
        <v>3.183098861837907</v>
      </c>
      <c r="AH885">
        <f t="shared" si="321"/>
        <v>6.7207875901722556</v>
      </c>
      <c r="AI885" cm="1">
        <f t="array" ref="AI885">_xlfn.LET(
    _xlpm.vals,   _xlfn.HSTACK(S885,V885,Y885,AB885,AE885,AH885),
    _xlpm.ints,   _xlfn.HSTACK(R885,U885,X885,AA885,AD885,AG885),
    _xlpm.slopes, _xlfn.HSTACK(Q885,T885,W885,Z885,AC885,AF885),
    _xlpm.limit,  -0.00001*_xlpm.slopes + 0.1086*_xlpm.slopes + 63.253,
    _xlpm.mask,   (_xlpm.vals&gt;=0) * (_xlpm.ints&lt;=_xlpm.limit),
    _xlpm.validVals, _xlfn._xlws.FILTER(_xlpm.vals, _xlpm.mask),
    _xlpm.minVal, MIN(_xlpm.validVals),
    IFERROR( _xlfn.XMATCH(_xlpm.minVal, _xlpm.vals), "" )
)</f>
        <v>4</v>
      </c>
      <c r="AJ885" cm="1">
        <f t="array" ref="AJ885">_xlfn.LET(
    _xlpm.vals, CHOOSE({1,2,3,4,5,6}, S885, V885, Y885, AB885, AE885, AH885),
    _xlpm.slopes, CHOOSE({1,2,3,4,5,6}, Q885, T885, W885, Z885, AC885, AF885),
    _xlpm.ints, CHOOSE({1,2,3,4,5,6}, R885, U885, X885, AA885, AD885, AG885),
    _xlpm.limit, -0.00001*_xlpm.slopes + 0.1086*_xlpm.slopes + 63.253,
    _xlpm.valid, (_xlpm.vals &gt;= 0) * (_xlpm.ints &lt;= _xlpm.limit),
    _xlpm.target, MIN(_xlfn._xlws.FILTER(_xlpm.vals, _xlpm.valid)),
    IFERROR(
        _xlfn.XLOOKUP(_xlpm.target, _xlpm.vals, _xlpm.vals),
        CHOOSE({1,2,3,4,5,6}, S$1, V$1, Y$1, AB$1, AE$1, AH$1)
    )
)</f>
        <v>0.54284056535823055</v>
      </c>
    </row>
    <row r="886" spans="9:36" x14ac:dyDescent="0.45">
      <c r="I886">
        <v>884</v>
      </c>
      <c r="J886">
        <v>25.8</v>
      </c>
      <c r="K886">
        <f t="shared" si="300"/>
        <v>25.8</v>
      </c>
      <c r="L886">
        <f t="shared" si="299"/>
        <v>7.1666666666666667E-3</v>
      </c>
      <c r="M886">
        <v>0.41</v>
      </c>
      <c r="N886">
        <f t="shared" si="301"/>
        <v>0.41</v>
      </c>
      <c r="O886">
        <f t="shared" si="302"/>
        <v>335.27571590919877</v>
      </c>
      <c r="P886">
        <f t="shared" si="303"/>
        <v>1072.8822909094361</v>
      </c>
      <c r="Q886">
        <f t="shared" si="304"/>
        <v>4913.8008923652169</v>
      </c>
      <c r="R886">
        <f t="shared" si="305"/>
        <v>0.79677864158962108</v>
      </c>
      <c r="S886">
        <f t="shared" si="306"/>
        <v>3.5888767468048548</v>
      </c>
      <c r="T886">
        <f t="shared" si="307"/>
        <v>3175.7315810919308</v>
      </c>
      <c r="U886">
        <f t="shared" si="308"/>
        <v>1.2328534386758325</v>
      </c>
      <c r="V886">
        <f t="shared" si="309"/>
        <v>1.1206539746329389</v>
      </c>
      <c r="W886">
        <f t="shared" si="310"/>
        <v>2049.2051756370229</v>
      </c>
      <c r="X886">
        <f t="shared" si="311"/>
        <v>1.9106000934452692</v>
      </c>
      <c r="Y886">
        <f t="shared" si="312"/>
        <v>0.56096979455122198</v>
      </c>
      <c r="Z886">
        <f t="shared" si="313"/>
        <v>1544.9504989095878</v>
      </c>
      <c r="AA886">
        <f t="shared" si="314"/>
        <v>2.5341987350558783</v>
      </c>
      <c r="AB886">
        <f t="shared" si="315"/>
        <v>0.44167883907442923</v>
      </c>
      <c r="AC886">
        <f t="shared" si="316"/>
        <v>6000</v>
      </c>
      <c r="AD886">
        <f t="shared" si="317"/>
        <v>0.65253526667677086</v>
      </c>
      <c r="AE886">
        <f t="shared" si="318"/>
        <v>6.7040197949559364</v>
      </c>
      <c r="AF886">
        <f t="shared" si="319"/>
        <v>6000</v>
      </c>
      <c r="AG886">
        <f t="shared" si="320"/>
        <v>0.65253526667677086</v>
      </c>
      <c r="AH886">
        <f t="shared" si="321"/>
        <v>6.7040197949559364</v>
      </c>
      <c r="AI886" cm="1">
        <f t="array" ref="AI886">_xlfn.LET(
    _xlpm.vals,   _xlfn.HSTACK(S886,V886,Y886,AB886,AE886,AH886),
    _xlpm.ints,   _xlfn.HSTACK(R886,U886,X886,AA886,AD886,AG886),
    _xlpm.slopes, _xlfn.HSTACK(Q886,T886,W886,Z886,AC886,AF886),
    _xlpm.limit,  -0.00001*_xlpm.slopes + 0.1086*_xlpm.slopes + 63.253,
    _xlpm.mask,   (_xlpm.vals&gt;=0) * (_xlpm.ints&lt;=_xlpm.limit),
    _xlpm.validVals, _xlfn._xlws.FILTER(_xlpm.vals, _xlpm.mask),
    _xlpm.minVal, MIN(_xlpm.validVals),
    IFERROR( _xlfn.XMATCH(_xlpm.minVal, _xlpm.vals), "" )
)</f>
        <v>4</v>
      </c>
      <c r="AJ886" cm="1">
        <f t="array" ref="AJ886">_xlfn.LET(
    _xlpm.vals, CHOOSE({1,2,3,4,5,6}, S886, V886, Y886, AB886, AE886, AH886),
    _xlpm.slopes, CHOOSE({1,2,3,4,5,6}, Q886, T886, W886, Z886, AC886, AF886),
    _xlpm.ints, CHOOSE({1,2,3,4,5,6}, R886, U886, X886, AA886, AD886, AG886),
    _xlpm.limit, -0.00001*_xlpm.slopes + 0.1086*_xlpm.slopes + 63.253,
    _xlpm.valid, (_xlpm.vals &gt;= 0) * (_xlpm.ints &lt;= _xlpm.limit),
    _xlpm.target, MIN(_xlfn._xlws.FILTER(_xlpm.vals, _xlpm.valid)),
    IFERROR(
        _xlfn.XLOOKUP(_xlpm.target, _xlpm.vals, _xlpm.vals),
        CHOOSE({1,2,3,4,5,6}, S$1, V$1, Y$1, AB$1, AE$1, AH$1)
    )
)</f>
        <v>0.44167883907442923</v>
      </c>
    </row>
    <row r="887" spans="9:36" x14ac:dyDescent="0.45">
      <c r="I887">
        <v>885</v>
      </c>
      <c r="J887">
        <v>25.7</v>
      </c>
      <c r="K887">
        <f t="shared" si="300"/>
        <v>25.7</v>
      </c>
      <c r="L887">
        <f t="shared" si="299"/>
        <v>7.1388888888888891E-3</v>
      </c>
      <c r="M887">
        <v>2.76</v>
      </c>
      <c r="N887">
        <f t="shared" si="301"/>
        <v>2.76</v>
      </c>
      <c r="O887">
        <f t="shared" si="302"/>
        <v>333.9761976304809</v>
      </c>
      <c r="P887">
        <f t="shared" si="303"/>
        <v>1068.7238324175389</v>
      </c>
      <c r="Q887">
        <f t="shared" si="304"/>
        <v>4894.7551524723285</v>
      </c>
      <c r="R887">
        <f t="shared" si="305"/>
        <v>5.3845509642510905</v>
      </c>
      <c r="S887">
        <f t="shared" si="306"/>
        <v>3.6046495773859495</v>
      </c>
      <c r="T887">
        <f t="shared" si="307"/>
        <v>3163.422543955915</v>
      </c>
      <c r="U887">
        <f t="shared" si="308"/>
        <v>8.3315011541452684</v>
      </c>
      <c r="V887">
        <f t="shared" si="309"/>
        <v>1.2185794671411103</v>
      </c>
      <c r="W887">
        <f t="shared" si="310"/>
        <v>2041.2625199174993</v>
      </c>
      <c r="X887">
        <f t="shared" si="311"/>
        <v>12.911645767680627</v>
      </c>
      <c r="Y887">
        <f t="shared" si="312"/>
        <v>0.69647865118986541</v>
      </c>
      <c r="Z887">
        <f t="shared" si="313"/>
        <v>1538.962318681256</v>
      </c>
      <c r="AA887">
        <f t="shared" si="314"/>
        <v>17.125863483520831</v>
      </c>
      <c r="AB887">
        <f t="shared" si="315"/>
        <v>0.59144388459838881</v>
      </c>
      <c r="AC887">
        <f t="shared" si="316"/>
        <v>6000</v>
      </c>
      <c r="AD887">
        <f t="shared" si="317"/>
        <v>4.3926764293363112</v>
      </c>
      <c r="AE887">
        <f t="shared" si="318"/>
        <v>6.7295464133829865</v>
      </c>
      <c r="AF887">
        <f t="shared" si="319"/>
        <v>6000</v>
      </c>
      <c r="AG887">
        <f t="shared" si="320"/>
        <v>4.3926764293363112</v>
      </c>
      <c r="AH887">
        <f t="shared" si="321"/>
        <v>6.7295464133829865</v>
      </c>
      <c r="AI887" cm="1">
        <f t="array" ref="AI887">_xlfn.LET(
    _xlpm.vals,   _xlfn.HSTACK(S887,V887,Y887,AB887,AE887,AH887),
    _xlpm.ints,   _xlfn.HSTACK(R887,U887,X887,AA887,AD887,AG887),
    _xlpm.slopes, _xlfn.HSTACK(Q887,T887,W887,Z887,AC887,AF887),
    _xlpm.limit,  -0.00001*_xlpm.slopes + 0.1086*_xlpm.slopes + 63.253,
    _xlpm.mask,   (_xlpm.vals&gt;=0) * (_xlpm.ints&lt;=_xlpm.limit),
    _xlpm.validVals, _xlfn._xlws.FILTER(_xlpm.vals, _xlpm.mask),
    _xlpm.minVal, MIN(_xlpm.validVals),
    IFERROR( _xlfn.XMATCH(_xlpm.minVal, _xlpm.vals), "" )
)</f>
        <v>4</v>
      </c>
      <c r="AJ887" cm="1">
        <f t="array" ref="AJ887">_xlfn.LET(
    _xlpm.vals, CHOOSE({1,2,3,4,5,6}, S887, V887, Y887, AB887, AE887, AH887),
    _xlpm.slopes, CHOOSE({1,2,3,4,5,6}, Q887, T887, W887, Z887, AC887, AF887),
    _xlpm.ints, CHOOSE({1,2,3,4,5,6}, R887, U887, X887, AA887, AD887, AG887),
    _xlpm.limit, -0.00001*_xlpm.slopes + 0.1086*_xlpm.slopes + 63.253,
    _xlpm.valid, (_xlpm.vals &gt;= 0) * (_xlpm.ints &lt;= _xlpm.limit),
    _xlpm.target, MIN(_xlfn._xlws.FILTER(_xlpm.vals, _xlpm.valid)),
    IFERROR(
        _xlfn.XLOOKUP(_xlpm.target, _xlpm.vals, _xlpm.vals),
        CHOOSE({1,2,3,4,5,6}, S$1, V$1, Y$1, AB$1, AE$1, AH$1)
    )
)</f>
        <v>0.59144388459838881</v>
      </c>
    </row>
    <row r="888" spans="9:36" x14ac:dyDescent="0.45">
      <c r="I888">
        <v>886</v>
      </c>
      <c r="J888">
        <v>25.9</v>
      </c>
      <c r="K888">
        <f t="shared" si="300"/>
        <v>25.9</v>
      </c>
      <c r="L888">
        <f t="shared" si="299"/>
        <v>7.1944444444444443E-3</v>
      </c>
      <c r="M888">
        <v>5.99</v>
      </c>
      <c r="N888">
        <f t="shared" si="301"/>
        <v>5.99</v>
      </c>
      <c r="O888">
        <f t="shared" si="302"/>
        <v>336.57523418791652</v>
      </c>
      <c r="P888">
        <f t="shared" si="303"/>
        <v>1077.040749401333</v>
      </c>
      <c r="Q888">
        <f t="shared" si="304"/>
        <v>4932.8466322581053</v>
      </c>
      <c r="R888">
        <f t="shared" si="305"/>
        <v>11.595796669040704</v>
      </c>
      <c r="S888">
        <f t="shared" si="306"/>
        <v>3.7755407148173172</v>
      </c>
      <c r="T888">
        <f t="shared" si="307"/>
        <v>3188.0406182279457</v>
      </c>
      <c r="U888">
        <f t="shared" si="308"/>
        <v>17.942144846015683</v>
      </c>
      <c r="V888">
        <f t="shared" si="309"/>
        <v>1.3995556065315182</v>
      </c>
      <c r="W888">
        <f t="shared" si="310"/>
        <v>2057.1478313565458</v>
      </c>
      <c r="X888">
        <f t="shared" si="311"/>
        <v>27.805627614767765</v>
      </c>
      <c r="Y888">
        <f t="shared" si="312"/>
        <v>0.91761033333446818</v>
      </c>
      <c r="Z888">
        <f t="shared" si="313"/>
        <v>1550.9386791379195</v>
      </c>
      <c r="AA888">
        <f t="shared" si="314"/>
        <v>36.881075516810014</v>
      </c>
      <c r="AB888">
        <f t="shared" si="315"/>
        <v>0.83966814743370111</v>
      </c>
      <c r="AC888">
        <f t="shared" si="316"/>
        <v>6000</v>
      </c>
      <c r="AD888">
        <f t="shared" si="317"/>
        <v>9.5333810912045305</v>
      </c>
      <c r="AE888">
        <f t="shared" si="318"/>
        <v>6.7720394600274121</v>
      </c>
      <c r="AF888">
        <f t="shared" si="319"/>
        <v>6000</v>
      </c>
      <c r="AG888">
        <f t="shared" si="320"/>
        <v>9.5333810912045305</v>
      </c>
      <c r="AH888">
        <f t="shared" si="321"/>
        <v>6.7720394600274121</v>
      </c>
      <c r="AI888" cm="1">
        <f t="array" ref="AI888">_xlfn.LET(
    _xlpm.vals,   _xlfn.HSTACK(S888,V888,Y888,AB888,AE888,AH888),
    _xlpm.ints,   _xlfn.HSTACK(R888,U888,X888,AA888,AD888,AG888),
    _xlpm.slopes, _xlfn.HSTACK(Q888,T888,W888,Z888,AC888,AF888),
    _xlpm.limit,  -0.00001*_xlpm.slopes + 0.1086*_xlpm.slopes + 63.253,
    _xlpm.mask,   (_xlpm.vals&gt;=0) * (_xlpm.ints&lt;=_xlpm.limit),
    _xlpm.validVals, _xlfn._xlws.FILTER(_xlpm.vals, _xlpm.mask),
    _xlpm.minVal, MIN(_xlpm.validVals),
    IFERROR( _xlfn.XMATCH(_xlpm.minVal, _xlpm.vals), "" )
)</f>
        <v>4</v>
      </c>
      <c r="AJ888" cm="1">
        <f t="array" ref="AJ888">_xlfn.LET(
    _xlpm.vals, CHOOSE({1,2,3,4,5,6}, S888, V888, Y888, AB888, AE888, AH888),
    _xlpm.slopes, CHOOSE({1,2,3,4,5,6}, Q888, T888, W888, Z888, AC888, AF888),
    _xlpm.ints, CHOOSE({1,2,3,4,5,6}, R888, U888, X888, AA888, AD888, AG888),
    _xlpm.limit, -0.00001*_xlpm.slopes + 0.1086*_xlpm.slopes + 63.253,
    _xlpm.valid, (_xlpm.vals &gt;= 0) * (_xlpm.ints &lt;= _xlpm.limit),
    _xlpm.target, MIN(_xlfn._xlws.FILTER(_xlpm.vals, _xlpm.valid)),
    IFERROR(
        _xlfn.XLOOKUP(_xlpm.target, _xlpm.vals, _xlpm.vals),
        CHOOSE({1,2,3,4,5,6}, S$1, V$1, Y$1, AB$1, AE$1, AH$1)
    )
)</f>
        <v>0.83966814743370111</v>
      </c>
    </row>
    <row r="889" spans="9:36" x14ac:dyDescent="0.45">
      <c r="I889">
        <v>887</v>
      </c>
      <c r="J889">
        <v>26</v>
      </c>
      <c r="K889">
        <f t="shared" si="300"/>
        <v>26</v>
      </c>
      <c r="L889">
        <f t="shared" si="299"/>
        <v>7.2222222222222219E-3</v>
      </c>
      <c r="M889">
        <v>3.02</v>
      </c>
      <c r="N889">
        <f t="shared" si="301"/>
        <v>3.02</v>
      </c>
      <c r="O889">
        <f t="shared" si="302"/>
        <v>337.87475246663439</v>
      </c>
      <c r="P889">
        <f t="shared" si="303"/>
        <v>1081.1992078932301</v>
      </c>
      <c r="Q889">
        <f t="shared" si="304"/>
        <v>4951.8923721509937</v>
      </c>
      <c r="R889">
        <f t="shared" si="305"/>
        <v>5.8238090654875156</v>
      </c>
      <c r="S889">
        <f t="shared" si="306"/>
        <v>3.737015385676953</v>
      </c>
      <c r="T889">
        <f t="shared" si="307"/>
        <v>3200.3496553639611</v>
      </c>
      <c r="U889">
        <f t="shared" si="308"/>
        <v>9.0111640270043303</v>
      </c>
      <c r="V889">
        <f t="shared" si="309"/>
        <v>1.258337331794291</v>
      </c>
      <c r="W889">
        <f t="shared" si="310"/>
        <v>2065.0904870760696</v>
      </c>
      <c r="X889">
        <f t="shared" si="311"/>
        <v>13.964945298394145</v>
      </c>
      <c r="Y889">
        <f t="shared" si="312"/>
        <v>0.71907145123918426</v>
      </c>
      <c r="Z889">
        <f t="shared" si="313"/>
        <v>1556.9268593662514</v>
      </c>
      <c r="AA889">
        <f t="shared" si="314"/>
        <v>18.522948277731125</v>
      </c>
      <c r="AB889">
        <f t="shared" si="315"/>
        <v>0.61278130114999474</v>
      </c>
      <c r="AC889">
        <f t="shared" si="316"/>
        <v>6000</v>
      </c>
      <c r="AD889">
        <f t="shared" si="317"/>
        <v>4.8064792813752391</v>
      </c>
      <c r="AE889">
        <f t="shared" si="318"/>
        <v>6.7326523618509126</v>
      </c>
      <c r="AF889">
        <f t="shared" si="319"/>
        <v>6000</v>
      </c>
      <c r="AG889">
        <f t="shared" si="320"/>
        <v>4.8064792813752391</v>
      </c>
      <c r="AH889">
        <f t="shared" si="321"/>
        <v>6.7326523618509126</v>
      </c>
      <c r="AI889" cm="1">
        <f t="array" ref="AI889">_xlfn.LET(
    _xlpm.vals,   _xlfn.HSTACK(S889,V889,Y889,AB889,AE889,AH889),
    _xlpm.ints,   _xlfn.HSTACK(R889,U889,X889,AA889,AD889,AG889),
    _xlpm.slopes, _xlfn.HSTACK(Q889,T889,W889,Z889,AC889,AF889),
    _xlpm.limit,  -0.00001*_xlpm.slopes + 0.1086*_xlpm.slopes + 63.253,
    _xlpm.mask,   (_xlpm.vals&gt;=0) * (_xlpm.ints&lt;=_xlpm.limit),
    _xlpm.validVals, _xlfn._xlws.FILTER(_xlpm.vals, _xlpm.mask),
    _xlpm.minVal, MIN(_xlpm.validVals),
    IFERROR( _xlfn.XMATCH(_xlpm.minVal, _xlpm.vals), "" )
)</f>
        <v>4</v>
      </c>
      <c r="AJ889" cm="1">
        <f t="array" ref="AJ889">_xlfn.LET(
    _xlpm.vals, CHOOSE({1,2,3,4,5,6}, S889, V889, Y889, AB889, AE889, AH889),
    _xlpm.slopes, CHOOSE({1,2,3,4,5,6}, Q889, T889, W889, Z889, AC889, AF889),
    _xlpm.ints, CHOOSE({1,2,3,4,5,6}, R889, U889, X889, AA889, AD889, AG889),
    _xlpm.limit, -0.00001*_xlpm.slopes + 0.1086*_xlpm.slopes + 63.253,
    _xlpm.valid, (_xlpm.vals &gt;= 0) * (_xlpm.ints &lt;= _xlpm.limit),
    _xlpm.target, MIN(_xlfn._xlws.FILTER(_xlpm.vals, _xlpm.valid)),
    IFERROR(
        _xlfn.XLOOKUP(_xlpm.target, _xlpm.vals, _xlpm.vals),
        CHOOSE({1,2,3,4,5,6}, S$1, V$1, Y$1, AB$1, AE$1, AH$1)
    )
)</f>
        <v>0.61278130114999474</v>
      </c>
    </row>
    <row r="890" spans="9:36" x14ac:dyDescent="0.45">
      <c r="I890">
        <v>888</v>
      </c>
      <c r="J890">
        <v>25.8</v>
      </c>
      <c r="K890">
        <f t="shared" si="300"/>
        <v>25.8</v>
      </c>
      <c r="L890">
        <f t="shared" si="299"/>
        <v>7.1666666666666667E-3</v>
      </c>
      <c r="M890">
        <v>0.78</v>
      </c>
      <c r="N890">
        <f t="shared" si="301"/>
        <v>0.78</v>
      </c>
      <c r="O890">
        <f t="shared" si="302"/>
        <v>335.27571590919877</v>
      </c>
      <c r="P890">
        <f t="shared" si="303"/>
        <v>1072.8822909094361</v>
      </c>
      <c r="Q890">
        <f t="shared" si="304"/>
        <v>4913.8008923652169</v>
      </c>
      <c r="R890">
        <f t="shared" si="305"/>
        <v>1.5158227815607426</v>
      </c>
      <c r="S890">
        <f t="shared" si="306"/>
        <v>3.5975051430462752</v>
      </c>
      <c r="T890">
        <f t="shared" si="307"/>
        <v>3175.7315810919308</v>
      </c>
      <c r="U890">
        <f t="shared" si="308"/>
        <v>2.345428493090608</v>
      </c>
      <c r="V890">
        <f t="shared" si="309"/>
        <v>1.136793690729573</v>
      </c>
      <c r="W890">
        <f t="shared" si="310"/>
        <v>2049.2051756370229</v>
      </c>
      <c r="X890">
        <f t="shared" si="311"/>
        <v>3.6348001777739269</v>
      </c>
      <c r="Y890">
        <f t="shared" si="312"/>
        <v>0.58134990859491631</v>
      </c>
      <c r="Z890">
        <f t="shared" si="313"/>
        <v>1544.9504989095878</v>
      </c>
      <c r="AA890">
        <f t="shared" si="314"/>
        <v>4.8211585691306951</v>
      </c>
      <c r="AB890">
        <f t="shared" si="315"/>
        <v>0.46350681995107823</v>
      </c>
      <c r="AC890">
        <f t="shared" si="316"/>
        <v>6000</v>
      </c>
      <c r="AD890">
        <f t="shared" si="317"/>
        <v>1.2414085561167836</v>
      </c>
      <c r="AE890">
        <f t="shared" si="318"/>
        <v>6.7077324333163943</v>
      </c>
      <c r="AF890">
        <f t="shared" si="319"/>
        <v>6000</v>
      </c>
      <c r="AG890">
        <f t="shared" si="320"/>
        <v>1.2414085561167836</v>
      </c>
      <c r="AH890">
        <f t="shared" si="321"/>
        <v>6.7077324333163943</v>
      </c>
      <c r="AI890" cm="1">
        <f t="array" ref="AI890">_xlfn.LET(
    _xlpm.vals,   _xlfn.HSTACK(S890,V890,Y890,AB890,AE890,AH890),
    _xlpm.ints,   _xlfn.HSTACK(R890,U890,X890,AA890,AD890,AG890),
    _xlpm.slopes, _xlfn.HSTACK(Q890,T890,W890,Z890,AC890,AF890),
    _xlpm.limit,  -0.00001*_xlpm.slopes + 0.1086*_xlpm.slopes + 63.253,
    _xlpm.mask,   (_xlpm.vals&gt;=0) * (_xlpm.ints&lt;=_xlpm.limit),
    _xlpm.validVals, _xlfn._xlws.FILTER(_xlpm.vals, _xlpm.mask),
    _xlpm.minVal, MIN(_xlpm.validVals),
    IFERROR( _xlfn.XMATCH(_xlpm.minVal, _xlpm.vals), "" )
)</f>
        <v>4</v>
      </c>
      <c r="AJ890" cm="1">
        <f t="array" ref="AJ890">_xlfn.LET(
    _xlpm.vals, CHOOSE({1,2,3,4,5,6}, S890, V890, Y890, AB890, AE890, AH890),
    _xlpm.slopes, CHOOSE({1,2,3,4,5,6}, Q890, T890, W890, Z890, AC890, AF890),
    _xlpm.ints, CHOOSE({1,2,3,4,5,6}, R890, U890, X890, AA890, AD890, AG890),
    _xlpm.limit, -0.00001*_xlpm.slopes + 0.1086*_xlpm.slopes + 63.253,
    _xlpm.valid, (_xlpm.vals &gt;= 0) * (_xlpm.ints &lt;= _xlpm.limit),
    _xlpm.target, MIN(_xlfn._xlws.FILTER(_xlpm.vals, _xlpm.valid)),
    IFERROR(
        _xlfn.XLOOKUP(_xlpm.target, _xlpm.vals, _xlpm.vals),
        CHOOSE({1,2,3,4,5,6}, S$1, V$1, Y$1, AB$1, AE$1, AH$1)
    )
)</f>
        <v>0.46350681995107823</v>
      </c>
    </row>
    <row r="891" spans="9:36" x14ac:dyDescent="0.45">
      <c r="I891">
        <v>889</v>
      </c>
      <c r="J891">
        <v>24.3</v>
      </c>
      <c r="K891">
        <f t="shared" si="300"/>
        <v>24.3</v>
      </c>
      <c r="L891">
        <f t="shared" si="299"/>
        <v>6.7499999999999999E-3</v>
      </c>
      <c r="M891">
        <v>-0.4</v>
      </c>
      <c r="N891">
        <f t="shared" si="301"/>
        <v>0</v>
      </c>
      <c r="O891">
        <f t="shared" si="302"/>
        <v>315.78294172843141</v>
      </c>
      <c r="P891">
        <f t="shared" si="303"/>
        <v>1010.5054135309806</v>
      </c>
      <c r="Q891">
        <f t="shared" si="304"/>
        <v>4628.1147939718912</v>
      </c>
      <c r="R891">
        <f t="shared" si="305"/>
        <v>0</v>
      </c>
      <c r="S891">
        <f t="shared" si="306"/>
        <v>2.9870941297829949</v>
      </c>
      <c r="T891">
        <f t="shared" si="307"/>
        <v>2991.0960240517024</v>
      </c>
      <c r="U891">
        <f t="shared" si="308"/>
        <v>0</v>
      </c>
      <c r="V891">
        <f t="shared" si="309"/>
        <v>0.97062329228511102</v>
      </c>
      <c r="W891">
        <f t="shared" si="310"/>
        <v>1930.065339844173</v>
      </c>
      <c r="X891">
        <f t="shared" si="311"/>
        <v>0</v>
      </c>
      <c r="Y891">
        <f t="shared" si="312"/>
        <v>0.50587844114369229</v>
      </c>
      <c r="Z891">
        <f t="shared" si="313"/>
        <v>1455.1277954846121</v>
      </c>
      <c r="AA891">
        <f t="shared" si="314"/>
        <v>0</v>
      </c>
      <c r="AB891">
        <f t="shared" si="315"/>
        <v>0.40106101244045056</v>
      </c>
      <c r="AC891">
        <f t="shared" si="316"/>
        <v>6000</v>
      </c>
      <c r="AD891">
        <f t="shared" si="317"/>
        <v>0</v>
      </c>
      <c r="AE891">
        <f t="shared" si="318"/>
        <v>6.7000407999999982</v>
      </c>
      <c r="AF891">
        <f t="shared" si="319"/>
        <v>6000</v>
      </c>
      <c r="AG891">
        <f t="shared" si="320"/>
        <v>0</v>
      </c>
      <c r="AH891">
        <f t="shared" si="321"/>
        <v>6.7000407999999982</v>
      </c>
      <c r="AI891" cm="1">
        <f t="array" ref="AI891">_xlfn.LET(
    _xlpm.vals,   _xlfn.HSTACK(S891,V891,Y891,AB891,AE891,AH891),
    _xlpm.ints,   _xlfn.HSTACK(R891,U891,X891,AA891,AD891,AG891),
    _xlpm.slopes, _xlfn.HSTACK(Q891,T891,W891,Z891,AC891,AF891),
    _xlpm.limit,  -0.00001*_xlpm.slopes + 0.1086*_xlpm.slopes + 63.253,
    _xlpm.mask,   (_xlpm.vals&gt;=0) * (_xlpm.ints&lt;=_xlpm.limit),
    _xlpm.validVals, _xlfn._xlws.FILTER(_xlpm.vals, _xlpm.mask),
    _xlpm.minVal, MIN(_xlpm.validVals),
    IFERROR( _xlfn.XMATCH(_xlpm.minVal, _xlpm.vals), "" )
)</f>
        <v>4</v>
      </c>
      <c r="AJ891" cm="1">
        <f t="array" ref="AJ891">_xlfn.LET(
    _xlpm.vals, CHOOSE({1,2,3,4,5,6}, S891, V891, Y891, AB891, AE891, AH891),
    _xlpm.slopes, CHOOSE({1,2,3,4,5,6}, Q891, T891, W891, Z891, AC891, AF891),
    _xlpm.ints, CHOOSE({1,2,3,4,5,6}, R891, U891, X891, AA891, AD891, AG891),
    _xlpm.limit, -0.00001*_xlpm.slopes + 0.1086*_xlpm.slopes + 63.253,
    _xlpm.valid, (_xlpm.vals &gt;= 0) * (_xlpm.ints &lt;= _xlpm.limit),
    _xlpm.target, MIN(_xlfn._xlws.FILTER(_xlpm.vals, _xlpm.valid)),
    IFERROR(
        _xlfn.XLOOKUP(_xlpm.target, _xlpm.vals, _xlpm.vals),
        CHOOSE({1,2,3,4,5,6}, S$1, V$1, Y$1, AB$1, AE$1, AH$1)
    )
)</f>
        <v>0.40106101244045056</v>
      </c>
    </row>
    <row r="892" spans="9:36" x14ac:dyDescent="0.45">
      <c r="I892">
        <v>890</v>
      </c>
      <c r="J892">
        <v>23.2</v>
      </c>
      <c r="K892">
        <f t="shared" si="300"/>
        <v>23.2</v>
      </c>
      <c r="L892">
        <f t="shared" si="299"/>
        <v>6.4444444444444445E-3</v>
      </c>
      <c r="M892">
        <v>-1.31</v>
      </c>
      <c r="N892">
        <f t="shared" si="301"/>
        <v>0</v>
      </c>
      <c r="O892">
        <f t="shared" si="302"/>
        <v>301.4882406625353</v>
      </c>
      <c r="P892">
        <f t="shared" si="303"/>
        <v>964.76237012011302</v>
      </c>
      <c r="Q892">
        <f t="shared" si="304"/>
        <v>4418.6116551501173</v>
      </c>
      <c r="R892">
        <f t="shared" si="305"/>
        <v>0</v>
      </c>
      <c r="S892">
        <f t="shared" si="306"/>
        <v>2.6052194980522261</v>
      </c>
      <c r="T892">
        <f t="shared" si="307"/>
        <v>2855.6966155555347</v>
      </c>
      <c r="U892">
        <f t="shared" si="308"/>
        <v>0</v>
      </c>
      <c r="V892">
        <f t="shared" si="309"/>
        <v>0.8851356977664937</v>
      </c>
      <c r="W892">
        <f t="shared" si="310"/>
        <v>1842.6961269294159</v>
      </c>
      <c r="X892">
        <f t="shared" si="311"/>
        <v>0</v>
      </c>
      <c r="Y892">
        <f t="shared" si="312"/>
        <v>0.48367709876966503</v>
      </c>
      <c r="Z892">
        <f t="shared" si="313"/>
        <v>1389.2578129729627</v>
      </c>
      <c r="AA892">
        <f t="shared" si="314"/>
        <v>0</v>
      </c>
      <c r="AB892">
        <f t="shared" si="315"/>
        <v>0.388817268645472</v>
      </c>
      <c r="AC892">
        <f t="shared" si="316"/>
        <v>6000</v>
      </c>
      <c r="AD892">
        <f t="shared" si="317"/>
        <v>0</v>
      </c>
      <c r="AE892">
        <f t="shared" si="318"/>
        <v>6.7000407999999982</v>
      </c>
      <c r="AF892">
        <f t="shared" si="319"/>
        <v>6000</v>
      </c>
      <c r="AG892">
        <f t="shared" si="320"/>
        <v>0</v>
      </c>
      <c r="AH892">
        <f t="shared" si="321"/>
        <v>6.7000407999999982</v>
      </c>
      <c r="AI892" cm="1">
        <f t="array" ref="AI892">_xlfn.LET(
    _xlpm.vals,   _xlfn.HSTACK(S892,V892,Y892,AB892,AE892,AH892),
    _xlpm.ints,   _xlfn.HSTACK(R892,U892,X892,AA892,AD892,AG892),
    _xlpm.slopes, _xlfn.HSTACK(Q892,T892,W892,Z892,AC892,AF892),
    _xlpm.limit,  -0.00001*_xlpm.slopes + 0.1086*_xlpm.slopes + 63.253,
    _xlpm.mask,   (_xlpm.vals&gt;=0) * (_xlpm.ints&lt;=_xlpm.limit),
    _xlpm.validVals, _xlfn._xlws.FILTER(_xlpm.vals, _xlpm.mask),
    _xlpm.minVal, MIN(_xlpm.validVals),
    IFERROR( _xlfn.XMATCH(_xlpm.minVal, _xlpm.vals), "" )
)</f>
        <v>4</v>
      </c>
      <c r="AJ892" cm="1">
        <f t="array" ref="AJ892">_xlfn.LET(
    _xlpm.vals, CHOOSE({1,2,3,4,5,6}, S892, V892, Y892, AB892, AE892, AH892),
    _xlpm.slopes, CHOOSE({1,2,3,4,5,6}, Q892, T892, W892, Z892, AC892, AF892),
    _xlpm.ints, CHOOSE({1,2,3,4,5,6}, R892, U892, X892, AA892, AD892, AG892),
    _xlpm.limit, -0.00001*_xlpm.slopes + 0.1086*_xlpm.slopes + 63.253,
    _xlpm.valid, (_xlpm.vals &gt;= 0) * (_xlpm.ints &lt;= _xlpm.limit),
    _xlpm.target, MIN(_xlfn._xlws.FILTER(_xlpm.vals, _xlpm.valid)),
    IFERROR(
        _xlfn.XLOOKUP(_xlpm.target, _xlpm.vals, _xlpm.vals),
        CHOOSE({1,2,3,4,5,6}, S$1, V$1, Y$1, AB$1, AE$1, AH$1)
    )
)</f>
        <v>0.388817268645472</v>
      </c>
    </row>
    <row r="893" spans="9:36" x14ac:dyDescent="0.45">
      <c r="I893">
        <v>891</v>
      </c>
      <c r="J893">
        <v>22.1</v>
      </c>
      <c r="K893">
        <f t="shared" si="300"/>
        <v>22.1</v>
      </c>
      <c r="L893">
        <f t="shared" si="299"/>
        <v>6.138888888888889E-3</v>
      </c>
      <c r="M893">
        <v>-1.05</v>
      </c>
      <c r="N893">
        <f t="shared" si="301"/>
        <v>0</v>
      </c>
      <c r="O893">
        <f t="shared" si="302"/>
        <v>287.19353959663925</v>
      </c>
      <c r="P893">
        <f t="shared" si="303"/>
        <v>919.01932670924566</v>
      </c>
      <c r="Q893">
        <f t="shared" si="304"/>
        <v>4209.1085163283451</v>
      </c>
      <c r="R893">
        <f t="shared" si="305"/>
        <v>0</v>
      </c>
      <c r="S893">
        <f t="shared" si="306"/>
        <v>2.2648319811016728</v>
      </c>
      <c r="T893">
        <f t="shared" si="307"/>
        <v>2720.2972070593673</v>
      </c>
      <c r="U893">
        <f t="shared" si="308"/>
        <v>0</v>
      </c>
      <c r="V893">
        <f t="shared" si="309"/>
        <v>0.80870209189155917</v>
      </c>
      <c r="W893">
        <f t="shared" si="310"/>
        <v>1755.3269140146592</v>
      </c>
      <c r="X893">
        <f t="shared" si="311"/>
        <v>0</v>
      </c>
      <c r="Y893">
        <f t="shared" si="312"/>
        <v>0.46301249068607941</v>
      </c>
      <c r="Z893">
        <f t="shared" si="313"/>
        <v>1323.3878304613138</v>
      </c>
      <c r="AA893">
        <f t="shared" si="314"/>
        <v>0</v>
      </c>
      <c r="AB893">
        <f t="shared" si="315"/>
        <v>0.37687884516814046</v>
      </c>
      <c r="AC893">
        <f t="shared" si="316"/>
        <v>6000</v>
      </c>
      <c r="AD893">
        <f t="shared" si="317"/>
        <v>0</v>
      </c>
      <c r="AE893">
        <f t="shared" si="318"/>
        <v>6.7000407999999982</v>
      </c>
      <c r="AF893">
        <f t="shared" si="319"/>
        <v>6000</v>
      </c>
      <c r="AG893">
        <f t="shared" si="320"/>
        <v>0</v>
      </c>
      <c r="AH893">
        <f t="shared" si="321"/>
        <v>6.7000407999999982</v>
      </c>
      <c r="AI893" cm="1">
        <f t="array" ref="AI893">_xlfn.LET(
    _xlpm.vals,   _xlfn.HSTACK(S893,V893,Y893,AB893,AE893,AH893),
    _xlpm.ints,   _xlfn.HSTACK(R893,U893,X893,AA893,AD893,AG893),
    _xlpm.slopes, _xlfn.HSTACK(Q893,T893,W893,Z893,AC893,AF893),
    _xlpm.limit,  -0.00001*_xlpm.slopes + 0.1086*_xlpm.slopes + 63.253,
    _xlpm.mask,   (_xlpm.vals&gt;=0) * (_xlpm.ints&lt;=_xlpm.limit),
    _xlpm.validVals, _xlfn._xlws.FILTER(_xlpm.vals, _xlpm.mask),
    _xlpm.minVal, MIN(_xlpm.validVals),
    IFERROR( _xlfn.XMATCH(_xlpm.minVal, _xlpm.vals), "" )
)</f>
        <v>4</v>
      </c>
      <c r="AJ893" cm="1">
        <f t="array" ref="AJ893">_xlfn.LET(
    _xlpm.vals, CHOOSE({1,2,3,4,5,6}, S893, V893, Y893, AB893, AE893, AH893),
    _xlpm.slopes, CHOOSE({1,2,3,4,5,6}, Q893, T893, W893, Z893, AC893, AF893),
    _xlpm.ints, CHOOSE({1,2,3,4,5,6}, R893, U893, X893, AA893, AD893, AG893),
    _xlpm.limit, -0.00001*_xlpm.slopes + 0.1086*_xlpm.slopes + 63.253,
    _xlpm.valid, (_xlpm.vals &gt;= 0) * (_xlpm.ints &lt;= _xlpm.limit),
    _xlpm.target, MIN(_xlfn._xlws.FILTER(_xlpm.vals, _xlpm.valid)),
    IFERROR(
        _xlfn.XLOOKUP(_xlpm.target, _xlpm.vals, _xlpm.vals),
        CHOOSE({1,2,3,4,5,6}, S$1, V$1, Y$1, AB$1, AE$1, AH$1)
    )
)</f>
        <v>0.37687884516814046</v>
      </c>
    </row>
    <row r="894" spans="9:36" x14ac:dyDescent="0.45">
      <c r="I894">
        <v>892</v>
      </c>
      <c r="J894">
        <v>21.6</v>
      </c>
      <c r="K894">
        <f t="shared" si="300"/>
        <v>21.6</v>
      </c>
      <c r="L894">
        <f t="shared" si="299"/>
        <v>6.0000000000000001E-3</v>
      </c>
      <c r="M894">
        <v>-0.44</v>
      </c>
      <c r="N894">
        <f t="shared" si="301"/>
        <v>0</v>
      </c>
      <c r="O894">
        <f t="shared" si="302"/>
        <v>280.69594820305008</v>
      </c>
      <c r="P894">
        <f t="shared" si="303"/>
        <v>898.22703424976032</v>
      </c>
      <c r="Q894">
        <f t="shared" si="304"/>
        <v>4113.8798168639023</v>
      </c>
      <c r="R894">
        <f t="shared" si="305"/>
        <v>0</v>
      </c>
      <c r="S894">
        <f t="shared" si="306"/>
        <v>2.1231068749461448</v>
      </c>
      <c r="T894">
        <f t="shared" si="307"/>
        <v>2658.7520213792905</v>
      </c>
      <c r="U894">
        <f t="shared" si="308"/>
        <v>0</v>
      </c>
      <c r="V894">
        <f t="shared" si="309"/>
        <v>0.77675870666282942</v>
      </c>
      <c r="W894">
        <f t="shared" si="310"/>
        <v>1715.6136354170421</v>
      </c>
      <c r="X894">
        <f t="shared" si="311"/>
        <v>0</v>
      </c>
      <c r="Y894">
        <f t="shared" si="312"/>
        <v>0.45407540490358178</v>
      </c>
      <c r="Z894">
        <f t="shared" si="313"/>
        <v>1293.4469293196548</v>
      </c>
      <c r="AA894">
        <f t="shared" si="314"/>
        <v>0</v>
      </c>
      <c r="AB894">
        <f t="shared" si="315"/>
        <v>0.37153089745921197</v>
      </c>
      <c r="AC894">
        <f t="shared" si="316"/>
        <v>6000</v>
      </c>
      <c r="AD894">
        <f t="shared" si="317"/>
        <v>0</v>
      </c>
      <c r="AE894">
        <f t="shared" si="318"/>
        <v>6.7000407999999982</v>
      </c>
      <c r="AF894">
        <f t="shared" si="319"/>
        <v>6000</v>
      </c>
      <c r="AG894">
        <f t="shared" si="320"/>
        <v>0</v>
      </c>
      <c r="AH894">
        <f t="shared" si="321"/>
        <v>6.7000407999999982</v>
      </c>
      <c r="AI894" cm="1">
        <f t="array" ref="AI894">_xlfn.LET(
    _xlpm.vals,   _xlfn.HSTACK(S894,V894,Y894,AB894,AE894,AH894),
    _xlpm.ints,   _xlfn.HSTACK(R894,U894,X894,AA894,AD894,AG894),
    _xlpm.slopes, _xlfn.HSTACK(Q894,T894,W894,Z894,AC894,AF894),
    _xlpm.limit,  -0.00001*_xlpm.slopes + 0.1086*_xlpm.slopes + 63.253,
    _xlpm.mask,   (_xlpm.vals&gt;=0) * (_xlpm.ints&lt;=_xlpm.limit),
    _xlpm.validVals, _xlfn._xlws.FILTER(_xlpm.vals, _xlpm.mask),
    _xlpm.minVal, MIN(_xlpm.validVals),
    IFERROR( _xlfn.XMATCH(_xlpm.minVal, _xlpm.vals), "" )
)</f>
        <v>4</v>
      </c>
      <c r="AJ894" cm="1">
        <f t="array" ref="AJ894">_xlfn.LET(
    _xlpm.vals, CHOOSE({1,2,3,4,5,6}, S894, V894, Y894, AB894, AE894, AH894),
    _xlpm.slopes, CHOOSE({1,2,3,4,5,6}, Q894, T894, W894, Z894, AC894, AF894),
    _xlpm.ints, CHOOSE({1,2,3,4,5,6}, R894, U894, X894, AA894, AD894, AG894),
    _xlpm.limit, -0.00001*_xlpm.slopes + 0.1086*_xlpm.slopes + 63.253,
    _xlpm.valid, (_xlpm.vals &gt;= 0) * (_xlpm.ints &lt;= _xlpm.limit),
    _xlpm.target, MIN(_xlfn._xlws.FILTER(_xlpm.vals, _xlpm.valid)),
    IFERROR(
        _xlfn.XLOOKUP(_xlpm.target, _xlpm.vals, _xlpm.vals),
        CHOOSE({1,2,3,4,5,6}, S$1, V$1, Y$1, AB$1, AE$1, AH$1)
    )
)</f>
        <v>0.37153089745921197</v>
      </c>
    </row>
    <row r="895" spans="9:36" x14ac:dyDescent="0.45">
      <c r="I895">
        <v>893</v>
      </c>
      <c r="J895">
        <v>21.6</v>
      </c>
      <c r="K895">
        <f t="shared" si="300"/>
        <v>21.6</v>
      </c>
      <c r="L895">
        <f t="shared" si="299"/>
        <v>6.0000000000000001E-3</v>
      </c>
      <c r="M895">
        <v>2.29</v>
      </c>
      <c r="N895">
        <f t="shared" si="301"/>
        <v>2.29</v>
      </c>
      <c r="O895">
        <f t="shared" si="302"/>
        <v>280.69594820305008</v>
      </c>
      <c r="P895">
        <f t="shared" si="303"/>
        <v>898.22703424976032</v>
      </c>
      <c r="Q895">
        <f t="shared" si="304"/>
        <v>4113.8798168639023</v>
      </c>
      <c r="R895">
        <f t="shared" si="305"/>
        <v>5.3156363710928174</v>
      </c>
      <c r="S895">
        <f t="shared" si="306"/>
        <v>2.2000949783053425</v>
      </c>
      <c r="T895">
        <f t="shared" si="307"/>
        <v>2658.7520213792905</v>
      </c>
      <c r="U895">
        <f t="shared" si="308"/>
        <v>8.22486979040713</v>
      </c>
      <c r="V895">
        <f t="shared" si="309"/>
        <v>0.89244195891019462</v>
      </c>
      <c r="W895">
        <f t="shared" si="310"/>
        <v>1715.6136354170421</v>
      </c>
      <c r="X895">
        <f t="shared" si="311"/>
        <v>12.746395067856076</v>
      </c>
      <c r="Y895">
        <f t="shared" si="312"/>
        <v>0.59216481156054912</v>
      </c>
      <c r="Z895">
        <f t="shared" si="313"/>
        <v>1293.4469293196548</v>
      </c>
      <c r="AA895">
        <f t="shared" si="314"/>
        <v>16.906676791392435</v>
      </c>
      <c r="AB895">
        <f t="shared" si="315"/>
        <v>0.51823505587424368</v>
      </c>
      <c r="AC895">
        <f t="shared" si="316"/>
        <v>6000</v>
      </c>
      <c r="AD895">
        <f t="shared" si="317"/>
        <v>3.6446481968044036</v>
      </c>
      <c r="AE895">
        <f t="shared" si="318"/>
        <v>6.7240733508961279</v>
      </c>
      <c r="AF895">
        <f t="shared" si="319"/>
        <v>6000</v>
      </c>
      <c r="AG895">
        <f t="shared" si="320"/>
        <v>3.6446481968044036</v>
      </c>
      <c r="AH895">
        <f t="shared" si="321"/>
        <v>6.7240733508961279</v>
      </c>
      <c r="AI895" cm="1">
        <f t="array" ref="AI895">_xlfn.LET(
    _xlpm.vals,   _xlfn.HSTACK(S895,V895,Y895,AB895,AE895,AH895),
    _xlpm.ints,   _xlfn.HSTACK(R895,U895,X895,AA895,AD895,AG895),
    _xlpm.slopes, _xlfn.HSTACK(Q895,T895,W895,Z895,AC895,AF895),
    _xlpm.limit,  -0.00001*_xlpm.slopes + 0.1086*_xlpm.slopes + 63.253,
    _xlpm.mask,   (_xlpm.vals&gt;=0) * (_xlpm.ints&lt;=_xlpm.limit),
    _xlpm.validVals, _xlfn._xlws.FILTER(_xlpm.vals, _xlpm.mask),
    _xlpm.minVal, MIN(_xlpm.validVals),
    IFERROR( _xlfn.XMATCH(_xlpm.minVal, _xlpm.vals), "" )
)</f>
        <v>4</v>
      </c>
      <c r="AJ895" cm="1">
        <f t="array" ref="AJ895">_xlfn.LET(
    _xlpm.vals, CHOOSE({1,2,3,4,5,6}, S895, V895, Y895, AB895, AE895, AH895),
    _xlpm.slopes, CHOOSE({1,2,3,4,5,6}, Q895, T895, W895, Z895, AC895, AF895),
    _xlpm.ints, CHOOSE({1,2,3,4,5,6}, R895, U895, X895, AA895, AD895, AG895),
    _xlpm.limit, -0.00001*_xlpm.slopes + 0.1086*_xlpm.slopes + 63.253,
    _xlpm.valid, (_xlpm.vals &gt;= 0) * (_xlpm.ints &lt;= _xlpm.limit),
    _xlpm.target, MIN(_xlfn._xlws.FILTER(_xlpm.vals, _xlpm.valid)),
    IFERROR(
        _xlfn.XLOOKUP(_xlpm.target, _xlpm.vals, _xlpm.vals),
        CHOOSE({1,2,3,4,5,6}, S$1, V$1, Y$1, AB$1, AE$1, AH$1)
    )
)</f>
        <v>0.51823505587424368</v>
      </c>
    </row>
    <row r="896" spans="9:36" x14ac:dyDescent="0.45">
      <c r="I896">
        <v>894</v>
      </c>
      <c r="J896">
        <v>21.6</v>
      </c>
      <c r="K896">
        <f t="shared" si="300"/>
        <v>21.6</v>
      </c>
      <c r="L896">
        <f t="shared" si="299"/>
        <v>6.0000000000000001E-3</v>
      </c>
      <c r="M896">
        <v>5.12</v>
      </c>
      <c r="N896">
        <f t="shared" si="301"/>
        <v>5.12</v>
      </c>
      <c r="O896">
        <f t="shared" si="302"/>
        <v>280.69594820305008</v>
      </c>
      <c r="P896">
        <f t="shared" si="303"/>
        <v>898.22703424976032</v>
      </c>
      <c r="Q896">
        <f t="shared" si="304"/>
        <v>4113.8798168639023</v>
      </c>
      <c r="R896">
        <f t="shared" si="305"/>
        <v>11.884741580783942</v>
      </c>
      <c r="S896">
        <f t="shared" si="306"/>
        <v>2.3048418751254913</v>
      </c>
      <c r="T896">
        <f t="shared" si="307"/>
        <v>2658.7520213792905</v>
      </c>
      <c r="U896">
        <f t="shared" si="308"/>
        <v>18.389228527023803</v>
      </c>
      <c r="V896">
        <f t="shared" si="309"/>
        <v>1.0522601510411538</v>
      </c>
      <c r="W896">
        <f t="shared" si="310"/>
        <v>1715.6136354170421</v>
      </c>
      <c r="X896">
        <f t="shared" si="311"/>
        <v>28.498490282717515</v>
      </c>
      <c r="Y896">
        <f t="shared" si="312"/>
        <v>0.79241275530494959</v>
      </c>
      <c r="Z896">
        <f t="shared" si="313"/>
        <v>1293.4469293196548</v>
      </c>
      <c r="AA896">
        <f t="shared" si="314"/>
        <v>37.800080861104483</v>
      </c>
      <c r="AB896">
        <f t="shared" si="315"/>
        <v>0.74112961478276884</v>
      </c>
      <c r="AC896">
        <f t="shared" si="316"/>
        <v>6000</v>
      </c>
      <c r="AD896">
        <f t="shared" si="317"/>
        <v>8.1487330863050413</v>
      </c>
      <c r="AE896">
        <f t="shared" si="318"/>
        <v>6.7597636685700975</v>
      </c>
      <c r="AF896">
        <f t="shared" si="319"/>
        <v>6000</v>
      </c>
      <c r="AG896">
        <f t="shared" si="320"/>
        <v>8.1487330863050413</v>
      </c>
      <c r="AH896">
        <f t="shared" si="321"/>
        <v>6.7597636685700975</v>
      </c>
      <c r="AI896" cm="1">
        <f t="array" ref="AI896">_xlfn.LET(
    _xlpm.vals,   _xlfn.HSTACK(S896,V896,Y896,AB896,AE896,AH896),
    _xlpm.ints,   _xlfn.HSTACK(R896,U896,X896,AA896,AD896,AG896),
    _xlpm.slopes, _xlfn.HSTACK(Q896,T896,W896,Z896,AC896,AF896),
    _xlpm.limit,  -0.00001*_xlpm.slopes + 0.1086*_xlpm.slopes + 63.253,
    _xlpm.mask,   (_xlpm.vals&gt;=0) * (_xlpm.ints&lt;=_xlpm.limit),
    _xlpm.validVals, _xlfn._xlws.FILTER(_xlpm.vals, _xlpm.mask),
    _xlpm.minVal, MIN(_xlpm.validVals),
    IFERROR( _xlfn.XMATCH(_xlpm.minVal, _xlpm.vals), "" )
)</f>
        <v>4</v>
      </c>
      <c r="AJ896" cm="1">
        <f t="array" ref="AJ896">_xlfn.LET(
    _xlpm.vals, CHOOSE({1,2,3,4,5,6}, S896, V896, Y896, AB896, AE896, AH896),
    _xlpm.slopes, CHOOSE({1,2,3,4,5,6}, Q896, T896, W896, Z896, AC896, AF896),
    _xlpm.ints, CHOOSE({1,2,3,4,5,6}, R896, U896, X896, AA896, AD896, AG896),
    _xlpm.limit, -0.00001*_xlpm.slopes + 0.1086*_xlpm.slopes + 63.253,
    _xlpm.valid, (_xlpm.vals &gt;= 0) * (_xlpm.ints &lt;= _xlpm.limit),
    _xlpm.target, MIN(_xlfn._xlws.FILTER(_xlpm.vals, _xlpm.valid)),
    IFERROR(
        _xlfn.XLOOKUP(_xlpm.target, _xlpm.vals, _xlpm.vals),
        CHOOSE({1,2,3,4,5,6}, S$1, V$1, Y$1, AB$1, AE$1, AH$1)
    )
)</f>
        <v>0.74112961478276884</v>
      </c>
    </row>
    <row r="897" spans="9:36" x14ac:dyDescent="0.45">
      <c r="I897">
        <v>895</v>
      </c>
      <c r="J897">
        <v>22.5</v>
      </c>
      <c r="K897">
        <f t="shared" si="300"/>
        <v>22.5</v>
      </c>
      <c r="L897">
        <f t="shared" si="299"/>
        <v>6.2500000000000003E-3</v>
      </c>
      <c r="M897">
        <v>13.24</v>
      </c>
      <c r="N897">
        <f t="shared" si="301"/>
        <v>13.24</v>
      </c>
      <c r="O897">
        <f t="shared" si="302"/>
        <v>292.39161271151056</v>
      </c>
      <c r="P897">
        <f t="shared" si="303"/>
        <v>935.65316067683386</v>
      </c>
      <c r="Q897">
        <f t="shared" si="304"/>
        <v>4285.2914758998995</v>
      </c>
      <c r="R897">
        <f t="shared" si="305"/>
        <v>29.503870974296127</v>
      </c>
      <c r="S897">
        <f t="shared" si="306"/>
        <v>2.8884937331455154</v>
      </c>
      <c r="T897">
        <f t="shared" si="307"/>
        <v>2769.5333556034284</v>
      </c>
      <c r="U897">
        <f t="shared" si="308"/>
        <v>45.651259818336577</v>
      </c>
      <c r="V897">
        <f t="shared" si="309"/>
        <v>1.6312015629120031</v>
      </c>
      <c r="W897">
        <f t="shared" si="310"/>
        <v>1787.0975368927527</v>
      </c>
      <c r="X897">
        <f t="shared" si="311"/>
        <v>70.747502126846229</v>
      </c>
      <c r="Y897">
        <f t="shared" si="312"/>
        <v>1.4785287095492337</v>
      </c>
      <c r="Z897">
        <f t="shared" si="313"/>
        <v>1347.3405513746407</v>
      </c>
      <c r="AA897">
        <f t="shared" si="314"/>
        <v>93.838700737691866</v>
      </c>
      <c r="AB897">
        <f t="shared" si="315"/>
        <v>1.4747265234267886</v>
      </c>
      <c r="AC897">
        <f t="shared" si="316"/>
        <v>6000</v>
      </c>
      <c r="AD897">
        <f t="shared" si="317"/>
        <v>21.072114465366944</v>
      </c>
      <c r="AE897">
        <f t="shared" si="318"/>
        <v>6.8972792211423268</v>
      </c>
      <c r="AF897">
        <f t="shared" si="319"/>
        <v>6000</v>
      </c>
      <c r="AG897">
        <f t="shared" si="320"/>
        <v>21.072114465366944</v>
      </c>
      <c r="AH897">
        <f t="shared" si="321"/>
        <v>6.8972792211423268</v>
      </c>
      <c r="AI897" cm="1">
        <f t="array" ref="AI897">_xlfn.LET(
    _xlpm.vals,   _xlfn.HSTACK(S897,V897,Y897,AB897,AE897,AH897),
    _xlpm.ints,   _xlfn.HSTACK(R897,U897,X897,AA897,AD897,AG897),
    _xlpm.slopes, _xlfn.HSTACK(Q897,T897,W897,Z897,AC897,AF897),
    _xlpm.limit,  -0.00001*_xlpm.slopes + 0.1086*_xlpm.slopes + 63.253,
    _xlpm.mask,   (_xlpm.vals&gt;=0) * (_xlpm.ints&lt;=_xlpm.limit),
    _xlpm.validVals, _xlfn._xlws.FILTER(_xlpm.vals, _xlpm.mask),
    _xlpm.minVal, MIN(_xlpm.validVals),
    IFERROR( _xlfn.XMATCH(_xlpm.minVal, _xlpm.vals), "" )
)</f>
        <v>4</v>
      </c>
      <c r="AJ897" cm="1">
        <f t="array" ref="AJ897">_xlfn.LET(
    _xlpm.vals, CHOOSE({1,2,3,4,5,6}, S897, V897, Y897, AB897, AE897, AH897),
    _xlpm.slopes, CHOOSE({1,2,3,4,5,6}, Q897, T897, W897, Z897, AC897, AF897),
    _xlpm.ints, CHOOSE({1,2,3,4,5,6}, R897, U897, X897, AA897, AD897, AG897),
    _xlpm.limit, -0.00001*_xlpm.slopes + 0.1086*_xlpm.slopes + 63.253,
    _xlpm.valid, (_xlpm.vals &gt;= 0) * (_xlpm.ints &lt;= _xlpm.limit),
    _xlpm.target, MIN(_xlfn._xlws.FILTER(_xlpm.vals, _xlpm.valid)),
    IFERROR(
        _xlfn.XLOOKUP(_xlpm.target, _xlpm.vals, _xlpm.vals),
        CHOOSE({1,2,3,4,5,6}, S$1, V$1, Y$1, AB$1, AE$1, AH$1)
    )
)</f>
        <v>1.4747265234267886</v>
      </c>
    </row>
    <row r="898" spans="9:36" x14ac:dyDescent="0.45">
      <c r="I898">
        <v>896</v>
      </c>
      <c r="J898">
        <v>23.8</v>
      </c>
      <c r="K898">
        <f t="shared" si="300"/>
        <v>23.8</v>
      </c>
      <c r="L898">
        <f t="shared" ref="L898:L961" si="322">K898*(1/3600)</f>
        <v>6.611111111111111E-3</v>
      </c>
      <c r="M898">
        <v>10.83</v>
      </c>
      <c r="N898">
        <f t="shared" si="301"/>
        <v>10.83</v>
      </c>
      <c r="O898">
        <f t="shared" si="302"/>
        <v>309.28535033484224</v>
      </c>
      <c r="P898">
        <f t="shared" si="303"/>
        <v>989.71312107149515</v>
      </c>
      <c r="Q898">
        <f t="shared" si="304"/>
        <v>4532.8860945074475</v>
      </c>
      <c r="R898">
        <f t="shared" si="305"/>
        <v>22.815239532806149</v>
      </c>
      <c r="S898">
        <f t="shared" si="306"/>
        <v>3.1699930720493503</v>
      </c>
      <c r="T898">
        <f t="shared" si="307"/>
        <v>2929.5508383716256</v>
      </c>
      <c r="U898">
        <f t="shared" si="308"/>
        <v>35.301958466301407</v>
      </c>
      <c r="V898">
        <f t="shared" si="309"/>
        <v>1.5333786651777033</v>
      </c>
      <c r="W898">
        <f t="shared" si="310"/>
        <v>1890.3520612465556</v>
      </c>
      <c r="X898">
        <f t="shared" si="311"/>
        <v>54.708794272383336</v>
      </c>
      <c r="Y898">
        <f t="shared" si="312"/>
        <v>1.2737561444397381</v>
      </c>
      <c r="Z898">
        <f t="shared" si="313"/>
        <v>1425.1868943429529</v>
      </c>
      <c r="AA898">
        <f t="shared" si="314"/>
        <v>72.565136847397341</v>
      </c>
      <c r="AB898">
        <f t="shared" si="315"/>
        <v>1.2589927879807059</v>
      </c>
      <c r="AC898">
        <f t="shared" si="316"/>
        <v>6000</v>
      </c>
      <c r="AD898">
        <f t="shared" si="317"/>
        <v>17.236480336852267</v>
      </c>
      <c r="AE898">
        <f t="shared" si="318"/>
        <v>6.8511955902408985</v>
      </c>
      <c r="AF898">
        <f t="shared" si="319"/>
        <v>6000</v>
      </c>
      <c r="AG898">
        <f t="shared" si="320"/>
        <v>17.236480336852267</v>
      </c>
      <c r="AH898">
        <f t="shared" si="321"/>
        <v>6.8511955902408985</v>
      </c>
      <c r="AI898" cm="1">
        <f t="array" ref="AI898">_xlfn.LET(
    _xlpm.vals,   _xlfn.HSTACK(S898,V898,Y898,AB898,AE898,AH898),
    _xlpm.ints,   _xlfn.HSTACK(R898,U898,X898,AA898,AD898,AG898),
    _xlpm.slopes, _xlfn.HSTACK(Q898,T898,W898,Z898,AC898,AF898),
    _xlpm.limit,  -0.00001*_xlpm.slopes + 0.1086*_xlpm.slopes + 63.253,
    _xlpm.mask,   (_xlpm.vals&gt;=0) * (_xlpm.ints&lt;=_xlpm.limit),
    _xlpm.validVals, _xlfn._xlws.FILTER(_xlpm.vals, _xlpm.mask),
    _xlpm.minVal, MIN(_xlpm.validVals),
    IFERROR( _xlfn.XMATCH(_xlpm.minVal, _xlpm.vals), "" )
)</f>
        <v>4</v>
      </c>
      <c r="AJ898" cm="1">
        <f t="array" ref="AJ898">_xlfn.LET(
    _xlpm.vals, CHOOSE({1,2,3,4,5,6}, S898, V898, Y898, AB898, AE898, AH898),
    _xlpm.slopes, CHOOSE({1,2,3,4,5,6}, Q898, T898, W898, Z898, AC898, AF898),
    _xlpm.ints, CHOOSE({1,2,3,4,5,6}, R898, U898, X898, AA898, AD898, AG898),
    _xlpm.limit, -0.00001*_xlpm.slopes + 0.1086*_xlpm.slopes + 63.253,
    _xlpm.valid, (_xlpm.vals &gt;= 0) * (_xlpm.ints &lt;= _xlpm.limit),
    _xlpm.target, MIN(_xlfn._xlws.FILTER(_xlpm.vals, _xlpm.valid)),
    IFERROR(
        _xlfn.XLOOKUP(_xlpm.target, _xlpm.vals, _xlpm.vals),
        CHOOSE({1,2,3,4,5,6}, S$1, V$1, Y$1, AB$1, AE$1, AH$1)
    )
)</f>
        <v>1.2589927879807059</v>
      </c>
    </row>
    <row r="899" spans="9:36" x14ac:dyDescent="0.45">
      <c r="I899">
        <v>897</v>
      </c>
      <c r="J899">
        <v>24.3</v>
      </c>
      <c r="K899">
        <f t="shared" ref="K899:K962" si="323">IF(J899&lt;0,0,J899)</f>
        <v>24.3</v>
      </c>
      <c r="L899">
        <f t="shared" si="322"/>
        <v>6.7499999999999999E-3</v>
      </c>
      <c r="M899">
        <v>8.24</v>
      </c>
      <c r="N899">
        <f t="shared" ref="N899:N962" si="324">IF(M899&lt;0,0,M899)</f>
        <v>8.24</v>
      </c>
      <c r="O899">
        <f t="shared" ref="O899:O962" si="325">(K899*0.44704*60)/(PI()*$B$2)</f>
        <v>315.78294172843141</v>
      </c>
      <c r="P899">
        <f t="shared" ref="P899:P962" si="326">O899*3.2</f>
        <v>1010.5054135309806</v>
      </c>
      <c r="Q899">
        <f t="shared" ref="Q899:Q962" si="327">IF(4.58*P899&lt;1000,1000,4.58*P899)</f>
        <v>4628.1147939718912</v>
      </c>
      <c r="R899">
        <f t="shared" ref="R899:R962" si="328">(1000*N899*60)/(Q899*2*PI())</f>
        <v>17.001783094732581</v>
      </c>
      <c r="S899">
        <f t="shared" ref="S899:S962" si="329">(0.072946 + (0.000364279 * Q899) + (-0.00248749 * R899) + (0.00000951906 * Q899 * R899) + (-0.000000165418 * Q899^2) + (0.000045414 * R899^2) + (-0.00000000135106 * Q899^2 * R899) + (0.0000000203184 * Q899 * R899^2) + (0.0000000000481318 * Q899^3) + (-0.00000034778 * R899^3))</f>
        <v>3.2404074738522688</v>
      </c>
      <c r="T899">
        <f t="shared" ref="T899:T962" si="330">IF(2.96*P899&lt;1000,6000,2.96*P899)</f>
        <v>2991.0960240517024</v>
      </c>
      <c r="U899">
        <f t="shared" ref="U899:U962" si="331">(1000*N899*60)/(T899*2*PI())</f>
        <v>26.306813031714604</v>
      </c>
      <c r="V899">
        <f t="shared" ref="V899:V962" si="332">(0.072946 + (0.000364279 * T899) + (-0.00248749 * U899) + (0.00000951906 * T899 * U899) + (-0.000000165418 * T899^2) + (0.000045414 * U899^2) + (-0.00000000135106 * T899^2 * U899) + (0.0000000203184 * T899 * U899^2) + (0.0000000000481318 * T899^3) + (-0.00000034778 * U899^3))</f>
        <v>1.403377180516433</v>
      </c>
      <c r="W899">
        <f t="shared" ref="W899:W962" si="333">IF(1.91*P899&lt;1000,6000,1.91*P899)</f>
        <v>1930.065339844173</v>
      </c>
      <c r="X899">
        <f t="shared" ref="X899:X962" si="334">(1000*N899*60)/(W899*2*PI())</f>
        <v>40.768673598887553</v>
      </c>
      <c r="Y899">
        <f t="shared" ref="Y899:Y962" si="335">(0.072946 + (0.000364279 * W899) + (-0.00248749 * X899) + (0.00000951906 * W899 * X899) + (-0.000000165418 * W899^2) + (0.000045414 * X899^2) + (-0.00000000135106 * W899^2 * X899) + (0.0000000203184 * W899 * X899^2) + (0.0000000000481318 * W899^3) + (-0.00000034778 * X899^3))</f>
        <v>1.0653966905945524</v>
      </c>
      <c r="Z899">
        <f t="shared" ref="Z899:Z962" si="336">IF(1.44*P899&lt;1000,6000,1.44*P899)</f>
        <v>1455.1277954846121</v>
      </c>
      <c r="AA899">
        <f t="shared" ref="AA899:AA962" si="337">(1000*N899*60)/(Z899*2*PI())</f>
        <v>54.075115676302232</v>
      </c>
      <c r="AB899">
        <f t="shared" ref="AB899:AB962" si="338">(0.072946 + (0.000364279 * Z899) + (-0.00248749 * AA899) + (0.00000951906 * Z899 * AA899) + (-0.000000165418 * Z899^2) + (0.000045414 * AA899^2) + (-0.00000000135106 * Z899^2 * AA899) + (0.0000000203184 * Z899 * AA899^2) + (0.0000000000481318 * Z899^3) + (-0.00000034778 * AA899^3))</f>
        <v>1.0251323943364192</v>
      </c>
      <c r="AC899">
        <f t="shared" ref="AC899:AC962" si="339">IF(0.74*P899&lt;1000,6000,0.74*P899)</f>
        <v>6000</v>
      </c>
      <c r="AD899">
        <f t="shared" ref="AD899:AD962" si="340">(1000*N899*60)/(AC899*2*PI())</f>
        <v>13.114367310772176</v>
      </c>
      <c r="AE899">
        <f t="shared" ref="AE899:AE962" si="341">(0.072946 + (0.000364279 * AC899) + (-0.00248749 * AD899) + (0.00000951906 * AC899 * AD899) + (-0.000000165418 * AC899^2) + (0.000045414 * AD899^2) + (-0.00000000135106 * AC899^2 * AD899) + (0.0000000203184 * AC899 * AD899^2) + (0.0000000000481318 * AC899^3) + (-0.00000034778 * AD899^3))</f>
        <v>6.8065720859815899</v>
      </c>
      <c r="AF899">
        <f t="shared" ref="AF899:AF962" si="342">IF(0.68*P899&lt;1000,6000,0.68*P899)</f>
        <v>6000</v>
      </c>
      <c r="AG899">
        <f t="shared" ref="AG899:AG962" si="343">(1000*N899*60)/(AF899*2*PI())</f>
        <v>13.114367310772176</v>
      </c>
      <c r="AH899">
        <f t="shared" ref="AH899:AH962" si="344">(0.072946 + (0.000364279 * AF899) + (-0.00248749 * AG899) + (0.00000951906 * AF899 * AG899) + (-0.000000165418 * AF899^2) + (0.000045414 * AG899^2) + (-0.00000000135106 * AF899^2 * AG899) + (0.0000000203184 * AF899 * AG899^2) + (0.0000000000481318 * AF899^3) + (-0.00000034778 * AG899^3))</f>
        <v>6.8065720859815899</v>
      </c>
      <c r="AI899" cm="1">
        <f t="array" ref="AI899">_xlfn.LET(
    _xlpm.vals,   _xlfn.HSTACK(S899,V899,Y899,AB899,AE899,AH899),
    _xlpm.ints,   _xlfn.HSTACK(R899,U899,X899,AA899,AD899,AG899),
    _xlpm.slopes, _xlfn.HSTACK(Q899,T899,W899,Z899,AC899,AF899),
    _xlpm.limit,  -0.00001*_xlpm.slopes + 0.1086*_xlpm.slopes + 63.253,
    _xlpm.mask,   (_xlpm.vals&gt;=0) * (_xlpm.ints&lt;=_xlpm.limit),
    _xlpm.validVals, _xlfn._xlws.FILTER(_xlpm.vals, _xlpm.mask),
    _xlpm.minVal, MIN(_xlpm.validVals),
    IFERROR( _xlfn.XMATCH(_xlpm.minVal, _xlpm.vals), "" )
)</f>
        <v>4</v>
      </c>
      <c r="AJ899" cm="1">
        <f t="array" ref="AJ899">_xlfn.LET(
    _xlpm.vals, CHOOSE({1,2,3,4,5,6}, S899, V899, Y899, AB899, AE899, AH899),
    _xlpm.slopes, CHOOSE({1,2,3,4,5,6}, Q899, T899, W899, Z899, AC899, AF899),
    _xlpm.ints, CHOOSE({1,2,3,4,5,6}, R899, U899, X899, AA899, AD899, AG899),
    _xlpm.limit, -0.00001*_xlpm.slopes + 0.1086*_xlpm.slopes + 63.253,
    _xlpm.valid, (_xlpm.vals &gt;= 0) * (_xlpm.ints &lt;= _xlpm.limit),
    _xlpm.target, MIN(_xlfn._xlws.FILTER(_xlpm.vals, _xlpm.valid)),
    IFERROR(
        _xlfn.XLOOKUP(_xlpm.target, _xlpm.vals, _xlpm.vals),
        CHOOSE({1,2,3,4,5,6}, S$1, V$1, Y$1, AB$1, AE$1, AH$1)
    )
)</f>
        <v>1.0251323943364192</v>
      </c>
    </row>
    <row r="900" spans="9:36" x14ac:dyDescent="0.45">
      <c r="I900">
        <v>898</v>
      </c>
      <c r="J900">
        <v>24.3</v>
      </c>
      <c r="K900">
        <f t="shared" si="323"/>
        <v>24.3</v>
      </c>
      <c r="L900">
        <f t="shared" si="322"/>
        <v>6.7499999999999999E-3</v>
      </c>
      <c r="M900">
        <v>6.4</v>
      </c>
      <c r="N900">
        <f t="shared" si="324"/>
        <v>6.4</v>
      </c>
      <c r="O900">
        <f t="shared" si="325"/>
        <v>315.78294172843141</v>
      </c>
      <c r="P900">
        <f t="shared" si="326"/>
        <v>1010.5054135309806</v>
      </c>
      <c r="Q900">
        <f t="shared" si="327"/>
        <v>4628.1147939718912</v>
      </c>
      <c r="R900">
        <f t="shared" si="328"/>
        <v>13.205268423093266</v>
      </c>
      <c r="S900">
        <f t="shared" si="329"/>
        <v>3.1773778562680395</v>
      </c>
      <c r="T900">
        <f t="shared" si="330"/>
        <v>2991.0960240517024</v>
      </c>
      <c r="U900">
        <f t="shared" si="331"/>
        <v>20.432476141137556</v>
      </c>
      <c r="V900">
        <f t="shared" si="332"/>
        <v>1.2959483711340205</v>
      </c>
      <c r="W900">
        <f t="shared" si="333"/>
        <v>1930.065339844173</v>
      </c>
      <c r="X900">
        <f t="shared" si="334"/>
        <v>31.664989203019456</v>
      </c>
      <c r="Y900">
        <f t="shared" si="335"/>
        <v>0.92332139682671288</v>
      </c>
      <c r="Z900">
        <f t="shared" si="336"/>
        <v>1455.1277954846121</v>
      </c>
      <c r="AA900">
        <f t="shared" si="337"/>
        <v>42.000089845671638</v>
      </c>
      <c r="AB900">
        <f t="shared" si="338"/>
        <v>0.86469593900173702</v>
      </c>
      <c r="AC900">
        <f t="shared" si="339"/>
        <v>6000</v>
      </c>
      <c r="AD900">
        <f t="shared" si="340"/>
        <v>10.185916357881302</v>
      </c>
      <c r="AE900">
        <f t="shared" si="341"/>
        <v>6.77803414930057</v>
      </c>
      <c r="AF900">
        <f t="shared" si="342"/>
        <v>6000</v>
      </c>
      <c r="AG900">
        <f t="shared" si="343"/>
        <v>10.185916357881302</v>
      </c>
      <c r="AH900">
        <f t="shared" si="344"/>
        <v>6.77803414930057</v>
      </c>
      <c r="AI900" cm="1">
        <f t="array" ref="AI900">_xlfn.LET(
    _xlpm.vals,   _xlfn.HSTACK(S900,V900,Y900,AB900,AE900,AH900),
    _xlpm.ints,   _xlfn.HSTACK(R900,U900,X900,AA900,AD900,AG900),
    _xlpm.slopes, _xlfn.HSTACK(Q900,T900,W900,Z900,AC900,AF900),
    _xlpm.limit,  -0.00001*_xlpm.slopes + 0.1086*_xlpm.slopes + 63.253,
    _xlpm.mask,   (_xlpm.vals&gt;=0) * (_xlpm.ints&lt;=_xlpm.limit),
    _xlpm.validVals, _xlfn._xlws.FILTER(_xlpm.vals, _xlpm.mask),
    _xlpm.minVal, MIN(_xlpm.validVals),
    IFERROR( _xlfn.XMATCH(_xlpm.minVal, _xlpm.vals), "" )
)</f>
        <v>4</v>
      </c>
      <c r="AJ900" cm="1">
        <f t="array" ref="AJ900">_xlfn.LET(
    _xlpm.vals, CHOOSE({1,2,3,4,5,6}, S900, V900, Y900, AB900, AE900, AH900),
    _xlpm.slopes, CHOOSE({1,2,3,4,5,6}, Q900, T900, W900, Z900, AC900, AF900),
    _xlpm.ints, CHOOSE({1,2,3,4,5,6}, R900, U900, X900, AA900, AD900, AG900),
    _xlpm.limit, -0.00001*_xlpm.slopes + 0.1086*_xlpm.slopes + 63.253,
    _xlpm.valid, (_xlpm.vals &gt;= 0) * (_xlpm.ints &lt;= _xlpm.limit),
    _xlpm.target, MIN(_xlfn._xlws.FILTER(_xlpm.vals, _xlpm.valid)),
    IFERROR(
        _xlfn.XLOOKUP(_xlpm.target, _xlpm.vals, _xlpm.vals),
        CHOOSE({1,2,3,4,5,6}, S$1, V$1, Y$1, AB$1, AE$1, AH$1)
    )
)</f>
        <v>0.86469593900173702</v>
      </c>
    </row>
    <row r="901" spans="9:36" x14ac:dyDescent="0.45">
      <c r="I901">
        <v>899</v>
      </c>
      <c r="J901">
        <v>24.6</v>
      </c>
      <c r="K901">
        <f t="shared" si="323"/>
        <v>24.6</v>
      </c>
      <c r="L901">
        <f t="shared" si="322"/>
        <v>6.8333333333333336E-3</v>
      </c>
      <c r="M901">
        <v>7.98</v>
      </c>
      <c r="N901">
        <f t="shared" si="324"/>
        <v>7.98</v>
      </c>
      <c r="O901">
        <f t="shared" si="325"/>
        <v>319.68149656458485</v>
      </c>
      <c r="P901">
        <f t="shared" si="326"/>
        <v>1022.9807890066716</v>
      </c>
      <c r="Q901">
        <f t="shared" si="327"/>
        <v>4685.2520136505555</v>
      </c>
      <c r="R901">
        <f t="shared" si="328"/>
        <v>16.264522491080463</v>
      </c>
      <c r="S901">
        <f t="shared" si="329"/>
        <v>3.337046282604236</v>
      </c>
      <c r="T901">
        <f t="shared" si="330"/>
        <v>3028.0231354597477</v>
      </c>
      <c r="U901">
        <f t="shared" si="331"/>
        <v>25.166051692279904</v>
      </c>
      <c r="V901">
        <f t="shared" si="332"/>
        <v>1.4088211984166459</v>
      </c>
      <c r="W901">
        <f t="shared" si="333"/>
        <v>1953.8933070027426</v>
      </c>
      <c r="X901">
        <f t="shared" si="334"/>
        <v>39.000792151386655</v>
      </c>
      <c r="Y901">
        <f t="shared" si="335"/>
        <v>1.0482645597698457</v>
      </c>
      <c r="Z901">
        <f t="shared" si="336"/>
        <v>1473.0923361696071</v>
      </c>
      <c r="AA901">
        <f t="shared" si="337"/>
        <v>51.730217367464242</v>
      </c>
      <c r="AB901">
        <f t="shared" si="338"/>
        <v>1.0029881081382606</v>
      </c>
      <c r="AC901">
        <f t="shared" si="339"/>
        <v>6000</v>
      </c>
      <c r="AD901">
        <f t="shared" si="340"/>
        <v>12.700564458733249</v>
      </c>
      <c r="AE901">
        <f t="shared" si="341"/>
        <v>6.8023784672497785</v>
      </c>
      <c r="AF901">
        <f t="shared" si="342"/>
        <v>6000</v>
      </c>
      <c r="AG901">
        <f t="shared" si="343"/>
        <v>12.700564458733249</v>
      </c>
      <c r="AH901">
        <f t="shared" si="344"/>
        <v>6.8023784672497785</v>
      </c>
      <c r="AI901" cm="1">
        <f t="array" ref="AI901">_xlfn.LET(
    _xlpm.vals,   _xlfn.HSTACK(S901,V901,Y901,AB901,AE901,AH901),
    _xlpm.ints,   _xlfn.HSTACK(R901,U901,X901,AA901,AD901,AG901),
    _xlpm.slopes, _xlfn.HSTACK(Q901,T901,W901,Z901,AC901,AF901),
    _xlpm.limit,  -0.00001*_xlpm.slopes + 0.1086*_xlpm.slopes + 63.253,
    _xlpm.mask,   (_xlpm.vals&gt;=0) * (_xlpm.ints&lt;=_xlpm.limit),
    _xlpm.validVals, _xlfn._xlws.FILTER(_xlpm.vals, _xlpm.mask),
    _xlpm.minVal, MIN(_xlpm.validVals),
    IFERROR( _xlfn.XMATCH(_xlpm.minVal, _xlpm.vals), "" )
)</f>
        <v>4</v>
      </c>
      <c r="AJ901" cm="1">
        <f t="array" ref="AJ901">_xlfn.LET(
    _xlpm.vals, CHOOSE({1,2,3,4,5,6}, S901, V901, Y901, AB901, AE901, AH901),
    _xlpm.slopes, CHOOSE({1,2,3,4,5,6}, Q901, T901, W901, Z901, AC901, AF901),
    _xlpm.ints, CHOOSE({1,2,3,4,5,6}, R901, U901, X901, AA901, AD901, AG901),
    _xlpm.limit, -0.00001*_xlpm.slopes + 0.1086*_xlpm.slopes + 63.253,
    _xlpm.valid, (_xlpm.vals &gt;= 0) * (_xlpm.ints &lt;= _xlpm.limit),
    _xlpm.target, MIN(_xlfn._xlws.FILTER(_xlpm.vals, _xlpm.valid)),
    IFERROR(
        _xlfn.XLOOKUP(_xlpm.target, _xlpm.vals, _xlpm.vals),
        CHOOSE({1,2,3,4,5,6}, S$1, V$1, Y$1, AB$1, AE$1, AH$1)
    )
)</f>
        <v>1.0029881081382606</v>
      </c>
    </row>
    <row r="902" spans="9:36" x14ac:dyDescent="0.45">
      <c r="I902">
        <v>900</v>
      </c>
      <c r="J902">
        <v>25.1</v>
      </c>
      <c r="K902">
        <f t="shared" si="323"/>
        <v>25.1</v>
      </c>
      <c r="L902">
        <f t="shared" si="322"/>
        <v>6.9722222222222225E-3</v>
      </c>
      <c r="M902">
        <v>8.6</v>
      </c>
      <c r="N902">
        <f t="shared" si="324"/>
        <v>8.6</v>
      </c>
      <c r="O902">
        <f t="shared" si="325"/>
        <v>326.17908795817397</v>
      </c>
      <c r="P902">
        <f t="shared" si="326"/>
        <v>1043.7730814661568</v>
      </c>
      <c r="Q902">
        <f t="shared" si="327"/>
        <v>4780.4807131149983</v>
      </c>
      <c r="R902">
        <f t="shared" si="328"/>
        <v>17.17901515847878</v>
      </c>
      <c r="S902">
        <f t="shared" si="329"/>
        <v>3.5412950612499396</v>
      </c>
      <c r="T902">
        <f t="shared" si="330"/>
        <v>3089.5683211398241</v>
      </c>
      <c r="U902">
        <f t="shared" si="331"/>
        <v>26.581043724943516</v>
      </c>
      <c r="V902">
        <f t="shared" si="332"/>
        <v>1.4816233830831036</v>
      </c>
      <c r="W902">
        <f t="shared" si="333"/>
        <v>1993.6065856003593</v>
      </c>
      <c r="X902">
        <f t="shared" si="334"/>
        <v>41.193659385252786</v>
      </c>
      <c r="Y902">
        <f t="shared" si="335"/>
        <v>1.1026647500063775</v>
      </c>
      <c r="Z902">
        <f t="shared" si="336"/>
        <v>1503.0332373112658</v>
      </c>
      <c r="AA902">
        <f t="shared" si="337"/>
        <v>54.638812101272784</v>
      </c>
      <c r="AB902">
        <f t="shared" si="338"/>
        <v>1.0592869773167046</v>
      </c>
      <c r="AC902">
        <f t="shared" si="339"/>
        <v>6000</v>
      </c>
      <c r="AD902">
        <f t="shared" si="340"/>
        <v>13.687325105903</v>
      </c>
      <c r="AE902">
        <f t="shared" si="341"/>
        <v>6.8124654684227997</v>
      </c>
      <c r="AF902">
        <f t="shared" si="342"/>
        <v>6000</v>
      </c>
      <c r="AG902">
        <f t="shared" si="343"/>
        <v>13.687325105903</v>
      </c>
      <c r="AH902">
        <f t="shared" si="344"/>
        <v>6.8124654684227997</v>
      </c>
      <c r="AI902" cm="1">
        <f t="array" ref="AI902">_xlfn.LET(
    _xlpm.vals,   _xlfn.HSTACK(S902,V902,Y902,AB902,AE902,AH902),
    _xlpm.ints,   _xlfn.HSTACK(R902,U902,X902,AA902,AD902,AG902),
    _xlpm.slopes, _xlfn.HSTACK(Q902,T902,W902,Z902,AC902,AF902),
    _xlpm.limit,  -0.00001*_xlpm.slopes + 0.1086*_xlpm.slopes + 63.253,
    _xlpm.mask,   (_xlpm.vals&gt;=0) * (_xlpm.ints&lt;=_xlpm.limit),
    _xlpm.validVals, _xlfn._xlws.FILTER(_xlpm.vals, _xlpm.mask),
    _xlpm.minVal, MIN(_xlpm.validVals),
    IFERROR( _xlfn.XMATCH(_xlpm.minVal, _xlpm.vals), "" )
)</f>
        <v>4</v>
      </c>
      <c r="AJ902" cm="1">
        <f t="array" ref="AJ902">_xlfn.LET(
    _xlpm.vals, CHOOSE({1,2,3,4,5,6}, S902, V902, Y902, AB902, AE902, AH902),
    _xlpm.slopes, CHOOSE({1,2,3,4,5,6}, Q902, T902, W902, Z902, AC902, AF902),
    _xlpm.ints, CHOOSE({1,2,3,4,5,6}, R902, U902, X902, AA902, AD902, AG902),
    _xlpm.limit, -0.00001*_xlpm.slopes + 0.1086*_xlpm.slopes + 63.253,
    _xlpm.valid, (_xlpm.vals &gt;= 0) * (_xlpm.ints &lt;= _xlpm.limit),
    _xlpm.target, MIN(_xlfn._xlws.FILTER(_xlpm.vals, _xlpm.valid)),
    IFERROR(
        _xlfn.XLOOKUP(_xlpm.target, _xlpm.vals, _xlpm.vals),
        CHOOSE({1,2,3,4,5,6}, S$1, V$1, Y$1, AB$1, AE$1, AH$1)
    )
)</f>
        <v>1.0592869773167046</v>
      </c>
    </row>
    <row r="903" spans="9:36" x14ac:dyDescent="0.45">
      <c r="I903">
        <v>901</v>
      </c>
      <c r="J903">
        <v>25.3</v>
      </c>
      <c r="K903">
        <f t="shared" si="323"/>
        <v>25.3</v>
      </c>
      <c r="L903">
        <f t="shared" si="322"/>
        <v>7.0277777777777778E-3</v>
      </c>
      <c r="M903">
        <v>7.21</v>
      </c>
      <c r="N903">
        <f t="shared" si="324"/>
        <v>7.21</v>
      </c>
      <c r="O903">
        <f t="shared" si="325"/>
        <v>328.77812451560959</v>
      </c>
      <c r="P903">
        <f t="shared" si="326"/>
        <v>1052.0899984499508</v>
      </c>
      <c r="Q903">
        <f t="shared" si="327"/>
        <v>4818.572192900775</v>
      </c>
      <c r="R903">
        <f t="shared" si="328"/>
        <v>14.288553875563302</v>
      </c>
      <c r="S903">
        <f t="shared" si="329"/>
        <v>3.5723547100577662</v>
      </c>
      <c r="T903">
        <f t="shared" si="330"/>
        <v>3114.1863954118544</v>
      </c>
      <c r="U903">
        <f t="shared" si="331"/>
        <v>22.108640793945924</v>
      </c>
      <c r="V903">
        <f t="shared" si="332"/>
        <v>1.4168788472808567</v>
      </c>
      <c r="W903">
        <f t="shared" si="333"/>
        <v>2009.491897039406</v>
      </c>
      <c r="X903">
        <f t="shared" si="334"/>
        <v>34.262605628314098</v>
      </c>
      <c r="Y903">
        <f t="shared" si="335"/>
        <v>0.99805084276664147</v>
      </c>
      <c r="Z903">
        <f t="shared" si="336"/>
        <v>1515.0095977679291</v>
      </c>
      <c r="AA903">
        <f t="shared" si="337"/>
        <v>45.445539409777723</v>
      </c>
      <c r="AB903">
        <f t="shared" si="338"/>
        <v>0.93867075476576867</v>
      </c>
      <c r="AC903">
        <f t="shared" si="339"/>
        <v>6000</v>
      </c>
      <c r="AD903">
        <f t="shared" si="340"/>
        <v>11.475071396925655</v>
      </c>
      <c r="AE903">
        <f t="shared" si="341"/>
        <v>6.7902689962781162</v>
      </c>
      <c r="AF903">
        <f t="shared" si="342"/>
        <v>6000</v>
      </c>
      <c r="AG903">
        <f t="shared" si="343"/>
        <v>11.475071396925655</v>
      </c>
      <c r="AH903">
        <f t="shared" si="344"/>
        <v>6.7902689962781162</v>
      </c>
      <c r="AI903" cm="1">
        <f t="array" ref="AI903">_xlfn.LET(
    _xlpm.vals,   _xlfn.HSTACK(S903,V903,Y903,AB903,AE903,AH903),
    _xlpm.ints,   _xlfn.HSTACK(R903,U903,X903,AA903,AD903,AG903),
    _xlpm.slopes, _xlfn.HSTACK(Q903,T903,W903,Z903,AC903,AF903),
    _xlpm.limit,  -0.00001*_xlpm.slopes + 0.1086*_xlpm.slopes + 63.253,
    _xlpm.mask,   (_xlpm.vals&gt;=0) * (_xlpm.ints&lt;=_xlpm.limit),
    _xlpm.validVals, _xlfn._xlws.FILTER(_xlpm.vals, _xlpm.mask),
    _xlpm.minVal, MIN(_xlpm.validVals),
    IFERROR( _xlfn.XMATCH(_xlpm.minVal, _xlpm.vals), "" )
)</f>
        <v>4</v>
      </c>
      <c r="AJ903" cm="1">
        <f t="array" ref="AJ903">_xlfn.LET(
    _xlpm.vals, CHOOSE({1,2,3,4,5,6}, S903, V903, Y903, AB903, AE903, AH903),
    _xlpm.slopes, CHOOSE({1,2,3,4,5,6}, Q903, T903, W903, Z903, AC903, AF903),
    _xlpm.ints, CHOOSE({1,2,3,4,5,6}, R903, U903, X903, AA903, AD903, AG903),
    _xlpm.limit, -0.00001*_xlpm.slopes + 0.1086*_xlpm.slopes + 63.253,
    _xlpm.valid, (_xlpm.vals &gt;= 0) * (_xlpm.ints &lt;= _xlpm.limit),
    _xlpm.target, MIN(_xlfn._xlws.FILTER(_xlpm.vals, _xlpm.valid)),
    IFERROR(
        _xlfn.XLOOKUP(_xlpm.target, _xlpm.vals, _xlpm.vals),
        CHOOSE({1,2,3,4,5,6}, S$1, V$1, Y$1, AB$1, AE$1, AH$1)
    )
)</f>
        <v>0.93867075476576867</v>
      </c>
    </row>
    <row r="904" spans="9:36" x14ac:dyDescent="0.45">
      <c r="I904">
        <v>902</v>
      </c>
      <c r="J904">
        <v>25.4</v>
      </c>
      <c r="K904">
        <f t="shared" si="323"/>
        <v>25.4</v>
      </c>
      <c r="L904">
        <f t="shared" si="322"/>
        <v>7.0555555555555554E-3</v>
      </c>
      <c r="M904">
        <v>5.85</v>
      </c>
      <c r="N904">
        <f t="shared" si="324"/>
        <v>5.85</v>
      </c>
      <c r="O904">
        <f t="shared" si="325"/>
        <v>330.0776427943274</v>
      </c>
      <c r="P904">
        <f t="shared" si="326"/>
        <v>1056.2484569418477</v>
      </c>
      <c r="Q904">
        <f t="shared" si="327"/>
        <v>4837.6179327936625</v>
      </c>
      <c r="R904">
        <f t="shared" si="328"/>
        <v>11.547705048504083</v>
      </c>
      <c r="S904">
        <f t="shared" si="329"/>
        <v>3.5696630388688089</v>
      </c>
      <c r="T904">
        <f t="shared" si="330"/>
        <v>3126.4954325478693</v>
      </c>
      <c r="U904">
        <f t="shared" si="331"/>
        <v>17.867732811536722</v>
      </c>
      <c r="V904">
        <f t="shared" si="332"/>
        <v>1.3500269408678383</v>
      </c>
      <c r="W904">
        <f t="shared" si="333"/>
        <v>2017.4345527589292</v>
      </c>
      <c r="X904">
        <f t="shared" si="334"/>
        <v>27.690308440915551</v>
      </c>
      <c r="Y904">
        <f t="shared" si="335"/>
        <v>0.89929863230795093</v>
      </c>
      <c r="Z904">
        <f t="shared" si="336"/>
        <v>1520.9977779962608</v>
      </c>
      <c r="AA904">
        <f t="shared" si="337"/>
        <v>36.728117445936597</v>
      </c>
      <c r="AB904">
        <f t="shared" si="338"/>
        <v>0.82502095699461198</v>
      </c>
      <c r="AC904">
        <f t="shared" si="339"/>
        <v>6000</v>
      </c>
      <c r="AD904">
        <f t="shared" si="340"/>
        <v>9.3105641708758782</v>
      </c>
      <c r="AE904">
        <f t="shared" si="341"/>
        <v>6.7700231593001101</v>
      </c>
      <c r="AF904">
        <f t="shared" si="342"/>
        <v>6000</v>
      </c>
      <c r="AG904">
        <f t="shared" si="343"/>
        <v>9.3105641708758782</v>
      </c>
      <c r="AH904">
        <f t="shared" si="344"/>
        <v>6.7700231593001101</v>
      </c>
      <c r="AI904" cm="1">
        <f t="array" ref="AI904">_xlfn.LET(
    _xlpm.vals,   _xlfn.HSTACK(S904,V904,Y904,AB904,AE904,AH904),
    _xlpm.ints,   _xlfn.HSTACK(R904,U904,X904,AA904,AD904,AG904),
    _xlpm.slopes, _xlfn.HSTACK(Q904,T904,W904,Z904,AC904,AF904),
    _xlpm.limit,  -0.00001*_xlpm.slopes + 0.1086*_xlpm.slopes + 63.253,
    _xlpm.mask,   (_xlpm.vals&gt;=0) * (_xlpm.ints&lt;=_xlpm.limit),
    _xlpm.validVals, _xlfn._xlws.FILTER(_xlpm.vals, _xlpm.mask),
    _xlpm.minVal, MIN(_xlpm.validVals),
    IFERROR( _xlfn.XMATCH(_xlpm.minVal, _xlpm.vals), "" )
)</f>
        <v>4</v>
      </c>
      <c r="AJ904" cm="1">
        <f t="array" ref="AJ904">_xlfn.LET(
    _xlpm.vals, CHOOSE({1,2,3,4,5,6}, S904, V904, Y904, AB904, AE904, AH904),
    _xlpm.slopes, CHOOSE({1,2,3,4,5,6}, Q904, T904, W904, Z904, AC904, AF904),
    _xlpm.ints, CHOOSE({1,2,3,4,5,6}, R904, U904, X904, AA904, AD904, AG904),
    _xlpm.limit, -0.00001*_xlpm.slopes + 0.1086*_xlpm.slopes + 63.253,
    _xlpm.valid, (_xlpm.vals &gt;= 0) * (_xlpm.ints &lt;= _xlpm.limit),
    _xlpm.target, MIN(_xlfn._xlws.FILTER(_xlpm.vals, _xlpm.valid)),
    IFERROR(
        _xlfn.XLOOKUP(_xlpm.target, _xlpm.vals, _xlpm.vals),
        CHOOSE({1,2,3,4,5,6}, S$1, V$1, Y$1, AB$1, AE$1, AH$1)
    )
)</f>
        <v>0.82502095699461198</v>
      </c>
    </row>
    <row r="905" spans="9:36" x14ac:dyDescent="0.45">
      <c r="I905">
        <v>903</v>
      </c>
      <c r="J905">
        <v>25.3</v>
      </c>
      <c r="K905">
        <f t="shared" si="323"/>
        <v>25.3</v>
      </c>
      <c r="L905">
        <f t="shared" si="322"/>
        <v>7.0277777777777778E-3</v>
      </c>
      <c r="M905">
        <v>5.05</v>
      </c>
      <c r="N905">
        <f t="shared" si="324"/>
        <v>5.05</v>
      </c>
      <c r="O905">
        <f t="shared" si="325"/>
        <v>328.77812451560959</v>
      </c>
      <c r="P905">
        <f t="shared" si="326"/>
        <v>1052.0899984499508</v>
      </c>
      <c r="Q905">
        <f t="shared" si="327"/>
        <v>4818.572192900775</v>
      </c>
      <c r="R905">
        <f t="shared" si="328"/>
        <v>10.007933019638651</v>
      </c>
      <c r="S905">
        <f t="shared" si="329"/>
        <v>3.5067002152359623</v>
      </c>
      <c r="T905">
        <f t="shared" si="330"/>
        <v>3114.1863954118544</v>
      </c>
      <c r="U905">
        <f t="shared" si="331"/>
        <v>15.485247712819266</v>
      </c>
      <c r="V905">
        <f t="shared" si="332"/>
        <v>1.2991980704003678</v>
      </c>
      <c r="W905">
        <f t="shared" si="333"/>
        <v>2009.491897039406</v>
      </c>
      <c r="X905">
        <f t="shared" si="334"/>
        <v>23.998080225102107</v>
      </c>
      <c r="Y905">
        <f t="shared" si="335"/>
        <v>0.84084526613630095</v>
      </c>
      <c r="Z905">
        <f t="shared" si="336"/>
        <v>1515.0095977679291</v>
      </c>
      <c r="AA905">
        <f t="shared" si="337"/>
        <v>31.8307869652396</v>
      </c>
      <c r="AB905">
        <f t="shared" si="338"/>
        <v>0.75967194273373373</v>
      </c>
      <c r="AC905">
        <f t="shared" si="339"/>
        <v>6000</v>
      </c>
      <c r="AD905">
        <f t="shared" si="340"/>
        <v>8.0373246261407143</v>
      </c>
      <c r="AE905">
        <f t="shared" si="341"/>
        <v>6.7588023588851023</v>
      </c>
      <c r="AF905">
        <f t="shared" si="342"/>
        <v>6000</v>
      </c>
      <c r="AG905">
        <f t="shared" si="343"/>
        <v>8.0373246261407143</v>
      </c>
      <c r="AH905">
        <f t="shared" si="344"/>
        <v>6.7588023588851023</v>
      </c>
      <c r="AI905" cm="1">
        <f t="array" ref="AI905">_xlfn.LET(
    _xlpm.vals,   _xlfn.HSTACK(S905,V905,Y905,AB905,AE905,AH905),
    _xlpm.ints,   _xlfn.HSTACK(R905,U905,X905,AA905,AD905,AG905),
    _xlpm.slopes, _xlfn.HSTACK(Q905,T905,W905,Z905,AC905,AF905),
    _xlpm.limit,  -0.00001*_xlpm.slopes + 0.1086*_xlpm.slopes + 63.253,
    _xlpm.mask,   (_xlpm.vals&gt;=0) * (_xlpm.ints&lt;=_xlpm.limit),
    _xlpm.validVals, _xlfn._xlws.FILTER(_xlpm.vals, _xlpm.mask),
    _xlpm.minVal, MIN(_xlpm.validVals),
    IFERROR( _xlfn.XMATCH(_xlpm.minVal, _xlpm.vals), "" )
)</f>
        <v>4</v>
      </c>
      <c r="AJ905" cm="1">
        <f t="array" ref="AJ905">_xlfn.LET(
    _xlpm.vals, CHOOSE({1,2,3,4,5,6}, S905, V905, Y905, AB905, AE905, AH905),
    _xlpm.slopes, CHOOSE({1,2,3,4,5,6}, Q905, T905, W905, Z905, AC905, AF905),
    _xlpm.ints, CHOOSE({1,2,3,4,5,6}, R905, U905, X905, AA905, AD905, AG905),
    _xlpm.limit, -0.00001*_xlpm.slopes + 0.1086*_xlpm.slopes + 63.253,
    _xlpm.valid, (_xlpm.vals &gt;= 0) * (_xlpm.ints &lt;= _xlpm.limit),
    _xlpm.target, MIN(_xlfn._xlws.FILTER(_xlpm.vals, _xlpm.valid)),
    IFERROR(
        _xlfn.XLOOKUP(_xlpm.target, _xlpm.vals, _xlpm.vals),
        CHOOSE({1,2,3,4,5,6}, S$1, V$1, Y$1, AB$1, AE$1, AH$1)
    )
)</f>
        <v>0.75967194273373373</v>
      </c>
    </row>
    <row r="906" spans="9:36" x14ac:dyDescent="0.45">
      <c r="I906">
        <v>904</v>
      </c>
      <c r="J906">
        <v>25.6</v>
      </c>
      <c r="K906">
        <f t="shared" si="323"/>
        <v>25.6</v>
      </c>
      <c r="L906">
        <f t="shared" si="322"/>
        <v>7.1111111111111115E-3</v>
      </c>
      <c r="M906">
        <v>7.27</v>
      </c>
      <c r="N906">
        <f t="shared" si="324"/>
        <v>7.27</v>
      </c>
      <c r="O906">
        <f t="shared" si="325"/>
        <v>332.67667935176308</v>
      </c>
      <c r="P906">
        <f t="shared" si="326"/>
        <v>1064.565373925642</v>
      </c>
      <c r="Q906">
        <f t="shared" si="327"/>
        <v>4875.7094125794401</v>
      </c>
      <c r="R906">
        <f t="shared" si="328"/>
        <v>14.238622588452635</v>
      </c>
      <c r="S906">
        <f t="shared" si="329"/>
        <v>3.6919160417807775</v>
      </c>
      <c r="T906">
        <f t="shared" si="330"/>
        <v>3151.1135068199005</v>
      </c>
      <c r="U906">
        <f t="shared" si="331"/>
        <v>22.031382248349011</v>
      </c>
      <c r="V906">
        <f t="shared" si="332"/>
        <v>1.4441915156186265</v>
      </c>
      <c r="W906">
        <f t="shared" si="333"/>
        <v>2033.3198641979761</v>
      </c>
      <c r="X906">
        <f t="shared" si="334"/>
        <v>34.142875107389045</v>
      </c>
      <c r="Y906">
        <f t="shared" si="335"/>
        <v>1.0068202795650045</v>
      </c>
      <c r="Z906">
        <f t="shared" si="336"/>
        <v>1532.9741384529245</v>
      </c>
      <c r="AA906">
        <f t="shared" si="337"/>
        <v>45.28673017716185</v>
      </c>
      <c r="AB906">
        <f t="shared" si="338"/>
        <v>0.94516503273966046</v>
      </c>
      <c r="AC906">
        <f t="shared" si="339"/>
        <v>6000</v>
      </c>
      <c r="AD906">
        <f t="shared" si="340"/>
        <v>11.570564362780791</v>
      </c>
      <c r="AE906">
        <f t="shared" si="341"/>
        <v>6.7911958774150536</v>
      </c>
      <c r="AF906">
        <f t="shared" si="342"/>
        <v>6000</v>
      </c>
      <c r="AG906">
        <f t="shared" si="343"/>
        <v>11.570564362780791</v>
      </c>
      <c r="AH906">
        <f t="shared" si="344"/>
        <v>6.7911958774150536</v>
      </c>
      <c r="AI906" cm="1">
        <f t="array" ref="AI906">_xlfn.LET(
    _xlpm.vals,   _xlfn.HSTACK(S906,V906,Y906,AB906,AE906,AH906),
    _xlpm.ints,   _xlfn.HSTACK(R906,U906,X906,AA906,AD906,AG906),
    _xlpm.slopes, _xlfn.HSTACK(Q906,T906,W906,Z906,AC906,AF906),
    _xlpm.limit,  -0.00001*_xlpm.slopes + 0.1086*_xlpm.slopes + 63.253,
    _xlpm.mask,   (_xlpm.vals&gt;=0) * (_xlpm.ints&lt;=_xlpm.limit),
    _xlpm.validVals, _xlfn._xlws.FILTER(_xlpm.vals, _xlpm.mask),
    _xlpm.minVal, MIN(_xlpm.validVals),
    IFERROR( _xlfn.XMATCH(_xlpm.minVal, _xlpm.vals), "" )
)</f>
        <v>4</v>
      </c>
      <c r="AJ906" cm="1">
        <f t="array" ref="AJ906">_xlfn.LET(
    _xlpm.vals, CHOOSE({1,2,3,4,5,6}, S906, V906, Y906, AB906, AE906, AH906),
    _xlpm.slopes, CHOOSE({1,2,3,4,5,6}, Q906, T906, W906, Z906, AC906, AF906),
    _xlpm.ints, CHOOSE({1,2,3,4,5,6}, R906, U906, X906, AA906, AD906, AG906),
    _xlpm.limit, -0.00001*_xlpm.slopes + 0.1086*_xlpm.slopes + 63.253,
    _xlpm.valid, (_xlpm.vals &gt;= 0) * (_xlpm.ints &lt;= _xlpm.limit),
    _xlpm.target, MIN(_xlfn._xlws.FILTER(_xlpm.vals, _xlpm.valid)),
    IFERROR(
        _xlfn.XLOOKUP(_xlpm.target, _xlpm.vals, _xlpm.vals),
        CHOOSE({1,2,3,4,5,6}, S$1, V$1, Y$1, AB$1, AE$1, AH$1)
    )
)</f>
        <v>0.94516503273966046</v>
      </c>
    </row>
    <row r="907" spans="9:36" x14ac:dyDescent="0.45">
      <c r="I907">
        <v>905</v>
      </c>
      <c r="J907">
        <v>25.5</v>
      </c>
      <c r="K907">
        <f t="shared" si="323"/>
        <v>25.5</v>
      </c>
      <c r="L907">
        <f t="shared" si="322"/>
        <v>7.083333333333333E-3</v>
      </c>
      <c r="M907">
        <v>4.74</v>
      </c>
      <c r="N907">
        <f t="shared" si="324"/>
        <v>4.74</v>
      </c>
      <c r="O907">
        <f t="shared" si="325"/>
        <v>331.37716107304522</v>
      </c>
      <c r="P907">
        <f t="shared" si="326"/>
        <v>1060.4069154337446</v>
      </c>
      <c r="Q907">
        <f t="shared" si="327"/>
        <v>4856.6636726865509</v>
      </c>
      <c r="R907">
        <f t="shared" si="328"/>
        <v>9.3199094822838795</v>
      </c>
      <c r="S907">
        <f t="shared" si="329"/>
        <v>3.5770357873942591</v>
      </c>
      <c r="T907">
        <f t="shared" si="330"/>
        <v>3138.8044696838842</v>
      </c>
      <c r="U907">
        <f t="shared" si="331"/>
        <v>14.420670752993299</v>
      </c>
      <c r="V907">
        <f t="shared" si="332"/>
        <v>1.2997605619620329</v>
      </c>
      <c r="W907">
        <f t="shared" si="333"/>
        <v>2025.3772084784521</v>
      </c>
      <c r="X907">
        <f t="shared" si="334"/>
        <v>22.348264622439885</v>
      </c>
      <c r="Y907">
        <f t="shared" si="335"/>
        <v>0.82284707310348737</v>
      </c>
      <c r="Z907">
        <f t="shared" si="336"/>
        <v>1526.9859582245922</v>
      </c>
      <c r="AA907">
        <f t="shared" si="337"/>
        <v>29.642489881152898</v>
      </c>
      <c r="AB907">
        <f t="shared" si="338"/>
        <v>0.73672165647830945</v>
      </c>
      <c r="AC907">
        <f t="shared" si="339"/>
        <v>6000</v>
      </c>
      <c r="AD907">
        <f t="shared" si="340"/>
        <v>7.5439443025558397</v>
      </c>
      <c r="AE907">
        <f t="shared" si="341"/>
        <v>6.7545925957897586</v>
      </c>
      <c r="AF907">
        <f t="shared" si="342"/>
        <v>6000</v>
      </c>
      <c r="AG907">
        <f t="shared" si="343"/>
        <v>7.5439443025558397</v>
      </c>
      <c r="AH907">
        <f t="shared" si="344"/>
        <v>6.7545925957897586</v>
      </c>
      <c r="AI907" cm="1">
        <f t="array" ref="AI907">_xlfn.LET(
    _xlpm.vals,   _xlfn.HSTACK(S907,V907,Y907,AB907,AE907,AH907),
    _xlpm.ints,   _xlfn.HSTACK(R907,U907,X907,AA907,AD907,AG907),
    _xlpm.slopes, _xlfn.HSTACK(Q907,T907,W907,Z907,AC907,AF907),
    _xlpm.limit,  -0.00001*_xlpm.slopes + 0.1086*_xlpm.slopes + 63.253,
    _xlpm.mask,   (_xlpm.vals&gt;=0) * (_xlpm.ints&lt;=_xlpm.limit),
    _xlpm.validVals, _xlfn._xlws.FILTER(_xlpm.vals, _xlpm.mask),
    _xlpm.minVal, MIN(_xlpm.validVals),
    IFERROR( _xlfn.XMATCH(_xlpm.minVal, _xlpm.vals), "" )
)</f>
        <v>4</v>
      </c>
      <c r="AJ907" cm="1">
        <f t="array" ref="AJ907">_xlfn.LET(
    _xlpm.vals, CHOOSE({1,2,3,4,5,6}, S907, V907, Y907, AB907, AE907, AH907),
    _xlpm.slopes, CHOOSE({1,2,3,4,5,6}, Q907, T907, W907, Z907, AC907, AF907),
    _xlpm.ints, CHOOSE({1,2,3,4,5,6}, R907, U907, X907, AA907, AD907, AG907),
    _xlpm.limit, -0.00001*_xlpm.slopes + 0.1086*_xlpm.slopes + 63.253,
    _xlpm.valid, (_xlpm.vals &gt;= 0) * (_xlpm.ints &lt;= _xlpm.limit),
    _xlpm.target, MIN(_xlfn._xlws.FILTER(_xlpm.vals, _xlpm.valid)),
    IFERROR(
        _xlfn.XLOOKUP(_xlpm.target, _xlpm.vals, _xlpm.vals),
        CHOOSE({1,2,3,4,5,6}, S$1, V$1, Y$1, AB$1, AE$1, AH$1)
    )
)</f>
        <v>0.73672165647830945</v>
      </c>
    </row>
    <row r="908" spans="9:36" x14ac:dyDescent="0.45">
      <c r="I908">
        <v>906</v>
      </c>
      <c r="J908">
        <v>25.2</v>
      </c>
      <c r="K908">
        <f t="shared" si="323"/>
        <v>25.2</v>
      </c>
      <c r="L908">
        <f t="shared" si="322"/>
        <v>7.0000000000000001E-3</v>
      </c>
      <c r="M908">
        <v>0.97</v>
      </c>
      <c r="N908">
        <f t="shared" si="324"/>
        <v>0.97</v>
      </c>
      <c r="O908">
        <f t="shared" si="325"/>
        <v>327.47860623689172</v>
      </c>
      <c r="P908">
        <f t="shared" si="326"/>
        <v>1047.9315399580535</v>
      </c>
      <c r="Q908">
        <f t="shared" si="327"/>
        <v>4799.5264530078848</v>
      </c>
      <c r="R908">
        <f t="shared" si="328"/>
        <v>1.9299440848259641</v>
      </c>
      <c r="S908">
        <f t="shared" si="329"/>
        <v>3.3560889084187084</v>
      </c>
      <c r="T908">
        <f t="shared" si="330"/>
        <v>3101.8773582758381</v>
      </c>
      <c r="U908">
        <f t="shared" si="331"/>
        <v>2.9861972663861205</v>
      </c>
      <c r="V908">
        <f t="shared" si="332"/>
        <v>1.0906870342839887</v>
      </c>
      <c r="W908">
        <f t="shared" si="333"/>
        <v>2001.549241319882</v>
      </c>
      <c r="X908">
        <f t="shared" si="334"/>
        <v>4.6278240358654017</v>
      </c>
      <c r="Y908">
        <f t="shared" si="335"/>
        <v>0.57874292785299253</v>
      </c>
      <c r="Z908">
        <f t="shared" si="336"/>
        <v>1509.021417539597</v>
      </c>
      <c r="AA908">
        <f t="shared" si="337"/>
        <v>6.1382943809048029</v>
      </c>
      <c r="AB908">
        <f t="shared" si="338"/>
        <v>0.46816889166601067</v>
      </c>
      <c r="AC908">
        <f t="shared" si="339"/>
        <v>6000</v>
      </c>
      <c r="AD908">
        <f t="shared" si="340"/>
        <v>1.5438029479913848</v>
      </c>
      <c r="AE908">
        <f t="shared" si="341"/>
        <v>6.7096836973860823</v>
      </c>
      <c r="AF908">
        <f t="shared" si="342"/>
        <v>6000</v>
      </c>
      <c r="AG908">
        <f t="shared" si="343"/>
        <v>1.5438029479913848</v>
      </c>
      <c r="AH908">
        <f t="shared" si="344"/>
        <v>6.7096836973860823</v>
      </c>
      <c r="AI908" cm="1">
        <f t="array" ref="AI908">_xlfn.LET(
    _xlpm.vals,   _xlfn.HSTACK(S908,V908,Y908,AB908,AE908,AH908),
    _xlpm.ints,   _xlfn.HSTACK(R908,U908,X908,AA908,AD908,AG908),
    _xlpm.slopes, _xlfn.HSTACK(Q908,T908,W908,Z908,AC908,AF908),
    _xlpm.limit,  -0.00001*_xlpm.slopes + 0.1086*_xlpm.slopes + 63.253,
    _xlpm.mask,   (_xlpm.vals&gt;=0) * (_xlpm.ints&lt;=_xlpm.limit),
    _xlpm.validVals, _xlfn._xlws.FILTER(_xlpm.vals, _xlpm.mask),
    _xlpm.minVal, MIN(_xlpm.validVals),
    IFERROR( _xlfn.XMATCH(_xlpm.minVal, _xlpm.vals), "" )
)</f>
        <v>4</v>
      </c>
      <c r="AJ908" cm="1">
        <f t="array" ref="AJ908">_xlfn.LET(
    _xlpm.vals, CHOOSE({1,2,3,4,5,6}, S908, V908, Y908, AB908, AE908, AH908),
    _xlpm.slopes, CHOOSE({1,2,3,4,5,6}, Q908, T908, W908, Z908, AC908, AF908),
    _xlpm.ints, CHOOSE({1,2,3,4,5,6}, R908, U908, X908, AA908, AD908, AG908),
    _xlpm.limit, -0.00001*_xlpm.slopes + 0.1086*_xlpm.slopes + 63.253,
    _xlpm.valid, (_xlpm.vals &gt;= 0) * (_xlpm.ints &lt;= _xlpm.limit),
    _xlpm.target, MIN(_xlfn._xlws.FILTER(_xlpm.vals, _xlpm.valid)),
    IFERROR(
        _xlfn.XLOOKUP(_xlpm.target, _xlpm.vals, _xlpm.vals),
        CHOOSE({1,2,3,4,5,6}, S$1, V$1, Y$1, AB$1, AE$1, AH$1)
    )
)</f>
        <v>0.46816889166601067</v>
      </c>
    </row>
    <row r="909" spans="9:36" x14ac:dyDescent="0.45">
      <c r="I909">
        <v>907</v>
      </c>
      <c r="J909">
        <v>24.8</v>
      </c>
      <c r="K909">
        <f t="shared" si="323"/>
        <v>24.8</v>
      </c>
      <c r="L909">
        <f t="shared" si="322"/>
        <v>6.8888888888888888E-3</v>
      </c>
      <c r="M909">
        <v>0.9</v>
      </c>
      <c r="N909">
        <f t="shared" si="324"/>
        <v>0.9</v>
      </c>
      <c r="O909">
        <f t="shared" si="325"/>
        <v>322.28053312202047</v>
      </c>
      <c r="P909">
        <f t="shared" si="326"/>
        <v>1031.2977059904656</v>
      </c>
      <c r="Q909">
        <f t="shared" si="327"/>
        <v>4723.3434934363322</v>
      </c>
      <c r="R909">
        <f t="shared" si="328"/>
        <v>1.8195515399007673</v>
      </c>
      <c r="S909">
        <f t="shared" si="329"/>
        <v>3.1980115596720609</v>
      </c>
      <c r="T909">
        <f t="shared" si="330"/>
        <v>3052.641209731778</v>
      </c>
      <c r="U909">
        <f t="shared" si="331"/>
        <v>2.815387179981593</v>
      </c>
      <c r="V909">
        <f t="shared" si="332"/>
        <v>1.052873364541526</v>
      </c>
      <c r="W909">
        <f t="shared" si="333"/>
        <v>1969.7786184417891</v>
      </c>
      <c r="X909">
        <f t="shared" si="334"/>
        <v>4.3631131166206885</v>
      </c>
      <c r="Y909">
        <f t="shared" si="335"/>
        <v>0.56621261647817112</v>
      </c>
      <c r="Z909">
        <f t="shared" si="336"/>
        <v>1485.0686966262704</v>
      </c>
      <c r="AA909">
        <f t="shared" si="337"/>
        <v>5.7871847588510521</v>
      </c>
      <c r="AB909">
        <f t="shared" si="338"/>
        <v>0.4593846100175058</v>
      </c>
      <c r="AC909">
        <f t="shared" si="339"/>
        <v>6000</v>
      </c>
      <c r="AD909">
        <f t="shared" si="340"/>
        <v>1.432394487827058</v>
      </c>
      <c r="AE909">
        <f t="shared" si="341"/>
        <v>6.7089612815969923</v>
      </c>
      <c r="AF909">
        <f t="shared" si="342"/>
        <v>6000</v>
      </c>
      <c r="AG909">
        <f t="shared" si="343"/>
        <v>1.432394487827058</v>
      </c>
      <c r="AH909">
        <f t="shared" si="344"/>
        <v>6.7089612815969923</v>
      </c>
      <c r="AI909" cm="1">
        <f t="array" ref="AI909">_xlfn.LET(
    _xlpm.vals,   _xlfn.HSTACK(S909,V909,Y909,AB909,AE909,AH909),
    _xlpm.ints,   _xlfn.HSTACK(R909,U909,X909,AA909,AD909,AG909),
    _xlpm.slopes, _xlfn.HSTACK(Q909,T909,W909,Z909,AC909,AF909),
    _xlpm.limit,  -0.00001*_xlpm.slopes + 0.1086*_xlpm.slopes + 63.253,
    _xlpm.mask,   (_xlpm.vals&gt;=0) * (_xlpm.ints&lt;=_xlpm.limit),
    _xlpm.validVals, _xlfn._xlws.FILTER(_xlpm.vals, _xlpm.mask),
    _xlpm.minVal, MIN(_xlpm.validVals),
    IFERROR( _xlfn.XMATCH(_xlpm.minVal, _xlpm.vals), "" )
)</f>
        <v>4</v>
      </c>
      <c r="AJ909" cm="1">
        <f t="array" ref="AJ909">_xlfn.LET(
    _xlpm.vals, CHOOSE({1,2,3,4,5,6}, S909, V909, Y909, AB909, AE909, AH909),
    _xlpm.slopes, CHOOSE({1,2,3,4,5,6}, Q909, T909, W909, Z909, AC909, AF909),
    _xlpm.ints, CHOOSE({1,2,3,4,5,6}, R909, U909, X909, AA909, AD909, AG909),
    _xlpm.limit, -0.00001*_xlpm.slopes + 0.1086*_xlpm.slopes + 63.253,
    _xlpm.valid, (_xlpm.vals &gt;= 0) * (_xlpm.ints &lt;= _xlpm.limit),
    _xlpm.target, MIN(_xlfn._xlws.FILTER(_xlpm.vals, _xlpm.valid)),
    IFERROR(
        _xlfn.XLOOKUP(_xlpm.target, _xlpm.vals, _xlpm.vals),
        CHOOSE({1,2,3,4,5,6}, S$1, V$1, Y$1, AB$1, AE$1, AH$1)
    )
)</f>
        <v>0.4593846100175058</v>
      </c>
    </row>
    <row r="910" spans="9:36" x14ac:dyDescent="0.45">
      <c r="I910">
        <v>908</v>
      </c>
      <c r="J910">
        <v>24.7</v>
      </c>
      <c r="K910">
        <f t="shared" si="323"/>
        <v>24.7</v>
      </c>
      <c r="L910">
        <f t="shared" si="322"/>
        <v>6.8611111111111112E-3</v>
      </c>
      <c r="M910">
        <v>4.32</v>
      </c>
      <c r="N910">
        <f t="shared" si="324"/>
        <v>4.32</v>
      </c>
      <c r="O910">
        <f t="shared" si="325"/>
        <v>320.98101484330266</v>
      </c>
      <c r="P910">
        <f t="shared" si="326"/>
        <v>1027.1392474985685</v>
      </c>
      <c r="Q910">
        <f t="shared" si="327"/>
        <v>4704.2977535434438</v>
      </c>
      <c r="R910">
        <f t="shared" si="328"/>
        <v>8.7692070975622407</v>
      </c>
      <c r="S910">
        <f t="shared" si="329"/>
        <v>3.2560515011019429</v>
      </c>
      <c r="T910">
        <f t="shared" si="330"/>
        <v>3040.3321725957626</v>
      </c>
      <c r="U910">
        <f t="shared" si="331"/>
        <v>13.568570441498334</v>
      </c>
      <c r="V910">
        <f t="shared" si="332"/>
        <v>1.2124439602689776</v>
      </c>
      <c r="W910">
        <f t="shared" si="333"/>
        <v>1961.8359627222658</v>
      </c>
      <c r="X910">
        <f t="shared" si="334"/>
        <v>21.027732202531446</v>
      </c>
      <c r="Y910">
        <f t="shared" si="335"/>
        <v>0.77988231752536208</v>
      </c>
      <c r="Z910">
        <f t="shared" si="336"/>
        <v>1479.0805163979385</v>
      </c>
      <c r="AA910">
        <f t="shared" si="337"/>
        <v>27.890950351968797</v>
      </c>
      <c r="AB910">
        <f t="shared" si="338"/>
        <v>0.6976393730374788</v>
      </c>
      <c r="AC910">
        <f t="shared" si="339"/>
        <v>6000</v>
      </c>
      <c r="AD910">
        <f t="shared" si="340"/>
        <v>6.8754935415698792</v>
      </c>
      <c r="AE910">
        <f t="shared" si="341"/>
        <v>6.7490129289492442</v>
      </c>
      <c r="AF910">
        <f t="shared" si="342"/>
        <v>6000</v>
      </c>
      <c r="AG910">
        <f t="shared" si="343"/>
        <v>6.8754935415698792</v>
      </c>
      <c r="AH910">
        <f t="shared" si="344"/>
        <v>6.7490129289492442</v>
      </c>
      <c r="AI910" cm="1">
        <f t="array" ref="AI910">_xlfn.LET(
    _xlpm.vals,   _xlfn.HSTACK(S910,V910,Y910,AB910,AE910,AH910),
    _xlpm.ints,   _xlfn.HSTACK(R910,U910,X910,AA910,AD910,AG910),
    _xlpm.slopes, _xlfn.HSTACK(Q910,T910,W910,Z910,AC910,AF910),
    _xlpm.limit,  -0.00001*_xlpm.slopes + 0.1086*_xlpm.slopes + 63.253,
    _xlpm.mask,   (_xlpm.vals&gt;=0) * (_xlpm.ints&lt;=_xlpm.limit),
    _xlpm.validVals, _xlfn._xlws.FILTER(_xlpm.vals, _xlpm.mask),
    _xlpm.minVal, MIN(_xlpm.validVals),
    IFERROR( _xlfn.XMATCH(_xlpm.minVal, _xlpm.vals), "" )
)</f>
        <v>4</v>
      </c>
      <c r="AJ910" cm="1">
        <f t="array" ref="AJ910">_xlfn.LET(
    _xlpm.vals, CHOOSE({1,2,3,4,5,6}, S910, V910, Y910, AB910, AE910, AH910),
    _xlpm.slopes, CHOOSE({1,2,3,4,5,6}, Q910, T910, W910, Z910, AC910, AF910),
    _xlpm.ints, CHOOSE({1,2,3,4,5,6}, R910, U910, X910, AA910, AD910, AG910),
    _xlpm.limit, -0.00001*_xlpm.slopes + 0.1086*_xlpm.slopes + 63.253,
    _xlpm.valid, (_xlpm.vals &gt;= 0) * (_xlpm.ints &lt;= _xlpm.limit),
    _xlpm.target, MIN(_xlfn._xlws.FILTER(_xlpm.vals, _xlpm.valid)),
    IFERROR(
        _xlfn.XLOOKUP(_xlpm.target, _xlpm.vals, _xlpm.vals),
        CHOOSE({1,2,3,4,5,6}, S$1, V$1, Y$1, AB$1, AE$1, AH$1)
    )
)</f>
        <v>0.6976393730374788</v>
      </c>
    </row>
    <row r="911" spans="9:36" x14ac:dyDescent="0.45">
      <c r="I911">
        <v>909</v>
      </c>
      <c r="J911">
        <v>24.7</v>
      </c>
      <c r="K911">
        <f t="shared" si="323"/>
        <v>24.7</v>
      </c>
      <c r="L911">
        <f t="shared" si="322"/>
        <v>6.8611111111111112E-3</v>
      </c>
      <c r="M911">
        <v>3.7</v>
      </c>
      <c r="N911">
        <f t="shared" si="324"/>
        <v>3.7</v>
      </c>
      <c r="O911">
        <f t="shared" si="325"/>
        <v>320.98101484330266</v>
      </c>
      <c r="P911">
        <f t="shared" si="326"/>
        <v>1027.1392474985685</v>
      </c>
      <c r="Q911">
        <f t="shared" si="327"/>
        <v>4704.2977535434438</v>
      </c>
      <c r="R911">
        <f t="shared" si="328"/>
        <v>7.5106634863380304</v>
      </c>
      <c r="S911">
        <f t="shared" si="329"/>
        <v>3.2376520478528996</v>
      </c>
      <c r="T911">
        <f t="shared" si="330"/>
        <v>3040.3321725957626</v>
      </c>
      <c r="U911">
        <f t="shared" si="331"/>
        <v>11.621229313320331</v>
      </c>
      <c r="V911">
        <f t="shared" si="332"/>
        <v>1.1803144776845216</v>
      </c>
      <c r="W911">
        <f t="shared" si="333"/>
        <v>1961.8359627222658</v>
      </c>
      <c r="X911">
        <f t="shared" si="334"/>
        <v>18.009863229019992</v>
      </c>
      <c r="Y911">
        <f t="shared" si="335"/>
        <v>0.73787948975859707</v>
      </c>
      <c r="Z911">
        <f t="shared" si="336"/>
        <v>1479.0805163979385</v>
      </c>
      <c r="AA911">
        <f t="shared" si="337"/>
        <v>23.888082477380681</v>
      </c>
      <c r="AB911">
        <f t="shared" si="338"/>
        <v>0.65023278534021789</v>
      </c>
      <c r="AC911">
        <f t="shared" si="339"/>
        <v>6000</v>
      </c>
      <c r="AD911">
        <f t="shared" si="340"/>
        <v>5.8887328944001274</v>
      </c>
      <c r="AE911">
        <f t="shared" si="341"/>
        <v>6.7410380328062534</v>
      </c>
      <c r="AF911">
        <f t="shared" si="342"/>
        <v>6000</v>
      </c>
      <c r="AG911">
        <f t="shared" si="343"/>
        <v>5.8887328944001274</v>
      </c>
      <c r="AH911">
        <f t="shared" si="344"/>
        <v>6.7410380328062534</v>
      </c>
      <c r="AI911" cm="1">
        <f t="array" ref="AI911">_xlfn.LET(
    _xlpm.vals,   _xlfn.HSTACK(S911,V911,Y911,AB911,AE911,AH911),
    _xlpm.ints,   _xlfn.HSTACK(R911,U911,X911,AA911,AD911,AG911),
    _xlpm.slopes, _xlfn.HSTACK(Q911,T911,W911,Z911,AC911,AF911),
    _xlpm.limit,  -0.00001*_xlpm.slopes + 0.1086*_xlpm.slopes + 63.253,
    _xlpm.mask,   (_xlpm.vals&gt;=0) * (_xlpm.ints&lt;=_xlpm.limit),
    _xlpm.validVals, _xlfn._xlws.FILTER(_xlpm.vals, _xlpm.mask),
    _xlpm.minVal, MIN(_xlpm.validVals),
    IFERROR( _xlfn.XMATCH(_xlpm.minVal, _xlpm.vals), "" )
)</f>
        <v>4</v>
      </c>
      <c r="AJ911" cm="1">
        <f t="array" ref="AJ911">_xlfn.LET(
    _xlpm.vals, CHOOSE({1,2,3,4,5,6}, S911, V911, Y911, AB911, AE911, AH911),
    _xlpm.slopes, CHOOSE({1,2,3,4,5,6}, Q911, T911, W911, Z911, AC911, AF911),
    _xlpm.ints, CHOOSE({1,2,3,4,5,6}, R911, U911, X911, AA911, AD911, AG911),
    _xlpm.limit, -0.00001*_xlpm.slopes + 0.1086*_xlpm.slopes + 63.253,
    _xlpm.valid, (_xlpm.vals &gt;= 0) * (_xlpm.ints &lt;= _xlpm.limit),
    _xlpm.target, MIN(_xlfn._xlws.FILTER(_xlpm.vals, _xlpm.valid)),
    IFERROR(
        _xlfn.XLOOKUP(_xlpm.target, _xlpm.vals, _xlpm.vals),
        CHOOSE({1,2,3,4,5,6}, S$1, V$1, Y$1, AB$1, AE$1, AH$1)
    )
)</f>
        <v>0.65023278534021789</v>
      </c>
    </row>
    <row r="912" spans="9:36" x14ac:dyDescent="0.45">
      <c r="I912">
        <v>910</v>
      </c>
      <c r="J912">
        <v>24.5</v>
      </c>
      <c r="K912">
        <f t="shared" si="323"/>
        <v>24.5</v>
      </c>
      <c r="L912">
        <f t="shared" si="322"/>
        <v>6.8055555555555551E-3</v>
      </c>
      <c r="M912">
        <v>4.4800000000000004</v>
      </c>
      <c r="N912">
        <f t="shared" si="324"/>
        <v>4.4800000000000004</v>
      </c>
      <c r="O912">
        <f t="shared" si="325"/>
        <v>318.38197828586698</v>
      </c>
      <c r="P912">
        <f t="shared" si="326"/>
        <v>1018.8223305147744</v>
      </c>
      <c r="Q912">
        <f t="shared" si="327"/>
        <v>4666.2062737576671</v>
      </c>
      <c r="R912">
        <f t="shared" si="328"/>
        <v>9.1682292194618977</v>
      </c>
      <c r="S912">
        <f t="shared" si="329"/>
        <v>3.1874325980515654</v>
      </c>
      <c r="T912">
        <f t="shared" si="330"/>
        <v>3015.7140983237323</v>
      </c>
      <c r="U912">
        <f t="shared" si="331"/>
        <v>14.185976292275505</v>
      </c>
      <c r="V912">
        <f t="shared" si="332"/>
        <v>1.2053118401736835</v>
      </c>
      <c r="W912">
        <f t="shared" si="333"/>
        <v>1945.950651283219</v>
      </c>
      <c r="X912">
        <f t="shared" si="334"/>
        <v>21.984549646667801</v>
      </c>
      <c r="Y912">
        <f t="shared" si="335"/>
        <v>0.78753132160782124</v>
      </c>
      <c r="Z912">
        <f t="shared" si="336"/>
        <v>1467.1041559412752</v>
      </c>
      <c r="AA912">
        <f t="shared" si="337"/>
        <v>29.160062378566316</v>
      </c>
      <c r="AB912">
        <f t="shared" si="338"/>
        <v>0.70856638485544743</v>
      </c>
      <c r="AC912">
        <f t="shared" si="339"/>
        <v>6000</v>
      </c>
      <c r="AD912">
        <f t="shared" si="340"/>
        <v>7.1301414505169118</v>
      </c>
      <c r="AE912">
        <f t="shared" si="341"/>
        <v>6.7511216743975604</v>
      </c>
      <c r="AF912">
        <f t="shared" si="342"/>
        <v>6000</v>
      </c>
      <c r="AG912">
        <f t="shared" si="343"/>
        <v>7.1301414505169118</v>
      </c>
      <c r="AH912">
        <f t="shared" si="344"/>
        <v>6.7511216743975604</v>
      </c>
      <c r="AI912" cm="1">
        <f t="array" ref="AI912">_xlfn.LET(
    _xlpm.vals,   _xlfn.HSTACK(S912,V912,Y912,AB912,AE912,AH912),
    _xlpm.ints,   _xlfn.HSTACK(R912,U912,X912,AA912,AD912,AG912),
    _xlpm.slopes, _xlfn.HSTACK(Q912,T912,W912,Z912,AC912,AF912),
    _xlpm.limit,  -0.00001*_xlpm.slopes + 0.1086*_xlpm.slopes + 63.253,
    _xlpm.mask,   (_xlpm.vals&gt;=0) * (_xlpm.ints&lt;=_xlpm.limit),
    _xlpm.validVals, _xlfn._xlws.FILTER(_xlpm.vals, _xlpm.mask),
    _xlpm.minVal, MIN(_xlpm.validVals),
    IFERROR( _xlfn.XMATCH(_xlpm.minVal, _xlpm.vals), "" )
)</f>
        <v>4</v>
      </c>
      <c r="AJ912" cm="1">
        <f t="array" ref="AJ912">_xlfn.LET(
    _xlpm.vals, CHOOSE({1,2,3,4,5,6}, S912, V912, Y912, AB912, AE912, AH912),
    _xlpm.slopes, CHOOSE({1,2,3,4,5,6}, Q912, T912, W912, Z912, AC912, AF912),
    _xlpm.ints, CHOOSE({1,2,3,4,5,6}, R912, U912, X912, AA912, AD912, AG912),
    _xlpm.limit, -0.00001*_xlpm.slopes + 0.1086*_xlpm.slopes + 63.253,
    _xlpm.valid, (_xlpm.vals &gt;= 0) * (_xlpm.ints &lt;= _xlpm.limit),
    _xlpm.target, MIN(_xlfn._xlws.FILTER(_xlpm.vals, _xlpm.valid)),
    IFERROR(
        _xlfn.XLOOKUP(_xlpm.target, _xlpm.vals, _xlpm.vals),
        CHOOSE({1,2,3,4,5,6}, S$1, V$1, Y$1, AB$1, AE$1, AH$1)
    )
)</f>
        <v>0.70856638485544743</v>
      </c>
    </row>
    <row r="913" spans="9:36" x14ac:dyDescent="0.45">
      <c r="I913">
        <v>911</v>
      </c>
      <c r="J913">
        <v>24.4</v>
      </c>
      <c r="K913">
        <f t="shared" si="323"/>
        <v>24.4</v>
      </c>
      <c r="L913">
        <f t="shared" si="322"/>
        <v>6.7777777777777775E-3</v>
      </c>
      <c r="M913">
        <v>2.34</v>
      </c>
      <c r="N913">
        <f t="shared" si="324"/>
        <v>2.34</v>
      </c>
      <c r="O913">
        <f t="shared" si="325"/>
        <v>317.08246000714911</v>
      </c>
      <c r="P913">
        <f t="shared" si="326"/>
        <v>1014.6638720228772</v>
      </c>
      <c r="Q913">
        <f t="shared" si="327"/>
        <v>4647.1605338647778</v>
      </c>
      <c r="R913">
        <f t="shared" si="328"/>
        <v>4.8083886595410448</v>
      </c>
      <c r="S913">
        <f t="shared" si="329"/>
        <v>3.0876020136876456</v>
      </c>
      <c r="T913">
        <f t="shared" si="330"/>
        <v>3003.4050611877165</v>
      </c>
      <c r="U913">
        <f t="shared" si="331"/>
        <v>7.440006777262834</v>
      </c>
      <c r="V913">
        <f t="shared" si="332"/>
        <v>1.088144439144324</v>
      </c>
      <c r="W913">
        <f t="shared" si="333"/>
        <v>1938.0079955636952</v>
      </c>
      <c r="X913">
        <f t="shared" si="334"/>
        <v>11.530062859004184</v>
      </c>
      <c r="Y913">
        <f t="shared" si="335"/>
        <v>0.64423641320829617</v>
      </c>
      <c r="Z913">
        <f t="shared" si="336"/>
        <v>1461.1159757129431</v>
      </c>
      <c r="AA913">
        <f t="shared" si="337"/>
        <v>15.293347264373603</v>
      </c>
      <c r="AB913">
        <f t="shared" si="338"/>
        <v>0.54906708106238078</v>
      </c>
      <c r="AC913">
        <f t="shared" si="339"/>
        <v>6000</v>
      </c>
      <c r="AD913">
        <f t="shared" si="340"/>
        <v>3.7242256683503512</v>
      </c>
      <c r="AE913">
        <f t="shared" si="341"/>
        <v>6.724646908580322</v>
      </c>
      <c r="AF913">
        <f t="shared" si="342"/>
        <v>6000</v>
      </c>
      <c r="AG913">
        <f t="shared" si="343"/>
        <v>3.7242256683503512</v>
      </c>
      <c r="AH913">
        <f t="shared" si="344"/>
        <v>6.724646908580322</v>
      </c>
      <c r="AI913" cm="1">
        <f t="array" ref="AI913">_xlfn.LET(
    _xlpm.vals,   _xlfn.HSTACK(S913,V913,Y913,AB913,AE913,AH913),
    _xlpm.ints,   _xlfn.HSTACK(R913,U913,X913,AA913,AD913,AG913),
    _xlpm.slopes, _xlfn.HSTACK(Q913,T913,W913,Z913,AC913,AF913),
    _xlpm.limit,  -0.00001*_xlpm.slopes + 0.1086*_xlpm.slopes + 63.253,
    _xlpm.mask,   (_xlpm.vals&gt;=0) * (_xlpm.ints&lt;=_xlpm.limit),
    _xlpm.validVals, _xlfn._xlws.FILTER(_xlpm.vals, _xlpm.mask),
    _xlpm.minVal, MIN(_xlpm.validVals),
    IFERROR( _xlfn.XMATCH(_xlpm.minVal, _xlpm.vals), "" )
)</f>
        <v>4</v>
      </c>
      <c r="AJ913" cm="1">
        <f t="array" ref="AJ913">_xlfn.LET(
    _xlpm.vals, CHOOSE({1,2,3,4,5,6}, S913, V913, Y913, AB913, AE913, AH913),
    _xlpm.slopes, CHOOSE({1,2,3,4,5,6}, Q913, T913, W913, Z913, AC913, AF913),
    _xlpm.ints, CHOOSE({1,2,3,4,5,6}, R913, U913, X913, AA913, AD913, AG913),
    _xlpm.limit, -0.00001*_xlpm.slopes + 0.1086*_xlpm.slopes + 63.253,
    _xlpm.valid, (_xlpm.vals &gt;= 0) * (_xlpm.ints &lt;= _xlpm.limit),
    _xlpm.target, MIN(_xlfn._xlws.FILTER(_xlpm.vals, _xlpm.valid)),
    IFERROR(
        _xlfn.XLOOKUP(_xlpm.target, _xlpm.vals, _xlpm.vals),
        CHOOSE({1,2,3,4,5,6}, S$1, V$1, Y$1, AB$1, AE$1, AH$1)
    )
)</f>
        <v>0.54906708106238078</v>
      </c>
    </row>
    <row r="914" spans="9:36" x14ac:dyDescent="0.45">
      <c r="I914">
        <v>912</v>
      </c>
      <c r="J914">
        <v>24.5</v>
      </c>
      <c r="K914">
        <f t="shared" si="323"/>
        <v>24.5</v>
      </c>
      <c r="L914">
        <f t="shared" si="322"/>
        <v>6.8055555555555551E-3</v>
      </c>
      <c r="M914">
        <v>3.23</v>
      </c>
      <c r="N914">
        <f t="shared" si="324"/>
        <v>3.23</v>
      </c>
      <c r="O914">
        <f t="shared" si="325"/>
        <v>318.38197828586698</v>
      </c>
      <c r="P914">
        <f t="shared" si="326"/>
        <v>1018.8223305147744</v>
      </c>
      <c r="Q914">
        <f t="shared" si="327"/>
        <v>4666.2062737576671</v>
      </c>
      <c r="R914">
        <f t="shared" si="328"/>
        <v>6.6101295488531102</v>
      </c>
      <c r="S914">
        <f t="shared" si="329"/>
        <v>3.1499305374847055</v>
      </c>
      <c r="T914">
        <f t="shared" si="330"/>
        <v>3015.7140983237323</v>
      </c>
      <c r="U914">
        <f t="shared" si="331"/>
        <v>10.227835585725419</v>
      </c>
      <c r="V914">
        <f t="shared" si="332"/>
        <v>1.1404780512970505</v>
      </c>
      <c r="W914">
        <f t="shared" si="333"/>
        <v>1945.950651283219</v>
      </c>
      <c r="X914">
        <f t="shared" si="334"/>
        <v>15.850467714003793</v>
      </c>
      <c r="Y914">
        <f t="shared" si="335"/>
        <v>0.70314126487225448</v>
      </c>
      <c r="Z914">
        <f t="shared" si="336"/>
        <v>1467.1041559412752</v>
      </c>
      <c r="AA914">
        <f t="shared" si="337"/>
        <v>21.023884259546694</v>
      </c>
      <c r="AB914">
        <f t="shared" si="338"/>
        <v>0.61351714447075001</v>
      </c>
      <c r="AC914">
        <f t="shared" si="339"/>
        <v>6000</v>
      </c>
      <c r="AD914">
        <f t="shared" si="340"/>
        <v>5.1407046618682193</v>
      </c>
      <c r="AE914">
        <f t="shared" si="341"/>
        <v>6.7352015984841058</v>
      </c>
      <c r="AF914">
        <f t="shared" si="342"/>
        <v>6000</v>
      </c>
      <c r="AG914">
        <f t="shared" si="343"/>
        <v>5.1407046618682193</v>
      </c>
      <c r="AH914">
        <f t="shared" si="344"/>
        <v>6.7352015984841058</v>
      </c>
      <c r="AI914" cm="1">
        <f t="array" ref="AI914">_xlfn.LET(
    _xlpm.vals,   _xlfn.HSTACK(S914,V914,Y914,AB914,AE914,AH914),
    _xlpm.ints,   _xlfn.HSTACK(R914,U914,X914,AA914,AD914,AG914),
    _xlpm.slopes, _xlfn.HSTACK(Q914,T914,W914,Z914,AC914,AF914),
    _xlpm.limit,  -0.00001*_xlpm.slopes + 0.1086*_xlpm.slopes + 63.253,
    _xlpm.mask,   (_xlpm.vals&gt;=0) * (_xlpm.ints&lt;=_xlpm.limit),
    _xlpm.validVals, _xlfn._xlws.FILTER(_xlpm.vals, _xlpm.mask),
    _xlpm.minVal, MIN(_xlpm.validVals),
    IFERROR( _xlfn.XMATCH(_xlpm.minVal, _xlpm.vals), "" )
)</f>
        <v>4</v>
      </c>
      <c r="AJ914" cm="1">
        <f t="array" ref="AJ914">_xlfn.LET(
    _xlpm.vals, CHOOSE({1,2,3,4,5,6}, S914, V914, Y914, AB914, AE914, AH914),
    _xlpm.slopes, CHOOSE({1,2,3,4,5,6}, Q914, T914, W914, Z914, AC914, AF914),
    _xlpm.ints, CHOOSE({1,2,3,4,5,6}, R914, U914, X914, AA914, AD914, AG914),
    _xlpm.limit, -0.00001*_xlpm.slopes + 0.1086*_xlpm.slopes + 63.253,
    _xlpm.valid, (_xlpm.vals &gt;= 0) * (_xlpm.ints &lt;= _xlpm.limit),
    _xlpm.target, MIN(_xlfn._xlws.FILTER(_xlpm.vals, _xlpm.valid)),
    IFERROR(
        _xlfn.XLOOKUP(_xlpm.target, _xlpm.vals, _xlpm.vals),
        CHOOSE({1,2,3,4,5,6}, S$1, V$1, Y$1, AB$1, AE$1, AH$1)
    )
)</f>
        <v>0.61351714447075001</v>
      </c>
    </row>
    <row r="915" spans="9:36" x14ac:dyDescent="0.45">
      <c r="I915">
        <v>913</v>
      </c>
      <c r="J915">
        <v>24.7</v>
      </c>
      <c r="K915">
        <f t="shared" si="323"/>
        <v>24.7</v>
      </c>
      <c r="L915">
        <f t="shared" si="322"/>
        <v>6.8611111111111112E-3</v>
      </c>
      <c r="M915">
        <v>9.01</v>
      </c>
      <c r="N915">
        <f t="shared" si="324"/>
        <v>9.01</v>
      </c>
      <c r="O915">
        <f t="shared" si="325"/>
        <v>320.98101484330266</v>
      </c>
      <c r="P915">
        <f t="shared" si="326"/>
        <v>1027.1392474985685</v>
      </c>
      <c r="Q915">
        <f t="shared" si="327"/>
        <v>4704.2977535434438</v>
      </c>
      <c r="R915">
        <f t="shared" si="328"/>
        <v>18.289480543758284</v>
      </c>
      <c r="S915">
        <f t="shared" si="329"/>
        <v>3.4084695545800501</v>
      </c>
      <c r="T915">
        <f t="shared" si="330"/>
        <v>3040.3321725957626</v>
      </c>
      <c r="U915">
        <f t="shared" si="331"/>
        <v>28.2992638143287</v>
      </c>
      <c r="V915">
        <f t="shared" si="332"/>
        <v>1.4772517340339046</v>
      </c>
      <c r="W915">
        <f t="shared" si="333"/>
        <v>1961.8359627222658</v>
      </c>
      <c r="X915">
        <f t="shared" si="334"/>
        <v>43.856450727964891</v>
      </c>
      <c r="Y915">
        <f t="shared" si="335"/>
        <v>1.130919316961627</v>
      </c>
      <c r="Z915">
        <f t="shared" si="336"/>
        <v>1479.0805163979385</v>
      </c>
      <c r="AA915">
        <f t="shared" si="337"/>
        <v>58.170708951675664</v>
      </c>
      <c r="AB915">
        <f t="shared" si="338"/>
        <v>1.0948927644293192</v>
      </c>
      <c r="AC915">
        <f t="shared" si="339"/>
        <v>6000</v>
      </c>
      <c r="AD915">
        <f t="shared" si="340"/>
        <v>14.339860372579771</v>
      </c>
      <c r="AE915">
        <f t="shared" si="341"/>
        <v>6.8192997397990709</v>
      </c>
      <c r="AF915">
        <f t="shared" si="342"/>
        <v>6000</v>
      </c>
      <c r="AG915">
        <f t="shared" si="343"/>
        <v>14.339860372579771</v>
      </c>
      <c r="AH915">
        <f t="shared" si="344"/>
        <v>6.8192997397990709</v>
      </c>
      <c r="AI915" cm="1">
        <f t="array" ref="AI915">_xlfn.LET(
    _xlpm.vals,   _xlfn.HSTACK(S915,V915,Y915,AB915,AE915,AH915),
    _xlpm.ints,   _xlfn.HSTACK(R915,U915,X915,AA915,AD915,AG915),
    _xlpm.slopes, _xlfn.HSTACK(Q915,T915,W915,Z915,AC915,AF915),
    _xlpm.limit,  -0.00001*_xlpm.slopes + 0.1086*_xlpm.slopes + 63.253,
    _xlpm.mask,   (_xlpm.vals&gt;=0) * (_xlpm.ints&lt;=_xlpm.limit),
    _xlpm.validVals, _xlfn._xlws.FILTER(_xlpm.vals, _xlpm.mask),
    _xlpm.minVal, MIN(_xlpm.validVals),
    IFERROR( _xlfn.XMATCH(_xlpm.minVal, _xlpm.vals), "" )
)</f>
        <v>4</v>
      </c>
      <c r="AJ915" cm="1">
        <f t="array" ref="AJ915">_xlfn.LET(
    _xlpm.vals, CHOOSE({1,2,3,4,5,6}, S915, V915, Y915, AB915, AE915, AH915),
    _xlpm.slopes, CHOOSE({1,2,3,4,5,6}, Q915, T915, W915, Z915, AC915, AF915),
    _xlpm.ints, CHOOSE({1,2,3,4,5,6}, R915, U915, X915, AA915, AD915, AG915),
    _xlpm.limit, -0.00001*_xlpm.slopes + 0.1086*_xlpm.slopes + 63.253,
    _xlpm.valid, (_xlpm.vals &gt;= 0) * (_xlpm.ints &lt;= _xlpm.limit),
    _xlpm.target, MIN(_xlfn._xlws.FILTER(_xlpm.vals, _xlpm.valid)),
    IFERROR(
        _xlfn.XLOOKUP(_xlpm.target, _xlpm.vals, _xlpm.vals),
        CHOOSE({1,2,3,4,5,6}, S$1, V$1, Y$1, AB$1, AE$1, AH$1)
    )
)</f>
        <v>1.0948927644293192</v>
      </c>
    </row>
    <row r="916" spans="9:36" x14ac:dyDescent="0.45">
      <c r="I916">
        <v>914</v>
      </c>
      <c r="J916">
        <v>25.1</v>
      </c>
      <c r="K916">
        <f t="shared" si="323"/>
        <v>25.1</v>
      </c>
      <c r="L916">
        <f t="shared" si="322"/>
        <v>6.9722222222222225E-3</v>
      </c>
      <c r="M916">
        <v>9.4600000000000009</v>
      </c>
      <c r="N916">
        <f t="shared" si="324"/>
        <v>9.4600000000000009</v>
      </c>
      <c r="O916">
        <f t="shared" si="325"/>
        <v>326.17908795817397</v>
      </c>
      <c r="P916">
        <f t="shared" si="326"/>
        <v>1043.7730814661568</v>
      </c>
      <c r="Q916">
        <f t="shared" si="327"/>
        <v>4780.4807131149983</v>
      </c>
      <c r="R916">
        <f t="shared" si="328"/>
        <v>18.896916674326658</v>
      </c>
      <c r="S916">
        <f t="shared" si="329"/>
        <v>3.5704051902800127</v>
      </c>
      <c r="T916">
        <f t="shared" si="330"/>
        <v>3089.5683211398241</v>
      </c>
      <c r="U916">
        <f t="shared" si="331"/>
        <v>29.239148097437869</v>
      </c>
      <c r="V916">
        <f t="shared" si="332"/>
        <v>1.5327962284498584</v>
      </c>
      <c r="W916">
        <f t="shared" si="333"/>
        <v>1993.6065856003593</v>
      </c>
      <c r="X916">
        <f t="shared" si="334"/>
        <v>45.313025323778064</v>
      </c>
      <c r="Y916">
        <f t="shared" si="335"/>
        <v>1.1710435435795692</v>
      </c>
      <c r="Z916">
        <f t="shared" si="336"/>
        <v>1503.0332373112658</v>
      </c>
      <c r="AA916">
        <f t="shared" si="337"/>
        <v>60.102693311400067</v>
      </c>
      <c r="AB916">
        <f t="shared" si="338"/>
        <v>1.1360333169455823</v>
      </c>
      <c r="AC916">
        <f t="shared" si="339"/>
        <v>6000</v>
      </c>
      <c r="AD916">
        <f t="shared" si="340"/>
        <v>15.0560576164933</v>
      </c>
      <c r="AE916">
        <f t="shared" si="341"/>
        <v>6.8269501064788702</v>
      </c>
      <c r="AF916">
        <f t="shared" si="342"/>
        <v>6000</v>
      </c>
      <c r="AG916">
        <f t="shared" si="343"/>
        <v>15.0560576164933</v>
      </c>
      <c r="AH916">
        <f t="shared" si="344"/>
        <v>6.8269501064788702</v>
      </c>
      <c r="AI916" cm="1">
        <f t="array" ref="AI916">_xlfn.LET(
    _xlpm.vals,   _xlfn.HSTACK(S916,V916,Y916,AB916,AE916,AH916),
    _xlpm.ints,   _xlfn.HSTACK(R916,U916,X916,AA916,AD916,AG916),
    _xlpm.slopes, _xlfn.HSTACK(Q916,T916,W916,Z916,AC916,AF916),
    _xlpm.limit,  -0.00001*_xlpm.slopes + 0.1086*_xlpm.slopes + 63.253,
    _xlpm.mask,   (_xlpm.vals&gt;=0) * (_xlpm.ints&lt;=_xlpm.limit),
    _xlpm.validVals, _xlfn._xlws.FILTER(_xlpm.vals, _xlpm.mask),
    _xlpm.minVal, MIN(_xlpm.validVals),
    IFERROR( _xlfn.XMATCH(_xlpm.minVal, _xlpm.vals), "" )
)</f>
        <v>4</v>
      </c>
      <c r="AJ916" cm="1">
        <f t="array" ref="AJ916">_xlfn.LET(
    _xlpm.vals, CHOOSE({1,2,3,4,5,6}, S916, V916, Y916, AB916, AE916, AH916),
    _xlpm.slopes, CHOOSE({1,2,3,4,5,6}, Q916, T916, W916, Z916, AC916, AF916),
    _xlpm.ints, CHOOSE({1,2,3,4,5,6}, R916, U916, X916, AA916, AD916, AG916),
    _xlpm.limit, -0.00001*_xlpm.slopes + 0.1086*_xlpm.slopes + 63.253,
    _xlpm.valid, (_xlpm.vals &gt;= 0) * (_xlpm.ints &lt;= _xlpm.limit),
    _xlpm.target, MIN(_xlfn._xlws.FILTER(_xlpm.vals, _xlpm.valid)),
    IFERROR(
        _xlfn.XLOOKUP(_xlpm.target, _xlpm.vals, _xlpm.vals),
        CHOOSE({1,2,3,4,5,6}, S$1, V$1, Y$1, AB$1, AE$1, AH$1)
    )
)</f>
        <v>1.1360333169455823</v>
      </c>
    </row>
    <row r="917" spans="9:36" x14ac:dyDescent="0.45">
      <c r="I917">
        <v>915</v>
      </c>
      <c r="J917">
        <v>25.1</v>
      </c>
      <c r="K917">
        <f t="shared" si="323"/>
        <v>25.1</v>
      </c>
      <c r="L917">
        <f t="shared" si="322"/>
        <v>6.9722222222222225E-3</v>
      </c>
      <c r="M917">
        <v>3.53</v>
      </c>
      <c r="N917">
        <f t="shared" si="324"/>
        <v>3.53</v>
      </c>
      <c r="O917">
        <f t="shared" si="325"/>
        <v>326.17908795817397</v>
      </c>
      <c r="P917">
        <f t="shared" si="326"/>
        <v>1043.7730814661568</v>
      </c>
      <c r="Q917">
        <f t="shared" si="327"/>
        <v>4780.4807131149983</v>
      </c>
      <c r="R917">
        <f t="shared" si="328"/>
        <v>7.0513864545848941</v>
      </c>
      <c r="S917">
        <f t="shared" si="329"/>
        <v>3.3849821317609914</v>
      </c>
      <c r="T917">
        <f t="shared" si="330"/>
        <v>3089.5683211398241</v>
      </c>
      <c r="U917">
        <f t="shared" si="331"/>
        <v>10.910591203377978</v>
      </c>
      <c r="V917">
        <f t="shared" si="332"/>
        <v>1.2043497080680403</v>
      </c>
      <c r="W917">
        <f t="shared" si="333"/>
        <v>1993.6065856003593</v>
      </c>
      <c r="X917">
        <f t="shared" si="334"/>
        <v>16.908560189528178</v>
      </c>
      <c r="Y917">
        <f t="shared" si="335"/>
        <v>0.73400722833298215</v>
      </c>
      <c r="Z917">
        <f t="shared" si="336"/>
        <v>1503.0332373112658</v>
      </c>
      <c r="AA917">
        <f t="shared" si="337"/>
        <v>22.42732636249918</v>
      </c>
      <c r="AB917">
        <f t="shared" si="338"/>
        <v>0.64112252215869692</v>
      </c>
      <c r="AC917">
        <f t="shared" si="339"/>
        <v>6000</v>
      </c>
      <c r="AD917">
        <f t="shared" si="340"/>
        <v>5.618169491143906</v>
      </c>
      <c r="AE917">
        <f t="shared" si="341"/>
        <v>6.7389061143136759</v>
      </c>
      <c r="AF917">
        <f t="shared" si="342"/>
        <v>6000</v>
      </c>
      <c r="AG917">
        <f t="shared" si="343"/>
        <v>5.618169491143906</v>
      </c>
      <c r="AH917">
        <f t="shared" si="344"/>
        <v>6.7389061143136759</v>
      </c>
      <c r="AI917" cm="1">
        <f t="array" ref="AI917">_xlfn.LET(
    _xlpm.vals,   _xlfn.HSTACK(S917,V917,Y917,AB917,AE917,AH917),
    _xlpm.ints,   _xlfn.HSTACK(R917,U917,X917,AA917,AD917,AG917),
    _xlpm.slopes, _xlfn.HSTACK(Q917,T917,W917,Z917,AC917,AF917),
    _xlpm.limit,  -0.00001*_xlpm.slopes + 0.1086*_xlpm.slopes + 63.253,
    _xlpm.mask,   (_xlpm.vals&gt;=0) * (_xlpm.ints&lt;=_xlpm.limit),
    _xlpm.validVals, _xlfn._xlws.FILTER(_xlpm.vals, _xlpm.mask),
    _xlpm.minVal, MIN(_xlpm.validVals),
    IFERROR( _xlfn.XMATCH(_xlpm.minVal, _xlpm.vals), "" )
)</f>
        <v>4</v>
      </c>
      <c r="AJ917" cm="1">
        <f t="array" ref="AJ917">_xlfn.LET(
    _xlpm.vals, CHOOSE({1,2,3,4,5,6}, S917, V917, Y917, AB917, AE917, AH917),
    _xlpm.slopes, CHOOSE({1,2,3,4,5,6}, Q917, T917, W917, Z917, AC917, AF917),
    _xlpm.ints, CHOOSE({1,2,3,4,5,6}, R917, U917, X917, AA917, AD917, AG917),
    _xlpm.limit, -0.00001*_xlpm.slopes + 0.1086*_xlpm.slopes + 63.253,
    _xlpm.valid, (_xlpm.vals &gt;= 0) * (_xlpm.ints &lt;= _xlpm.limit),
    _xlpm.target, MIN(_xlfn._xlws.FILTER(_xlpm.vals, _xlpm.valid)),
    IFERROR(
        _xlfn.XLOOKUP(_xlpm.target, _xlpm.vals, _xlpm.vals),
        CHOOSE({1,2,3,4,5,6}, S$1, V$1, Y$1, AB$1, AE$1, AH$1)
    )
)</f>
        <v>0.64112252215869692</v>
      </c>
    </row>
    <row r="918" spans="9:36" x14ac:dyDescent="0.45">
      <c r="I918">
        <v>916</v>
      </c>
      <c r="J918">
        <v>24.8</v>
      </c>
      <c r="K918">
        <f t="shared" si="323"/>
        <v>24.8</v>
      </c>
      <c r="L918">
        <f t="shared" si="322"/>
        <v>6.8888888888888888E-3</v>
      </c>
      <c r="M918">
        <v>3.82</v>
      </c>
      <c r="N918">
        <f t="shared" si="324"/>
        <v>3.82</v>
      </c>
      <c r="O918">
        <f t="shared" si="325"/>
        <v>322.28053312202047</v>
      </c>
      <c r="P918">
        <f t="shared" si="326"/>
        <v>1031.2977059904656</v>
      </c>
      <c r="Q918">
        <f t="shared" si="327"/>
        <v>4723.3434934363322</v>
      </c>
      <c r="R918">
        <f t="shared" si="328"/>
        <v>7.7229854249121459</v>
      </c>
      <c r="S918">
        <f t="shared" si="329"/>
        <v>3.2786204390284359</v>
      </c>
      <c r="T918">
        <f t="shared" si="330"/>
        <v>3052.641209731778</v>
      </c>
      <c r="U918">
        <f t="shared" si="331"/>
        <v>11.949754475032984</v>
      </c>
      <c r="V918">
        <f t="shared" si="332"/>
        <v>1.1944834818711714</v>
      </c>
      <c r="W918">
        <f t="shared" si="333"/>
        <v>1969.7786184417891</v>
      </c>
      <c r="X918">
        <f t="shared" si="334"/>
        <v>18.518991228323365</v>
      </c>
      <c r="Y918">
        <f t="shared" si="335"/>
        <v>0.74771616457449031</v>
      </c>
      <c r="Z918">
        <f t="shared" si="336"/>
        <v>1485.0686966262704</v>
      </c>
      <c r="AA918">
        <f t="shared" si="337"/>
        <v>24.563384198678911</v>
      </c>
      <c r="AB918">
        <f t="shared" si="338"/>
        <v>0.66014958209875474</v>
      </c>
      <c r="AC918">
        <f t="shared" si="339"/>
        <v>6000</v>
      </c>
      <c r="AD918">
        <f t="shared" si="340"/>
        <v>6.079718826110402</v>
      </c>
      <c r="AE918">
        <f t="shared" si="341"/>
        <v>6.742557126852355</v>
      </c>
      <c r="AF918">
        <f t="shared" si="342"/>
        <v>6000</v>
      </c>
      <c r="AG918">
        <f t="shared" si="343"/>
        <v>6.079718826110402</v>
      </c>
      <c r="AH918">
        <f t="shared" si="344"/>
        <v>6.742557126852355</v>
      </c>
      <c r="AI918" cm="1">
        <f t="array" ref="AI918">_xlfn.LET(
    _xlpm.vals,   _xlfn.HSTACK(S918,V918,Y918,AB918,AE918,AH918),
    _xlpm.ints,   _xlfn.HSTACK(R918,U918,X918,AA918,AD918,AG918),
    _xlpm.slopes, _xlfn.HSTACK(Q918,T918,W918,Z918,AC918,AF918),
    _xlpm.limit,  -0.00001*_xlpm.slopes + 0.1086*_xlpm.slopes + 63.253,
    _xlpm.mask,   (_xlpm.vals&gt;=0) * (_xlpm.ints&lt;=_xlpm.limit),
    _xlpm.validVals, _xlfn._xlws.FILTER(_xlpm.vals, _xlpm.mask),
    _xlpm.minVal, MIN(_xlpm.validVals),
    IFERROR( _xlfn.XMATCH(_xlpm.minVal, _xlpm.vals), "" )
)</f>
        <v>4</v>
      </c>
      <c r="AJ918" cm="1">
        <f t="array" ref="AJ918">_xlfn.LET(
    _xlpm.vals, CHOOSE({1,2,3,4,5,6}, S918, V918, Y918, AB918, AE918, AH918),
    _xlpm.slopes, CHOOSE({1,2,3,4,5,6}, Q918, T918, W918, Z918, AC918, AF918),
    _xlpm.ints, CHOOSE({1,2,3,4,5,6}, R918, U918, X918, AA918, AD918, AG918),
    _xlpm.limit, -0.00001*_xlpm.slopes + 0.1086*_xlpm.slopes + 63.253,
    _xlpm.valid, (_xlpm.vals &gt;= 0) * (_xlpm.ints &lt;= _xlpm.limit),
    _xlpm.target, MIN(_xlfn._xlws.FILTER(_xlpm.vals, _xlpm.valid)),
    IFERROR(
        _xlfn.XLOOKUP(_xlpm.target, _xlpm.vals, _xlpm.vals),
        CHOOSE({1,2,3,4,5,6}, S$1, V$1, Y$1, AB$1, AE$1, AH$1)
    )
)</f>
        <v>0.66014958209875474</v>
      </c>
    </row>
    <row r="919" spans="9:36" x14ac:dyDescent="0.45">
      <c r="I919">
        <v>917</v>
      </c>
      <c r="J919">
        <v>24.6</v>
      </c>
      <c r="K919">
        <f t="shared" si="323"/>
        <v>24.6</v>
      </c>
      <c r="L919">
        <f t="shared" si="322"/>
        <v>6.8333333333333336E-3</v>
      </c>
      <c r="M919">
        <v>-0.85</v>
      </c>
      <c r="N919">
        <f t="shared" si="324"/>
        <v>0</v>
      </c>
      <c r="O919">
        <f t="shared" si="325"/>
        <v>319.68149656458485</v>
      </c>
      <c r="P919">
        <f t="shared" si="326"/>
        <v>1022.9807890066716</v>
      </c>
      <c r="Q919">
        <f t="shared" si="327"/>
        <v>4685.2520136505555</v>
      </c>
      <c r="R919">
        <f t="shared" si="328"/>
        <v>0</v>
      </c>
      <c r="S919">
        <f t="shared" si="329"/>
        <v>3.0987911520133786</v>
      </c>
      <c r="T919">
        <f t="shared" si="330"/>
        <v>3028.0231354597477</v>
      </c>
      <c r="U919">
        <f t="shared" si="331"/>
        <v>0</v>
      </c>
      <c r="V919">
        <f t="shared" si="332"/>
        <v>0.99560369685823491</v>
      </c>
      <c r="W919">
        <f t="shared" si="333"/>
        <v>1953.8933070027426</v>
      </c>
      <c r="X919">
        <f t="shared" si="334"/>
        <v>0</v>
      </c>
      <c r="Y919">
        <f t="shared" si="335"/>
        <v>0.51222538185333732</v>
      </c>
      <c r="Z919">
        <f t="shared" si="336"/>
        <v>1473.0923361696071</v>
      </c>
      <c r="AA919">
        <f t="shared" si="337"/>
        <v>0</v>
      </c>
      <c r="AB919">
        <f t="shared" si="338"/>
        <v>0.4044640566754486</v>
      </c>
      <c r="AC919">
        <f t="shared" si="339"/>
        <v>6000</v>
      </c>
      <c r="AD919">
        <f t="shared" si="340"/>
        <v>0</v>
      </c>
      <c r="AE919">
        <f t="shared" si="341"/>
        <v>6.7000407999999982</v>
      </c>
      <c r="AF919">
        <f t="shared" si="342"/>
        <v>6000</v>
      </c>
      <c r="AG919">
        <f t="shared" si="343"/>
        <v>0</v>
      </c>
      <c r="AH919">
        <f t="shared" si="344"/>
        <v>6.7000407999999982</v>
      </c>
      <c r="AI919" cm="1">
        <f t="array" ref="AI919">_xlfn.LET(
    _xlpm.vals,   _xlfn.HSTACK(S919,V919,Y919,AB919,AE919,AH919),
    _xlpm.ints,   _xlfn.HSTACK(R919,U919,X919,AA919,AD919,AG919),
    _xlpm.slopes, _xlfn.HSTACK(Q919,T919,W919,Z919,AC919,AF919),
    _xlpm.limit,  -0.00001*_xlpm.slopes + 0.1086*_xlpm.slopes + 63.253,
    _xlpm.mask,   (_xlpm.vals&gt;=0) * (_xlpm.ints&lt;=_xlpm.limit),
    _xlpm.validVals, _xlfn._xlws.FILTER(_xlpm.vals, _xlpm.mask),
    _xlpm.minVal, MIN(_xlpm.validVals),
    IFERROR( _xlfn.XMATCH(_xlpm.minVal, _xlpm.vals), "" )
)</f>
        <v>4</v>
      </c>
      <c r="AJ919" cm="1">
        <f t="array" ref="AJ919">_xlfn.LET(
    _xlpm.vals, CHOOSE({1,2,3,4,5,6}, S919, V919, Y919, AB919, AE919, AH919),
    _xlpm.slopes, CHOOSE({1,2,3,4,5,6}, Q919, T919, W919, Z919, AC919, AF919),
    _xlpm.ints, CHOOSE({1,2,3,4,5,6}, R919, U919, X919, AA919, AD919, AG919),
    _xlpm.limit, -0.00001*_xlpm.slopes + 0.1086*_xlpm.slopes + 63.253,
    _xlpm.valid, (_xlpm.vals &gt;= 0) * (_xlpm.ints &lt;= _xlpm.limit),
    _xlpm.target, MIN(_xlfn._xlws.FILTER(_xlpm.vals, _xlpm.valid)),
    IFERROR(
        _xlfn.XLOOKUP(_xlpm.target, _xlpm.vals, _xlpm.vals),
        CHOOSE({1,2,3,4,5,6}, S$1, V$1, Y$1, AB$1, AE$1, AH$1)
    )
)</f>
        <v>0.4044640566754486</v>
      </c>
    </row>
    <row r="920" spans="9:36" x14ac:dyDescent="0.45">
      <c r="I920">
        <v>918</v>
      </c>
      <c r="J920">
        <v>24.1</v>
      </c>
      <c r="K920">
        <f t="shared" si="323"/>
        <v>24.1</v>
      </c>
      <c r="L920">
        <f t="shared" si="322"/>
        <v>6.6944444444444447E-3</v>
      </c>
      <c r="M920">
        <v>-0.18</v>
      </c>
      <c r="N920">
        <f t="shared" si="324"/>
        <v>0</v>
      </c>
      <c r="O920">
        <f t="shared" si="325"/>
        <v>313.18390517099573</v>
      </c>
      <c r="P920">
        <f t="shared" si="326"/>
        <v>1002.1884965471863</v>
      </c>
      <c r="Q920">
        <f t="shared" si="327"/>
        <v>4590.0233141861136</v>
      </c>
      <c r="R920">
        <f t="shared" si="328"/>
        <v>0</v>
      </c>
      <c r="S920">
        <f t="shared" si="329"/>
        <v>2.9144568507329387</v>
      </c>
      <c r="T920">
        <f t="shared" si="330"/>
        <v>2966.4779497796717</v>
      </c>
      <c r="U920">
        <f t="shared" si="331"/>
        <v>0</v>
      </c>
      <c r="V920">
        <f t="shared" si="332"/>
        <v>0.95437434090974094</v>
      </c>
      <c r="W920">
        <f t="shared" si="333"/>
        <v>1914.1800284051258</v>
      </c>
      <c r="X920">
        <f t="shared" si="334"/>
        <v>0</v>
      </c>
      <c r="Y920">
        <f t="shared" si="335"/>
        <v>0.50171884864815763</v>
      </c>
      <c r="Z920">
        <f t="shared" si="336"/>
        <v>1443.1514350279483</v>
      </c>
      <c r="AA920">
        <f t="shared" si="337"/>
        <v>0</v>
      </c>
      <c r="AB920">
        <f t="shared" si="338"/>
        <v>0.39880844677609373</v>
      </c>
      <c r="AC920">
        <f t="shared" si="339"/>
        <v>6000</v>
      </c>
      <c r="AD920">
        <f t="shared" si="340"/>
        <v>0</v>
      </c>
      <c r="AE920">
        <f t="shared" si="341"/>
        <v>6.7000407999999982</v>
      </c>
      <c r="AF920">
        <f t="shared" si="342"/>
        <v>6000</v>
      </c>
      <c r="AG920">
        <f t="shared" si="343"/>
        <v>0</v>
      </c>
      <c r="AH920">
        <f t="shared" si="344"/>
        <v>6.7000407999999982</v>
      </c>
      <c r="AI920" cm="1">
        <f t="array" ref="AI920">_xlfn.LET(
    _xlpm.vals,   _xlfn.HSTACK(S920,V920,Y920,AB920,AE920,AH920),
    _xlpm.ints,   _xlfn.HSTACK(R920,U920,X920,AA920,AD920,AG920),
    _xlpm.slopes, _xlfn.HSTACK(Q920,T920,W920,Z920,AC920,AF920),
    _xlpm.limit,  -0.00001*_xlpm.slopes + 0.1086*_xlpm.slopes + 63.253,
    _xlpm.mask,   (_xlpm.vals&gt;=0) * (_xlpm.ints&lt;=_xlpm.limit),
    _xlpm.validVals, _xlfn._xlws.FILTER(_xlpm.vals, _xlpm.mask),
    _xlpm.minVal, MIN(_xlpm.validVals),
    IFERROR( _xlfn.XMATCH(_xlpm.minVal, _xlpm.vals), "" )
)</f>
        <v>4</v>
      </c>
      <c r="AJ920" cm="1">
        <f t="array" ref="AJ920">_xlfn.LET(
    _xlpm.vals, CHOOSE({1,2,3,4,5,6}, S920, V920, Y920, AB920, AE920, AH920),
    _xlpm.slopes, CHOOSE({1,2,3,4,5,6}, Q920, T920, W920, Z920, AC920, AF920),
    _xlpm.ints, CHOOSE({1,2,3,4,5,6}, R920, U920, X920, AA920, AD920, AG920),
    _xlpm.limit, -0.00001*_xlpm.slopes + 0.1086*_xlpm.slopes + 63.253,
    _xlpm.valid, (_xlpm.vals &gt;= 0) * (_xlpm.ints &lt;= _xlpm.limit),
    _xlpm.target, MIN(_xlfn._xlws.FILTER(_xlpm.vals, _xlpm.valid)),
    IFERROR(
        _xlfn.XLOOKUP(_xlpm.target, _xlpm.vals, _xlpm.vals),
        CHOOSE({1,2,3,4,5,6}, S$1, V$1, Y$1, AB$1, AE$1, AH$1)
    )
)</f>
        <v>0.39880844677609373</v>
      </c>
    </row>
    <row r="921" spans="9:36" x14ac:dyDescent="0.45">
      <c r="I921">
        <v>919</v>
      </c>
      <c r="J921">
        <v>24.7</v>
      </c>
      <c r="K921">
        <f t="shared" si="323"/>
        <v>24.7</v>
      </c>
      <c r="L921">
        <f t="shared" si="322"/>
        <v>6.8611111111111112E-3</v>
      </c>
      <c r="M921">
        <v>12.46</v>
      </c>
      <c r="N921">
        <f t="shared" si="324"/>
        <v>12.46</v>
      </c>
      <c r="O921">
        <f t="shared" si="325"/>
        <v>320.98101484330266</v>
      </c>
      <c r="P921">
        <f t="shared" si="326"/>
        <v>1027.1392474985685</v>
      </c>
      <c r="Q921">
        <f t="shared" si="327"/>
        <v>4704.2977535434438</v>
      </c>
      <c r="R921">
        <f t="shared" si="328"/>
        <v>25.29266676750591</v>
      </c>
      <c r="S921">
        <f t="shared" si="329"/>
        <v>3.5347984399722647</v>
      </c>
      <c r="T921">
        <f t="shared" si="330"/>
        <v>3040.3321725957626</v>
      </c>
      <c r="U921">
        <f t="shared" si="331"/>
        <v>39.135274930803064</v>
      </c>
      <c r="V921">
        <f t="shared" si="332"/>
        <v>1.693937438622652</v>
      </c>
      <c r="W921">
        <f t="shared" si="333"/>
        <v>1961.8359627222658</v>
      </c>
      <c r="X921">
        <f t="shared" si="334"/>
        <v>60.649431306375426</v>
      </c>
      <c r="Y921">
        <f t="shared" si="335"/>
        <v>1.4168355739922611</v>
      </c>
      <c r="Z921">
        <f t="shared" si="336"/>
        <v>1479.0805163979385</v>
      </c>
      <c r="AA921">
        <f t="shared" si="337"/>
        <v>80.444731802206306</v>
      </c>
      <c r="AB921">
        <f t="shared" si="338"/>
        <v>1.4076696446438937</v>
      </c>
      <c r="AC921">
        <f t="shared" si="339"/>
        <v>6000</v>
      </c>
      <c r="AD921">
        <f t="shared" si="340"/>
        <v>19.83070590925016</v>
      </c>
      <c r="AE921">
        <f t="shared" si="341"/>
        <v>6.8818904372520144</v>
      </c>
      <c r="AF921">
        <f t="shared" si="342"/>
        <v>6000</v>
      </c>
      <c r="AG921">
        <f t="shared" si="343"/>
        <v>19.83070590925016</v>
      </c>
      <c r="AH921">
        <f t="shared" si="344"/>
        <v>6.8818904372520144</v>
      </c>
      <c r="AI921" cm="1">
        <f t="array" ref="AI921">_xlfn.LET(
    _xlpm.vals,   _xlfn.HSTACK(S921,V921,Y921,AB921,AE921,AH921),
    _xlpm.ints,   _xlfn.HSTACK(R921,U921,X921,AA921,AD921,AG921),
    _xlpm.slopes, _xlfn.HSTACK(Q921,T921,W921,Z921,AC921,AF921),
    _xlpm.limit,  -0.00001*_xlpm.slopes + 0.1086*_xlpm.slopes + 63.253,
    _xlpm.mask,   (_xlpm.vals&gt;=0) * (_xlpm.ints&lt;=_xlpm.limit),
    _xlpm.validVals, _xlfn._xlws.FILTER(_xlpm.vals, _xlpm.mask),
    _xlpm.minVal, MIN(_xlpm.validVals),
    IFERROR( _xlfn.XMATCH(_xlpm.minVal, _xlpm.vals), "" )
)</f>
        <v>4</v>
      </c>
      <c r="AJ921" cm="1">
        <f t="array" ref="AJ921">_xlfn.LET(
    _xlpm.vals, CHOOSE({1,2,3,4,5,6}, S921, V921, Y921, AB921, AE921, AH921),
    _xlpm.slopes, CHOOSE({1,2,3,4,5,6}, Q921, T921, W921, Z921, AC921, AF921),
    _xlpm.ints, CHOOSE({1,2,3,4,5,6}, R921, U921, X921, AA921, AD921, AG921),
    _xlpm.limit, -0.00001*_xlpm.slopes + 0.1086*_xlpm.slopes + 63.253,
    _xlpm.valid, (_xlpm.vals &gt;= 0) * (_xlpm.ints &lt;= _xlpm.limit),
    _xlpm.target, MIN(_xlfn._xlws.FILTER(_xlpm.vals, _xlpm.valid)),
    IFERROR(
        _xlfn.XLOOKUP(_xlpm.target, _xlpm.vals, _xlpm.vals),
        CHOOSE({1,2,3,4,5,6}, S$1, V$1, Y$1, AB$1, AE$1, AH$1)
    )
)</f>
        <v>1.4076696446438937</v>
      </c>
    </row>
    <row r="922" spans="9:36" x14ac:dyDescent="0.45">
      <c r="I922">
        <v>920</v>
      </c>
      <c r="J922">
        <v>25.5</v>
      </c>
      <c r="K922">
        <f t="shared" si="323"/>
        <v>25.5</v>
      </c>
      <c r="L922">
        <f t="shared" si="322"/>
        <v>7.083333333333333E-3</v>
      </c>
      <c r="M922">
        <v>12.45</v>
      </c>
      <c r="N922">
        <f t="shared" si="324"/>
        <v>12.45</v>
      </c>
      <c r="O922">
        <f t="shared" si="325"/>
        <v>331.37716107304522</v>
      </c>
      <c r="P922">
        <f t="shared" si="326"/>
        <v>1060.4069154337446</v>
      </c>
      <c r="Q922">
        <f t="shared" si="327"/>
        <v>4856.6636726865509</v>
      </c>
      <c r="R922">
        <f t="shared" si="328"/>
        <v>24.479509083213987</v>
      </c>
      <c r="S922">
        <f t="shared" si="329"/>
        <v>3.8260777899675738</v>
      </c>
      <c r="T922">
        <f t="shared" si="330"/>
        <v>3138.8044696838842</v>
      </c>
      <c r="U922">
        <f t="shared" si="331"/>
        <v>37.877078243621639</v>
      </c>
      <c r="V922">
        <f t="shared" si="332"/>
        <v>1.7461204575869427</v>
      </c>
      <c r="W922">
        <f t="shared" si="333"/>
        <v>2025.3772084784521</v>
      </c>
      <c r="X922">
        <f t="shared" si="334"/>
        <v>58.699555812104755</v>
      </c>
      <c r="Y922">
        <f t="shared" si="335"/>
        <v>1.4203791403421824</v>
      </c>
      <c r="Z922">
        <f t="shared" si="336"/>
        <v>1526.9859582245922</v>
      </c>
      <c r="AA922">
        <f t="shared" si="337"/>
        <v>77.858438611888943</v>
      </c>
      <c r="AB922">
        <f t="shared" si="338"/>
        <v>1.4068577814121987</v>
      </c>
      <c r="AC922">
        <f t="shared" si="339"/>
        <v>6000</v>
      </c>
      <c r="AD922">
        <f t="shared" si="340"/>
        <v>19.814790414940969</v>
      </c>
      <c r="AE922">
        <f t="shared" si="341"/>
        <v>6.8816960709100483</v>
      </c>
      <c r="AF922">
        <f t="shared" si="342"/>
        <v>6000</v>
      </c>
      <c r="AG922">
        <f t="shared" si="343"/>
        <v>19.814790414940969</v>
      </c>
      <c r="AH922">
        <f t="shared" si="344"/>
        <v>6.8816960709100483</v>
      </c>
      <c r="AI922" cm="1">
        <f t="array" ref="AI922">_xlfn.LET(
    _xlpm.vals,   _xlfn.HSTACK(S922,V922,Y922,AB922,AE922,AH922),
    _xlpm.ints,   _xlfn.HSTACK(R922,U922,X922,AA922,AD922,AG922),
    _xlpm.slopes, _xlfn.HSTACK(Q922,T922,W922,Z922,AC922,AF922),
    _xlpm.limit,  -0.00001*_xlpm.slopes + 0.1086*_xlpm.slopes + 63.253,
    _xlpm.mask,   (_xlpm.vals&gt;=0) * (_xlpm.ints&lt;=_xlpm.limit),
    _xlpm.validVals, _xlfn._xlws.FILTER(_xlpm.vals, _xlpm.mask),
    _xlpm.minVal, MIN(_xlpm.validVals),
    IFERROR( _xlfn.XMATCH(_xlpm.minVal, _xlpm.vals), "" )
)</f>
        <v>4</v>
      </c>
      <c r="AJ922" cm="1">
        <f t="array" ref="AJ922">_xlfn.LET(
    _xlpm.vals, CHOOSE({1,2,3,4,5,6}, S922, V922, Y922, AB922, AE922, AH922),
    _xlpm.slopes, CHOOSE({1,2,3,4,5,6}, Q922, T922, W922, Z922, AC922, AF922),
    _xlpm.ints, CHOOSE({1,2,3,4,5,6}, R922, U922, X922, AA922, AD922, AG922),
    _xlpm.limit, -0.00001*_xlpm.slopes + 0.1086*_xlpm.slopes + 63.253,
    _xlpm.valid, (_xlpm.vals &gt;= 0) * (_xlpm.ints &lt;= _xlpm.limit),
    _xlpm.target, MIN(_xlfn._xlws.FILTER(_xlpm.vals, _xlpm.valid)),
    IFERROR(
        _xlfn.XLOOKUP(_xlpm.target, _xlpm.vals, _xlpm.vals),
        CHOOSE({1,2,3,4,5,6}, S$1, V$1, Y$1, AB$1, AE$1, AH$1)
    )
)</f>
        <v>1.4068577814121987</v>
      </c>
    </row>
    <row r="923" spans="9:36" x14ac:dyDescent="0.45">
      <c r="I923">
        <v>921</v>
      </c>
      <c r="J923">
        <v>25.8</v>
      </c>
      <c r="K923">
        <f t="shared" si="323"/>
        <v>25.8</v>
      </c>
      <c r="L923">
        <f t="shared" si="322"/>
        <v>7.1666666666666667E-3</v>
      </c>
      <c r="M923">
        <v>5.1100000000000003</v>
      </c>
      <c r="N923">
        <f t="shared" si="324"/>
        <v>5.1100000000000003</v>
      </c>
      <c r="O923">
        <f t="shared" si="325"/>
        <v>335.27571590919877</v>
      </c>
      <c r="P923">
        <f t="shared" si="326"/>
        <v>1072.8822909094361</v>
      </c>
      <c r="Q923">
        <f t="shared" si="327"/>
        <v>4913.8008923652169</v>
      </c>
      <c r="R923">
        <f t="shared" si="328"/>
        <v>9.9305825817633266</v>
      </c>
      <c r="S923">
        <f t="shared" si="329"/>
        <v>3.7093175266613736</v>
      </c>
      <c r="T923">
        <f t="shared" si="330"/>
        <v>3175.7315810919308</v>
      </c>
      <c r="U923">
        <f t="shared" si="331"/>
        <v>15.365563589350009</v>
      </c>
      <c r="V923">
        <f t="shared" si="332"/>
        <v>1.3446896771766541</v>
      </c>
      <c r="W923">
        <f t="shared" si="333"/>
        <v>2049.2051756370229</v>
      </c>
      <c r="X923">
        <f t="shared" si="334"/>
        <v>23.812601164647138</v>
      </c>
      <c r="Y923">
        <f t="shared" si="335"/>
        <v>0.85381074619898645</v>
      </c>
      <c r="Z923">
        <f t="shared" si="336"/>
        <v>1544.9504989095878</v>
      </c>
      <c r="AA923">
        <f t="shared" si="337"/>
        <v>31.584769600330581</v>
      </c>
      <c r="AB923">
        <f t="shared" si="338"/>
        <v>0.76813953313792516</v>
      </c>
      <c r="AC923">
        <f t="shared" si="339"/>
        <v>6000</v>
      </c>
      <c r="AD923">
        <f t="shared" si="340"/>
        <v>8.1328175919958525</v>
      </c>
      <c r="AE923">
        <f t="shared" si="341"/>
        <v>6.7596260971665423</v>
      </c>
      <c r="AF923">
        <f t="shared" si="342"/>
        <v>6000</v>
      </c>
      <c r="AG923">
        <f t="shared" si="343"/>
        <v>8.1328175919958525</v>
      </c>
      <c r="AH923">
        <f t="shared" si="344"/>
        <v>6.7596260971665423</v>
      </c>
      <c r="AI923" cm="1">
        <f t="array" ref="AI923">_xlfn.LET(
    _xlpm.vals,   _xlfn.HSTACK(S923,V923,Y923,AB923,AE923,AH923),
    _xlpm.ints,   _xlfn.HSTACK(R923,U923,X923,AA923,AD923,AG923),
    _xlpm.slopes, _xlfn.HSTACK(Q923,T923,W923,Z923,AC923,AF923),
    _xlpm.limit,  -0.00001*_xlpm.slopes + 0.1086*_xlpm.slopes + 63.253,
    _xlpm.mask,   (_xlpm.vals&gt;=0) * (_xlpm.ints&lt;=_xlpm.limit),
    _xlpm.validVals, _xlfn._xlws.FILTER(_xlpm.vals, _xlpm.mask),
    _xlpm.minVal, MIN(_xlpm.validVals),
    IFERROR( _xlfn.XMATCH(_xlpm.minVal, _xlpm.vals), "" )
)</f>
        <v>4</v>
      </c>
      <c r="AJ923" cm="1">
        <f t="array" ref="AJ923">_xlfn.LET(
    _xlpm.vals, CHOOSE({1,2,3,4,5,6}, S923, V923, Y923, AB923, AE923, AH923),
    _xlpm.slopes, CHOOSE({1,2,3,4,5,6}, Q923, T923, W923, Z923, AC923, AF923),
    _xlpm.ints, CHOOSE({1,2,3,4,5,6}, R923, U923, X923, AA923, AD923, AG923),
    _xlpm.limit, -0.00001*_xlpm.slopes + 0.1086*_xlpm.slopes + 63.253,
    _xlpm.valid, (_xlpm.vals &gt;= 0) * (_xlpm.ints &lt;= _xlpm.limit),
    _xlpm.target, MIN(_xlfn._xlws.FILTER(_xlpm.vals, _xlpm.valid)),
    IFERROR(
        _xlfn.XLOOKUP(_xlpm.target, _xlpm.vals, _xlpm.vals),
        CHOOSE({1,2,3,4,5,6}, S$1, V$1, Y$1, AB$1, AE$1, AH$1)
    )
)</f>
        <v>0.76813953313792516</v>
      </c>
    </row>
    <row r="924" spans="9:36" x14ac:dyDescent="0.45">
      <c r="I924">
        <v>922</v>
      </c>
      <c r="J924">
        <v>24.9</v>
      </c>
      <c r="K924">
        <f t="shared" si="323"/>
        <v>24.9</v>
      </c>
      <c r="L924">
        <f t="shared" si="322"/>
        <v>6.9166666666666664E-3</v>
      </c>
      <c r="M924">
        <v>-1.56</v>
      </c>
      <c r="N924">
        <f t="shared" si="324"/>
        <v>0</v>
      </c>
      <c r="O924">
        <f t="shared" si="325"/>
        <v>323.58005140073828</v>
      </c>
      <c r="P924">
        <f t="shared" si="326"/>
        <v>1035.4561644823625</v>
      </c>
      <c r="Q924">
        <f t="shared" si="327"/>
        <v>4742.3892333292206</v>
      </c>
      <c r="R924">
        <f t="shared" si="328"/>
        <v>0</v>
      </c>
      <c r="S924">
        <f t="shared" si="329"/>
        <v>3.213825382378749</v>
      </c>
      <c r="T924">
        <f t="shared" si="330"/>
        <v>3064.9502468677929</v>
      </c>
      <c r="U924">
        <f t="shared" si="331"/>
        <v>0</v>
      </c>
      <c r="V924">
        <f t="shared" si="332"/>
        <v>1.0213254005234986</v>
      </c>
      <c r="W924">
        <f t="shared" si="333"/>
        <v>1977.7212741613123</v>
      </c>
      <c r="X924">
        <f t="shared" si="334"/>
        <v>0</v>
      </c>
      <c r="Y924">
        <f t="shared" si="335"/>
        <v>0.51870485781884934</v>
      </c>
      <c r="Z924">
        <f t="shared" si="336"/>
        <v>1491.056876854602</v>
      </c>
      <c r="AA924">
        <f t="shared" si="337"/>
        <v>0</v>
      </c>
      <c r="AB924">
        <f t="shared" si="338"/>
        <v>0.40789762405788776</v>
      </c>
      <c r="AC924">
        <f t="shared" si="339"/>
        <v>6000</v>
      </c>
      <c r="AD924">
        <f t="shared" si="340"/>
        <v>0</v>
      </c>
      <c r="AE924">
        <f t="shared" si="341"/>
        <v>6.7000407999999982</v>
      </c>
      <c r="AF924">
        <f t="shared" si="342"/>
        <v>6000</v>
      </c>
      <c r="AG924">
        <f t="shared" si="343"/>
        <v>0</v>
      </c>
      <c r="AH924">
        <f t="shared" si="344"/>
        <v>6.7000407999999982</v>
      </c>
      <c r="AI924" cm="1">
        <f t="array" ref="AI924">_xlfn.LET(
    _xlpm.vals,   _xlfn.HSTACK(S924,V924,Y924,AB924,AE924,AH924),
    _xlpm.ints,   _xlfn.HSTACK(R924,U924,X924,AA924,AD924,AG924),
    _xlpm.slopes, _xlfn.HSTACK(Q924,T924,W924,Z924,AC924,AF924),
    _xlpm.limit,  -0.00001*_xlpm.slopes + 0.1086*_xlpm.slopes + 63.253,
    _xlpm.mask,   (_xlpm.vals&gt;=0) * (_xlpm.ints&lt;=_xlpm.limit),
    _xlpm.validVals, _xlfn._xlws.FILTER(_xlpm.vals, _xlpm.mask),
    _xlpm.minVal, MIN(_xlpm.validVals),
    IFERROR( _xlfn.XMATCH(_xlpm.minVal, _xlpm.vals), "" )
)</f>
        <v>4</v>
      </c>
      <c r="AJ924" cm="1">
        <f t="array" ref="AJ924">_xlfn.LET(
    _xlpm.vals, CHOOSE({1,2,3,4,5,6}, S924, V924, Y924, AB924, AE924, AH924),
    _xlpm.slopes, CHOOSE({1,2,3,4,5,6}, Q924, T924, W924, Z924, AC924, AF924),
    _xlpm.ints, CHOOSE({1,2,3,4,5,6}, R924, U924, X924, AA924, AD924, AG924),
    _xlpm.limit, -0.00001*_xlpm.slopes + 0.1086*_xlpm.slopes + 63.253,
    _xlpm.valid, (_xlpm.vals &gt;= 0) * (_xlpm.ints &lt;= _xlpm.limit),
    _xlpm.target, MIN(_xlfn._xlws.FILTER(_xlpm.vals, _xlpm.valid)),
    IFERROR(
        _xlfn.XLOOKUP(_xlpm.target, _xlpm.vals, _xlpm.vals),
        CHOOSE({1,2,3,4,5,6}, S$1, V$1, Y$1, AB$1, AE$1, AH$1)
    )
)</f>
        <v>0.40789762405788776</v>
      </c>
    </row>
    <row r="925" spans="9:36" x14ac:dyDescent="0.45">
      <c r="I925">
        <v>923</v>
      </c>
      <c r="J925">
        <v>23.7</v>
      </c>
      <c r="K925">
        <f t="shared" si="323"/>
        <v>23.7</v>
      </c>
      <c r="L925">
        <f t="shared" si="322"/>
        <v>6.5833333333333334E-3</v>
      </c>
      <c r="M925">
        <v>-0.69</v>
      </c>
      <c r="N925">
        <f t="shared" si="324"/>
        <v>0</v>
      </c>
      <c r="O925">
        <f t="shared" si="325"/>
        <v>307.98583205612437</v>
      </c>
      <c r="P925">
        <f t="shared" si="326"/>
        <v>985.55466257959802</v>
      </c>
      <c r="Q925">
        <f t="shared" si="327"/>
        <v>4513.8403546145591</v>
      </c>
      <c r="R925">
        <f t="shared" si="328"/>
        <v>0</v>
      </c>
      <c r="S925">
        <f t="shared" si="329"/>
        <v>2.7734962328583848</v>
      </c>
      <c r="T925">
        <f t="shared" si="330"/>
        <v>2917.2418012356102</v>
      </c>
      <c r="U925">
        <f t="shared" si="331"/>
        <v>0</v>
      </c>
      <c r="V925">
        <f t="shared" si="332"/>
        <v>0.9228282130550276</v>
      </c>
      <c r="W925">
        <f t="shared" si="333"/>
        <v>1882.409405527032</v>
      </c>
      <c r="X925">
        <f t="shared" si="334"/>
        <v>0</v>
      </c>
      <c r="Y925">
        <f t="shared" si="335"/>
        <v>0.49356653745885548</v>
      </c>
      <c r="Z925">
        <f t="shared" si="336"/>
        <v>1419.198714114621</v>
      </c>
      <c r="AA925">
        <f t="shared" si="337"/>
        <v>0</v>
      </c>
      <c r="AB925">
        <f t="shared" si="338"/>
        <v>0.39433979623699272</v>
      </c>
      <c r="AC925">
        <f t="shared" si="339"/>
        <v>6000</v>
      </c>
      <c r="AD925">
        <f t="shared" si="340"/>
        <v>0</v>
      </c>
      <c r="AE925">
        <f t="shared" si="341"/>
        <v>6.7000407999999982</v>
      </c>
      <c r="AF925">
        <f t="shared" si="342"/>
        <v>6000</v>
      </c>
      <c r="AG925">
        <f t="shared" si="343"/>
        <v>0</v>
      </c>
      <c r="AH925">
        <f t="shared" si="344"/>
        <v>6.7000407999999982</v>
      </c>
      <c r="AI925" cm="1">
        <f t="array" ref="AI925">_xlfn.LET(
    _xlpm.vals,   _xlfn.HSTACK(S925,V925,Y925,AB925,AE925,AH925),
    _xlpm.ints,   _xlfn.HSTACK(R925,U925,X925,AA925,AD925,AG925),
    _xlpm.slopes, _xlfn.HSTACK(Q925,T925,W925,Z925,AC925,AF925),
    _xlpm.limit,  -0.00001*_xlpm.slopes + 0.1086*_xlpm.slopes + 63.253,
    _xlpm.mask,   (_xlpm.vals&gt;=0) * (_xlpm.ints&lt;=_xlpm.limit),
    _xlpm.validVals, _xlfn._xlws.FILTER(_xlpm.vals, _xlpm.mask),
    _xlpm.minVal, MIN(_xlpm.validVals),
    IFERROR( _xlfn.XMATCH(_xlpm.minVal, _xlpm.vals), "" )
)</f>
        <v>4</v>
      </c>
      <c r="AJ925" cm="1">
        <f t="array" ref="AJ925">_xlfn.LET(
    _xlpm.vals, CHOOSE({1,2,3,4,5,6}, S925, V925, Y925, AB925, AE925, AH925),
    _xlpm.slopes, CHOOSE({1,2,3,4,5,6}, Q925, T925, W925, Z925, AC925, AF925),
    _xlpm.ints, CHOOSE({1,2,3,4,5,6}, R925, U925, X925, AA925, AD925, AG925),
    _xlpm.limit, -0.00001*_xlpm.slopes + 0.1086*_xlpm.slopes + 63.253,
    _xlpm.valid, (_xlpm.vals &gt;= 0) * (_xlpm.ints &lt;= _xlpm.limit),
    _xlpm.target, MIN(_xlfn._xlws.FILTER(_xlpm.vals, _xlpm.valid)),
    IFERROR(
        _xlfn.XLOOKUP(_xlpm.target, _xlpm.vals, _xlpm.vals),
        CHOOSE({1,2,3,4,5,6}, S$1, V$1, Y$1, AB$1, AE$1, AH$1)
    )
)</f>
        <v>0.39433979623699272</v>
      </c>
    </row>
    <row r="926" spans="9:36" x14ac:dyDescent="0.45">
      <c r="I926">
        <v>924</v>
      </c>
      <c r="J926">
        <v>21.7</v>
      </c>
      <c r="K926">
        <f t="shared" si="323"/>
        <v>21.7</v>
      </c>
      <c r="L926">
        <f t="shared" si="322"/>
        <v>6.0277777777777777E-3</v>
      </c>
      <c r="M926">
        <v>-0.81</v>
      </c>
      <c r="N926">
        <f t="shared" si="324"/>
        <v>0</v>
      </c>
      <c r="O926">
        <f t="shared" si="325"/>
        <v>281.99546648176789</v>
      </c>
      <c r="P926">
        <f t="shared" si="326"/>
        <v>902.38549274165734</v>
      </c>
      <c r="Q926">
        <f t="shared" si="327"/>
        <v>4132.9255567567907</v>
      </c>
      <c r="R926">
        <f t="shared" si="328"/>
        <v>0</v>
      </c>
      <c r="S926">
        <f t="shared" si="329"/>
        <v>2.1508220231162571</v>
      </c>
      <c r="T926">
        <f t="shared" si="330"/>
        <v>2671.0610585153058</v>
      </c>
      <c r="U926">
        <f t="shared" si="331"/>
        <v>0</v>
      </c>
      <c r="V926">
        <f t="shared" si="332"/>
        <v>0.78301281143045343</v>
      </c>
      <c r="W926">
        <f t="shared" si="333"/>
        <v>1723.5562911365655</v>
      </c>
      <c r="X926">
        <f t="shared" si="334"/>
        <v>0</v>
      </c>
      <c r="Y926">
        <f t="shared" si="335"/>
        <v>0.45584147320559443</v>
      </c>
      <c r="Z926">
        <f t="shared" si="336"/>
        <v>1299.4351095479865</v>
      </c>
      <c r="AA926">
        <f t="shared" si="337"/>
        <v>0</v>
      </c>
      <c r="AB926">
        <f t="shared" si="338"/>
        <v>0.37259717668900993</v>
      </c>
      <c r="AC926">
        <f t="shared" si="339"/>
        <v>6000</v>
      </c>
      <c r="AD926">
        <f t="shared" si="340"/>
        <v>0</v>
      </c>
      <c r="AE926">
        <f t="shared" si="341"/>
        <v>6.7000407999999982</v>
      </c>
      <c r="AF926">
        <f t="shared" si="342"/>
        <v>6000</v>
      </c>
      <c r="AG926">
        <f t="shared" si="343"/>
        <v>0</v>
      </c>
      <c r="AH926">
        <f t="shared" si="344"/>
        <v>6.7000407999999982</v>
      </c>
      <c r="AI926" cm="1">
        <f t="array" ref="AI926">_xlfn.LET(
    _xlpm.vals,   _xlfn.HSTACK(S926,V926,Y926,AB926,AE926,AH926),
    _xlpm.ints,   _xlfn.HSTACK(R926,U926,X926,AA926,AD926,AG926),
    _xlpm.slopes, _xlfn.HSTACK(Q926,T926,W926,Z926,AC926,AF926),
    _xlpm.limit,  -0.00001*_xlpm.slopes + 0.1086*_xlpm.slopes + 63.253,
    _xlpm.mask,   (_xlpm.vals&gt;=0) * (_xlpm.ints&lt;=_xlpm.limit),
    _xlpm.validVals, _xlfn._xlws.FILTER(_xlpm.vals, _xlpm.mask),
    _xlpm.minVal, MIN(_xlpm.validVals),
    IFERROR( _xlfn.XMATCH(_xlpm.minVal, _xlpm.vals), "" )
)</f>
        <v>4</v>
      </c>
      <c r="AJ926" cm="1">
        <f t="array" ref="AJ926">_xlfn.LET(
    _xlpm.vals, CHOOSE({1,2,3,4,5,6}, S926, V926, Y926, AB926, AE926, AH926),
    _xlpm.slopes, CHOOSE({1,2,3,4,5,6}, Q926, T926, W926, Z926, AC926, AF926),
    _xlpm.ints, CHOOSE({1,2,3,4,5,6}, R926, U926, X926, AA926, AD926, AG926),
    _xlpm.limit, -0.00001*_xlpm.slopes + 0.1086*_xlpm.slopes + 63.253,
    _xlpm.valid, (_xlpm.vals &gt;= 0) * (_xlpm.ints &lt;= _xlpm.limit),
    _xlpm.target, MIN(_xlfn._xlws.FILTER(_xlpm.vals, _xlpm.valid)),
    IFERROR(
        _xlfn.XLOOKUP(_xlpm.target, _xlpm.vals, _xlpm.vals),
        CHOOSE({1,2,3,4,5,6}, S$1, V$1, Y$1, AB$1, AE$1, AH$1)
    )
)</f>
        <v>0.37259717668900993</v>
      </c>
    </row>
    <row r="927" spans="9:36" x14ac:dyDescent="0.45">
      <c r="I927">
        <v>925</v>
      </c>
      <c r="J927">
        <v>19.399999999999999</v>
      </c>
      <c r="K927">
        <f t="shared" si="323"/>
        <v>19.399999999999999</v>
      </c>
      <c r="L927">
        <f t="shared" si="322"/>
        <v>5.3888888888888884E-3</v>
      </c>
      <c r="M927">
        <v>-0.45</v>
      </c>
      <c r="N927">
        <f t="shared" si="324"/>
        <v>0</v>
      </c>
      <c r="O927">
        <f t="shared" si="325"/>
        <v>252.10654607125795</v>
      </c>
      <c r="P927">
        <f t="shared" si="326"/>
        <v>806.74094742802549</v>
      </c>
      <c r="Q927">
        <f t="shared" si="327"/>
        <v>3694.8735392203566</v>
      </c>
      <c r="R927">
        <f t="shared" si="328"/>
        <v>0</v>
      </c>
      <c r="S927">
        <f t="shared" si="329"/>
        <v>1.5885095867688348</v>
      </c>
      <c r="T927">
        <f t="shared" si="330"/>
        <v>2387.9532043869553</v>
      </c>
      <c r="U927">
        <f t="shared" si="331"/>
        <v>0</v>
      </c>
      <c r="V927">
        <f t="shared" si="332"/>
        <v>0.6549654331121868</v>
      </c>
      <c r="W927">
        <f t="shared" si="333"/>
        <v>1540.8752095875286</v>
      </c>
      <c r="X927">
        <f t="shared" si="334"/>
        <v>0</v>
      </c>
      <c r="Y927">
        <f t="shared" si="335"/>
        <v>0.41759304131969288</v>
      </c>
      <c r="Z927">
        <f t="shared" si="336"/>
        <v>1161.7069642963568</v>
      </c>
      <c r="AA927">
        <f t="shared" si="337"/>
        <v>0</v>
      </c>
      <c r="AB927">
        <f t="shared" si="338"/>
        <v>0.3483503100806451</v>
      </c>
      <c r="AC927">
        <f t="shared" si="339"/>
        <v>6000</v>
      </c>
      <c r="AD927">
        <f t="shared" si="340"/>
        <v>0</v>
      </c>
      <c r="AE927">
        <f t="shared" si="341"/>
        <v>6.7000407999999982</v>
      </c>
      <c r="AF927">
        <f t="shared" si="342"/>
        <v>6000</v>
      </c>
      <c r="AG927">
        <f t="shared" si="343"/>
        <v>0</v>
      </c>
      <c r="AH927">
        <f t="shared" si="344"/>
        <v>6.7000407999999982</v>
      </c>
      <c r="AI927" cm="1">
        <f t="array" ref="AI927">_xlfn.LET(
    _xlpm.vals,   _xlfn.HSTACK(S927,V927,Y927,AB927,AE927,AH927),
    _xlpm.ints,   _xlfn.HSTACK(R927,U927,X927,AA927,AD927,AG927),
    _xlpm.slopes, _xlfn.HSTACK(Q927,T927,W927,Z927,AC927,AF927),
    _xlpm.limit,  -0.00001*_xlpm.slopes + 0.1086*_xlpm.slopes + 63.253,
    _xlpm.mask,   (_xlpm.vals&gt;=0) * (_xlpm.ints&lt;=_xlpm.limit),
    _xlpm.validVals, _xlfn._xlws.FILTER(_xlpm.vals, _xlpm.mask),
    _xlpm.minVal, MIN(_xlpm.validVals),
    IFERROR( _xlfn.XMATCH(_xlpm.minVal, _xlpm.vals), "" )
)</f>
        <v>4</v>
      </c>
      <c r="AJ927" cm="1">
        <f t="array" ref="AJ927">_xlfn.LET(
    _xlpm.vals, CHOOSE({1,2,3,4,5,6}, S927, V927, Y927, AB927, AE927, AH927),
    _xlpm.slopes, CHOOSE({1,2,3,4,5,6}, Q927, T927, W927, Z927, AC927, AF927),
    _xlpm.ints, CHOOSE({1,2,3,4,5,6}, R927, U927, X927, AA927, AD927, AG927),
    _xlpm.limit, -0.00001*_xlpm.slopes + 0.1086*_xlpm.slopes + 63.253,
    _xlpm.valid, (_xlpm.vals &gt;= 0) * (_xlpm.ints &lt;= _xlpm.limit),
    _xlpm.target, MIN(_xlfn._xlws.FILTER(_xlpm.vals, _xlpm.valid)),
    IFERROR(
        _xlfn.XLOOKUP(_xlpm.target, _xlpm.vals, _xlpm.vals),
        CHOOSE({1,2,3,4,5,6}, S$1, V$1, Y$1, AB$1, AE$1, AH$1)
    )
)</f>
        <v>0.3483503100806451</v>
      </c>
    </row>
    <row r="928" spans="9:36" x14ac:dyDescent="0.45">
      <c r="I928">
        <v>926</v>
      </c>
      <c r="J928">
        <v>16.600000000000001</v>
      </c>
      <c r="K928">
        <f t="shared" si="323"/>
        <v>16.600000000000001</v>
      </c>
      <c r="L928">
        <f t="shared" si="322"/>
        <v>4.6111111111111118E-3</v>
      </c>
      <c r="M928">
        <v>-0.43</v>
      </c>
      <c r="N928">
        <f t="shared" si="324"/>
        <v>0</v>
      </c>
      <c r="O928">
        <f t="shared" si="325"/>
        <v>215.72003426715892</v>
      </c>
      <c r="P928">
        <f t="shared" si="326"/>
        <v>690.30410965490864</v>
      </c>
      <c r="Q928">
        <f t="shared" si="327"/>
        <v>3161.5928222194816</v>
      </c>
      <c r="R928">
        <f t="shared" si="328"/>
        <v>0</v>
      </c>
      <c r="S928">
        <f t="shared" si="329"/>
        <v>1.0922567668228391</v>
      </c>
      <c r="T928">
        <f t="shared" si="330"/>
        <v>2043.3001645785296</v>
      </c>
      <c r="U928">
        <f t="shared" si="331"/>
        <v>0</v>
      </c>
      <c r="V928">
        <f t="shared" si="332"/>
        <v>0.53725383219621059</v>
      </c>
      <c r="W928">
        <f t="shared" si="333"/>
        <v>1318.4808494408755</v>
      </c>
      <c r="X928">
        <f t="shared" si="334"/>
        <v>0</v>
      </c>
      <c r="Y928">
        <f t="shared" si="335"/>
        <v>0.37599942828999022</v>
      </c>
      <c r="Z928">
        <f t="shared" si="336"/>
        <v>6000</v>
      </c>
      <c r="AA928">
        <f t="shared" si="337"/>
        <v>0</v>
      </c>
      <c r="AB928">
        <f t="shared" si="338"/>
        <v>6.7000407999999982</v>
      </c>
      <c r="AC928">
        <f t="shared" si="339"/>
        <v>6000</v>
      </c>
      <c r="AD928">
        <f t="shared" si="340"/>
        <v>0</v>
      </c>
      <c r="AE928">
        <f t="shared" si="341"/>
        <v>6.7000407999999982</v>
      </c>
      <c r="AF928">
        <f t="shared" si="342"/>
        <v>6000</v>
      </c>
      <c r="AG928">
        <f t="shared" si="343"/>
        <v>0</v>
      </c>
      <c r="AH928">
        <f t="shared" si="344"/>
        <v>6.7000407999999982</v>
      </c>
      <c r="AI928" cm="1">
        <f t="array" ref="AI928">_xlfn.LET(
    _xlpm.vals,   _xlfn.HSTACK(S928,V928,Y928,AB928,AE928,AH928),
    _xlpm.ints,   _xlfn.HSTACK(R928,U928,X928,AA928,AD928,AG928),
    _xlpm.slopes, _xlfn.HSTACK(Q928,T928,W928,Z928,AC928,AF928),
    _xlpm.limit,  -0.00001*_xlpm.slopes + 0.1086*_xlpm.slopes + 63.253,
    _xlpm.mask,   (_xlpm.vals&gt;=0) * (_xlpm.ints&lt;=_xlpm.limit),
    _xlpm.validVals, _xlfn._xlws.FILTER(_xlpm.vals, _xlpm.mask),
    _xlpm.minVal, MIN(_xlpm.validVals),
    IFERROR( _xlfn.XMATCH(_xlpm.minVal, _xlpm.vals), "" )
)</f>
        <v>3</v>
      </c>
      <c r="AJ928" cm="1">
        <f t="array" ref="AJ928">_xlfn.LET(
    _xlpm.vals, CHOOSE({1,2,3,4,5,6}, S928, V928, Y928, AB928, AE928, AH928),
    _xlpm.slopes, CHOOSE({1,2,3,4,5,6}, Q928, T928, W928, Z928, AC928, AF928),
    _xlpm.ints, CHOOSE({1,2,3,4,5,6}, R928, U928, X928, AA928, AD928, AG928),
    _xlpm.limit, -0.00001*_xlpm.slopes + 0.1086*_xlpm.slopes + 63.253,
    _xlpm.valid, (_xlpm.vals &gt;= 0) * (_xlpm.ints &lt;= _xlpm.limit),
    _xlpm.target, MIN(_xlfn._xlws.FILTER(_xlpm.vals, _xlpm.valid)),
    IFERROR(
        _xlfn.XLOOKUP(_xlpm.target, _xlpm.vals, _xlpm.vals),
        CHOOSE({1,2,3,4,5,6}, S$1, V$1, Y$1, AB$1, AE$1, AH$1)
    )
)</f>
        <v>0.37599942828999022</v>
      </c>
    </row>
    <row r="929" spans="9:36" x14ac:dyDescent="0.45">
      <c r="I929">
        <v>927</v>
      </c>
      <c r="J929">
        <v>13.2</v>
      </c>
      <c r="K929">
        <f t="shared" si="323"/>
        <v>13.2</v>
      </c>
      <c r="L929">
        <f t="shared" si="322"/>
        <v>3.6666666666666666E-3</v>
      </c>
      <c r="M929">
        <v>-0.42</v>
      </c>
      <c r="N929">
        <f t="shared" si="324"/>
        <v>0</v>
      </c>
      <c r="O929">
        <f t="shared" si="325"/>
        <v>171.53641279075285</v>
      </c>
      <c r="P929">
        <f t="shared" si="326"/>
        <v>548.91652093040909</v>
      </c>
      <c r="Q929">
        <f t="shared" si="327"/>
        <v>2514.0376658612736</v>
      </c>
      <c r="R929">
        <f t="shared" si="328"/>
        <v>0</v>
      </c>
      <c r="S929">
        <f t="shared" si="329"/>
        <v>0.70805085017725011</v>
      </c>
      <c r="T929">
        <f t="shared" si="330"/>
        <v>1624.7929019540109</v>
      </c>
      <c r="U929">
        <f t="shared" si="331"/>
        <v>0</v>
      </c>
      <c r="V929">
        <f t="shared" si="332"/>
        <v>0.4345837085150176</v>
      </c>
      <c r="W929">
        <f t="shared" si="333"/>
        <v>1048.4305549770813</v>
      </c>
      <c r="X929">
        <f t="shared" si="334"/>
        <v>0</v>
      </c>
      <c r="Y929">
        <f t="shared" si="335"/>
        <v>0.3285077710285112</v>
      </c>
      <c r="Z929">
        <f t="shared" si="336"/>
        <v>6000</v>
      </c>
      <c r="AA929">
        <f t="shared" si="337"/>
        <v>0</v>
      </c>
      <c r="AB929">
        <f t="shared" si="338"/>
        <v>6.7000407999999982</v>
      </c>
      <c r="AC929">
        <f t="shared" si="339"/>
        <v>6000</v>
      </c>
      <c r="AD929">
        <f t="shared" si="340"/>
        <v>0</v>
      </c>
      <c r="AE929">
        <f t="shared" si="341"/>
        <v>6.7000407999999982</v>
      </c>
      <c r="AF929">
        <f t="shared" si="342"/>
        <v>6000</v>
      </c>
      <c r="AG929">
        <f t="shared" si="343"/>
        <v>0</v>
      </c>
      <c r="AH929">
        <f t="shared" si="344"/>
        <v>6.7000407999999982</v>
      </c>
      <c r="AI929" cm="1">
        <f t="array" ref="AI929">_xlfn.LET(
    _xlpm.vals,   _xlfn.HSTACK(S929,V929,Y929,AB929,AE929,AH929),
    _xlpm.ints,   _xlfn.HSTACK(R929,U929,X929,AA929,AD929,AG929),
    _xlpm.slopes, _xlfn.HSTACK(Q929,T929,W929,Z929,AC929,AF929),
    _xlpm.limit,  -0.00001*_xlpm.slopes + 0.1086*_xlpm.slopes + 63.253,
    _xlpm.mask,   (_xlpm.vals&gt;=0) * (_xlpm.ints&lt;=_xlpm.limit),
    _xlpm.validVals, _xlfn._xlws.FILTER(_xlpm.vals, _xlpm.mask),
    _xlpm.minVal, MIN(_xlpm.validVals),
    IFERROR( _xlfn.XMATCH(_xlpm.minVal, _xlpm.vals), "" )
)</f>
        <v>3</v>
      </c>
      <c r="AJ929" cm="1">
        <f t="array" ref="AJ929">_xlfn.LET(
    _xlpm.vals, CHOOSE({1,2,3,4,5,6}, S929, V929, Y929, AB929, AE929, AH929),
    _xlpm.slopes, CHOOSE({1,2,3,4,5,6}, Q929, T929, W929, Z929, AC929, AF929),
    _xlpm.ints, CHOOSE({1,2,3,4,5,6}, R929, U929, X929, AA929, AD929, AG929),
    _xlpm.limit, -0.00001*_xlpm.slopes + 0.1086*_xlpm.slopes + 63.253,
    _xlpm.valid, (_xlpm.vals &gt;= 0) * (_xlpm.ints &lt;= _xlpm.limit),
    _xlpm.target, MIN(_xlfn._xlws.FILTER(_xlpm.vals, _xlpm.valid)),
    IFERROR(
        _xlfn.XLOOKUP(_xlpm.target, _xlpm.vals, _xlpm.vals),
        CHOOSE({1,2,3,4,5,6}, S$1, V$1, Y$1, AB$1, AE$1, AH$1)
    )
)</f>
        <v>0.3285077710285112</v>
      </c>
    </row>
    <row r="930" spans="9:36" x14ac:dyDescent="0.45">
      <c r="I930">
        <v>928</v>
      </c>
      <c r="J930">
        <v>9.4</v>
      </c>
      <c r="K930">
        <f t="shared" si="323"/>
        <v>9.4</v>
      </c>
      <c r="L930">
        <f t="shared" si="322"/>
        <v>2.6111111111111114E-3</v>
      </c>
      <c r="M930">
        <v>-0.4</v>
      </c>
      <c r="N930">
        <f t="shared" si="324"/>
        <v>0</v>
      </c>
      <c r="O930">
        <f t="shared" si="325"/>
        <v>122.1547181994755</v>
      </c>
      <c r="P930">
        <f t="shared" si="326"/>
        <v>390.89509823832162</v>
      </c>
      <c r="Q930">
        <f t="shared" si="327"/>
        <v>1790.299549931513</v>
      </c>
      <c r="R930">
        <f t="shared" si="328"/>
        <v>0</v>
      </c>
      <c r="S930">
        <f t="shared" si="329"/>
        <v>0.47111211054019214</v>
      </c>
      <c r="T930">
        <f t="shared" si="330"/>
        <v>1157.049490785432</v>
      </c>
      <c r="U930">
        <f t="shared" si="331"/>
        <v>0</v>
      </c>
      <c r="V930">
        <f t="shared" si="332"/>
        <v>0.34753615846890201</v>
      </c>
      <c r="W930">
        <f t="shared" si="333"/>
        <v>6000</v>
      </c>
      <c r="X930">
        <f t="shared" si="334"/>
        <v>0</v>
      </c>
      <c r="Y930">
        <f t="shared" si="335"/>
        <v>6.7000407999999982</v>
      </c>
      <c r="Z930">
        <f t="shared" si="336"/>
        <v>6000</v>
      </c>
      <c r="AA930">
        <f t="shared" si="337"/>
        <v>0</v>
      </c>
      <c r="AB930">
        <f t="shared" si="338"/>
        <v>6.7000407999999982</v>
      </c>
      <c r="AC930">
        <f t="shared" si="339"/>
        <v>6000</v>
      </c>
      <c r="AD930">
        <f t="shared" si="340"/>
        <v>0</v>
      </c>
      <c r="AE930">
        <f t="shared" si="341"/>
        <v>6.7000407999999982</v>
      </c>
      <c r="AF930">
        <f t="shared" si="342"/>
        <v>6000</v>
      </c>
      <c r="AG930">
        <f t="shared" si="343"/>
        <v>0</v>
      </c>
      <c r="AH930">
        <f t="shared" si="344"/>
        <v>6.7000407999999982</v>
      </c>
      <c r="AI930" cm="1">
        <f t="array" ref="AI930">_xlfn.LET(
    _xlpm.vals,   _xlfn.HSTACK(S930,V930,Y930,AB930,AE930,AH930),
    _xlpm.ints,   _xlfn.HSTACK(R930,U930,X930,AA930,AD930,AG930),
    _xlpm.slopes, _xlfn.HSTACK(Q930,T930,W930,Z930,AC930,AF930),
    _xlpm.limit,  -0.00001*_xlpm.slopes + 0.1086*_xlpm.slopes + 63.253,
    _xlpm.mask,   (_xlpm.vals&gt;=0) * (_xlpm.ints&lt;=_xlpm.limit),
    _xlpm.validVals, _xlfn._xlws.FILTER(_xlpm.vals, _xlpm.mask),
    _xlpm.minVal, MIN(_xlpm.validVals),
    IFERROR( _xlfn.XMATCH(_xlpm.minVal, _xlpm.vals), "" )
)</f>
        <v>2</v>
      </c>
      <c r="AJ930" cm="1">
        <f t="array" ref="AJ930">_xlfn.LET(
    _xlpm.vals, CHOOSE({1,2,3,4,5,6}, S930, V930, Y930, AB930, AE930, AH930),
    _xlpm.slopes, CHOOSE({1,2,3,4,5,6}, Q930, T930, W930, Z930, AC930, AF930),
    _xlpm.ints, CHOOSE({1,2,3,4,5,6}, R930, U930, X930, AA930, AD930, AG930),
    _xlpm.limit, -0.00001*_xlpm.slopes + 0.1086*_xlpm.slopes + 63.253,
    _xlpm.valid, (_xlpm.vals &gt;= 0) * (_xlpm.ints &lt;= _xlpm.limit),
    _xlpm.target, MIN(_xlfn._xlws.FILTER(_xlpm.vals, _xlpm.valid)),
    IFERROR(
        _xlfn.XLOOKUP(_xlpm.target, _xlpm.vals, _xlpm.vals),
        CHOOSE({1,2,3,4,5,6}, S$1, V$1, Y$1, AB$1, AE$1, AH$1)
    )
)</f>
        <v>0.34753615846890201</v>
      </c>
    </row>
    <row r="931" spans="9:36" x14ac:dyDescent="0.45">
      <c r="I931">
        <v>929</v>
      </c>
      <c r="J931">
        <v>6.1</v>
      </c>
      <c r="K931">
        <f t="shared" si="323"/>
        <v>6.1</v>
      </c>
      <c r="L931">
        <f t="shared" si="322"/>
        <v>1.6944444444444444E-3</v>
      </c>
      <c r="M931">
        <v>0.49</v>
      </c>
      <c r="N931">
        <f t="shared" si="324"/>
        <v>0.49</v>
      </c>
      <c r="O931">
        <f t="shared" si="325"/>
        <v>79.270615001787277</v>
      </c>
      <c r="P931">
        <f t="shared" si="326"/>
        <v>253.66596800571929</v>
      </c>
      <c r="Q931">
        <f t="shared" si="327"/>
        <v>1161.7901334661944</v>
      </c>
      <c r="R931">
        <f t="shared" si="328"/>
        <v>4.0275392191027555</v>
      </c>
      <c r="S931">
        <f t="shared" si="329"/>
        <v>0.37663977146246452</v>
      </c>
      <c r="T931">
        <f t="shared" si="330"/>
        <v>6000</v>
      </c>
      <c r="U931">
        <f t="shared" si="331"/>
        <v>0.77985922115028716</v>
      </c>
      <c r="V931">
        <f t="shared" si="332"/>
        <v>6.7048127491872718</v>
      </c>
      <c r="W931">
        <f t="shared" si="333"/>
        <v>6000</v>
      </c>
      <c r="X931">
        <f t="shared" si="334"/>
        <v>0.77985922115028716</v>
      </c>
      <c r="Y931">
        <f t="shared" si="335"/>
        <v>6.7048127491872718</v>
      </c>
      <c r="Z931">
        <f t="shared" si="336"/>
        <v>6000</v>
      </c>
      <c r="AA931">
        <f t="shared" si="337"/>
        <v>0.77985922115028716</v>
      </c>
      <c r="AB931">
        <f t="shared" si="338"/>
        <v>6.7048127491872718</v>
      </c>
      <c r="AC931">
        <f t="shared" si="339"/>
        <v>6000</v>
      </c>
      <c r="AD931">
        <f t="shared" si="340"/>
        <v>0.77985922115028716</v>
      </c>
      <c r="AE931">
        <f t="shared" si="341"/>
        <v>6.7048127491872718</v>
      </c>
      <c r="AF931">
        <f t="shared" si="342"/>
        <v>6000</v>
      </c>
      <c r="AG931">
        <f t="shared" si="343"/>
        <v>0.77985922115028716</v>
      </c>
      <c r="AH931">
        <f t="shared" si="344"/>
        <v>6.7048127491872718</v>
      </c>
      <c r="AI931" cm="1">
        <f t="array" ref="AI931">_xlfn.LET(
    _xlpm.vals,   _xlfn.HSTACK(S931,V931,Y931,AB931,AE931,AH931),
    _xlpm.ints,   _xlfn.HSTACK(R931,U931,X931,AA931,AD931,AG931),
    _xlpm.slopes, _xlfn.HSTACK(Q931,T931,W931,Z931,AC931,AF931),
    _xlpm.limit,  -0.00001*_xlpm.slopes + 0.1086*_xlpm.slopes + 63.253,
    _xlpm.mask,   (_xlpm.vals&gt;=0) * (_xlpm.ints&lt;=_xlpm.limit),
    _xlpm.validVals, _xlfn._xlws.FILTER(_xlpm.vals, _xlpm.mask),
    _xlpm.minVal, MIN(_xlpm.validVals),
    IFERROR( _xlfn.XMATCH(_xlpm.minVal, _xlpm.vals), "" )
)</f>
        <v>1</v>
      </c>
      <c r="AJ931" cm="1">
        <f t="array" ref="AJ931">_xlfn.LET(
    _xlpm.vals, CHOOSE({1,2,3,4,5,6}, S931, V931, Y931, AB931, AE931, AH931),
    _xlpm.slopes, CHOOSE({1,2,3,4,5,6}, Q931, T931, W931, Z931, AC931, AF931),
    _xlpm.ints, CHOOSE({1,2,3,4,5,6}, R931, U931, X931, AA931, AD931, AG931),
    _xlpm.limit, -0.00001*_xlpm.slopes + 0.1086*_xlpm.slopes + 63.253,
    _xlpm.valid, (_xlpm.vals &gt;= 0) * (_xlpm.ints &lt;= _xlpm.limit),
    _xlpm.target, MIN(_xlfn._xlws.FILTER(_xlpm.vals, _xlpm.valid)),
    IFERROR(
        _xlfn.XLOOKUP(_xlpm.target, _xlpm.vals, _xlpm.vals),
        CHOOSE({1,2,3,4,5,6}, S$1, V$1, Y$1, AB$1, AE$1, AH$1)
    )
)</f>
        <v>0.37663977146246452</v>
      </c>
    </row>
    <row r="932" spans="9:36" x14ac:dyDescent="0.45">
      <c r="I932">
        <v>930</v>
      </c>
      <c r="J932">
        <v>2.9</v>
      </c>
      <c r="K932">
        <f t="shared" si="323"/>
        <v>2.9</v>
      </c>
      <c r="L932">
        <f t="shared" si="322"/>
        <v>8.0555555555555556E-4</v>
      </c>
      <c r="M932">
        <v>0.67</v>
      </c>
      <c r="N932">
        <f t="shared" si="324"/>
        <v>0.67</v>
      </c>
      <c r="O932">
        <f t="shared" si="325"/>
        <v>37.686030082816913</v>
      </c>
      <c r="P932">
        <f t="shared" si="326"/>
        <v>120.59529626501413</v>
      </c>
      <c r="Q932">
        <f t="shared" si="327"/>
        <v>1000</v>
      </c>
      <c r="R932">
        <f t="shared" si="328"/>
        <v>6.3980287122941935</v>
      </c>
      <c r="S932">
        <f t="shared" si="329"/>
        <v>0.35888252262538883</v>
      </c>
      <c r="T932">
        <f t="shared" si="330"/>
        <v>6000</v>
      </c>
      <c r="U932">
        <f t="shared" si="331"/>
        <v>1.0663381187156988</v>
      </c>
      <c r="V932">
        <f t="shared" si="332"/>
        <v>6.7066166287927214</v>
      </c>
      <c r="W932">
        <f t="shared" si="333"/>
        <v>6000</v>
      </c>
      <c r="X932">
        <f t="shared" si="334"/>
        <v>1.0663381187156988</v>
      </c>
      <c r="Y932">
        <f t="shared" si="335"/>
        <v>6.7066166287927214</v>
      </c>
      <c r="Z932">
        <f t="shared" si="336"/>
        <v>6000</v>
      </c>
      <c r="AA932">
        <f t="shared" si="337"/>
        <v>1.0663381187156988</v>
      </c>
      <c r="AB932">
        <f t="shared" si="338"/>
        <v>6.7066166287927214</v>
      </c>
      <c r="AC932">
        <f t="shared" si="339"/>
        <v>6000</v>
      </c>
      <c r="AD932">
        <f t="shared" si="340"/>
        <v>1.0663381187156988</v>
      </c>
      <c r="AE932">
        <f t="shared" si="341"/>
        <v>6.7066166287927214</v>
      </c>
      <c r="AF932">
        <f t="shared" si="342"/>
        <v>6000</v>
      </c>
      <c r="AG932">
        <f t="shared" si="343"/>
        <v>1.0663381187156988</v>
      </c>
      <c r="AH932">
        <f t="shared" si="344"/>
        <v>6.7066166287927214</v>
      </c>
      <c r="AI932" cm="1">
        <f t="array" ref="AI932">_xlfn.LET(
    _xlpm.vals,   _xlfn.HSTACK(S932,V932,Y932,AB932,AE932,AH932),
    _xlpm.ints,   _xlfn.HSTACK(R932,U932,X932,AA932,AD932,AG932),
    _xlpm.slopes, _xlfn.HSTACK(Q932,T932,W932,Z932,AC932,AF932),
    _xlpm.limit,  -0.00001*_xlpm.slopes + 0.1086*_xlpm.slopes + 63.253,
    _xlpm.mask,   (_xlpm.vals&gt;=0) * (_xlpm.ints&lt;=_xlpm.limit),
    _xlpm.validVals, _xlfn._xlws.FILTER(_xlpm.vals, _xlpm.mask),
    _xlpm.minVal, MIN(_xlpm.validVals),
    IFERROR( _xlfn.XMATCH(_xlpm.minVal, _xlpm.vals), "" )
)</f>
        <v>1</v>
      </c>
      <c r="AJ932" cm="1">
        <f t="array" ref="AJ932">_xlfn.LET(
    _xlpm.vals, CHOOSE({1,2,3,4,5,6}, S932, V932, Y932, AB932, AE932, AH932),
    _xlpm.slopes, CHOOSE({1,2,3,4,5,6}, Q932, T932, W932, Z932, AC932, AF932),
    _xlpm.ints, CHOOSE({1,2,3,4,5,6}, R932, U932, X932, AA932, AD932, AG932),
    _xlpm.limit, -0.00001*_xlpm.slopes + 0.1086*_xlpm.slopes + 63.253,
    _xlpm.valid, (_xlpm.vals &gt;= 0) * (_xlpm.ints &lt;= _xlpm.limit),
    _xlpm.target, MIN(_xlfn._xlws.FILTER(_xlpm.vals, _xlpm.valid)),
    IFERROR(
        _xlfn.XLOOKUP(_xlpm.target, _xlpm.vals, _xlpm.vals),
        CHOOSE({1,2,3,4,5,6}, S$1, V$1, Y$1, AB$1, AE$1, AH$1)
    )
)</f>
        <v>0.35888252262538883</v>
      </c>
    </row>
    <row r="933" spans="9:36" x14ac:dyDescent="0.45">
      <c r="I933">
        <v>931</v>
      </c>
      <c r="J933">
        <v>1</v>
      </c>
      <c r="K933">
        <f t="shared" si="323"/>
        <v>1</v>
      </c>
      <c r="L933">
        <f t="shared" si="322"/>
        <v>2.7777777777777778E-4</v>
      </c>
      <c r="M933">
        <v>1.1000000000000001</v>
      </c>
      <c r="N933">
        <f t="shared" si="324"/>
        <v>1.1000000000000001</v>
      </c>
      <c r="O933">
        <f t="shared" si="325"/>
        <v>12.995182787178244</v>
      </c>
      <c r="P933">
        <f t="shared" si="326"/>
        <v>41.584584918970386</v>
      </c>
      <c r="Q933">
        <f t="shared" si="327"/>
        <v>1000</v>
      </c>
      <c r="R933">
        <f t="shared" si="328"/>
        <v>10.504226244065093</v>
      </c>
      <c r="S933">
        <f t="shared" si="329"/>
        <v>0.38645790916461104</v>
      </c>
      <c r="T933">
        <f t="shared" si="330"/>
        <v>6000</v>
      </c>
      <c r="U933">
        <f t="shared" si="331"/>
        <v>1.7507043740108488</v>
      </c>
      <c r="V933">
        <f t="shared" si="332"/>
        <v>6.7110362382210731</v>
      </c>
      <c r="W933">
        <f t="shared" si="333"/>
        <v>6000</v>
      </c>
      <c r="X933">
        <f t="shared" si="334"/>
        <v>1.7507043740108488</v>
      </c>
      <c r="Y933">
        <f t="shared" si="335"/>
        <v>6.7110362382210731</v>
      </c>
      <c r="Z933">
        <f t="shared" si="336"/>
        <v>6000</v>
      </c>
      <c r="AA933">
        <f t="shared" si="337"/>
        <v>1.7507043740108488</v>
      </c>
      <c r="AB933">
        <f t="shared" si="338"/>
        <v>6.7110362382210731</v>
      </c>
      <c r="AC933">
        <f t="shared" si="339"/>
        <v>6000</v>
      </c>
      <c r="AD933">
        <f t="shared" si="340"/>
        <v>1.7507043740108488</v>
      </c>
      <c r="AE933">
        <f t="shared" si="341"/>
        <v>6.7110362382210731</v>
      </c>
      <c r="AF933">
        <f t="shared" si="342"/>
        <v>6000</v>
      </c>
      <c r="AG933">
        <f t="shared" si="343"/>
        <v>1.7507043740108488</v>
      </c>
      <c r="AH933">
        <f t="shared" si="344"/>
        <v>6.7110362382210731</v>
      </c>
      <c r="AI933" cm="1">
        <f t="array" ref="AI933">_xlfn.LET(
    _xlpm.vals,   _xlfn.HSTACK(S933,V933,Y933,AB933,AE933,AH933),
    _xlpm.ints,   _xlfn.HSTACK(R933,U933,X933,AA933,AD933,AG933),
    _xlpm.slopes, _xlfn.HSTACK(Q933,T933,W933,Z933,AC933,AF933),
    _xlpm.limit,  -0.00001*_xlpm.slopes + 0.1086*_xlpm.slopes + 63.253,
    _xlpm.mask,   (_xlpm.vals&gt;=0) * (_xlpm.ints&lt;=_xlpm.limit),
    _xlpm.validVals, _xlfn._xlws.FILTER(_xlpm.vals, _xlpm.mask),
    _xlpm.minVal, MIN(_xlpm.validVals),
    IFERROR( _xlfn.XMATCH(_xlpm.minVal, _xlpm.vals), "" )
)</f>
        <v>1</v>
      </c>
      <c r="AJ933" cm="1">
        <f t="array" ref="AJ933">_xlfn.LET(
    _xlpm.vals, CHOOSE({1,2,3,4,5,6}, S933, V933, Y933, AB933, AE933, AH933),
    _xlpm.slopes, CHOOSE({1,2,3,4,5,6}, Q933, T933, W933, Z933, AC933, AF933),
    _xlpm.ints, CHOOSE({1,2,3,4,5,6}, R933, U933, X933, AA933, AD933, AG933),
    _xlpm.limit, -0.00001*_xlpm.slopes + 0.1086*_xlpm.slopes + 63.253,
    _xlpm.valid, (_xlpm.vals &gt;= 0) * (_xlpm.ints &lt;= _xlpm.limit),
    _xlpm.target, MIN(_xlfn._xlws.FILTER(_xlpm.vals, _xlpm.valid)),
    IFERROR(
        _xlfn.XLOOKUP(_xlpm.target, _xlpm.vals, _xlpm.vals),
        CHOOSE({1,2,3,4,5,6}, S$1, V$1, Y$1, AB$1, AE$1, AH$1)
    )
)</f>
        <v>0.38645790916461104</v>
      </c>
    </row>
    <row r="934" spans="9:36" x14ac:dyDescent="0.45">
      <c r="I934">
        <v>932</v>
      </c>
      <c r="J934">
        <v>0</v>
      </c>
      <c r="K934">
        <f t="shared" si="323"/>
        <v>0</v>
      </c>
      <c r="L934">
        <f t="shared" si="322"/>
        <v>0</v>
      </c>
      <c r="M934">
        <v>1.1200000000000001</v>
      </c>
      <c r="N934">
        <f t="shared" si="324"/>
        <v>1.1200000000000001</v>
      </c>
      <c r="O934">
        <f t="shared" si="325"/>
        <v>0</v>
      </c>
      <c r="P934">
        <f t="shared" si="326"/>
        <v>0</v>
      </c>
      <c r="Q934">
        <f t="shared" si="327"/>
        <v>1000</v>
      </c>
      <c r="R934">
        <f t="shared" si="328"/>
        <v>10.695212175775367</v>
      </c>
      <c r="S934">
        <f t="shared" si="329"/>
        <v>0.38778655499937753</v>
      </c>
      <c r="T934">
        <f t="shared" si="330"/>
        <v>6000</v>
      </c>
      <c r="U934">
        <f t="shared" si="331"/>
        <v>1.782535362629228</v>
      </c>
      <c r="V934">
        <f t="shared" si="332"/>
        <v>6.711245579521762</v>
      </c>
      <c r="W934">
        <f t="shared" si="333"/>
        <v>6000</v>
      </c>
      <c r="X934">
        <f t="shared" si="334"/>
        <v>1.782535362629228</v>
      </c>
      <c r="Y934">
        <f t="shared" si="335"/>
        <v>6.711245579521762</v>
      </c>
      <c r="Z934">
        <f t="shared" si="336"/>
        <v>6000</v>
      </c>
      <c r="AA934">
        <f t="shared" si="337"/>
        <v>1.782535362629228</v>
      </c>
      <c r="AB934">
        <f t="shared" si="338"/>
        <v>6.711245579521762</v>
      </c>
      <c r="AC934">
        <f t="shared" si="339"/>
        <v>6000</v>
      </c>
      <c r="AD934">
        <f t="shared" si="340"/>
        <v>1.782535362629228</v>
      </c>
      <c r="AE934">
        <f t="shared" si="341"/>
        <v>6.711245579521762</v>
      </c>
      <c r="AF934">
        <f t="shared" si="342"/>
        <v>6000</v>
      </c>
      <c r="AG934">
        <f t="shared" si="343"/>
        <v>1.782535362629228</v>
      </c>
      <c r="AH934">
        <f t="shared" si="344"/>
        <v>6.711245579521762</v>
      </c>
      <c r="AI934" cm="1">
        <f t="array" ref="AI934">_xlfn.LET(
    _xlpm.vals,   _xlfn.HSTACK(S934,V934,Y934,AB934,AE934,AH934),
    _xlpm.ints,   _xlfn.HSTACK(R934,U934,X934,AA934,AD934,AG934),
    _xlpm.slopes, _xlfn.HSTACK(Q934,T934,W934,Z934,AC934,AF934),
    _xlpm.limit,  -0.00001*_xlpm.slopes + 0.1086*_xlpm.slopes + 63.253,
    _xlpm.mask,   (_xlpm.vals&gt;=0) * (_xlpm.ints&lt;=_xlpm.limit),
    _xlpm.validVals, _xlfn._xlws.FILTER(_xlpm.vals, _xlpm.mask),
    _xlpm.minVal, MIN(_xlpm.validVals),
    IFERROR( _xlfn.XMATCH(_xlpm.minVal, _xlpm.vals), "" )
)</f>
        <v>1</v>
      </c>
      <c r="AJ934" cm="1">
        <f t="array" ref="AJ934">_xlfn.LET(
    _xlpm.vals, CHOOSE({1,2,3,4,5,6}, S934, V934, Y934, AB934, AE934, AH934),
    _xlpm.slopes, CHOOSE({1,2,3,4,5,6}, Q934, T934, W934, Z934, AC934, AF934),
    _xlpm.ints, CHOOSE({1,2,3,4,5,6}, R934, U934, X934, AA934, AD934, AG934),
    _xlpm.limit, -0.00001*_xlpm.slopes + 0.1086*_xlpm.slopes + 63.253,
    _xlpm.valid, (_xlpm.vals &gt;= 0) * (_xlpm.ints &lt;= _xlpm.limit),
    _xlpm.target, MIN(_xlfn._xlws.FILTER(_xlpm.vals, _xlpm.valid)),
    IFERROR(
        _xlfn.XLOOKUP(_xlpm.target, _xlpm.vals, _xlpm.vals),
        CHOOSE({1,2,3,4,5,6}, S$1, V$1, Y$1, AB$1, AE$1, AH$1)
    )
)</f>
        <v>0.38778655499937753</v>
      </c>
    </row>
    <row r="935" spans="9:36" x14ac:dyDescent="0.45">
      <c r="I935">
        <v>933</v>
      </c>
      <c r="J935">
        <v>0</v>
      </c>
      <c r="K935">
        <f t="shared" si="323"/>
        <v>0</v>
      </c>
      <c r="L935">
        <f t="shared" si="322"/>
        <v>0</v>
      </c>
      <c r="M935">
        <v>0.87</v>
      </c>
      <c r="N935">
        <f t="shared" si="324"/>
        <v>0.87</v>
      </c>
      <c r="O935">
        <f t="shared" si="325"/>
        <v>0</v>
      </c>
      <c r="P935">
        <f t="shared" si="326"/>
        <v>0</v>
      </c>
      <c r="Q935">
        <f t="shared" si="327"/>
        <v>1000</v>
      </c>
      <c r="R935">
        <f t="shared" si="328"/>
        <v>8.3078880293969366</v>
      </c>
      <c r="S935">
        <f t="shared" si="329"/>
        <v>0.37146933366150092</v>
      </c>
      <c r="T935">
        <f t="shared" si="330"/>
        <v>6000</v>
      </c>
      <c r="U935">
        <f t="shared" si="331"/>
        <v>1.3846480048994896</v>
      </c>
      <c r="V935">
        <f t="shared" si="332"/>
        <v>6.7086529348183177</v>
      </c>
      <c r="W935">
        <f t="shared" si="333"/>
        <v>6000</v>
      </c>
      <c r="X935">
        <f t="shared" si="334"/>
        <v>1.3846480048994896</v>
      </c>
      <c r="Y935">
        <f t="shared" si="335"/>
        <v>6.7086529348183177</v>
      </c>
      <c r="Z935">
        <f t="shared" si="336"/>
        <v>6000</v>
      </c>
      <c r="AA935">
        <f t="shared" si="337"/>
        <v>1.3846480048994896</v>
      </c>
      <c r="AB935">
        <f t="shared" si="338"/>
        <v>6.7086529348183177</v>
      </c>
      <c r="AC935">
        <f t="shared" si="339"/>
        <v>6000</v>
      </c>
      <c r="AD935">
        <f t="shared" si="340"/>
        <v>1.3846480048994896</v>
      </c>
      <c r="AE935">
        <f t="shared" si="341"/>
        <v>6.7086529348183177</v>
      </c>
      <c r="AF935">
        <f t="shared" si="342"/>
        <v>6000</v>
      </c>
      <c r="AG935">
        <f t="shared" si="343"/>
        <v>1.3846480048994896</v>
      </c>
      <c r="AH935">
        <f t="shared" si="344"/>
        <v>6.7086529348183177</v>
      </c>
      <c r="AI935" cm="1">
        <f t="array" ref="AI935">_xlfn.LET(
    _xlpm.vals,   _xlfn.HSTACK(S935,V935,Y935,AB935,AE935,AH935),
    _xlpm.ints,   _xlfn.HSTACK(R935,U935,X935,AA935,AD935,AG935),
    _xlpm.slopes, _xlfn.HSTACK(Q935,T935,W935,Z935,AC935,AF935),
    _xlpm.limit,  -0.00001*_xlpm.slopes + 0.1086*_xlpm.slopes + 63.253,
    _xlpm.mask,   (_xlpm.vals&gt;=0) * (_xlpm.ints&lt;=_xlpm.limit),
    _xlpm.validVals, _xlfn._xlws.FILTER(_xlpm.vals, _xlpm.mask),
    _xlpm.minVal, MIN(_xlpm.validVals),
    IFERROR( _xlfn.XMATCH(_xlpm.minVal, _xlpm.vals), "" )
)</f>
        <v>1</v>
      </c>
      <c r="AJ935" cm="1">
        <f t="array" ref="AJ935">_xlfn.LET(
    _xlpm.vals, CHOOSE({1,2,3,4,5,6}, S935, V935, Y935, AB935, AE935, AH935),
    _xlpm.slopes, CHOOSE({1,2,3,4,5,6}, Q935, T935, W935, Z935, AC935, AF935),
    _xlpm.ints, CHOOSE({1,2,3,4,5,6}, R935, U935, X935, AA935, AD935, AG935),
    _xlpm.limit, -0.00001*_xlpm.slopes + 0.1086*_xlpm.slopes + 63.253,
    _xlpm.valid, (_xlpm.vals &gt;= 0) * (_xlpm.ints &lt;= _xlpm.limit),
    _xlpm.target, MIN(_xlfn._xlws.FILTER(_xlpm.vals, _xlpm.valid)),
    IFERROR(
        _xlfn.XLOOKUP(_xlpm.target, _xlpm.vals, _xlpm.vals),
        CHOOSE({1,2,3,4,5,6}, S$1, V$1, Y$1, AB$1, AE$1, AH$1)
    )
)</f>
        <v>0.37146933366150092</v>
      </c>
    </row>
    <row r="936" spans="9:36" x14ac:dyDescent="0.45">
      <c r="I936">
        <v>934</v>
      </c>
      <c r="J936">
        <v>0.3</v>
      </c>
      <c r="K936">
        <f t="shared" si="323"/>
        <v>0.3</v>
      </c>
      <c r="L936">
        <f t="shared" si="322"/>
        <v>8.3333333333333331E-5</v>
      </c>
      <c r="M936">
        <v>1.35</v>
      </c>
      <c r="N936">
        <f t="shared" si="324"/>
        <v>1.35</v>
      </c>
      <c r="O936">
        <f t="shared" si="325"/>
        <v>3.898554836153473</v>
      </c>
      <c r="P936">
        <f t="shared" si="326"/>
        <v>12.475375475691115</v>
      </c>
      <c r="Q936">
        <f t="shared" si="327"/>
        <v>1000</v>
      </c>
      <c r="R936">
        <f t="shared" si="328"/>
        <v>12.891550390443523</v>
      </c>
      <c r="S936">
        <f t="shared" si="329"/>
        <v>0.4033484752058159</v>
      </c>
      <c r="T936">
        <f t="shared" si="330"/>
        <v>6000</v>
      </c>
      <c r="U936">
        <f t="shared" si="331"/>
        <v>2.1485917317405869</v>
      </c>
      <c r="V936">
        <f t="shared" si="332"/>
        <v>6.7136770873381186</v>
      </c>
      <c r="W936">
        <f t="shared" si="333"/>
        <v>6000</v>
      </c>
      <c r="X936">
        <f t="shared" si="334"/>
        <v>2.1485917317405869</v>
      </c>
      <c r="Y936">
        <f t="shared" si="335"/>
        <v>6.7136770873381186</v>
      </c>
      <c r="Z936">
        <f t="shared" si="336"/>
        <v>6000</v>
      </c>
      <c r="AA936">
        <f t="shared" si="337"/>
        <v>2.1485917317405869</v>
      </c>
      <c r="AB936">
        <f t="shared" si="338"/>
        <v>6.7136770873381186</v>
      </c>
      <c r="AC936">
        <f t="shared" si="339"/>
        <v>6000</v>
      </c>
      <c r="AD936">
        <f t="shared" si="340"/>
        <v>2.1485917317405869</v>
      </c>
      <c r="AE936">
        <f t="shared" si="341"/>
        <v>6.7136770873381186</v>
      </c>
      <c r="AF936">
        <f t="shared" si="342"/>
        <v>6000</v>
      </c>
      <c r="AG936">
        <f t="shared" si="343"/>
        <v>2.1485917317405869</v>
      </c>
      <c r="AH936">
        <f t="shared" si="344"/>
        <v>6.7136770873381186</v>
      </c>
      <c r="AI936" cm="1">
        <f t="array" ref="AI936">_xlfn.LET(
    _xlpm.vals,   _xlfn.HSTACK(S936,V936,Y936,AB936,AE936,AH936),
    _xlpm.ints,   _xlfn.HSTACK(R936,U936,X936,AA936,AD936,AG936),
    _xlpm.slopes, _xlfn.HSTACK(Q936,T936,W936,Z936,AC936,AF936),
    _xlpm.limit,  -0.00001*_xlpm.slopes + 0.1086*_xlpm.slopes + 63.253,
    _xlpm.mask,   (_xlpm.vals&gt;=0) * (_xlpm.ints&lt;=_xlpm.limit),
    _xlpm.validVals, _xlfn._xlws.FILTER(_xlpm.vals, _xlpm.mask),
    _xlpm.minVal, MIN(_xlpm.validVals),
    IFERROR( _xlfn.XMATCH(_xlpm.minVal, _xlpm.vals), "" )
)</f>
        <v>1</v>
      </c>
      <c r="AJ936" cm="1">
        <f t="array" ref="AJ936">_xlfn.LET(
    _xlpm.vals, CHOOSE({1,2,3,4,5,6}, S936, V936, Y936, AB936, AE936, AH936),
    _xlpm.slopes, CHOOSE({1,2,3,4,5,6}, Q936, T936, W936, Z936, AC936, AF936),
    _xlpm.ints, CHOOSE({1,2,3,4,5,6}, R936, U936, X936, AA936, AD936, AG936),
    _xlpm.limit, -0.00001*_xlpm.slopes + 0.1086*_xlpm.slopes + 63.253,
    _xlpm.valid, (_xlpm.vals &gt;= 0) * (_xlpm.ints &lt;= _xlpm.limit),
    _xlpm.target, MIN(_xlfn._xlws.FILTER(_xlpm.vals, _xlpm.valid)),
    IFERROR(
        _xlfn.XLOOKUP(_xlpm.target, _xlpm.vals, _xlpm.vals),
        CHOOSE({1,2,3,4,5,6}, S$1, V$1, Y$1, AB$1, AE$1, AH$1)
    )
)</f>
        <v>0.4033484752058159</v>
      </c>
    </row>
    <row r="937" spans="9:36" x14ac:dyDescent="0.45">
      <c r="I937">
        <v>935</v>
      </c>
      <c r="J937">
        <v>2</v>
      </c>
      <c r="K937">
        <f t="shared" si="323"/>
        <v>2</v>
      </c>
      <c r="L937">
        <f t="shared" si="322"/>
        <v>5.5555555555555556E-4</v>
      </c>
      <c r="M937">
        <v>5.16</v>
      </c>
      <c r="N937">
        <f t="shared" si="324"/>
        <v>5.16</v>
      </c>
      <c r="O937">
        <f t="shared" si="325"/>
        <v>25.990365574356488</v>
      </c>
      <c r="P937">
        <f t="shared" si="326"/>
        <v>83.169169837940771</v>
      </c>
      <c r="Q937">
        <f t="shared" si="327"/>
        <v>1000</v>
      </c>
      <c r="R937">
        <f t="shared" si="328"/>
        <v>49.274370381250804</v>
      </c>
      <c r="S937">
        <f t="shared" si="329"/>
        <v>0.71783108765549963</v>
      </c>
      <c r="T937">
        <f t="shared" si="330"/>
        <v>6000</v>
      </c>
      <c r="U937">
        <f t="shared" si="331"/>
        <v>8.2123950635418002</v>
      </c>
      <c r="V937">
        <f t="shared" si="332"/>
        <v>6.7603147587043804</v>
      </c>
      <c r="W937">
        <f t="shared" si="333"/>
        <v>6000</v>
      </c>
      <c r="X937">
        <f t="shared" si="334"/>
        <v>8.2123950635418002</v>
      </c>
      <c r="Y937">
        <f t="shared" si="335"/>
        <v>6.7603147587043804</v>
      </c>
      <c r="Z937">
        <f t="shared" si="336"/>
        <v>6000</v>
      </c>
      <c r="AA937">
        <f t="shared" si="337"/>
        <v>8.2123950635418002</v>
      </c>
      <c r="AB937">
        <f t="shared" si="338"/>
        <v>6.7603147587043804</v>
      </c>
      <c r="AC937">
        <f t="shared" si="339"/>
        <v>6000</v>
      </c>
      <c r="AD937">
        <f t="shared" si="340"/>
        <v>8.2123950635418002</v>
      </c>
      <c r="AE937">
        <f t="shared" si="341"/>
        <v>6.7603147587043804</v>
      </c>
      <c r="AF937">
        <f t="shared" si="342"/>
        <v>6000</v>
      </c>
      <c r="AG937">
        <f t="shared" si="343"/>
        <v>8.2123950635418002</v>
      </c>
      <c r="AH937">
        <f t="shared" si="344"/>
        <v>6.7603147587043804</v>
      </c>
      <c r="AI937" cm="1">
        <f t="array" ref="AI937">_xlfn.LET(
    _xlpm.vals,   _xlfn.HSTACK(S937,V937,Y937,AB937,AE937,AH937),
    _xlpm.ints,   _xlfn.HSTACK(R937,U937,X937,AA937,AD937,AG937),
    _xlpm.slopes, _xlfn.HSTACK(Q937,T937,W937,Z937,AC937,AF937),
    _xlpm.limit,  -0.00001*_xlpm.slopes + 0.1086*_xlpm.slopes + 63.253,
    _xlpm.mask,   (_xlpm.vals&gt;=0) * (_xlpm.ints&lt;=_xlpm.limit),
    _xlpm.validVals, _xlfn._xlws.FILTER(_xlpm.vals, _xlpm.mask),
    _xlpm.minVal, MIN(_xlpm.validVals),
    IFERROR( _xlfn.XMATCH(_xlpm.minVal, _xlpm.vals), "" )
)</f>
        <v>1</v>
      </c>
      <c r="AJ937" cm="1">
        <f t="array" ref="AJ937">_xlfn.LET(
    _xlpm.vals, CHOOSE({1,2,3,4,5,6}, S937, V937, Y937, AB937, AE937, AH937),
    _xlpm.slopes, CHOOSE({1,2,3,4,5,6}, Q937, T937, W937, Z937, AC937, AF937),
    _xlpm.ints, CHOOSE({1,2,3,4,5,6}, R937, U937, X937, AA937, AD937, AG937),
    _xlpm.limit, -0.00001*_xlpm.slopes + 0.1086*_xlpm.slopes + 63.253,
    _xlpm.valid, (_xlpm.vals &gt;= 0) * (_xlpm.ints &lt;= _xlpm.limit),
    _xlpm.target, MIN(_xlfn._xlws.FILTER(_xlpm.vals, _xlpm.valid)),
    IFERROR(
        _xlfn.XLOOKUP(_xlpm.target, _xlpm.vals, _xlpm.vals),
        CHOOSE({1,2,3,4,5,6}, S$1, V$1, Y$1, AB$1, AE$1, AH$1)
    )
)</f>
        <v>0.71783108765549963</v>
      </c>
    </row>
    <row r="938" spans="9:36" x14ac:dyDescent="0.45">
      <c r="I938">
        <v>936</v>
      </c>
      <c r="J938">
        <v>6</v>
      </c>
      <c r="K938">
        <f t="shared" si="323"/>
        <v>6</v>
      </c>
      <c r="L938">
        <f t="shared" si="322"/>
        <v>1.6666666666666666E-3</v>
      </c>
      <c r="M938">
        <v>9.0500000000000007</v>
      </c>
      <c r="N938">
        <f t="shared" si="324"/>
        <v>9.0500000000000007</v>
      </c>
      <c r="O938">
        <f t="shared" si="325"/>
        <v>77.971096723069479</v>
      </c>
      <c r="P938">
        <f t="shared" si="326"/>
        <v>249.50750951382236</v>
      </c>
      <c r="Q938">
        <f t="shared" si="327"/>
        <v>1142.7443935733063</v>
      </c>
      <c r="R938">
        <f t="shared" si="328"/>
        <v>75.625953262097809</v>
      </c>
      <c r="S938">
        <f t="shared" si="329"/>
        <v>1.0882441931567415</v>
      </c>
      <c r="T938">
        <f t="shared" si="330"/>
        <v>6000</v>
      </c>
      <c r="U938">
        <f t="shared" si="331"/>
        <v>14.403522349816528</v>
      </c>
      <c r="V938">
        <f t="shared" si="332"/>
        <v>6.8199734542418673</v>
      </c>
      <c r="W938">
        <f t="shared" si="333"/>
        <v>6000</v>
      </c>
      <c r="X938">
        <f t="shared" si="334"/>
        <v>14.403522349816528</v>
      </c>
      <c r="Y938">
        <f t="shared" si="335"/>
        <v>6.8199734542418673</v>
      </c>
      <c r="Z938">
        <f t="shared" si="336"/>
        <v>6000</v>
      </c>
      <c r="AA938">
        <f t="shared" si="337"/>
        <v>14.403522349816528</v>
      </c>
      <c r="AB938">
        <f t="shared" si="338"/>
        <v>6.8199734542418673</v>
      </c>
      <c r="AC938">
        <f t="shared" si="339"/>
        <v>6000</v>
      </c>
      <c r="AD938">
        <f t="shared" si="340"/>
        <v>14.403522349816528</v>
      </c>
      <c r="AE938">
        <f t="shared" si="341"/>
        <v>6.8199734542418673</v>
      </c>
      <c r="AF938">
        <f t="shared" si="342"/>
        <v>6000</v>
      </c>
      <c r="AG938">
        <f t="shared" si="343"/>
        <v>14.403522349816528</v>
      </c>
      <c r="AH938">
        <f t="shared" si="344"/>
        <v>6.8199734542418673</v>
      </c>
      <c r="AI938" cm="1">
        <f t="array" ref="AI938">_xlfn.LET(
    _xlpm.vals,   _xlfn.HSTACK(S938,V938,Y938,AB938,AE938,AH938),
    _xlpm.ints,   _xlfn.HSTACK(R938,U938,X938,AA938,AD938,AG938),
    _xlpm.slopes, _xlfn.HSTACK(Q938,T938,W938,Z938,AC938,AF938),
    _xlpm.limit,  -0.00001*_xlpm.slopes + 0.1086*_xlpm.slopes + 63.253,
    _xlpm.mask,   (_xlpm.vals&gt;=0) * (_xlpm.ints&lt;=_xlpm.limit),
    _xlpm.validVals, _xlfn._xlws.FILTER(_xlpm.vals, _xlpm.mask),
    _xlpm.minVal, MIN(_xlpm.validVals),
    IFERROR( _xlfn.XMATCH(_xlpm.minVal, _xlpm.vals), "" )
)</f>
        <v>1</v>
      </c>
      <c r="AJ938" cm="1">
        <f t="array" ref="AJ938">_xlfn.LET(
    _xlpm.vals, CHOOSE({1,2,3,4,5,6}, S938, V938, Y938, AB938, AE938, AH938),
    _xlpm.slopes, CHOOSE({1,2,3,4,5,6}, Q938, T938, W938, Z938, AC938, AF938),
    _xlpm.ints, CHOOSE({1,2,3,4,5,6}, R938, U938, X938, AA938, AD938, AG938),
    _xlpm.limit, -0.00001*_xlpm.slopes + 0.1086*_xlpm.slopes + 63.253,
    _xlpm.valid, (_xlpm.vals &gt;= 0) * (_xlpm.ints &lt;= _xlpm.limit),
    _xlpm.target, MIN(_xlfn._xlws.FILTER(_xlpm.vals, _xlpm.valid)),
    IFERROR(
        _xlfn.XLOOKUP(_xlpm.target, _xlpm.vals, _xlpm.vals),
        CHOOSE({1,2,3,4,5,6}, S$1, V$1, Y$1, AB$1, AE$1, AH$1)
    )
)</f>
        <v>1.0882441931567415</v>
      </c>
    </row>
    <row r="939" spans="9:36" x14ac:dyDescent="0.45">
      <c r="I939">
        <v>937</v>
      </c>
      <c r="J939">
        <v>8.6999999999999993</v>
      </c>
      <c r="K939">
        <f t="shared" si="323"/>
        <v>8.6999999999999993</v>
      </c>
      <c r="L939">
        <f t="shared" si="322"/>
        <v>2.4166666666666664E-3</v>
      </c>
      <c r="M939">
        <v>13.08</v>
      </c>
      <c r="N939">
        <f t="shared" si="324"/>
        <v>13.08</v>
      </c>
      <c r="O939">
        <f t="shared" si="325"/>
        <v>113.05809024845072</v>
      </c>
      <c r="P939">
        <f t="shared" si="326"/>
        <v>361.78588879504235</v>
      </c>
      <c r="Q939">
        <f t="shared" si="327"/>
        <v>1656.9793706812941</v>
      </c>
      <c r="R939">
        <f t="shared" si="328"/>
        <v>75.381022569498143</v>
      </c>
      <c r="S939">
        <f t="shared" si="329"/>
        <v>1.4635903740801617</v>
      </c>
      <c r="T939">
        <f t="shared" si="330"/>
        <v>1070.8862308333253</v>
      </c>
      <c r="U939">
        <f t="shared" si="331"/>
        <v>116.63685248929107</v>
      </c>
      <c r="V939">
        <f t="shared" si="332"/>
        <v>1.4125729729517063</v>
      </c>
      <c r="W939">
        <f t="shared" si="333"/>
        <v>6000</v>
      </c>
      <c r="X939">
        <f t="shared" si="334"/>
        <v>20.817466556419912</v>
      </c>
      <c r="Y939">
        <f t="shared" si="335"/>
        <v>6.8940858964995604</v>
      </c>
      <c r="Z939">
        <f t="shared" si="336"/>
        <v>6000</v>
      </c>
      <c r="AA939">
        <f t="shared" si="337"/>
        <v>20.817466556419912</v>
      </c>
      <c r="AB939">
        <f t="shared" si="338"/>
        <v>6.8940858964995604</v>
      </c>
      <c r="AC939">
        <f t="shared" si="339"/>
        <v>6000</v>
      </c>
      <c r="AD939">
        <f t="shared" si="340"/>
        <v>20.817466556419912</v>
      </c>
      <c r="AE939">
        <f t="shared" si="341"/>
        <v>6.8940858964995604</v>
      </c>
      <c r="AF939">
        <f t="shared" si="342"/>
        <v>6000</v>
      </c>
      <c r="AG939">
        <f t="shared" si="343"/>
        <v>20.817466556419912</v>
      </c>
      <c r="AH939">
        <f t="shared" si="344"/>
        <v>6.8940858964995604</v>
      </c>
      <c r="AI939" cm="1">
        <f t="array" ref="AI939">_xlfn.LET(
    _xlpm.vals,   _xlfn.HSTACK(S939,V939,Y939,AB939,AE939,AH939),
    _xlpm.ints,   _xlfn.HSTACK(R939,U939,X939,AA939,AD939,AG939),
    _xlpm.slopes, _xlfn.HSTACK(Q939,T939,W939,Z939,AC939,AF939),
    _xlpm.limit,  -0.00001*_xlpm.slopes + 0.1086*_xlpm.slopes + 63.253,
    _xlpm.mask,   (_xlpm.vals&gt;=0) * (_xlpm.ints&lt;=_xlpm.limit),
    _xlpm.validVals, _xlfn._xlws.FILTER(_xlpm.vals, _xlpm.mask),
    _xlpm.minVal, MIN(_xlpm.validVals),
    IFERROR( _xlfn.XMATCH(_xlpm.minVal, _xlpm.vals), "" )
)</f>
        <v>2</v>
      </c>
      <c r="AJ939" cm="1">
        <f t="array" ref="AJ939">_xlfn.LET(
    _xlpm.vals, CHOOSE({1,2,3,4,5,6}, S939, V939, Y939, AB939, AE939, AH939),
    _xlpm.slopes, CHOOSE({1,2,3,4,5,6}, Q939, T939, W939, Z939, AC939, AF939),
    _xlpm.ints, CHOOSE({1,2,3,4,5,6}, R939, U939, X939, AA939, AD939, AG939),
    _xlpm.limit, -0.00001*_xlpm.slopes + 0.1086*_xlpm.slopes + 63.253,
    _xlpm.valid, (_xlpm.vals &gt;= 0) * (_xlpm.ints &lt;= _xlpm.limit),
    _xlpm.target, MIN(_xlfn._xlws.FILTER(_xlpm.vals, _xlpm.valid)),
    IFERROR(
        _xlfn.XLOOKUP(_xlpm.target, _xlpm.vals, _xlpm.vals),
        CHOOSE({1,2,3,4,5,6}, S$1, V$1, Y$1, AB$1, AE$1, AH$1)
    )
)</f>
        <v>1.4125729729517063</v>
      </c>
    </row>
    <row r="940" spans="9:36" x14ac:dyDescent="0.45">
      <c r="I940">
        <v>938</v>
      </c>
      <c r="J940">
        <v>12.1</v>
      </c>
      <c r="K940">
        <f t="shared" si="323"/>
        <v>12.1</v>
      </c>
      <c r="L940">
        <f t="shared" si="322"/>
        <v>3.3611111111111112E-3</v>
      </c>
      <c r="M940">
        <v>16.5</v>
      </c>
      <c r="N940">
        <f t="shared" si="324"/>
        <v>16.5</v>
      </c>
      <c r="O940">
        <f t="shared" si="325"/>
        <v>157.24171172485677</v>
      </c>
      <c r="P940">
        <f t="shared" si="326"/>
        <v>503.17347751954168</v>
      </c>
      <c r="Q940">
        <f t="shared" si="327"/>
        <v>2304.534527039501</v>
      </c>
      <c r="R940">
        <f t="shared" si="328"/>
        <v>68.371027559907617</v>
      </c>
      <c r="S940">
        <f t="shared" si="329"/>
        <v>1.7822387185884478</v>
      </c>
      <c r="T940">
        <f t="shared" si="330"/>
        <v>1489.3934934578433</v>
      </c>
      <c r="U940">
        <f t="shared" si="331"/>
        <v>105.79030615688409</v>
      </c>
      <c r="V940">
        <f t="shared" si="332"/>
        <v>1.762400481195022</v>
      </c>
      <c r="W940">
        <f t="shared" si="333"/>
        <v>6000</v>
      </c>
      <c r="X940">
        <f t="shared" si="334"/>
        <v>26.260565610162732</v>
      </c>
      <c r="Y940">
        <f t="shared" si="335"/>
        <v>6.9663993083028997</v>
      </c>
      <c r="Z940">
        <f t="shared" si="336"/>
        <v>6000</v>
      </c>
      <c r="AA940">
        <f t="shared" si="337"/>
        <v>26.260565610162732</v>
      </c>
      <c r="AB940">
        <f t="shared" si="338"/>
        <v>6.9663993083028997</v>
      </c>
      <c r="AC940">
        <f t="shared" si="339"/>
        <v>6000</v>
      </c>
      <c r="AD940">
        <f t="shared" si="340"/>
        <v>26.260565610162732</v>
      </c>
      <c r="AE940">
        <f t="shared" si="341"/>
        <v>6.9663993083028997</v>
      </c>
      <c r="AF940">
        <f t="shared" si="342"/>
        <v>6000</v>
      </c>
      <c r="AG940">
        <f t="shared" si="343"/>
        <v>26.260565610162732</v>
      </c>
      <c r="AH940">
        <f t="shared" si="344"/>
        <v>6.9663993083028997</v>
      </c>
      <c r="AI940" cm="1">
        <f t="array" ref="AI940">_xlfn.LET(
    _xlpm.vals,   _xlfn.HSTACK(S940,V940,Y940,AB940,AE940,AH940),
    _xlpm.ints,   _xlfn.HSTACK(R940,U940,X940,AA940,AD940,AG940),
    _xlpm.slopes, _xlfn.HSTACK(Q940,T940,W940,Z940,AC940,AF940),
    _xlpm.limit,  -0.00001*_xlpm.slopes + 0.1086*_xlpm.slopes + 63.253,
    _xlpm.mask,   (_xlpm.vals&gt;=0) * (_xlpm.ints&lt;=_xlpm.limit),
    _xlpm.validVals, _xlfn._xlws.FILTER(_xlpm.vals, _xlpm.mask),
    _xlpm.minVal, MIN(_xlpm.validVals),
    IFERROR( _xlfn.XMATCH(_xlpm.minVal, _xlpm.vals), "" )
)</f>
        <v>2</v>
      </c>
      <c r="AJ940" cm="1">
        <f t="array" ref="AJ940">_xlfn.LET(
    _xlpm.vals, CHOOSE({1,2,3,4,5,6}, S940, V940, Y940, AB940, AE940, AH940),
    _xlpm.slopes, CHOOSE({1,2,3,4,5,6}, Q940, T940, W940, Z940, AC940, AF940),
    _xlpm.ints, CHOOSE({1,2,3,4,5,6}, R940, U940, X940, AA940, AD940, AG940),
    _xlpm.limit, -0.00001*_xlpm.slopes + 0.1086*_xlpm.slopes + 63.253,
    _xlpm.valid, (_xlpm.vals &gt;= 0) * (_xlpm.ints &lt;= _xlpm.limit),
    _xlpm.target, MIN(_xlfn._xlws.FILTER(_xlpm.vals, _xlpm.valid)),
    IFERROR(
        _xlfn.XLOOKUP(_xlpm.target, _xlpm.vals, _xlpm.vals),
        CHOOSE({1,2,3,4,5,6}, S$1, V$1, Y$1, AB$1, AE$1, AH$1)
    )
)</f>
        <v>1.762400481195022</v>
      </c>
    </row>
    <row r="941" spans="9:36" x14ac:dyDescent="0.45">
      <c r="I941">
        <v>939</v>
      </c>
      <c r="J941">
        <v>15.4</v>
      </c>
      <c r="K941">
        <f t="shared" si="323"/>
        <v>15.4</v>
      </c>
      <c r="L941">
        <f t="shared" si="322"/>
        <v>4.2777777777777779E-3</v>
      </c>
      <c r="M941">
        <v>21.35</v>
      </c>
      <c r="N941">
        <f t="shared" si="324"/>
        <v>21.35</v>
      </c>
      <c r="O941">
        <f t="shared" si="325"/>
        <v>200.12581492254498</v>
      </c>
      <c r="P941">
        <f t="shared" si="326"/>
        <v>640.40260775214392</v>
      </c>
      <c r="Q941">
        <f t="shared" si="327"/>
        <v>2933.0439435048193</v>
      </c>
      <c r="R941">
        <f t="shared" si="328"/>
        <v>69.510544685906083</v>
      </c>
      <c r="S941">
        <f t="shared" si="329"/>
        <v>2.2832909317661323</v>
      </c>
      <c r="T941">
        <f t="shared" si="330"/>
        <v>1895.591718946346</v>
      </c>
      <c r="U941">
        <f t="shared" si="331"/>
        <v>107.5534779261655</v>
      </c>
      <c r="V941">
        <f t="shared" si="332"/>
        <v>2.186147348348181</v>
      </c>
      <c r="W941">
        <f t="shared" si="333"/>
        <v>1223.1689808065948</v>
      </c>
      <c r="X941">
        <f t="shared" si="334"/>
        <v>166.67973542484285</v>
      </c>
      <c r="Y941">
        <f t="shared" si="335"/>
        <v>1.8899911242327641</v>
      </c>
      <c r="Z941">
        <f t="shared" si="336"/>
        <v>6000</v>
      </c>
      <c r="AA941">
        <f t="shared" si="337"/>
        <v>33.979580350119654</v>
      </c>
      <c r="AB941">
        <f t="shared" si="338"/>
        <v>7.0830848610741031</v>
      </c>
      <c r="AC941">
        <f t="shared" si="339"/>
        <v>6000</v>
      </c>
      <c r="AD941">
        <f t="shared" si="340"/>
        <v>33.979580350119654</v>
      </c>
      <c r="AE941">
        <f t="shared" si="341"/>
        <v>7.0830848610741031</v>
      </c>
      <c r="AF941">
        <f t="shared" si="342"/>
        <v>6000</v>
      </c>
      <c r="AG941">
        <f t="shared" si="343"/>
        <v>33.979580350119654</v>
      </c>
      <c r="AH941">
        <f t="shared" si="344"/>
        <v>7.0830848610741031</v>
      </c>
      <c r="AI941" cm="1">
        <f t="array" ref="AI941">_xlfn.LET(
    _xlpm.vals,   _xlfn.HSTACK(S941,V941,Y941,AB941,AE941,AH941),
    _xlpm.ints,   _xlfn.HSTACK(R941,U941,X941,AA941,AD941,AG941),
    _xlpm.slopes, _xlfn.HSTACK(Q941,T941,W941,Z941,AC941,AF941),
    _xlpm.limit,  -0.00001*_xlpm.slopes + 0.1086*_xlpm.slopes + 63.253,
    _xlpm.mask,   (_xlpm.vals&gt;=0) * (_xlpm.ints&lt;=_xlpm.limit),
    _xlpm.validVals, _xlfn._xlws.FILTER(_xlpm.vals, _xlpm.mask),
    _xlpm.minVal, MIN(_xlpm.validVals),
    IFERROR( _xlfn.XMATCH(_xlpm.minVal, _xlpm.vals), "" )
)</f>
        <v>3</v>
      </c>
      <c r="AJ941" cm="1">
        <f t="array" ref="AJ941">_xlfn.LET(
    _xlpm.vals, CHOOSE({1,2,3,4,5,6}, S941, V941, Y941, AB941, AE941, AH941),
    _xlpm.slopes, CHOOSE({1,2,3,4,5,6}, Q941, T941, W941, Z941, AC941, AF941),
    _xlpm.ints, CHOOSE({1,2,3,4,5,6}, R941, U941, X941, AA941, AD941, AG941),
    _xlpm.limit, -0.00001*_xlpm.slopes + 0.1086*_xlpm.slopes + 63.253,
    _xlpm.valid, (_xlpm.vals &gt;= 0) * (_xlpm.ints &lt;= _xlpm.limit),
    _xlpm.target, MIN(_xlfn._xlws.FILTER(_xlpm.vals, _xlpm.valid)),
    IFERROR(
        _xlfn.XLOOKUP(_xlpm.target, _xlpm.vals, _xlpm.vals),
        CHOOSE({1,2,3,4,5,6}, S$1, V$1, Y$1, AB$1, AE$1, AH$1)
    )
)</f>
        <v>1.8899911242327641</v>
      </c>
    </row>
    <row r="942" spans="9:36" x14ac:dyDescent="0.45">
      <c r="I942">
        <v>940</v>
      </c>
      <c r="J942">
        <v>17.5</v>
      </c>
      <c r="K942">
        <f t="shared" si="323"/>
        <v>17.5</v>
      </c>
      <c r="L942">
        <f t="shared" si="322"/>
        <v>4.8611111111111112E-3</v>
      </c>
      <c r="M942">
        <v>14.23</v>
      </c>
      <c r="N942">
        <f t="shared" si="324"/>
        <v>14.23</v>
      </c>
      <c r="O942">
        <f t="shared" si="325"/>
        <v>227.41569877561929</v>
      </c>
      <c r="P942">
        <f t="shared" si="326"/>
        <v>727.73023608198173</v>
      </c>
      <c r="Q942">
        <f t="shared" si="327"/>
        <v>3333.0044812554765</v>
      </c>
      <c r="R942">
        <f t="shared" si="328"/>
        <v>40.769969310294627</v>
      </c>
      <c r="S942">
        <f t="shared" si="329"/>
        <v>1.9762781755745076</v>
      </c>
      <c r="T942">
        <f t="shared" si="330"/>
        <v>2154.0814988026659</v>
      </c>
      <c r="U942">
        <f t="shared" si="331"/>
        <v>63.08326332471264</v>
      </c>
      <c r="V942">
        <f t="shared" si="332"/>
        <v>1.5798774478906827</v>
      </c>
      <c r="W942">
        <f t="shared" si="333"/>
        <v>1389.964750916585</v>
      </c>
      <c r="X942">
        <f t="shared" si="334"/>
        <v>97.762544210025879</v>
      </c>
      <c r="Y942">
        <f t="shared" si="335"/>
        <v>1.5631033029228858</v>
      </c>
      <c r="Z942">
        <f t="shared" si="336"/>
        <v>1047.9315399580537</v>
      </c>
      <c r="AA942">
        <f t="shared" si="337"/>
        <v>129.67115238968708</v>
      </c>
      <c r="AB942">
        <f t="shared" si="338"/>
        <v>1.4703364507408523</v>
      </c>
      <c r="AC942">
        <f t="shared" si="339"/>
        <v>6000</v>
      </c>
      <c r="AD942">
        <f t="shared" si="340"/>
        <v>22.647748401976706</v>
      </c>
      <c r="AE942">
        <f t="shared" si="341"/>
        <v>6.9174557290327074</v>
      </c>
      <c r="AF942">
        <f t="shared" si="342"/>
        <v>6000</v>
      </c>
      <c r="AG942">
        <f t="shared" si="343"/>
        <v>22.647748401976706</v>
      </c>
      <c r="AH942">
        <f t="shared" si="344"/>
        <v>6.9174557290327074</v>
      </c>
      <c r="AI942" cm="1">
        <f t="array" ref="AI942">_xlfn.LET(
    _xlpm.vals,   _xlfn.HSTACK(S942,V942,Y942,AB942,AE942,AH942),
    _xlpm.ints,   _xlfn.HSTACK(R942,U942,X942,AA942,AD942,AG942),
    _xlpm.slopes, _xlfn.HSTACK(Q942,T942,W942,Z942,AC942,AF942),
    _xlpm.limit,  -0.00001*_xlpm.slopes + 0.1086*_xlpm.slopes + 63.253,
    _xlpm.mask,   (_xlpm.vals&gt;=0) * (_xlpm.ints&lt;=_xlpm.limit),
    _xlpm.validVals, _xlfn._xlws.FILTER(_xlpm.vals, _xlpm.mask),
    _xlpm.minVal, MIN(_xlpm.validVals),
    IFERROR( _xlfn.XMATCH(_xlpm.minVal, _xlpm.vals), "" )
)</f>
        <v>4</v>
      </c>
      <c r="AJ942" cm="1">
        <f t="array" ref="AJ942">_xlfn.LET(
    _xlpm.vals, CHOOSE({1,2,3,4,5,6}, S942, V942, Y942, AB942, AE942, AH942),
    _xlpm.slopes, CHOOSE({1,2,3,4,5,6}, Q942, T942, W942, Z942, AC942, AF942),
    _xlpm.ints, CHOOSE({1,2,3,4,5,6}, R942, U942, X942, AA942, AD942, AG942),
    _xlpm.limit, -0.00001*_xlpm.slopes + 0.1086*_xlpm.slopes + 63.253,
    _xlpm.valid, (_xlpm.vals &gt;= 0) * (_xlpm.ints &lt;= _xlpm.limit),
    _xlpm.target, MIN(_xlfn._xlws.FILTER(_xlpm.vals, _xlpm.valid)),
    IFERROR(
        _xlfn.XLOOKUP(_xlpm.target, _xlpm.vals, _xlpm.vals),
        CHOOSE({1,2,3,4,5,6}, S$1, V$1, Y$1, AB$1, AE$1, AH$1)
    )
)</f>
        <v>1.4703364507408523</v>
      </c>
    </row>
    <row r="943" spans="9:36" x14ac:dyDescent="0.45">
      <c r="I943">
        <v>941</v>
      </c>
      <c r="J943">
        <v>18.600000000000001</v>
      </c>
      <c r="K943">
        <f t="shared" si="323"/>
        <v>18.600000000000001</v>
      </c>
      <c r="L943">
        <f t="shared" si="322"/>
        <v>5.1666666666666666E-3</v>
      </c>
      <c r="M943">
        <v>10.17</v>
      </c>
      <c r="N943">
        <f t="shared" si="324"/>
        <v>10.17</v>
      </c>
      <c r="O943">
        <f t="shared" si="325"/>
        <v>241.7103998415154</v>
      </c>
      <c r="P943">
        <f t="shared" si="326"/>
        <v>773.47327949284931</v>
      </c>
      <c r="Q943">
        <f t="shared" si="327"/>
        <v>3542.5076200772501</v>
      </c>
      <c r="R943">
        <f t="shared" si="328"/>
        <v>27.414576534504889</v>
      </c>
      <c r="S943">
        <f t="shared" si="329"/>
        <v>1.8997861084224563</v>
      </c>
      <c r="T943">
        <f t="shared" si="330"/>
        <v>2289.4809072988342</v>
      </c>
      <c r="U943">
        <f t="shared" si="331"/>
        <v>42.418500178389323</v>
      </c>
      <c r="V943">
        <f t="shared" si="332"/>
        <v>1.274912436562365</v>
      </c>
      <c r="W943">
        <f t="shared" si="333"/>
        <v>1477.3339638313421</v>
      </c>
      <c r="X943">
        <f t="shared" si="334"/>
        <v>65.737570957085026</v>
      </c>
      <c r="Y943">
        <f t="shared" si="335"/>
        <v>1.1995382293136363</v>
      </c>
      <c r="Z943">
        <f t="shared" si="336"/>
        <v>1113.8015224697031</v>
      </c>
      <c r="AA943">
        <f t="shared" si="337"/>
        <v>87.193583700022486</v>
      </c>
      <c r="AB943">
        <f t="shared" si="338"/>
        <v>1.1881752981735825</v>
      </c>
      <c r="AC943">
        <f t="shared" si="339"/>
        <v>6000</v>
      </c>
      <c r="AD943">
        <f t="shared" si="340"/>
        <v>16.186057712445756</v>
      </c>
      <c r="AE943">
        <f t="shared" si="341"/>
        <v>6.8393366861772593</v>
      </c>
      <c r="AF943">
        <f t="shared" si="342"/>
        <v>6000</v>
      </c>
      <c r="AG943">
        <f t="shared" si="343"/>
        <v>16.186057712445756</v>
      </c>
      <c r="AH943">
        <f t="shared" si="344"/>
        <v>6.8393366861772593</v>
      </c>
      <c r="AI943" cm="1">
        <f t="array" ref="AI943">_xlfn.LET(
    _xlpm.vals,   _xlfn.HSTACK(S943,V943,Y943,AB943,AE943,AH943),
    _xlpm.ints,   _xlfn.HSTACK(R943,U943,X943,AA943,AD943,AG943),
    _xlpm.slopes, _xlfn.HSTACK(Q943,T943,W943,Z943,AC943,AF943),
    _xlpm.limit,  -0.00001*_xlpm.slopes + 0.1086*_xlpm.slopes + 63.253,
    _xlpm.mask,   (_xlpm.vals&gt;=0) * (_xlpm.ints&lt;=_xlpm.limit),
    _xlpm.validVals, _xlfn._xlws.FILTER(_xlpm.vals, _xlpm.mask),
    _xlpm.minVal, MIN(_xlpm.validVals),
    IFERROR( _xlfn.XMATCH(_xlpm.minVal, _xlpm.vals), "" )
)</f>
        <v>4</v>
      </c>
      <c r="AJ943" cm="1">
        <f t="array" ref="AJ943">_xlfn.LET(
    _xlpm.vals, CHOOSE({1,2,3,4,5,6}, S943, V943, Y943, AB943, AE943, AH943),
    _xlpm.slopes, CHOOSE({1,2,3,4,5,6}, Q943, T943, W943, Z943, AC943, AF943),
    _xlpm.ints, CHOOSE({1,2,3,4,5,6}, R943, U943, X943, AA943, AD943, AG943),
    _xlpm.limit, -0.00001*_xlpm.slopes + 0.1086*_xlpm.slopes + 63.253,
    _xlpm.valid, (_xlpm.vals &gt;= 0) * (_xlpm.ints &lt;= _xlpm.limit),
    _xlpm.target, MIN(_xlfn._xlws.FILTER(_xlpm.vals, _xlpm.valid)),
    IFERROR(
        _xlfn.XLOOKUP(_xlpm.target, _xlpm.vals, _xlpm.vals),
        CHOOSE({1,2,3,4,5,6}, S$1, V$1, Y$1, AB$1, AE$1, AH$1)
    )
)</f>
        <v>1.1881752981735825</v>
      </c>
    </row>
    <row r="944" spans="9:36" x14ac:dyDescent="0.45">
      <c r="I944">
        <v>942</v>
      </c>
      <c r="J944">
        <v>19.899999999999999</v>
      </c>
      <c r="K944">
        <f t="shared" si="323"/>
        <v>19.899999999999999</v>
      </c>
      <c r="L944">
        <f t="shared" si="322"/>
        <v>5.5277777777777773E-3</v>
      </c>
      <c r="M944">
        <v>12.89</v>
      </c>
      <c r="N944">
        <f t="shared" si="324"/>
        <v>12.89</v>
      </c>
      <c r="O944">
        <f t="shared" si="325"/>
        <v>258.6041374648471</v>
      </c>
      <c r="P944">
        <f t="shared" si="326"/>
        <v>827.53323988751072</v>
      </c>
      <c r="Q944">
        <f t="shared" si="327"/>
        <v>3790.102238684799</v>
      </c>
      <c r="R944">
        <f t="shared" si="328"/>
        <v>32.476810712627476</v>
      </c>
      <c r="S944">
        <f t="shared" si="329"/>
        <v>2.2757233844345102</v>
      </c>
      <c r="T944">
        <f t="shared" si="330"/>
        <v>2449.4983900670318</v>
      </c>
      <c r="U944">
        <f t="shared" si="331"/>
        <v>50.251281440484405</v>
      </c>
      <c r="V944">
        <f t="shared" si="332"/>
        <v>1.515703509062073</v>
      </c>
      <c r="W944">
        <f t="shared" si="333"/>
        <v>1580.5884881851455</v>
      </c>
      <c r="X944">
        <f t="shared" si="334"/>
        <v>77.876331447033422</v>
      </c>
      <c r="Y944">
        <f t="shared" si="335"/>
        <v>1.4465919381439525</v>
      </c>
      <c r="Z944">
        <f t="shared" si="336"/>
        <v>1191.6478654380153</v>
      </c>
      <c r="AA944">
        <f t="shared" si="337"/>
        <v>103.29430073877352</v>
      </c>
      <c r="AB944">
        <f t="shared" si="338"/>
        <v>1.4297733721104371</v>
      </c>
      <c r="AC944">
        <f t="shared" si="339"/>
        <v>6000</v>
      </c>
      <c r="AD944">
        <f t="shared" si="340"/>
        <v>20.515072164545309</v>
      </c>
      <c r="AE944">
        <f t="shared" si="341"/>
        <v>6.8903183528815326</v>
      </c>
      <c r="AF944">
        <f t="shared" si="342"/>
        <v>6000</v>
      </c>
      <c r="AG944">
        <f t="shared" si="343"/>
        <v>20.515072164545309</v>
      </c>
      <c r="AH944">
        <f t="shared" si="344"/>
        <v>6.8903183528815326</v>
      </c>
      <c r="AI944" cm="1">
        <f t="array" ref="AI944">_xlfn.LET(
    _xlpm.vals,   _xlfn.HSTACK(S944,V944,Y944,AB944,AE944,AH944),
    _xlpm.ints,   _xlfn.HSTACK(R944,U944,X944,AA944,AD944,AG944),
    _xlpm.slopes, _xlfn.HSTACK(Q944,T944,W944,Z944,AC944,AF944),
    _xlpm.limit,  -0.00001*_xlpm.slopes + 0.1086*_xlpm.slopes + 63.253,
    _xlpm.mask,   (_xlpm.vals&gt;=0) * (_xlpm.ints&lt;=_xlpm.limit),
    _xlpm.validVals, _xlfn._xlws.FILTER(_xlpm.vals, _xlpm.mask),
    _xlpm.minVal, MIN(_xlpm.validVals),
    IFERROR( _xlfn.XMATCH(_xlpm.minVal, _xlpm.vals), "" )
)</f>
        <v>4</v>
      </c>
      <c r="AJ944" cm="1">
        <f t="array" ref="AJ944">_xlfn.LET(
    _xlpm.vals, CHOOSE({1,2,3,4,5,6}, S944, V944, Y944, AB944, AE944, AH944),
    _xlpm.slopes, CHOOSE({1,2,3,4,5,6}, Q944, T944, W944, Z944, AC944, AF944),
    _xlpm.ints, CHOOSE({1,2,3,4,5,6}, R944, U944, X944, AA944, AD944, AG944),
    _xlpm.limit, -0.00001*_xlpm.slopes + 0.1086*_xlpm.slopes + 63.253,
    _xlpm.valid, (_xlpm.vals &gt;= 0) * (_xlpm.ints &lt;= _xlpm.limit),
    _xlpm.target, MIN(_xlfn._xlws.FILTER(_xlpm.vals, _xlpm.valid)),
    IFERROR(
        _xlfn.XLOOKUP(_xlpm.target, _xlpm.vals, _xlpm.vals),
        CHOOSE({1,2,3,4,5,6}, S$1, V$1, Y$1, AB$1, AE$1, AH$1)
    )
)</f>
        <v>1.4297733721104371</v>
      </c>
    </row>
    <row r="945" spans="9:36" x14ac:dyDescent="0.45">
      <c r="I945">
        <v>943</v>
      </c>
      <c r="J945">
        <v>21.3</v>
      </c>
      <c r="K945">
        <f t="shared" si="323"/>
        <v>21.3</v>
      </c>
      <c r="L945">
        <f t="shared" si="322"/>
        <v>5.9166666666666664E-3</v>
      </c>
      <c r="M945">
        <v>12.96</v>
      </c>
      <c r="N945">
        <f t="shared" si="324"/>
        <v>12.96</v>
      </c>
      <c r="O945">
        <f t="shared" si="325"/>
        <v>276.79739336689664</v>
      </c>
      <c r="P945">
        <f t="shared" si="326"/>
        <v>885.75165877406926</v>
      </c>
      <c r="Q945">
        <f t="shared" si="327"/>
        <v>4056.7425971852372</v>
      </c>
      <c r="R945">
        <f t="shared" si="328"/>
        <v>30.506959902786949</v>
      </c>
      <c r="S945">
        <f t="shared" si="329"/>
        <v>2.5747949509421488</v>
      </c>
      <c r="T945">
        <f t="shared" si="330"/>
        <v>2621.8249099712448</v>
      </c>
      <c r="U945">
        <f t="shared" si="331"/>
        <v>47.203336606339263</v>
      </c>
      <c r="V945">
        <f t="shared" si="332"/>
        <v>1.5639657776251314</v>
      </c>
      <c r="W945">
        <f t="shared" si="333"/>
        <v>1691.7856682584722</v>
      </c>
      <c r="X945">
        <f t="shared" si="334"/>
        <v>73.152814845426292</v>
      </c>
      <c r="Y945">
        <f t="shared" si="335"/>
        <v>1.4528946357572847</v>
      </c>
      <c r="Z945">
        <f t="shared" si="336"/>
        <v>1275.4823886346596</v>
      </c>
      <c r="AA945">
        <f t="shared" si="337"/>
        <v>97.029080801919605</v>
      </c>
      <c r="AB945">
        <f t="shared" si="338"/>
        <v>1.4456316961926756</v>
      </c>
      <c r="AC945">
        <f t="shared" si="339"/>
        <v>6000</v>
      </c>
      <c r="AD945">
        <f t="shared" si="340"/>
        <v>20.626480624709636</v>
      </c>
      <c r="AE945">
        <f t="shared" si="341"/>
        <v>6.8917032935195621</v>
      </c>
      <c r="AF945">
        <f t="shared" si="342"/>
        <v>6000</v>
      </c>
      <c r="AG945">
        <f t="shared" si="343"/>
        <v>20.626480624709636</v>
      </c>
      <c r="AH945">
        <f t="shared" si="344"/>
        <v>6.8917032935195621</v>
      </c>
      <c r="AI945" cm="1">
        <f t="array" ref="AI945">_xlfn.LET(
    _xlpm.vals,   _xlfn.HSTACK(S945,V945,Y945,AB945,AE945,AH945),
    _xlpm.ints,   _xlfn.HSTACK(R945,U945,X945,AA945,AD945,AG945),
    _xlpm.slopes, _xlfn.HSTACK(Q945,T945,W945,Z945,AC945,AF945),
    _xlpm.limit,  -0.00001*_xlpm.slopes + 0.1086*_xlpm.slopes + 63.253,
    _xlpm.mask,   (_xlpm.vals&gt;=0) * (_xlpm.ints&lt;=_xlpm.limit),
    _xlpm.validVals, _xlfn._xlws.FILTER(_xlpm.vals, _xlpm.mask),
    _xlpm.minVal, MIN(_xlpm.validVals),
    IFERROR( _xlfn.XMATCH(_xlpm.minVal, _xlpm.vals), "" )
)</f>
        <v>4</v>
      </c>
      <c r="AJ945" cm="1">
        <f t="array" ref="AJ945">_xlfn.LET(
    _xlpm.vals, CHOOSE({1,2,3,4,5,6}, S945, V945, Y945, AB945, AE945, AH945),
    _xlpm.slopes, CHOOSE({1,2,3,4,5,6}, Q945, T945, W945, Z945, AC945, AF945),
    _xlpm.ints, CHOOSE({1,2,3,4,5,6}, R945, U945, X945, AA945, AD945, AG945),
    _xlpm.limit, -0.00001*_xlpm.slopes + 0.1086*_xlpm.slopes + 63.253,
    _xlpm.valid, (_xlpm.vals &gt;= 0) * (_xlpm.ints &lt;= _xlpm.limit),
    _xlpm.target, MIN(_xlfn._xlws.FILTER(_xlpm.vals, _xlpm.valid)),
    IFERROR(
        _xlfn.XLOOKUP(_xlpm.target, _xlpm.vals, _xlpm.vals),
        CHOOSE({1,2,3,4,5,6}, S$1, V$1, Y$1, AB$1, AE$1, AH$1)
    )
)</f>
        <v>1.4456316961926756</v>
      </c>
    </row>
    <row r="946" spans="9:36" x14ac:dyDescent="0.45">
      <c r="I946">
        <v>944</v>
      </c>
      <c r="J946">
        <v>22.2</v>
      </c>
      <c r="K946">
        <f t="shared" si="323"/>
        <v>22.2</v>
      </c>
      <c r="L946">
        <f t="shared" si="322"/>
        <v>6.1666666666666667E-3</v>
      </c>
      <c r="M946">
        <v>11.29</v>
      </c>
      <c r="N946">
        <f t="shared" si="324"/>
        <v>11.29</v>
      </c>
      <c r="O946">
        <f t="shared" si="325"/>
        <v>288.49305787535701</v>
      </c>
      <c r="P946">
        <f t="shared" si="326"/>
        <v>923.17778520114246</v>
      </c>
      <c r="Q946">
        <f t="shared" si="327"/>
        <v>4228.1542562212326</v>
      </c>
      <c r="R946">
        <f t="shared" si="328"/>
        <v>25.498492230225008</v>
      </c>
      <c r="S946">
        <f t="shared" si="329"/>
        <v>2.7207140269337278</v>
      </c>
      <c r="T946">
        <f t="shared" si="330"/>
        <v>2732.6062441953818</v>
      </c>
      <c r="U946">
        <f t="shared" si="331"/>
        <v>39.453748112983291</v>
      </c>
      <c r="V946">
        <f t="shared" si="332"/>
        <v>1.4811467576590291</v>
      </c>
      <c r="W946">
        <f t="shared" si="333"/>
        <v>1763.2695697341819</v>
      </c>
      <c r="X946">
        <f t="shared" si="334"/>
        <v>61.14298136881181</v>
      </c>
      <c r="Y946">
        <f t="shared" si="335"/>
        <v>1.3063871873142336</v>
      </c>
      <c r="Z946">
        <f t="shared" si="336"/>
        <v>1329.376010689645</v>
      </c>
      <c r="AA946">
        <f t="shared" si="337"/>
        <v>81.099371121132336</v>
      </c>
      <c r="AB946">
        <f t="shared" si="338"/>
        <v>1.2996878458061889</v>
      </c>
      <c r="AC946">
        <f t="shared" si="339"/>
        <v>6000</v>
      </c>
      <c r="AD946">
        <f t="shared" si="340"/>
        <v>17.968593075074985</v>
      </c>
      <c r="AE946">
        <f t="shared" si="341"/>
        <v>6.8596559238581891</v>
      </c>
      <c r="AF946">
        <f t="shared" si="342"/>
        <v>6000</v>
      </c>
      <c r="AG946">
        <f t="shared" si="343"/>
        <v>17.968593075074985</v>
      </c>
      <c r="AH946">
        <f t="shared" si="344"/>
        <v>6.8596559238581891</v>
      </c>
      <c r="AI946" cm="1">
        <f t="array" ref="AI946">_xlfn.LET(
    _xlpm.vals,   _xlfn.HSTACK(S946,V946,Y946,AB946,AE946,AH946),
    _xlpm.ints,   _xlfn.HSTACK(R946,U946,X946,AA946,AD946,AG946),
    _xlpm.slopes, _xlfn.HSTACK(Q946,T946,W946,Z946,AC946,AF946),
    _xlpm.limit,  -0.00001*_xlpm.slopes + 0.1086*_xlpm.slopes + 63.253,
    _xlpm.mask,   (_xlpm.vals&gt;=0) * (_xlpm.ints&lt;=_xlpm.limit),
    _xlpm.validVals, _xlfn._xlws.FILTER(_xlpm.vals, _xlpm.mask),
    _xlpm.minVal, MIN(_xlpm.validVals),
    IFERROR( _xlfn.XMATCH(_xlpm.minVal, _xlpm.vals), "" )
)</f>
        <v>4</v>
      </c>
      <c r="AJ946" cm="1">
        <f t="array" ref="AJ946">_xlfn.LET(
    _xlpm.vals, CHOOSE({1,2,3,4,5,6}, S946, V946, Y946, AB946, AE946, AH946),
    _xlpm.slopes, CHOOSE({1,2,3,4,5,6}, Q946, T946, W946, Z946, AC946, AF946),
    _xlpm.ints, CHOOSE({1,2,3,4,5,6}, R946, U946, X946, AA946, AD946, AG946),
    _xlpm.limit, -0.00001*_xlpm.slopes + 0.1086*_xlpm.slopes + 63.253,
    _xlpm.valid, (_xlpm.vals &gt;= 0) * (_xlpm.ints &lt;= _xlpm.limit),
    _xlpm.target, MIN(_xlfn._xlws.FILTER(_xlpm.vals, _xlpm.valid)),
    IFERROR(
        _xlfn.XLOOKUP(_xlpm.target, _xlpm.vals, _xlpm.vals),
        CHOOSE({1,2,3,4,5,6}, S$1, V$1, Y$1, AB$1, AE$1, AH$1)
    )
)</f>
        <v>1.2996878458061889</v>
      </c>
    </row>
    <row r="947" spans="9:36" x14ac:dyDescent="0.45">
      <c r="I947">
        <v>945</v>
      </c>
      <c r="J947">
        <v>23.1</v>
      </c>
      <c r="K947">
        <f t="shared" si="323"/>
        <v>23.1</v>
      </c>
      <c r="L947">
        <f t="shared" si="322"/>
        <v>6.4166666666666669E-3</v>
      </c>
      <c r="M947">
        <v>15.89</v>
      </c>
      <c r="N947">
        <f t="shared" si="324"/>
        <v>15.89</v>
      </c>
      <c r="O947">
        <f t="shared" si="325"/>
        <v>300.18872238381749</v>
      </c>
      <c r="P947">
        <f t="shared" si="326"/>
        <v>960.603911628216</v>
      </c>
      <c r="Q947">
        <f t="shared" si="327"/>
        <v>4399.5659152572289</v>
      </c>
      <c r="R947">
        <f t="shared" si="328"/>
        <v>34.489385013553402</v>
      </c>
      <c r="S947">
        <f t="shared" si="329"/>
        <v>3.1753569393981347</v>
      </c>
      <c r="T947">
        <f t="shared" si="330"/>
        <v>2843.3875784195193</v>
      </c>
      <c r="U947">
        <f t="shared" si="331"/>
        <v>53.365332216917082</v>
      </c>
      <c r="V947">
        <f t="shared" si="332"/>
        <v>1.847575999098833</v>
      </c>
      <c r="W947">
        <f t="shared" si="333"/>
        <v>1834.7534712098925</v>
      </c>
      <c r="X947">
        <f t="shared" si="334"/>
        <v>82.702294953965733</v>
      </c>
      <c r="Y947">
        <f t="shared" si="335"/>
        <v>1.713155159644937</v>
      </c>
      <c r="Z947">
        <f t="shared" si="336"/>
        <v>1383.2696327446311</v>
      </c>
      <c r="AA947">
        <f t="shared" si="337"/>
        <v>109.69540511255177</v>
      </c>
      <c r="AB947">
        <f t="shared" si="338"/>
        <v>1.7012893968434426</v>
      </c>
      <c r="AC947">
        <f t="shared" si="339"/>
        <v>6000</v>
      </c>
      <c r="AD947">
        <f t="shared" si="340"/>
        <v>25.28972045730217</v>
      </c>
      <c r="AE947">
        <f t="shared" si="341"/>
        <v>6.9528840783086041</v>
      </c>
      <c r="AF947">
        <f t="shared" si="342"/>
        <v>6000</v>
      </c>
      <c r="AG947">
        <f t="shared" si="343"/>
        <v>25.28972045730217</v>
      </c>
      <c r="AH947">
        <f t="shared" si="344"/>
        <v>6.9528840783086041</v>
      </c>
      <c r="AI947" cm="1">
        <f t="array" ref="AI947">_xlfn.LET(
    _xlpm.vals,   _xlfn.HSTACK(S947,V947,Y947,AB947,AE947,AH947),
    _xlpm.ints,   _xlfn.HSTACK(R947,U947,X947,AA947,AD947,AG947),
    _xlpm.slopes, _xlfn.HSTACK(Q947,T947,W947,Z947,AC947,AF947),
    _xlpm.limit,  -0.00001*_xlpm.slopes + 0.1086*_xlpm.slopes + 63.253,
    _xlpm.mask,   (_xlpm.vals&gt;=0) * (_xlpm.ints&lt;=_xlpm.limit),
    _xlpm.validVals, _xlfn._xlws.FILTER(_xlpm.vals, _xlpm.mask),
    _xlpm.minVal, MIN(_xlpm.validVals),
    IFERROR( _xlfn.XMATCH(_xlpm.minVal, _xlpm.vals), "" )
)</f>
        <v>4</v>
      </c>
      <c r="AJ947" cm="1">
        <f t="array" ref="AJ947">_xlfn.LET(
    _xlpm.vals, CHOOSE({1,2,3,4,5,6}, S947, V947, Y947, AB947, AE947, AH947),
    _xlpm.slopes, CHOOSE({1,2,3,4,5,6}, Q947, T947, W947, Z947, AC947, AF947),
    _xlpm.ints, CHOOSE({1,2,3,4,5,6}, R947, U947, X947, AA947, AD947, AG947),
    _xlpm.limit, -0.00001*_xlpm.slopes + 0.1086*_xlpm.slopes + 63.253,
    _xlpm.valid, (_xlpm.vals &gt;= 0) * (_xlpm.ints &lt;= _xlpm.limit),
    _xlpm.target, MIN(_xlfn._xlws.FILTER(_xlpm.vals, _xlpm.valid)),
    IFERROR(
        _xlfn.XLOOKUP(_xlpm.target, _xlpm.vals, _xlpm.vals),
        CHOOSE({1,2,3,4,5,6}, S$1, V$1, Y$1, AB$1, AE$1, AH$1)
    )
)</f>
        <v>1.7012893968434426</v>
      </c>
    </row>
    <row r="948" spans="9:36" x14ac:dyDescent="0.45">
      <c r="I948">
        <v>946</v>
      </c>
      <c r="J948">
        <v>24.6</v>
      </c>
      <c r="K948">
        <f t="shared" si="323"/>
        <v>24.6</v>
      </c>
      <c r="L948">
        <f t="shared" si="322"/>
        <v>6.8333333333333336E-3</v>
      </c>
      <c r="M948">
        <v>16.809999999999999</v>
      </c>
      <c r="N948">
        <f t="shared" si="324"/>
        <v>16.809999999999999</v>
      </c>
      <c r="O948">
        <f t="shared" si="325"/>
        <v>319.68149656458485</v>
      </c>
      <c r="P948">
        <f t="shared" si="326"/>
        <v>1022.9807890066716</v>
      </c>
      <c r="Q948">
        <f t="shared" si="327"/>
        <v>4685.2520136505555</v>
      </c>
      <c r="R948">
        <f t="shared" si="328"/>
        <v>34.26148158835371</v>
      </c>
      <c r="S948">
        <f t="shared" si="329"/>
        <v>3.6765455515047867</v>
      </c>
      <c r="T948">
        <f t="shared" si="330"/>
        <v>3028.0231354597477</v>
      </c>
      <c r="U948">
        <f t="shared" si="331"/>
        <v>53.012697863060801</v>
      </c>
      <c r="V948">
        <f t="shared" si="332"/>
        <v>1.9837814858642884</v>
      </c>
      <c r="W948">
        <f t="shared" si="333"/>
        <v>1953.8933070027426</v>
      </c>
      <c r="X948">
        <f t="shared" si="334"/>
        <v>82.155804018146583</v>
      </c>
      <c r="Y948">
        <f t="shared" si="335"/>
        <v>1.7937768482368548</v>
      </c>
      <c r="Z948">
        <f t="shared" si="336"/>
        <v>1473.0923361696071</v>
      </c>
      <c r="AA948">
        <f t="shared" si="337"/>
        <v>108.97054560740276</v>
      </c>
      <c r="AB948">
        <f t="shared" si="338"/>
        <v>1.7866240073768922</v>
      </c>
      <c r="AC948">
        <f t="shared" si="339"/>
        <v>6000</v>
      </c>
      <c r="AD948">
        <f t="shared" si="340"/>
        <v>26.753945933747609</v>
      </c>
      <c r="AE948">
        <f t="shared" si="341"/>
        <v>6.9733689089643534</v>
      </c>
      <c r="AF948">
        <f t="shared" si="342"/>
        <v>6000</v>
      </c>
      <c r="AG948">
        <f t="shared" si="343"/>
        <v>26.753945933747609</v>
      </c>
      <c r="AH948">
        <f t="shared" si="344"/>
        <v>6.9733689089643534</v>
      </c>
      <c r="AI948" cm="1">
        <f t="array" ref="AI948">_xlfn.LET(
    _xlpm.vals,   _xlfn.HSTACK(S948,V948,Y948,AB948,AE948,AH948),
    _xlpm.ints,   _xlfn.HSTACK(R948,U948,X948,AA948,AD948,AG948),
    _xlpm.slopes, _xlfn.HSTACK(Q948,T948,W948,Z948,AC948,AF948),
    _xlpm.limit,  -0.00001*_xlpm.slopes + 0.1086*_xlpm.slopes + 63.253,
    _xlpm.mask,   (_xlpm.vals&gt;=0) * (_xlpm.ints&lt;=_xlpm.limit),
    _xlpm.validVals, _xlfn._xlws.FILTER(_xlpm.vals, _xlpm.mask),
    _xlpm.minVal, MIN(_xlpm.validVals),
    IFERROR( _xlfn.XMATCH(_xlpm.minVal, _xlpm.vals), "" )
)</f>
        <v>4</v>
      </c>
      <c r="AJ948" cm="1">
        <f t="array" ref="AJ948">_xlfn.LET(
    _xlpm.vals, CHOOSE({1,2,3,4,5,6}, S948, V948, Y948, AB948, AE948, AH948),
    _xlpm.slopes, CHOOSE({1,2,3,4,5,6}, Q948, T948, W948, Z948, AC948, AF948),
    _xlpm.ints, CHOOSE({1,2,3,4,5,6}, R948, U948, X948, AA948, AD948, AG948),
    _xlpm.limit, -0.00001*_xlpm.slopes + 0.1086*_xlpm.slopes + 63.253,
    _xlpm.valid, (_xlpm.vals &gt;= 0) * (_xlpm.ints &lt;= _xlpm.limit),
    _xlpm.target, MIN(_xlfn._xlws.FILTER(_xlpm.vals, _xlpm.valid)),
    IFERROR(
        _xlfn.XLOOKUP(_xlpm.target, _xlpm.vals, _xlpm.vals),
        CHOOSE({1,2,3,4,5,6}, S$1, V$1, Y$1, AB$1, AE$1, AH$1)
    )
)</f>
        <v>1.7866240073768922</v>
      </c>
    </row>
    <row r="949" spans="9:36" x14ac:dyDescent="0.45">
      <c r="I949">
        <v>947</v>
      </c>
      <c r="J949">
        <v>26.3</v>
      </c>
      <c r="K949">
        <f t="shared" si="323"/>
        <v>26.3</v>
      </c>
      <c r="L949">
        <f t="shared" si="322"/>
        <v>7.3055555555555556E-3</v>
      </c>
      <c r="M949">
        <v>17.82</v>
      </c>
      <c r="N949">
        <f t="shared" si="324"/>
        <v>17.82</v>
      </c>
      <c r="O949">
        <f t="shared" si="325"/>
        <v>341.77330730278788</v>
      </c>
      <c r="P949">
        <f t="shared" si="326"/>
        <v>1093.6745833689213</v>
      </c>
      <c r="Q949">
        <f t="shared" si="327"/>
        <v>5009.0295918296597</v>
      </c>
      <c r="R949">
        <f t="shared" si="328"/>
        <v>33.972341754862079</v>
      </c>
      <c r="S949">
        <f t="shared" si="329"/>
        <v>4.3363213799504257</v>
      </c>
      <c r="T949">
        <f t="shared" si="330"/>
        <v>3237.2767667720068</v>
      </c>
      <c r="U949">
        <f t="shared" si="331"/>
        <v>52.565312580158221</v>
      </c>
      <c r="V949">
        <f t="shared" si="332"/>
        <v>2.153120169665105</v>
      </c>
      <c r="W949">
        <f t="shared" si="333"/>
        <v>2088.9184542346397</v>
      </c>
      <c r="X949">
        <f t="shared" si="334"/>
        <v>81.462473946213777</v>
      </c>
      <c r="Y949">
        <f t="shared" si="335"/>
        <v>1.8827833168432371</v>
      </c>
      <c r="Z949">
        <f t="shared" si="336"/>
        <v>1574.8914000512466</v>
      </c>
      <c r="AA949">
        <f t="shared" si="337"/>
        <v>108.05092030365856</v>
      </c>
      <c r="AB949">
        <f t="shared" si="338"/>
        <v>1.8784396033125821</v>
      </c>
      <c r="AC949">
        <f t="shared" si="339"/>
        <v>6000</v>
      </c>
      <c r="AD949">
        <f t="shared" si="340"/>
        <v>28.361410858975752</v>
      </c>
      <c r="AE949">
        <f t="shared" si="341"/>
        <v>6.9965458047416309</v>
      </c>
      <c r="AF949">
        <f t="shared" si="342"/>
        <v>6000</v>
      </c>
      <c r="AG949">
        <f t="shared" si="343"/>
        <v>28.361410858975752</v>
      </c>
      <c r="AH949">
        <f t="shared" si="344"/>
        <v>6.9965458047416309</v>
      </c>
      <c r="AI949" cm="1">
        <f t="array" ref="AI949">_xlfn.LET(
    _xlpm.vals,   _xlfn.HSTACK(S949,V949,Y949,AB949,AE949,AH949),
    _xlpm.ints,   _xlfn.HSTACK(R949,U949,X949,AA949,AD949,AG949),
    _xlpm.slopes, _xlfn.HSTACK(Q949,T949,W949,Z949,AC949,AF949),
    _xlpm.limit,  -0.00001*_xlpm.slopes + 0.1086*_xlpm.slopes + 63.253,
    _xlpm.mask,   (_xlpm.vals&gt;=0) * (_xlpm.ints&lt;=_xlpm.limit),
    _xlpm.validVals, _xlfn._xlws.FILTER(_xlpm.vals, _xlpm.mask),
    _xlpm.minVal, MIN(_xlpm.validVals),
    IFERROR( _xlfn.XMATCH(_xlpm.minVal, _xlpm.vals), "" )
)</f>
        <v>4</v>
      </c>
      <c r="AJ949" cm="1">
        <f t="array" ref="AJ949">_xlfn.LET(
    _xlpm.vals, CHOOSE({1,2,3,4,5,6}, S949, V949, Y949, AB949, AE949, AH949),
    _xlpm.slopes, CHOOSE({1,2,3,4,5,6}, Q949, T949, W949, Z949, AC949, AF949),
    _xlpm.ints, CHOOSE({1,2,3,4,5,6}, R949, U949, X949, AA949, AD949, AG949),
    _xlpm.limit, -0.00001*_xlpm.slopes + 0.1086*_xlpm.slopes + 63.253,
    _xlpm.valid, (_xlpm.vals &gt;= 0) * (_xlpm.ints &lt;= _xlpm.limit),
    _xlpm.target, MIN(_xlfn._xlws.FILTER(_xlpm.vals, _xlpm.valid)),
    IFERROR(
        _xlfn.XLOOKUP(_xlpm.target, _xlpm.vals, _xlpm.vals),
        CHOOSE({1,2,3,4,5,6}, S$1, V$1, Y$1, AB$1, AE$1, AH$1)
    )
)</f>
        <v>1.8784396033125821</v>
      </c>
    </row>
    <row r="950" spans="9:36" x14ac:dyDescent="0.45">
      <c r="I950">
        <v>948</v>
      </c>
      <c r="J950">
        <v>27.3</v>
      </c>
      <c r="K950">
        <f t="shared" si="323"/>
        <v>27.3</v>
      </c>
      <c r="L950">
        <f t="shared" si="322"/>
        <v>7.5833333333333334E-3</v>
      </c>
      <c r="M950">
        <v>13.11</v>
      </c>
      <c r="N950">
        <f t="shared" si="324"/>
        <v>13.11</v>
      </c>
      <c r="O950">
        <f t="shared" si="325"/>
        <v>354.76849008996612</v>
      </c>
      <c r="P950">
        <f t="shared" si="326"/>
        <v>1135.2591682878917</v>
      </c>
      <c r="Q950">
        <f t="shared" si="327"/>
        <v>5199.4869907585444</v>
      </c>
      <c r="R950">
        <f t="shared" si="328"/>
        <v>24.07762120736087</v>
      </c>
      <c r="S950">
        <f t="shared" si="329"/>
        <v>4.5957867664386711</v>
      </c>
      <c r="T950">
        <f t="shared" si="330"/>
        <v>3360.3671381321597</v>
      </c>
      <c r="U950">
        <f t="shared" si="331"/>
        <v>37.255238219497564</v>
      </c>
      <c r="V950">
        <f t="shared" si="332"/>
        <v>1.9260014036155579</v>
      </c>
      <c r="W950">
        <f t="shared" si="333"/>
        <v>2168.345011429873</v>
      </c>
      <c r="X950">
        <f t="shared" si="334"/>
        <v>57.735866560059058</v>
      </c>
      <c r="Y950">
        <f t="shared" si="335"/>
        <v>1.4884239189692299</v>
      </c>
      <c r="Z950">
        <f t="shared" si="336"/>
        <v>1634.7732023345641</v>
      </c>
      <c r="AA950">
        <f t="shared" si="337"/>
        <v>76.58021189563388</v>
      </c>
      <c r="AB950">
        <f t="shared" si="338"/>
        <v>1.4663070097886632</v>
      </c>
      <c r="AC950">
        <f t="shared" si="339"/>
        <v>6000</v>
      </c>
      <c r="AD950">
        <f t="shared" si="340"/>
        <v>20.865213039347481</v>
      </c>
      <c r="AE950">
        <f t="shared" si="341"/>
        <v>6.8946832075070033</v>
      </c>
      <c r="AF950">
        <f t="shared" si="342"/>
        <v>6000</v>
      </c>
      <c r="AG950">
        <f t="shared" si="343"/>
        <v>20.865213039347481</v>
      </c>
      <c r="AH950">
        <f t="shared" si="344"/>
        <v>6.8946832075070033</v>
      </c>
      <c r="AI950" cm="1">
        <f t="array" ref="AI950">_xlfn.LET(
    _xlpm.vals,   _xlfn.HSTACK(S950,V950,Y950,AB950,AE950,AH950),
    _xlpm.ints,   _xlfn.HSTACK(R950,U950,X950,AA950,AD950,AG950),
    _xlpm.slopes, _xlfn.HSTACK(Q950,T950,W950,Z950,AC950,AF950),
    _xlpm.limit,  -0.00001*_xlpm.slopes + 0.1086*_xlpm.slopes + 63.253,
    _xlpm.mask,   (_xlpm.vals&gt;=0) * (_xlpm.ints&lt;=_xlpm.limit),
    _xlpm.validVals, _xlfn._xlws.FILTER(_xlpm.vals, _xlpm.mask),
    _xlpm.minVal, MIN(_xlpm.validVals),
    IFERROR( _xlfn.XMATCH(_xlpm.minVal, _xlpm.vals), "" )
)</f>
        <v>4</v>
      </c>
      <c r="AJ950" cm="1">
        <f t="array" ref="AJ950">_xlfn.LET(
    _xlpm.vals, CHOOSE({1,2,3,4,5,6}, S950, V950, Y950, AB950, AE950, AH950),
    _xlpm.slopes, CHOOSE({1,2,3,4,5,6}, Q950, T950, W950, Z950, AC950, AF950),
    _xlpm.ints, CHOOSE({1,2,3,4,5,6}, R950, U950, X950, AA950, AD950, AG950),
    _xlpm.limit, -0.00001*_xlpm.slopes + 0.1086*_xlpm.slopes + 63.253,
    _xlpm.valid, (_xlpm.vals &gt;= 0) * (_xlpm.ints &lt;= _xlpm.limit),
    _xlpm.target, MIN(_xlfn._xlws.FILTER(_xlpm.vals, _xlpm.valid)),
    IFERROR(
        _xlfn.XLOOKUP(_xlpm.target, _xlpm.vals, _xlpm.vals),
        CHOOSE({1,2,3,4,5,6}, S$1, V$1, Y$1, AB$1, AE$1, AH$1)
    )
)</f>
        <v>1.4663070097886632</v>
      </c>
    </row>
    <row r="951" spans="9:36" x14ac:dyDescent="0.45">
      <c r="I951">
        <v>949</v>
      </c>
      <c r="J951">
        <v>28</v>
      </c>
      <c r="K951">
        <f t="shared" si="323"/>
        <v>28</v>
      </c>
      <c r="L951">
        <f t="shared" si="322"/>
        <v>7.7777777777777776E-3</v>
      </c>
      <c r="M951">
        <v>10.63</v>
      </c>
      <c r="N951">
        <f t="shared" si="324"/>
        <v>10.63</v>
      </c>
      <c r="O951">
        <f t="shared" si="325"/>
        <v>363.86511804099086</v>
      </c>
      <c r="P951">
        <f t="shared" si="326"/>
        <v>1164.3683777311708</v>
      </c>
      <c r="Q951">
        <f t="shared" si="327"/>
        <v>5332.8071700087621</v>
      </c>
      <c r="R951">
        <f t="shared" si="328"/>
        <v>19.034819648999996</v>
      </c>
      <c r="S951">
        <f t="shared" si="329"/>
        <v>4.8517626127818527</v>
      </c>
      <c r="T951">
        <f t="shared" si="330"/>
        <v>3446.5303980842655</v>
      </c>
      <c r="U951">
        <f t="shared" si="331"/>
        <v>29.452524997439184</v>
      </c>
      <c r="V951">
        <f t="shared" si="332"/>
        <v>1.8456131027132039</v>
      </c>
      <c r="W951">
        <f t="shared" si="333"/>
        <v>2223.9436014665362</v>
      </c>
      <c r="X951">
        <f t="shared" si="334"/>
        <v>45.643703660952873</v>
      </c>
      <c r="Y951">
        <f t="shared" si="335"/>
        <v>1.2977729508777081</v>
      </c>
      <c r="Z951">
        <f t="shared" si="336"/>
        <v>1676.6904639328859</v>
      </c>
      <c r="AA951">
        <f t="shared" si="337"/>
        <v>60.54130138362499</v>
      </c>
      <c r="AB951">
        <f t="shared" si="338"/>
        <v>1.2454415186693422</v>
      </c>
      <c r="AC951">
        <f t="shared" si="339"/>
        <v>6000</v>
      </c>
      <c r="AD951">
        <f t="shared" si="340"/>
        <v>16.918170450668477</v>
      </c>
      <c r="AE951">
        <f t="shared" si="341"/>
        <v>6.8475670698079636</v>
      </c>
      <c r="AF951">
        <f t="shared" si="342"/>
        <v>6000</v>
      </c>
      <c r="AG951">
        <f t="shared" si="343"/>
        <v>16.918170450668477</v>
      </c>
      <c r="AH951">
        <f t="shared" si="344"/>
        <v>6.8475670698079636</v>
      </c>
      <c r="AI951" cm="1">
        <f t="array" ref="AI951">_xlfn.LET(
    _xlpm.vals,   _xlfn.HSTACK(S951,V951,Y951,AB951,AE951,AH951),
    _xlpm.ints,   _xlfn.HSTACK(R951,U951,X951,AA951,AD951,AG951),
    _xlpm.slopes, _xlfn.HSTACK(Q951,T951,W951,Z951,AC951,AF951),
    _xlpm.limit,  -0.00001*_xlpm.slopes + 0.1086*_xlpm.slopes + 63.253,
    _xlpm.mask,   (_xlpm.vals&gt;=0) * (_xlpm.ints&lt;=_xlpm.limit),
    _xlpm.validVals, _xlfn._xlws.FILTER(_xlpm.vals, _xlpm.mask),
    _xlpm.minVal, MIN(_xlpm.validVals),
    IFERROR( _xlfn.XMATCH(_xlpm.minVal, _xlpm.vals), "" )
)</f>
        <v>4</v>
      </c>
      <c r="AJ951" cm="1">
        <f t="array" ref="AJ951">_xlfn.LET(
    _xlpm.vals, CHOOSE({1,2,3,4,5,6}, S951, V951, Y951, AB951, AE951, AH951),
    _xlpm.slopes, CHOOSE({1,2,3,4,5,6}, Q951, T951, W951, Z951, AC951, AF951),
    _xlpm.ints, CHOOSE({1,2,3,4,5,6}, R951, U951, X951, AA951, AD951, AG951),
    _xlpm.limit, -0.00001*_xlpm.slopes + 0.1086*_xlpm.slopes + 63.253,
    _xlpm.valid, (_xlpm.vals &gt;= 0) * (_xlpm.ints &lt;= _xlpm.limit),
    _xlpm.target, MIN(_xlfn._xlws.FILTER(_xlpm.vals, _xlpm.valid)),
    IFERROR(
        _xlfn.XLOOKUP(_xlpm.target, _xlpm.vals, _xlpm.vals),
        CHOOSE({1,2,3,4,5,6}, S$1, V$1, Y$1, AB$1, AE$1, AH$1)
    )
)</f>
        <v>1.2454415186693422</v>
      </c>
    </row>
    <row r="952" spans="9:36" x14ac:dyDescent="0.45">
      <c r="I952">
        <v>950</v>
      </c>
      <c r="J952">
        <v>28.4</v>
      </c>
      <c r="K952">
        <f t="shared" si="323"/>
        <v>28.4</v>
      </c>
      <c r="L952">
        <f t="shared" si="322"/>
        <v>7.888888888888888E-3</v>
      </c>
      <c r="M952">
        <v>10.01</v>
      </c>
      <c r="N952">
        <f t="shared" si="324"/>
        <v>10.01</v>
      </c>
      <c r="O952">
        <f t="shared" si="325"/>
        <v>369.06319115586217</v>
      </c>
      <c r="P952">
        <f t="shared" si="326"/>
        <v>1181.0022116987591</v>
      </c>
      <c r="Q952">
        <f t="shared" si="327"/>
        <v>5408.9901295803165</v>
      </c>
      <c r="R952">
        <f t="shared" si="328"/>
        <v>17.672145175167667</v>
      </c>
      <c r="S952">
        <f t="shared" si="329"/>
        <v>5.0345980855855386</v>
      </c>
      <c r="T952">
        <f t="shared" si="330"/>
        <v>3495.766546628327</v>
      </c>
      <c r="U952">
        <f t="shared" si="331"/>
        <v>27.344062466982407</v>
      </c>
      <c r="V952">
        <f t="shared" si="332"/>
        <v>1.8514647021877009</v>
      </c>
      <c r="W952">
        <f t="shared" si="333"/>
        <v>2255.7142243446297</v>
      </c>
      <c r="X952">
        <f t="shared" si="334"/>
        <v>42.376138692286879</v>
      </c>
      <c r="Y952">
        <f t="shared" si="335"/>
        <v>1.2559828359556207</v>
      </c>
      <c r="Z952">
        <f t="shared" si="336"/>
        <v>1700.643184846213</v>
      </c>
      <c r="AA952">
        <f t="shared" si="337"/>
        <v>56.207239515463847</v>
      </c>
      <c r="AB952">
        <f t="shared" si="338"/>
        <v>1.1921252997863867</v>
      </c>
      <c r="AC952">
        <f t="shared" si="339"/>
        <v>6000</v>
      </c>
      <c r="AD952">
        <f t="shared" si="340"/>
        <v>15.931409803498724</v>
      </c>
      <c r="AE952">
        <f t="shared" si="341"/>
        <v>6.8365117035672807</v>
      </c>
      <c r="AF952">
        <f t="shared" si="342"/>
        <v>6000</v>
      </c>
      <c r="AG952">
        <f t="shared" si="343"/>
        <v>15.931409803498724</v>
      </c>
      <c r="AH952">
        <f t="shared" si="344"/>
        <v>6.8365117035672807</v>
      </c>
      <c r="AI952" cm="1">
        <f t="array" ref="AI952">_xlfn.LET(
    _xlpm.vals,   _xlfn.HSTACK(S952,V952,Y952,AB952,AE952,AH952),
    _xlpm.ints,   _xlfn.HSTACK(R952,U952,X952,AA952,AD952,AG952),
    _xlpm.slopes, _xlfn.HSTACK(Q952,T952,W952,Z952,AC952,AF952),
    _xlpm.limit,  -0.00001*_xlpm.slopes + 0.1086*_xlpm.slopes + 63.253,
    _xlpm.mask,   (_xlpm.vals&gt;=0) * (_xlpm.ints&lt;=_xlpm.limit),
    _xlpm.validVals, _xlfn._xlws.FILTER(_xlpm.vals, _xlpm.mask),
    _xlpm.minVal, MIN(_xlpm.validVals),
    IFERROR( _xlfn.XMATCH(_xlpm.minVal, _xlpm.vals), "" )
)</f>
        <v>4</v>
      </c>
      <c r="AJ952" cm="1">
        <f t="array" ref="AJ952">_xlfn.LET(
    _xlpm.vals, CHOOSE({1,2,3,4,5,6}, S952, V952, Y952, AB952, AE952, AH952),
    _xlpm.slopes, CHOOSE({1,2,3,4,5,6}, Q952, T952, W952, Z952, AC952, AF952),
    _xlpm.ints, CHOOSE({1,2,3,4,5,6}, R952, U952, X952, AA952, AD952, AG952),
    _xlpm.limit, -0.00001*_xlpm.slopes + 0.1086*_xlpm.slopes + 63.253,
    _xlpm.valid, (_xlpm.vals &gt;= 0) * (_xlpm.ints &lt;= _xlpm.limit),
    _xlpm.target, MIN(_xlfn._xlws.FILTER(_xlpm.vals, _xlpm.valid)),
    IFERROR(
        _xlfn.XLOOKUP(_xlpm.target, _xlpm.vals, _xlpm.vals),
        CHOOSE({1,2,3,4,5,6}, S$1, V$1, Y$1, AB$1, AE$1, AH$1)
    )
)</f>
        <v>1.1921252997863867</v>
      </c>
    </row>
    <row r="953" spans="9:36" x14ac:dyDescent="0.45">
      <c r="I953">
        <v>951</v>
      </c>
      <c r="J953">
        <v>28.8</v>
      </c>
      <c r="K953">
        <f t="shared" si="323"/>
        <v>28.8</v>
      </c>
      <c r="L953">
        <f t="shared" si="322"/>
        <v>8.0000000000000002E-3</v>
      </c>
      <c r="M953">
        <v>7.82</v>
      </c>
      <c r="N953">
        <f t="shared" si="324"/>
        <v>7.82</v>
      </c>
      <c r="O953">
        <f t="shared" si="325"/>
        <v>374.26126427073348</v>
      </c>
      <c r="P953">
        <f t="shared" si="326"/>
        <v>1197.6360456663472</v>
      </c>
      <c r="Q953">
        <f t="shared" si="327"/>
        <v>5485.17308915187</v>
      </c>
      <c r="R953">
        <f t="shared" si="328"/>
        <v>13.614064330331605</v>
      </c>
      <c r="S953">
        <f t="shared" si="329"/>
        <v>5.1892335349341643</v>
      </c>
      <c r="T953">
        <f t="shared" si="330"/>
        <v>3545.0026951723876</v>
      </c>
      <c r="U953">
        <f t="shared" si="331"/>
        <v>21.065004943553632</v>
      </c>
      <c r="V953">
        <f t="shared" si="332"/>
        <v>1.7794273349563994</v>
      </c>
      <c r="W953">
        <f t="shared" si="333"/>
        <v>2287.4848472227231</v>
      </c>
      <c r="X953">
        <f t="shared" si="334"/>
        <v>32.645243263308245</v>
      </c>
      <c r="Y953">
        <f t="shared" si="335"/>
        <v>1.1014564867359808</v>
      </c>
      <c r="Z953">
        <f t="shared" si="336"/>
        <v>1724.5959057595398</v>
      </c>
      <c r="AA953">
        <f t="shared" si="337"/>
        <v>43.30028793952691</v>
      </c>
      <c r="AB953">
        <f t="shared" si="338"/>
        <v>1.0078206324987025</v>
      </c>
      <c r="AC953">
        <f t="shared" si="339"/>
        <v>6000</v>
      </c>
      <c r="AD953">
        <f t="shared" si="340"/>
        <v>12.445916549786215</v>
      </c>
      <c r="AE953">
        <f t="shared" si="341"/>
        <v>6.7998239956871958</v>
      </c>
      <c r="AF953">
        <f t="shared" si="342"/>
        <v>6000</v>
      </c>
      <c r="AG953">
        <f t="shared" si="343"/>
        <v>12.445916549786215</v>
      </c>
      <c r="AH953">
        <f t="shared" si="344"/>
        <v>6.7998239956871958</v>
      </c>
      <c r="AI953" cm="1">
        <f t="array" ref="AI953">_xlfn.LET(
    _xlpm.vals,   _xlfn.HSTACK(S953,V953,Y953,AB953,AE953,AH953),
    _xlpm.ints,   _xlfn.HSTACK(R953,U953,X953,AA953,AD953,AG953),
    _xlpm.slopes, _xlfn.HSTACK(Q953,T953,W953,Z953,AC953,AF953),
    _xlpm.limit,  -0.00001*_xlpm.slopes + 0.1086*_xlpm.slopes + 63.253,
    _xlpm.mask,   (_xlpm.vals&gt;=0) * (_xlpm.ints&lt;=_xlpm.limit),
    _xlpm.validVals, _xlfn._xlws.FILTER(_xlpm.vals, _xlpm.mask),
    _xlpm.minVal, MIN(_xlpm.validVals),
    IFERROR( _xlfn.XMATCH(_xlpm.minVal, _xlpm.vals), "" )
)</f>
        <v>4</v>
      </c>
      <c r="AJ953" cm="1">
        <f t="array" ref="AJ953">_xlfn.LET(
    _xlpm.vals, CHOOSE({1,2,3,4,5,6}, S953, V953, Y953, AB953, AE953, AH953),
    _xlpm.slopes, CHOOSE({1,2,3,4,5,6}, Q953, T953, W953, Z953, AC953, AF953),
    _xlpm.ints, CHOOSE({1,2,3,4,5,6}, R953, U953, X953, AA953, AD953, AG953),
    _xlpm.limit, -0.00001*_xlpm.slopes + 0.1086*_xlpm.slopes + 63.253,
    _xlpm.valid, (_xlpm.vals &gt;= 0) * (_xlpm.ints &lt;= _xlpm.limit),
    _xlpm.target, MIN(_xlfn._xlws.FILTER(_xlpm.vals, _xlpm.valid)),
    IFERROR(
        _xlfn.XLOOKUP(_xlpm.target, _xlpm.vals, _xlpm.vals),
        CHOOSE({1,2,3,4,5,6}, S$1, V$1, Y$1, AB$1, AE$1, AH$1)
    )
)</f>
        <v>1.0078206324987025</v>
      </c>
    </row>
    <row r="954" spans="9:36" x14ac:dyDescent="0.45">
      <c r="I954">
        <v>952</v>
      </c>
      <c r="J954">
        <v>28.8</v>
      </c>
      <c r="K954">
        <f t="shared" si="323"/>
        <v>28.8</v>
      </c>
      <c r="L954">
        <f t="shared" si="322"/>
        <v>8.0000000000000002E-3</v>
      </c>
      <c r="M954">
        <v>3.71</v>
      </c>
      <c r="N954">
        <f t="shared" si="324"/>
        <v>3.71</v>
      </c>
      <c r="O954">
        <f t="shared" si="325"/>
        <v>374.26126427073348</v>
      </c>
      <c r="P954">
        <f t="shared" si="326"/>
        <v>1197.6360456663472</v>
      </c>
      <c r="Q954">
        <f t="shared" si="327"/>
        <v>5485.17308915187</v>
      </c>
      <c r="R954">
        <f t="shared" si="328"/>
        <v>6.4588463766662727</v>
      </c>
      <c r="S954">
        <f t="shared" si="329"/>
        <v>5.1025419109979895</v>
      </c>
      <c r="T954">
        <f t="shared" si="330"/>
        <v>3545.0026951723876</v>
      </c>
      <c r="U954">
        <f t="shared" si="331"/>
        <v>9.9937555422741653</v>
      </c>
      <c r="V954">
        <f t="shared" si="332"/>
        <v>1.5838633536399824</v>
      </c>
      <c r="W954">
        <f t="shared" si="333"/>
        <v>2287.4848472227231</v>
      </c>
      <c r="X954">
        <f t="shared" si="334"/>
        <v>15.487704924152633</v>
      </c>
      <c r="Y954">
        <f t="shared" si="335"/>
        <v>0.82675025315616435</v>
      </c>
      <c r="Z954">
        <f t="shared" si="336"/>
        <v>1724.5959057595398</v>
      </c>
      <c r="AA954">
        <f t="shared" si="337"/>
        <v>20.542719725785783</v>
      </c>
      <c r="AB954">
        <f t="shared" si="338"/>
        <v>0.69060302895759806</v>
      </c>
      <c r="AC954">
        <f t="shared" si="339"/>
        <v>6000</v>
      </c>
      <c r="AD954">
        <f t="shared" si="340"/>
        <v>5.9046483887093171</v>
      </c>
      <c r="AE954">
        <f t="shared" si="341"/>
        <v>6.7411641750749229</v>
      </c>
      <c r="AF954">
        <f t="shared" si="342"/>
        <v>6000</v>
      </c>
      <c r="AG954">
        <f t="shared" si="343"/>
        <v>5.9046483887093171</v>
      </c>
      <c r="AH954">
        <f t="shared" si="344"/>
        <v>6.7411641750749229</v>
      </c>
      <c r="AI954" cm="1">
        <f t="array" ref="AI954">_xlfn.LET(
    _xlpm.vals,   _xlfn.HSTACK(S954,V954,Y954,AB954,AE954,AH954),
    _xlpm.ints,   _xlfn.HSTACK(R954,U954,X954,AA954,AD954,AG954),
    _xlpm.slopes, _xlfn.HSTACK(Q954,T954,W954,Z954,AC954,AF954),
    _xlpm.limit,  -0.00001*_xlpm.slopes + 0.1086*_xlpm.slopes + 63.253,
    _xlpm.mask,   (_xlpm.vals&gt;=0) * (_xlpm.ints&lt;=_xlpm.limit),
    _xlpm.validVals, _xlfn._xlws.FILTER(_xlpm.vals, _xlpm.mask),
    _xlpm.minVal, MIN(_xlpm.validVals),
    IFERROR( _xlfn.XMATCH(_xlpm.minVal, _xlpm.vals), "" )
)</f>
        <v>4</v>
      </c>
      <c r="AJ954" cm="1">
        <f t="array" ref="AJ954">_xlfn.LET(
    _xlpm.vals, CHOOSE({1,2,3,4,5,6}, S954, V954, Y954, AB954, AE954, AH954),
    _xlpm.slopes, CHOOSE({1,2,3,4,5,6}, Q954, T954, W954, Z954, AC954, AF954),
    _xlpm.ints, CHOOSE({1,2,3,4,5,6}, R954, U954, X954, AA954, AD954, AG954),
    _xlpm.limit, -0.00001*_xlpm.slopes + 0.1086*_xlpm.slopes + 63.253,
    _xlpm.valid, (_xlpm.vals &gt;= 0) * (_xlpm.ints &lt;= _xlpm.limit),
    _xlpm.target, MIN(_xlfn._xlws.FILTER(_xlpm.vals, _xlpm.valid)),
    IFERROR(
        _xlfn.XLOOKUP(_xlpm.target, _xlpm.vals, _xlpm.vals),
        CHOOSE({1,2,3,4,5,6}, S$1, V$1, Y$1, AB$1, AE$1, AH$1)
    )
)</f>
        <v>0.69060302895759806</v>
      </c>
    </row>
    <row r="955" spans="9:36" x14ac:dyDescent="0.45">
      <c r="I955">
        <v>953</v>
      </c>
      <c r="J955">
        <v>28.5</v>
      </c>
      <c r="K955">
        <f t="shared" si="323"/>
        <v>28.5</v>
      </c>
      <c r="L955">
        <f t="shared" si="322"/>
        <v>7.9166666666666673E-3</v>
      </c>
      <c r="M955">
        <v>0.16</v>
      </c>
      <c r="N955">
        <f t="shared" si="324"/>
        <v>0.16</v>
      </c>
      <c r="O955">
        <f t="shared" si="325"/>
        <v>370.36270943457998</v>
      </c>
      <c r="P955">
        <f t="shared" si="326"/>
        <v>1185.160670190656</v>
      </c>
      <c r="Q955">
        <f t="shared" si="327"/>
        <v>5428.0358694732049</v>
      </c>
      <c r="R955">
        <f t="shared" si="328"/>
        <v>0.28148072165014598</v>
      </c>
      <c r="S955">
        <f t="shared" si="329"/>
        <v>4.8767980583243595</v>
      </c>
      <c r="T955">
        <f t="shared" si="330"/>
        <v>3508.0755837643419</v>
      </c>
      <c r="U955">
        <f t="shared" si="331"/>
        <v>0.43553435985056371</v>
      </c>
      <c r="V955">
        <f t="shared" si="332"/>
        <v>1.3993415682950001</v>
      </c>
      <c r="W955">
        <f t="shared" si="333"/>
        <v>2263.656880064153</v>
      </c>
      <c r="X955">
        <f t="shared" si="334"/>
        <v>0.6749642435380464</v>
      </c>
      <c r="Y955">
        <f t="shared" si="335"/>
        <v>0.61645229867433171</v>
      </c>
      <c r="Z955">
        <f t="shared" si="336"/>
        <v>1706.6313650745446</v>
      </c>
      <c r="AA955">
        <f t="shared" si="337"/>
        <v>0.89526507302615888</v>
      </c>
      <c r="AB955">
        <f t="shared" si="338"/>
        <v>0.46094876926357375</v>
      </c>
      <c r="AC955">
        <f t="shared" si="339"/>
        <v>6000</v>
      </c>
      <c r="AD955">
        <f t="shared" si="340"/>
        <v>0.25464790894703254</v>
      </c>
      <c r="AE955">
        <f t="shared" si="341"/>
        <v>6.7015766569799782</v>
      </c>
      <c r="AF955">
        <f t="shared" si="342"/>
        <v>6000</v>
      </c>
      <c r="AG955">
        <f t="shared" si="343"/>
        <v>0.25464790894703254</v>
      </c>
      <c r="AH955">
        <f t="shared" si="344"/>
        <v>6.7015766569799782</v>
      </c>
      <c r="AI955" cm="1">
        <f t="array" ref="AI955">_xlfn.LET(
    _xlpm.vals,   _xlfn.HSTACK(S955,V955,Y955,AB955,AE955,AH955),
    _xlpm.ints,   _xlfn.HSTACK(R955,U955,X955,AA955,AD955,AG955),
    _xlpm.slopes, _xlfn.HSTACK(Q955,T955,W955,Z955,AC955,AF955),
    _xlpm.limit,  -0.00001*_xlpm.slopes + 0.1086*_xlpm.slopes + 63.253,
    _xlpm.mask,   (_xlpm.vals&gt;=0) * (_xlpm.ints&lt;=_xlpm.limit),
    _xlpm.validVals, _xlfn._xlws.FILTER(_xlpm.vals, _xlpm.mask),
    _xlpm.minVal, MIN(_xlpm.validVals),
    IFERROR( _xlfn.XMATCH(_xlpm.minVal, _xlpm.vals), "" )
)</f>
        <v>4</v>
      </c>
      <c r="AJ955" cm="1">
        <f t="array" ref="AJ955">_xlfn.LET(
    _xlpm.vals, CHOOSE({1,2,3,4,5,6}, S955, V955, Y955, AB955, AE955, AH955),
    _xlpm.slopes, CHOOSE({1,2,3,4,5,6}, Q955, T955, W955, Z955, AC955, AF955),
    _xlpm.ints, CHOOSE({1,2,3,4,5,6}, R955, U955, X955, AA955, AD955, AG955),
    _xlpm.limit, -0.00001*_xlpm.slopes + 0.1086*_xlpm.slopes + 63.253,
    _xlpm.valid, (_xlpm.vals &gt;= 0) * (_xlpm.ints &lt;= _xlpm.limit),
    _xlpm.target, MIN(_xlfn._xlws.FILTER(_xlpm.vals, _xlpm.valid)),
    IFERROR(
        _xlfn.XLOOKUP(_xlpm.target, _xlpm.vals, _xlpm.vals),
        CHOOSE({1,2,3,4,5,6}, S$1, V$1, Y$1, AB$1, AE$1, AH$1)
    )
)</f>
        <v>0.46094876926357375</v>
      </c>
    </row>
    <row r="956" spans="9:36" x14ac:dyDescent="0.45">
      <c r="I956">
        <v>954</v>
      </c>
      <c r="J956">
        <v>27.9</v>
      </c>
      <c r="K956">
        <f t="shared" si="323"/>
        <v>27.9</v>
      </c>
      <c r="L956">
        <f t="shared" si="322"/>
        <v>7.7499999999999999E-3</v>
      </c>
      <c r="M956">
        <v>-0.19</v>
      </c>
      <c r="N956">
        <f t="shared" si="324"/>
        <v>0</v>
      </c>
      <c r="O956">
        <f t="shared" si="325"/>
        <v>362.565599762273</v>
      </c>
      <c r="P956">
        <f t="shared" si="326"/>
        <v>1160.2099192392736</v>
      </c>
      <c r="Q956">
        <f t="shared" si="327"/>
        <v>5313.7614301158737</v>
      </c>
      <c r="R956">
        <f t="shared" si="328"/>
        <v>0</v>
      </c>
      <c r="S956">
        <f t="shared" si="329"/>
        <v>4.55956536124034</v>
      </c>
      <c r="T956">
        <f t="shared" si="330"/>
        <v>3434.2213609482501</v>
      </c>
      <c r="U956">
        <f t="shared" si="331"/>
        <v>0</v>
      </c>
      <c r="V956">
        <f t="shared" si="332"/>
        <v>1.322513092057749</v>
      </c>
      <c r="W956">
        <f t="shared" si="333"/>
        <v>2216.0009457470123</v>
      </c>
      <c r="X956">
        <f t="shared" si="334"/>
        <v>0</v>
      </c>
      <c r="Y956">
        <f t="shared" si="335"/>
        <v>0.59164859836974193</v>
      </c>
      <c r="Z956">
        <f t="shared" si="336"/>
        <v>1670.702283704554</v>
      </c>
      <c r="AA956">
        <f t="shared" si="337"/>
        <v>0</v>
      </c>
      <c r="AB956">
        <f t="shared" si="338"/>
        <v>0.44428041565966303</v>
      </c>
      <c r="AC956">
        <f t="shared" si="339"/>
        <v>6000</v>
      </c>
      <c r="AD956">
        <f t="shared" si="340"/>
        <v>0</v>
      </c>
      <c r="AE956">
        <f t="shared" si="341"/>
        <v>6.7000407999999982</v>
      </c>
      <c r="AF956">
        <f t="shared" si="342"/>
        <v>6000</v>
      </c>
      <c r="AG956">
        <f t="shared" si="343"/>
        <v>0</v>
      </c>
      <c r="AH956">
        <f t="shared" si="344"/>
        <v>6.7000407999999982</v>
      </c>
      <c r="AI956" cm="1">
        <f t="array" ref="AI956">_xlfn.LET(
    _xlpm.vals,   _xlfn.HSTACK(S956,V956,Y956,AB956,AE956,AH956),
    _xlpm.ints,   _xlfn.HSTACK(R956,U956,X956,AA956,AD956,AG956),
    _xlpm.slopes, _xlfn.HSTACK(Q956,T956,W956,Z956,AC956,AF956),
    _xlpm.limit,  -0.00001*_xlpm.slopes + 0.1086*_xlpm.slopes + 63.253,
    _xlpm.mask,   (_xlpm.vals&gt;=0) * (_xlpm.ints&lt;=_xlpm.limit),
    _xlpm.validVals, _xlfn._xlws.FILTER(_xlpm.vals, _xlpm.mask),
    _xlpm.minVal, MIN(_xlpm.validVals),
    IFERROR( _xlfn.XMATCH(_xlpm.minVal, _xlpm.vals), "" )
)</f>
        <v>4</v>
      </c>
      <c r="AJ956" cm="1">
        <f t="array" ref="AJ956">_xlfn.LET(
    _xlpm.vals, CHOOSE({1,2,3,4,5,6}, S956, V956, Y956, AB956, AE956, AH956),
    _xlpm.slopes, CHOOSE({1,2,3,4,5,6}, Q956, T956, W956, Z956, AC956, AF956),
    _xlpm.ints, CHOOSE({1,2,3,4,5,6}, R956, U956, X956, AA956, AD956, AG956),
    _xlpm.limit, -0.00001*_xlpm.slopes + 0.1086*_xlpm.slopes + 63.253,
    _xlpm.valid, (_xlpm.vals &gt;= 0) * (_xlpm.ints &lt;= _xlpm.limit),
    _xlpm.target, MIN(_xlfn._xlws.FILTER(_xlpm.vals, _xlpm.valid)),
    IFERROR(
        _xlfn.XLOOKUP(_xlpm.target, _xlpm.vals, _xlpm.vals),
        CHOOSE({1,2,3,4,5,6}, S$1, V$1, Y$1, AB$1, AE$1, AH$1)
    )
)</f>
        <v>0.44428041565966303</v>
      </c>
    </row>
    <row r="957" spans="9:36" x14ac:dyDescent="0.45">
      <c r="I957">
        <v>955</v>
      </c>
      <c r="J957">
        <v>27.5</v>
      </c>
      <c r="K957">
        <f t="shared" si="323"/>
        <v>27.5</v>
      </c>
      <c r="L957">
        <f t="shared" si="322"/>
        <v>7.6388888888888886E-3</v>
      </c>
      <c r="M957">
        <v>-0.26</v>
      </c>
      <c r="N957">
        <f t="shared" si="324"/>
        <v>0</v>
      </c>
      <c r="O957">
        <f t="shared" si="325"/>
        <v>357.36752664740175</v>
      </c>
      <c r="P957">
        <f t="shared" si="326"/>
        <v>1143.5760852716855</v>
      </c>
      <c r="Q957">
        <f t="shared" si="327"/>
        <v>5237.5784705443202</v>
      </c>
      <c r="R957">
        <f t="shared" si="328"/>
        <v>0</v>
      </c>
      <c r="S957">
        <f t="shared" si="329"/>
        <v>4.3586038410797325</v>
      </c>
      <c r="T957">
        <f t="shared" si="330"/>
        <v>3384.985212404189</v>
      </c>
      <c r="U957">
        <f t="shared" si="331"/>
        <v>0</v>
      </c>
      <c r="V957">
        <f t="shared" si="332"/>
        <v>1.2774648641181774</v>
      </c>
      <c r="W957">
        <f t="shared" si="333"/>
        <v>2184.2303228689193</v>
      </c>
      <c r="X957">
        <f t="shared" si="334"/>
        <v>0</v>
      </c>
      <c r="Y957">
        <f t="shared" si="335"/>
        <v>0.58099397385486973</v>
      </c>
      <c r="Z957">
        <f t="shared" si="336"/>
        <v>1646.7495627912272</v>
      </c>
      <c r="AA957">
        <f t="shared" si="337"/>
        <v>0</v>
      </c>
      <c r="AB957">
        <f t="shared" si="338"/>
        <v>0.43918315521720386</v>
      </c>
      <c r="AC957">
        <f t="shared" si="339"/>
        <v>6000</v>
      </c>
      <c r="AD957">
        <f t="shared" si="340"/>
        <v>0</v>
      </c>
      <c r="AE957">
        <f t="shared" si="341"/>
        <v>6.7000407999999982</v>
      </c>
      <c r="AF957">
        <f t="shared" si="342"/>
        <v>6000</v>
      </c>
      <c r="AG957">
        <f t="shared" si="343"/>
        <v>0</v>
      </c>
      <c r="AH957">
        <f t="shared" si="344"/>
        <v>6.7000407999999982</v>
      </c>
      <c r="AI957" cm="1">
        <f t="array" ref="AI957">_xlfn.LET(
    _xlpm.vals,   _xlfn.HSTACK(S957,V957,Y957,AB957,AE957,AH957),
    _xlpm.ints,   _xlfn.HSTACK(R957,U957,X957,AA957,AD957,AG957),
    _xlpm.slopes, _xlfn.HSTACK(Q957,T957,W957,Z957,AC957,AF957),
    _xlpm.limit,  -0.00001*_xlpm.slopes + 0.1086*_xlpm.slopes + 63.253,
    _xlpm.mask,   (_xlpm.vals&gt;=0) * (_xlpm.ints&lt;=_xlpm.limit),
    _xlpm.validVals, _xlfn._xlws.FILTER(_xlpm.vals, _xlpm.mask),
    _xlpm.minVal, MIN(_xlpm.validVals),
    IFERROR( _xlfn.XMATCH(_xlpm.minVal, _xlpm.vals), "" )
)</f>
        <v>4</v>
      </c>
      <c r="AJ957" cm="1">
        <f t="array" ref="AJ957">_xlfn.LET(
    _xlpm.vals, CHOOSE({1,2,3,4,5,6}, S957, V957, Y957, AB957, AE957, AH957),
    _xlpm.slopes, CHOOSE({1,2,3,4,5,6}, Q957, T957, W957, Z957, AC957, AF957),
    _xlpm.ints, CHOOSE({1,2,3,4,5,6}, R957, U957, X957, AA957, AD957, AG957),
    _xlpm.limit, -0.00001*_xlpm.slopes + 0.1086*_xlpm.slopes + 63.253,
    _xlpm.valid, (_xlpm.vals &gt;= 0) * (_xlpm.ints &lt;= _xlpm.limit),
    _xlpm.target, MIN(_xlfn._xlws.FILTER(_xlpm.vals, _xlpm.valid)),
    IFERROR(
        _xlfn.XLOOKUP(_xlpm.target, _xlpm.vals, _xlpm.vals),
        CHOOSE({1,2,3,4,5,6}, S$1, V$1, Y$1, AB$1, AE$1, AH$1)
    )
)</f>
        <v>0.43918315521720386</v>
      </c>
    </row>
    <row r="958" spans="9:36" x14ac:dyDescent="0.45">
      <c r="I958">
        <v>956</v>
      </c>
      <c r="J958">
        <v>27.2</v>
      </c>
      <c r="K958">
        <f t="shared" si="323"/>
        <v>27.2</v>
      </c>
      <c r="L958">
        <f t="shared" si="322"/>
        <v>7.5555555555555549E-3</v>
      </c>
      <c r="M958">
        <v>1.17</v>
      </c>
      <c r="N958">
        <f t="shared" si="324"/>
        <v>1.17</v>
      </c>
      <c r="O958">
        <f t="shared" si="325"/>
        <v>353.46897181124825</v>
      </c>
      <c r="P958">
        <f t="shared" si="326"/>
        <v>1131.1007097959944</v>
      </c>
      <c r="Q958">
        <f t="shared" si="327"/>
        <v>5180.4412508656542</v>
      </c>
      <c r="R958">
        <f t="shared" si="328"/>
        <v>2.1567037370000275</v>
      </c>
      <c r="S958">
        <f t="shared" si="329"/>
        <v>4.2358780283197719</v>
      </c>
      <c r="T958">
        <f t="shared" si="330"/>
        <v>3348.0581009961434</v>
      </c>
      <c r="U958">
        <f t="shared" si="331"/>
        <v>3.3370618633311233</v>
      </c>
      <c r="V958">
        <f t="shared" si="332"/>
        <v>1.2934734634598277</v>
      </c>
      <c r="W958">
        <f t="shared" si="333"/>
        <v>2160.4023557103492</v>
      </c>
      <c r="X958">
        <f t="shared" si="334"/>
        <v>5.1715723117592285</v>
      </c>
      <c r="Y958">
        <f t="shared" si="335"/>
        <v>0.63642067154869397</v>
      </c>
      <c r="Z958">
        <f t="shared" si="336"/>
        <v>1628.7850221062317</v>
      </c>
      <c r="AA958">
        <f t="shared" si="337"/>
        <v>6.8595160524028662</v>
      </c>
      <c r="AB958">
        <f t="shared" si="338"/>
        <v>0.50370068344192098</v>
      </c>
      <c r="AC958">
        <f t="shared" si="339"/>
        <v>6000</v>
      </c>
      <c r="AD958">
        <f t="shared" si="340"/>
        <v>1.8621128341751756</v>
      </c>
      <c r="AE958">
        <f t="shared" si="341"/>
        <v>6.7117703995699003</v>
      </c>
      <c r="AF958">
        <f t="shared" si="342"/>
        <v>6000</v>
      </c>
      <c r="AG958">
        <f t="shared" si="343"/>
        <v>1.8621128341751756</v>
      </c>
      <c r="AH958">
        <f t="shared" si="344"/>
        <v>6.7117703995699003</v>
      </c>
      <c r="AI958" cm="1">
        <f t="array" ref="AI958">_xlfn.LET(
    _xlpm.vals,   _xlfn.HSTACK(S958,V958,Y958,AB958,AE958,AH958),
    _xlpm.ints,   _xlfn.HSTACK(R958,U958,X958,AA958,AD958,AG958),
    _xlpm.slopes, _xlfn.HSTACK(Q958,T958,W958,Z958,AC958,AF958),
    _xlpm.limit,  -0.00001*_xlpm.slopes + 0.1086*_xlpm.slopes + 63.253,
    _xlpm.mask,   (_xlpm.vals&gt;=0) * (_xlpm.ints&lt;=_xlpm.limit),
    _xlpm.validVals, _xlfn._xlws.FILTER(_xlpm.vals, _xlpm.mask),
    _xlpm.minVal, MIN(_xlpm.validVals),
    IFERROR( _xlfn.XMATCH(_xlpm.minVal, _xlpm.vals), "" )
)</f>
        <v>4</v>
      </c>
      <c r="AJ958" cm="1">
        <f t="array" ref="AJ958">_xlfn.LET(
    _xlpm.vals, CHOOSE({1,2,3,4,5,6}, S958, V958, Y958, AB958, AE958, AH958),
    _xlpm.slopes, CHOOSE({1,2,3,4,5,6}, Q958, T958, W958, Z958, AC958, AF958),
    _xlpm.ints, CHOOSE({1,2,3,4,5,6}, R958, U958, X958, AA958, AD958, AG958),
    _xlpm.limit, -0.00001*_xlpm.slopes + 0.1086*_xlpm.slopes + 63.253,
    _xlpm.valid, (_xlpm.vals &gt;= 0) * (_xlpm.ints &lt;= _xlpm.limit),
    _xlpm.target, MIN(_xlfn._xlws.FILTER(_xlpm.vals, _xlpm.valid)),
    IFERROR(
        _xlfn.XLOOKUP(_xlpm.target, _xlpm.vals, _xlpm.vals),
        CHOOSE({1,2,3,4,5,6}, S$1, V$1, Y$1, AB$1, AE$1, AH$1)
    )
)</f>
        <v>0.50370068344192098</v>
      </c>
    </row>
    <row r="959" spans="9:36" x14ac:dyDescent="0.45">
      <c r="I959">
        <v>957</v>
      </c>
      <c r="J959">
        <v>26.9</v>
      </c>
      <c r="K959">
        <f t="shared" si="323"/>
        <v>26.9</v>
      </c>
      <c r="L959">
        <f t="shared" si="322"/>
        <v>7.4722222222222221E-3</v>
      </c>
      <c r="M959">
        <v>-0.28000000000000003</v>
      </c>
      <c r="N959">
        <f t="shared" si="324"/>
        <v>0</v>
      </c>
      <c r="O959">
        <f t="shared" si="325"/>
        <v>349.57041697509482</v>
      </c>
      <c r="P959">
        <f t="shared" si="326"/>
        <v>1118.6253343203034</v>
      </c>
      <c r="Q959">
        <f t="shared" si="327"/>
        <v>5123.30403118699</v>
      </c>
      <c r="R959">
        <f t="shared" si="328"/>
        <v>0</v>
      </c>
      <c r="S959">
        <f t="shared" si="329"/>
        <v>4.0699814707190942</v>
      </c>
      <c r="T959">
        <f t="shared" si="330"/>
        <v>3311.1309895880981</v>
      </c>
      <c r="U959">
        <f t="shared" si="331"/>
        <v>0</v>
      </c>
      <c r="V959">
        <f t="shared" si="332"/>
        <v>1.2128213178512799</v>
      </c>
      <c r="W959">
        <f t="shared" si="333"/>
        <v>2136.5743885517795</v>
      </c>
      <c r="X959">
        <f t="shared" si="334"/>
        <v>0</v>
      </c>
      <c r="Y959">
        <f t="shared" si="335"/>
        <v>0.56557681967781259</v>
      </c>
      <c r="Z959">
        <f t="shared" si="336"/>
        <v>1610.8204814212368</v>
      </c>
      <c r="AA959">
        <f t="shared" si="337"/>
        <v>0</v>
      </c>
      <c r="AB959">
        <f t="shared" si="338"/>
        <v>0.43169171763217545</v>
      </c>
      <c r="AC959">
        <f t="shared" si="339"/>
        <v>6000</v>
      </c>
      <c r="AD959">
        <f t="shared" si="340"/>
        <v>0</v>
      </c>
      <c r="AE959">
        <f t="shared" si="341"/>
        <v>6.7000407999999982</v>
      </c>
      <c r="AF959">
        <f t="shared" si="342"/>
        <v>6000</v>
      </c>
      <c r="AG959">
        <f t="shared" si="343"/>
        <v>0</v>
      </c>
      <c r="AH959">
        <f t="shared" si="344"/>
        <v>6.7000407999999982</v>
      </c>
      <c r="AI959" cm="1">
        <f t="array" ref="AI959">_xlfn.LET(
    _xlpm.vals,   _xlfn.HSTACK(S959,V959,Y959,AB959,AE959,AH959),
    _xlpm.ints,   _xlfn.HSTACK(R959,U959,X959,AA959,AD959,AG959),
    _xlpm.slopes, _xlfn.HSTACK(Q959,T959,W959,Z959,AC959,AF959),
    _xlpm.limit,  -0.00001*_xlpm.slopes + 0.1086*_xlpm.slopes + 63.253,
    _xlpm.mask,   (_xlpm.vals&gt;=0) * (_xlpm.ints&lt;=_xlpm.limit),
    _xlpm.validVals, _xlfn._xlws.FILTER(_xlpm.vals, _xlpm.mask),
    _xlpm.minVal, MIN(_xlpm.validVals),
    IFERROR( _xlfn.XMATCH(_xlpm.minVal, _xlpm.vals), "" )
)</f>
        <v>4</v>
      </c>
      <c r="AJ959" cm="1">
        <f t="array" ref="AJ959">_xlfn.LET(
    _xlpm.vals, CHOOSE({1,2,3,4,5,6}, S959, V959, Y959, AB959, AE959, AH959),
    _xlpm.slopes, CHOOSE({1,2,3,4,5,6}, Q959, T959, W959, Z959, AC959, AF959),
    _xlpm.ints, CHOOSE({1,2,3,4,5,6}, R959, U959, X959, AA959, AD959, AG959),
    _xlpm.limit, -0.00001*_xlpm.slopes + 0.1086*_xlpm.slopes + 63.253,
    _xlpm.valid, (_xlpm.vals &gt;= 0) * (_xlpm.ints &lt;= _xlpm.limit),
    _xlpm.target, MIN(_xlfn._xlws.FILTER(_xlpm.vals, _xlpm.valid)),
    IFERROR(
        _xlfn.XLOOKUP(_xlpm.target, _xlpm.vals, _xlpm.vals),
        CHOOSE({1,2,3,4,5,6}, S$1, V$1, Y$1, AB$1, AE$1, AH$1)
    )
)</f>
        <v>0.43169171763217545</v>
      </c>
    </row>
    <row r="960" spans="9:36" x14ac:dyDescent="0.45">
      <c r="I960">
        <v>958</v>
      </c>
      <c r="J960">
        <v>26.4</v>
      </c>
      <c r="K960">
        <f t="shared" si="323"/>
        <v>26.4</v>
      </c>
      <c r="L960">
        <f t="shared" si="322"/>
        <v>7.3333333333333332E-3</v>
      </c>
      <c r="M960">
        <v>0.4</v>
      </c>
      <c r="N960">
        <f t="shared" si="324"/>
        <v>0.4</v>
      </c>
      <c r="O960">
        <f t="shared" si="325"/>
        <v>343.0728255815057</v>
      </c>
      <c r="P960">
        <f t="shared" si="326"/>
        <v>1097.8330418608182</v>
      </c>
      <c r="Q960">
        <f t="shared" si="327"/>
        <v>5028.0753317225472</v>
      </c>
      <c r="R960">
        <f t="shared" si="328"/>
        <v>0.75967808399897363</v>
      </c>
      <c r="S960">
        <f t="shared" si="329"/>
        <v>3.8495473007581986</v>
      </c>
      <c r="T960">
        <f t="shared" si="330"/>
        <v>3249.5858039080217</v>
      </c>
      <c r="U960">
        <f t="shared" si="331"/>
        <v>1.175447846187601</v>
      </c>
      <c r="V960">
        <f t="shared" si="332"/>
        <v>1.1783819586849389</v>
      </c>
      <c r="W960">
        <f t="shared" si="333"/>
        <v>2096.8611099541627</v>
      </c>
      <c r="X960">
        <f t="shared" si="334"/>
        <v>1.8216364527305231</v>
      </c>
      <c r="Y960">
        <f t="shared" si="335"/>
        <v>0.5745246098695439</v>
      </c>
      <c r="Z960">
        <f t="shared" si="336"/>
        <v>1580.879580279578</v>
      </c>
      <c r="AA960">
        <f t="shared" si="337"/>
        <v>2.4161983504967357</v>
      </c>
      <c r="AB960">
        <f t="shared" si="338"/>
        <v>0.44822111817030225</v>
      </c>
      <c r="AC960">
        <f t="shared" si="339"/>
        <v>6000</v>
      </c>
      <c r="AD960">
        <f t="shared" si="340"/>
        <v>0.63661977236758138</v>
      </c>
      <c r="AE960">
        <f t="shared" si="341"/>
        <v>6.7039210554905058</v>
      </c>
      <c r="AF960">
        <f t="shared" si="342"/>
        <v>6000</v>
      </c>
      <c r="AG960">
        <f t="shared" si="343"/>
        <v>0.63661977236758138</v>
      </c>
      <c r="AH960">
        <f t="shared" si="344"/>
        <v>6.7039210554905058</v>
      </c>
      <c r="AI960" cm="1">
        <f t="array" ref="AI960">_xlfn.LET(
    _xlpm.vals,   _xlfn.HSTACK(S960,V960,Y960,AB960,AE960,AH960),
    _xlpm.ints,   _xlfn.HSTACK(R960,U960,X960,AA960,AD960,AG960),
    _xlpm.slopes, _xlfn.HSTACK(Q960,T960,W960,Z960,AC960,AF960),
    _xlpm.limit,  -0.00001*_xlpm.slopes + 0.1086*_xlpm.slopes + 63.253,
    _xlpm.mask,   (_xlpm.vals&gt;=0) * (_xlpm.ints&lt;=_xlpm.limit),
    _xlpm.validVals, _xlfn._xlws.FILTER(_xlpm.vals, _xlpm.mask),
    _xlpm.minVal, MIN(_xlpm.validVals),
    IFERROR( _xlfn.XMATCH(_xlpm.minVal, _xlpm.vals), "" )
)</f>
        <v>4</v>
      </c>
      <c r="AJ960" cm="1">
        <f t="array" ref="AJ960">_xlfn.LET(
    _xlpm.vals, CHOOSE({1,2,3,4,5,6}, S960, V960, Y960, AB960, AE960, AH960),
    _xlpm.slopes, CHOOSE({1,2,3,4,5,6}, Q960, T960, W960, Z960, AC960, AF960),
    _xlpm.ints, CHOOSE({1,2,3,4,5,6}, R960, U960, X960, AA960, AD960, AG960),
    _xlpm.limit, -0.00001*_xlpm.slopes + 0.1086*_xlpm.slopes + 63.253,
    _xlpm.valid, (_xlpm.vals &gt;= 0) * (_xlpm.ints &lt;= _xlpm.limit),
    _xlpm.target, MIN(_xlfn._xlws.FILTER(_xlpm.vals, _xlpm.valid)),
    IFERROR(
        _xlfn.XLOOKUP(_xlpm.target, _xlpm.vals, _xlpm.vals),
        CHOOSE({1,2,3,4,5,6}, S$1, V$1, Y$1, AB$1, AE$1, AH$1)
    )
)</f>
        <v>0.44822111817030225</v>
      </c>
    </row>
    <row r="961" spans="9:36" x14ac:dyDescent="0.45">
      <c r="I961">
        <v>959</v>
      </c>
      <c r="J961">
        <v>26.1</v>
      </c>
      <c r="K961">
        <f t="shared" si="323"/>
        <v>26.1</v>
      </c>
      <c r="L961">
        <f t="shared" si="322"/>
        <v>7.2500000000000004E-3</v>
      </c>
      <c r="M961">
        <v>-0.72</v>
      </c>
      <c r="N961">
        <f t="shared" si="324"/>
        <v>0</v>
      </c>
      <c r="O961">
        <f t="shared" si="325"/>
        <v>339.17427074535226</v>
      </c>
      <c r="P961">
        <f t="shared" si="326"/>
        <v>1085.3576663851272</v>
      </c>
      <c r="Q961">
        <f t="shared" si="327"/>
        <v>4970.9381120438829</v>
      </c>
      <c r="R961">
        <f t="shared" si="328"/>
        <v>0</v>
      </c>
      <c r="S961">
        <f t="shared" si="329"/>
        <v>3.7084117695340639</v>
      </c>
      <c r="T961">
        <f t="shared" si="330"/>
        <v>3212.6586924999765</v>
      </c>
      <c r="U961">
        <f t="shared" si="331"/>
        <v>0</v>
      </c>
      <c r="V961">
        <f t="shared" si="332"/>
        <v>1.1319160429072175</v>
      </c>
      <c r="W961">
        <f t="shared" si="333"/>
        <v>2073.033142795593</v>
      </c>
      <c r="X961">
        <f t="shared" si="334"/>
        <v>0</v>
      </c>
      <c r="Y961">
        <f t="shared" si="335"/>
        <v>0.54602625440530272</v>
      </c>
      <c r="Z961">
        <f t="shared" si="336"/>
        <v>1562.915039594583</v>
      </c>
      <c r="AA961">
        <f t="shared" si="337"/>
        <v>0</v>
      </c>
      <c r="AB961">
        <f t="shared" si="338"/>
        <v>0.42197061094097488</v>
      </c>
      <c r="AC961">
        <f t="shared" si="339"/>
        <v>6000</v>
      </c>
      <c r="AD961">
        <f t="shared" si="340"/>
        <v>0</v>
      </c>
      <c r="AE961">
        <f t="shared" si="341"/>
        <v>6.7000407999999982</v>
      </c>
      <c r="AF961">
        <f t="shared" si="342"/>
        <v>6000</v>
      </c>
      <c r="AG961">
        <f t="shared" si="343"/>
        <v>0</v>
      </c>
      <c r="AH961">
        <f t="shared" si="344"/>
        <v>6.7000407999999982</v>
      </c>
      <c r="AI961" cm="1">
        <f t="array" ref="AI961">_xlfn.LET(
    _xlpm.vals,   _xlfn.HSTACK(S961,V961,Y961,AB961,AE961,AH961),
    _xlpm.ints,   _xlfn.HSTACK(R961,U961,X961,AA961,AD961,AG961),
    _xlpm.slopes, _xlfn.HSTACK(Q961,T961,W961,Z961,AC961,AF961),
    _xlpm.limit,  -0.00001*_xlpm.slopes + 0.1086*_xlpm.slopes + 63.253,
    _xlpm.mask,   (_xlpm.vals&gt;=0) * (_xlpm.ints&lt;=_xlpm.limit),
    _xlpm.validVals, _xlfn._xlws.FILTER(_xlpm.vals, _xlpm.mask),
    _xlpm.minVal, MIN(_xlpm.validVals),
    IFERROR( _xlfn.XMATCH(_xlpm.minVal, _xlpm.vals), "" )
)</f>
        <v>4</v>
      </c>
      <c r="AJ961" cm="1">
        <f t="array" ref="AJ961">_xlfn.LET(
    _xlpm.vals, CHOOSE({1,2,3,4,5,6}, S961, V961, Y961, AB961, AE961, AH961),
    _xlpm.slopes, CHOOSE({1,2,3,4,5,6}, Q961, T961, W961, Z961, AC961, AF961),
    _xlpm.ints, CHOOSE({1,2,3,4,5,6}, R961, U961, X961, AA961, AD961, AG961),
    _xlpm.limit, -0.00001*_xlpm.slopes + 0.1086*_xlpm.slopes + 63.253,
    _xlpm.valid, (_xlpm.vals &gt;= 0) * (_xlpm.ints &lt;= _xlpm.limit),
    _xlpm.target, MIN(_xlfn._xlws.FILTER(_xlpm.vals, _xlpm.valid)),
    IFERROR(
        _xlfn.XLOOKUP(_xlpm.target, _xlpm.vals, _xlpm.vals),
        CHOOSE({1,2,3,4,5,6}, S$1, V$1, Y$1, AB$1, AE$1, AH$1)
    )
)</f>
        <v>0.42197061094097488</v>
      </c>
    </row>
    <row r="962" spans="9:36" x14ac:dyDescent="0.45">
      <c r="I962">
        <v>960</v>
      </c>
      <c r="J962">
        <v>25.7</v>
      </c>
      <c r="K962">
        <f t="shared" si="323"/>
        <v>25.7</v>
      </c>
      <c r="L962">
        <f t="shared" ref="L962:L1025" si="345">K962*(1/3600)</f>
        <v>7.1388888888888891E-3</v>
      </c>
      <c r="M962">
        <v>-0.28999999999999998</v>
      </c>
      <c r="N962">
        <f t="shared" si="324"/>
        <v>0</v>
      </c>
      <c r="O962">
        <f t="shared" si="325"/>
        <v>333.9761976304809</v>
      </c>
      <c r="P962">
        <f t="shared" si="326"/>
        <v>1068.7238324175389</v>
      </c>
      <c r="Q962">
        <f t="shared" si="327"/>
        <v>4894.7551524723285</v>
      </c>
      <c r="R962">
        <f t="shared" si="328"/>
        <v>0</v>
      </c>
      <c r="S962">
        <f t="shared" si="329"/>
        <v>3.5373082418623154</v>
      </c>
      <c r="T962">
        <f t="shared" si="330"/>
        <v>3163.422543955915</v>
      </c>
      <c r="U962">
        <f t="shared" si="331"/>
        <v>0</v>
      </c>
      <c r="V962">
        <f t="shared" si="332"/>
        <v>1.0936513289884779</v>
      </c>
      <c r="W962">
        <f t="shared" si="333"/>
        <v>2041.2625199174993</v>
      </c>
      <c r="X962">
        <f t="shared" si="334"/>
        <v>0</v>
      </c>
      <c r="Y962">
        <f t="shared" si="335"/>
        <v>0.53666112309018987</v>
      </c>
      <c r="Z962">
        <f t="shared" si="336"/>
        <v>1538.962318681256</v>
      </c>
      <c r="AA962">
        <f t="shared" si="337"/>
        <v>0</v>
      </c>
      <c r="AB962">
        <f t="shared" si="338"/>
        <v>0.41721576092287832</v>
      </c>
      <c r="AC962">
        <f t="shared" si="339"/>
        <v>6000</v>
      </c>
      <c r="AD962">
        <f t="shared" si="340"/>
        <v>0</v>
      </c>
      <c r="AE962">
        <f t="shared" si="341"/>
        <v>6.7000407999999982</v>
      </c>
      <c r="AF962">
        <f t="shared" si="342"/>
        <v>6000</v>
      </c>
      <c r="AG962">
        <f t="shared" si="343"/>
        <v>0</v>
      </c>
      <c r="AH962">
        <f t="shared" si="344"/>
        <v>6.7000407999999982</v>
      </c>
      <c r="AI962" cm="1">
        <f t="array" ref="AI962">_xlfn.LET(
    _xlpm.vals,   _xlfn.HSTACK(S962,V962,Y962,AB962,AE962,AH962),
    _xlpm.ints,   _xlfn.HSTACK(R962,U962,X962,AA962,AD962,AG962),
    _xlpm.slopes, _xlfn.HSTACK(Q962,T962,W962,Z962,AC962,AF962),
    _xlpm.limit,  -0.00001*_xlpm.slopes + 0.1086*_xlpm.slopes + 63.253,
    _xlpm.mask,   (_xlpm.vals&gt;=0) * (_xlpm.ints&lt;=_xlpm.limit),
    _xlpm.validVals, _xlfn._xlws.FILTER(_xlpm.vals, _xlpm.mask),
    _xlpm.minVal, MIN(_xlpm.validVals),
    IFERROR( _xlfn.XMATCH(_xlpm.minVal, _xlpm.vals), "" )
)</f>
        <v>4</v>
      </c>
      <c r="AJ962" cm="1">
        <f t="array" ref="AJ962">_xlfn.LET(
    _xlpm.vals, CHOOSE({1,2,3,4,5,6}, S962, V962, Y962, AB962, AE962, AH962),
    _xlpm.slopes, CHOOSE({1,2,3,4,5,6}, Q962, T962, W962, Z962, AC962, AF962),
    _xlpm.ints, CHOOSE({1,2,3,4,5,6}, R962, U962, X962, AA962, AD962, AG962),
    _xlpm.limit, -0.00001*_xlpm.slopes + 0.1086*_xlpm.slopes + 63.253,
    _xlpm.valid, (_xlpm.vals &gt;= 0) * (_xlpm.ints &lt;= _xlpm.limit),
    _xlpm.target, MIN(_xlfn._xlws.FILTER(_xlpm.vals, _xlpm.valid)),
    IFERROR(
        _xlfn.XLOOKUP(_xlpm.target, _xlpm.vals, _xlpm.vals),
        CHOOSE({1,2,3,4,5,6}, S$1, V$1, Y$1, AB$1, AE$1, AH$1)
    )
)</f>
        <v>0.41721576092287832</v>
      </c>
    </row>
    <row r="963" spans="9:36" x14ac:dyDescent="0.45">
      <c r="I963">
        <v>961</v>
      </c>
      <c r="J963">
        <v>25.2</v>
      </c>
      <c r="K963">
        <f t="shared" ref="K963:K1026" si="346">IF(J963&lt;0,0,J963)</f>
        <v>25.2</v>
      </c>
      <c r="L963">
        <f t="shared" si="345"/>
        <v>7.0000000000000001E-3</v>
      </c>
      <c r="M963">
        <v>-0.18</v>
      </c>
      <c r="N963">
        <f t="shared" ref="N963:N1026" si="347">IF(M963&lt;0,0,M963)</f>
        <v>0</v>
      </c>
      <c r="O963">
        <f t="shared" ref="O963:O1026" si="348">(K963*0.44704*60)/(PI()*$B$2)</f>
        <v>327.47860623689172</v>
      </c>
      <c r="P963">
        <f t="shared" ref="P963:P1026" si="349">O963*3.2</f>
        <v>1047.9315399580535</v>
      </c>
      <c r="Q963">
        <f t="shared" ref="Q963:Q1026" si="350">IF(4.58*P963&lt;1000,1000,4.58*P963)</f>
        <v>4799.5264530078848</v>
      </c>
      <c r="R963">
        <f t="shared" ref="R963:R1026" si="351">(1000*N963*60)/(Q963*2*PI())</f>
        <v>0</v>
      </c>
      <c r="S963">
        <f t="shared" ref="S963:S1026" si="352">(0.072946 + (0.000364279 * Q963) + (-0.00248749 * R963) + (0.00000951906 * Q963 * R963) + (-0.000000165418 * Q963^2) + (0.000045414 * R963^2) + (-0.00000000135106 * Q963^2 * R963) + (0.0000000203184 * Q963 * R963^2) + (0.0000000000481318 * Q963^3) + (-0.00000034778 * R963^3))</f>
        <v>3.332250690096302</v>
      </c>
      <c r="T963">
        <f t="shared" ref="T963:T1026" si="353">IF(2.96*P963&lt;1000,6000,2.96*P963)</f>
        <v>3101.8773582758381</v>
      </c>
      <c r="U963">
        <f t="shared" ref="U963:U1026" si="354">(1000*N963*60)/(T963*2*PI())</f>
        <v>0</v>
      </c>
      <c r="V963">
        <f t="shared" ref="V963:V1026" si="355">(0.072946 + (0.000364279 * T963) + (-0.00248749 * U963) + (0.00000951906 * T963 * U963) + (-0.000000165418 * T963^2) + (0.000045414 * U963^2) + (-0.00000000135106 * T963^2 * U963) + (0.0000000203184 * T963 * U963^2) + (0.0000000000481318 * T963^3) + (-0.00000034778 * U963^3))</f>
        <v>1.0478029451209649</v>
      </c>
      <c r="W963">
        <f t="shared" ref="W963:W1026" si="356">IF(1.91*P963&lt;1000,6000,1.91*P963)</f>
        <v>2001.549241319882</v>
      </c>
      <c r="X963">
        <f t="shared" ref="X963:X1026" si="357">(1000*N963*60)/(W963*2*PI())</f>
        <v>0</v>
      </c>
      <c r="Y963">
        <f t="shared" ref="Y963:Y1026" si="358">(0.072946 + (0.000364279 * W963) + (-0.00248749 * X963) + (0.00000951906 * W963 * X963) + (-0.000000165418 * W963^2) + (0.000045414 * X963^2) + (-0.00000000135106 * W963^2 * X963) + (0.0000000203184 * W963 * X963^2) + (0.0000000000481318 * W963^3) + (-0.00000034778 * X963^3))</f>
        <v>0.52532077604851501</v>
      </c>
      <c r="Z963">
        <f t="shared" ref="Z963:Z1026" si="359">IF(1.44*P963&lt;1000,6000,1.44*P963)</f>
        <v>1509.021417539597</v>
      </c>
      <c r="AA963">
        <f t="shared" ref="AA963:AA1026" si="360">(1000*N963*60)/(Z963*2*PI())</f>
        <v>0</v>
      </c>
      <c r="AB963">
        <f t="shared" ref="AB963:AB1026" si="361">(0.072946 + (0.000364279 * Z963) + (-0.00248749 * AA963) + (0.00000951906 * Z963 * AA963) + (-0.000000165418 * Z963^2) + (0.000045414 * AA963^2) + (-0.00000000135106 * Z963^2 * AA963) + (0.0000000203184 * Z963 * AA963^2) + (0.0000000000481318 * Z963^3) + (-0.00000034778 * AA963^3))</f>
        <v>0.41136338888171387</v>
      </c>
      <c r="AC963">
        <f t="shared" ref="AC963:AC1026" si="362">IF(0.74*P963&lt;1000,6000,0.74*P963)</f>
        <v>6000</v>
      </c>
      <c r="AD963">
        <f t="shared" ref="AD963:AD1026" si="363">(1000*N963*60)/(AC963*2*PI())</f>
        <v>0</v>
      </c>
      <c r="AE963">
        <f t="shared" ref="AE963:AE1026" si="364">(0.072946 + (0.000364279 * AC963) + (-0.00248749 * AD963) + (0.00000951906 * AC963 * AD963) + (-0.000000165418 * AC963^2) + (0.000045414 * AD963^2) + (-0.00000000135106 * AC963^2 * AD963) + (0.0000000203184 * AC963 * AD963^2) + (0.0000000000481318 * AC963^3) + (-0.00000034778 * AD963^3))</f>
        <v>6.7000407999999982</v>
      </c>
      <c r="AF963">
        <f t="shared" ref="AF963:AF1026" si="365">IF(0.68*P963&lt;1000,6000,0.68*P963)</f>
        <v>6000</v>
      </c>
      <c r="AG963">
        <f t="shared" ref="AG963:AG1026" si="366">(1000*N963*60)/(AF963*2*PI())</f>
        <v>0</v>
      </c>
      <c r="AH963">
        <f t="shared" ref="AH963:AH1026" si="367">(0.072946 + (0.000364279 * AF963) + (-0.00248749 * AG963) + (0.00000951906 * AF963 * AG963) + (-0.000000165418 * AF963^2) + (0.000045414 * AG963^2) + (-0.00000000135106 * AF963^2 * AG963) + (0.0000000203184 * AF963 * AG963^2) + (0.0000000000481318 * AF963^3) + (-0.00000034778 * AG963^3))</f>
        <v>6.7000407999999982</v>
      </c>
      <c r="AI963" cm="1">
        <f t="array" ref="AI963">_xlfn.LET(
    _xlpm.vals,   _xlfn.HSTACK(S963,V963,Y963,AB963,AE963,AH963),
    _xlpm.ints,   _xlfn.HSTACK(R963,U963,X963,AA963,AD963,AG963),
    _xlpm.slopes, _xlfn.HSTACK(Q963,T963,W963,Z963,AC963,AF963),
    _xlpm.limit,  -0.00001*_xlpm.slopes + 0.1086*_xlpm.slopes + 63.253,
    _xlpm.mask,   (_xlpm.vals&gt;=0) * (_xlpm.ints&lt;=_xlpm.limit),
    _xlpm.validVals, _xlfn._xlws.FILTER(_xlpm.vals, _xlpm.mask),
    _xlpm.minVal, MIN(_xlpm.validVals),
    IFERROR( _xlfn.XMATCH(_xlpm.minVal, _xlpm.vals), "" )
)</f>
        <v>4</v>
      </c>
      <c r="AJ963" cm="1">
        <f t="array" ref="AJ963">_xlfn.LET(
    _xlpm.vals, CHOOSE({1,2,3,4,5,6}, S963, V963, Y963, AB963, AE963, AH963),
    _xlpm.slopes, CHOOSE({1,2,3,4,5,6}, Q963, T963, W963, Z963, AC963, AF963),
    _xlpm.ints, CHOOSE({1,2,3,4,5,6}, R963, U963, X963, AA963, AD963, AG963),
    _xlpm.limit, -0.00001*_xlpm.slopes + 0.1086*_xlpm.slopes + 63.253,
    _xlpm.valid, (_xlpm.vals &gt;= 0) * (_xlpm.ints &lt;= _xlpm.limit),
    _xlpm.target, MIN(_xlfn._xlws.FILTER(_xlpm.vals, _xlpm.valid)),
    IFERROR(
        _xlfn.XLOOKUP(_xlpm.target, _xlpm.vals, _xlpm.vals),
        CHOOSE({1,2,3,4,5,6}, S$1, V$1, Y$1, AB$1, AE$1, AH$1)
    )
)</f>
        <v>0.41136338888171387</v>
      </c>
    </row>
    <row r="964" spans="9:36" x14ac:dyDescent="0.45">
      <c r="I964">
        <v>962</v>
      </c>
      <c r="J964">
        <v>23.7</v>
      </c>
      <c r="K964">
        <f t="shared" si="346"/>
        <v>23.7</v>
      </c>
      <c r="L964">
        <f t="shared" si="345"/>
        <v>6.5833333333333334E-3</v>
      </c>
      <c r="M964">
        <v>-1.82</v>
      </c>
      <c r="N964">
        <f t="shared" si="347"/>
        <v>0</v>
      </c>
      <c r="O964">
        <f t="shared" si="348"/>
        <v>307.98583205612437</v>
      </c>
      <c r="P964">
        <f t="shared" si="349"/>
        <v>985.55466257959802</v>
      </c>
      <c r="Q964">
        <f t="shared" si="350"/>
        <v>4513.8403546145591</v>
      </c>
      <c r="R964">
        <f t="shared" si="351"/>
        <v>0</v>
      </c>
      <c r="S964">
        <f t="shared" si="352"/>
        <v>2.7734962328583848</v>
      </c>
      <c r="T964">
        <f t="shared" si="353"/>
        <v>2917.2418012356102</v>
      </c>
      <c r="U964">
        <f t="shared" si="354"/>
        <v>0</v>
      </c>
      <c r="V964">
        <f t="shared" si="355"/>
        <v>0.9228282130550276</v>
      </c>
      <c r="W964">
        <f t="shared" si="356"/>
        <v>1882.409405527032</v>
      </c>
      <c r="X964">
        <f t="shared" si="357"/>
        <v>0</v>
      </c>
      <c r="Y964">
        <f t="shared" si="358"/>
        <v>0.49356653745885548</v>
      </c>
      <c r="Z964">
        <f t="shared" si="359"/>
        <v>1419.198714114621</v>
      </c>
      <c r="AA964">
        <f t="shared" si="360"/>
        <v>0</v>
      </c>
      <c r="AB964">
        <f t="shared" si="361"/>
        <v>0.39433979623699272</v>
      </c>
      <c r="AC964">
        <f t="shared" si="362"/>
        <v>6000</v>
      </c>
      <c r="AD964">
        <f t="shared" si="363"/>
        <v>0</v>
      </c>
      <c r="AE964">
        <f t="shared" si="364"/>
        <v>6.7000407999999982</v>
      </c>
      <c r="AF964">
        <f t="shared" si="365"/>
        <v>6000</v>
      </c>
      <c r="AG964">
        <f t="shared" si="366"/>
        <v>0</v>
      </c>
      <c r="AH964">
        <f t="shared" si="367"/>
        <v>6.7000407999999982</v>
      </c>
      <c r="AI964" cm="1">
        <f t="array" ref="AI964">_xlfn.LET(
    _xlpm.vals,   _xlfn.HSTACK(S964,V964,Y964,AB964,AE964,AH964),
    _xlpm.ints,   _xlfn.HSTACK(R964,U964,X964,AA964,AD964,AG964),
    _xlpm.slopes, _xlfn.HSTACK(Q964,T964,W964,Z964,AC964,AF964),
    _xlpm.limit,  -0.00001*_xlpm.slopes + 0.1086*_xlpm.slopes + 63.253,
    _xlpm.mask,   (_xlpm.vals&gt;=0) * (_xlpm.ints&lt;=_xlpm.limit),
    _xlpm.validVals, _xlfn._xlws.FILTER(_xlpm.vals, _xlpm.mask),
    _xlpm.minVal, MIN(_xlpm.validVals),
    IFERROR( _xlfn.XMATCH(_xlpm.minVal, _xlpm.vals), "" )
)</f>
        <v>4</v>
      </c>
      <c r="AJ964" cm="1">
        <f t="array" ref="AJ964">_xlfn.LET(
    _xlpm.vals, CHOOSE({1,2,3,4,5,6}, S964, V964, Y964, AB964, AE964, AH964),
    _xlpm.slopes, CHOOSE({1,2,3,4,5,6}, Q964, T964, W964, Z964, AC964, AF964),
    _xlpm.ints, CHOOSE({1,2,3,4,5,6}, R964, U964, X964, AA964, AD964, AG964),
    _xlpm.limit, -0.00001*_xlpm.slopes + 0.1086*_xlpm.slopes + 63.253,
    _xlpm.valid, (_xlpm.vals &gt;= 0) * (_xlpm.ints &lt;= _xlpm.limit),
    _xlpm.target, MIN(_xlfn._xlws.FILTER(_xlpm.vals, _xlpm.valid)),
    IFERROR(
        _xlfn.XLOOKUP(_xlpm.target, _xlpm.vals, _xlpm.vals),
        CHOOSE({1,2,3,4,5,6}, S$1, V$1, Y$1, AB$1, AE$1, AH$1)
    )
)</f>
        <v>0.39433979623699272</v>
      </c>
    </row>
    <row r="965" spans="9:36" x14ac:dyDescent="0.45">
      <c r="I965">
        <v>963</v>
      </c>
      <c r="J965">
        <v>22.5</v>
      </c>
      <c r="K965">
        <f t="shared" si="346"/>
        <v>22.5</v>
      </c>
      <c r="L965">
        <f t="shared" si="345"/>
        <v>6.2500000000000003E-3</v>
      </c>
      <c r="M965">
        <v>-1.18</v>
      </c>
      <c r="N965">
        <f t="shared" si="347"/>
        <v>0</v>
      </c>
      <c r="O965">
        <f t="shared" si="348"/>
        <v>292.39161271151056</v>
      </c>
      <c r="P965">
        <f t="shared" si="349"/>
        <v>935.65316067683386</v>
      </c>
      <c r="Q965">
        <f t="shared" si="350"/>
        <v>4285.2914758998995</v>
      </c>
      <c r="R965">
        <f t="shared" si="351"/>
        <v>0</v>
      </c>
      <c r="S965">
        <f t="shared" si="352"/>
        <v>2.3839766910722728</v>
      </c>
      <c r="T965">
        <f t="shared" si="353"/>
        <v>2769.5333556034284</v>
      </c>
      <c r="U965">
        <f t="shared" si="354"/>
        <v>0</v>
      </c>
      <c r="V965">
        <f t="shared" si="355"/>
        <v>0.83549380273775253</v>
      </c>
      <c r="W965">
        <f t="shared" si="356"/>
        <v>1787.0975368927527</v>
      </c>
      <c r="X965">
        <f t="shared" si="357"/>
        <v>0</v>
      </c>
      <c r="Y965">
        <f t="shared" si="358"/>
        <v>0.47036124479496816</v>
      </c>
      <c r="Z965">
        <f t="shared" si="359"/>
        <v>1347.3405513746407</v>
      </c>
      <c r="AA965">
        <f t="shared" si="360"/>
        <v>0</v>
      </c>
      <c r="AB965">
        <f t="shared" si="361"/>
        <v>0.38118997266574289</v>
      </c>
      <c r="AC965">
        <f t="shared" si="362"/>
        <v>6000</v>
      </c>
      <c r="AD965">
        <f t="shared" si="363"/>
        <v>0</v>
      </c>
      <c r="AE965">
        <f t="shared" si="364"/>
        <v>6.7000407999999982</v>
      </c>
      <c r="AF965">
        <f t="shared" si="365"/>
        <v>6000</v>
      </c>
      <c r="AG965">
        <f t="shared" si="366"/>
        <v>0</v>
      </c>
      <c r="AH965">
        <f t="shared" si="367"/>
        <v>6.7000407999999982</v>
      </c>
      <c r="AI965" cm="1">
        <f t="array" ref="AI965">_xlfn.LET(
    _xlpm.vals,   _xlfn.HSTACK(S965,V965,Y965,AB965,AE965,AH965),
    _xlpm.ints,   _xlfn.HSTACK(R965,U965,X965,AA965,AD965,AG965),
    _xlpm.slopes, _xlfn.HSTACK(Q965,T965,W965,Z965,AC965,AF965),
    _xlpm.limit,  -0.00001*_xlpm.slopes + 0.1086*_xlpm.slopes + 63.253,
    _xlpm.mask,   (_xlpm.vals&gt;=0) * (_xlpm.ints&lt;=_xlpm.limit),
    _xlpm.validVals, _xlfn._xlws.FILTER(_xlpm.vals, _xlpm.mask),
    _xlpm.minVal, MIN(_xlpm.validVals),
    IFERROR( _xlfn.XMATCH(_xlpm.minVal, _xlpm.vals), "" )
)</f>
        <v>4</v>
      </c>
      <c r="AJ965" cm="1">
        <f t="array" ref="AJ965">_xlfn.LET(
    _xlpm.vals, CHOOSE({1,2,3,4,5,6}, S965, V965, Y965, AB965, AE965, AH965),
    _xlpm.slopes, CHOOSE({1,2,3,4,5,6}, Q965, T965, W965, Z965, AC965, AF965),
    _xlpm.ints, CHOOSE({1,2,3,4,5,6}, R965, U965, X965, AA965, AD965, AG965),
    _xlpm.limit, -0.00001*_xlpm.slopes + 0.1086*_xlpm.slopes + 63.253,
    _xlpm.valid, (_xlpm.vals &gt;= 0) * (_xlpm.ints &lt;= _xlpm.limit),
    _xlpm.target, MIN(_xlfn._xlws.FILTER(_xlpm.vals, _xlpm.valid)),
    IFERROR(
        _xlfn.XLOOKUP(_xlpm.target, _xlpm.vals, _xlpm.vals),
        CHOOSE({1,2,3,4,5,6}, S$1, V$1, Y$1, AB$1, AE$1, AH$1)
    )
)</f>
        <v>0.38118997266574289</v>
      </c>
    </row>
    <row r="966" spans="9:36" x14ac:dyDescent="0.45">
      <c r="I966">
        <v>964</v>
      </c>
      <c r="J966">
        <v>21.9</v>
      </c>
      <c r="K966">
        <f t="shared" si="346"/>
        <v>21.9</v>
      </c>
      <c r="L966">
        <f t="shared" si="345"/>
        <v>6.083333333333333E-3</v>
      </c>
      <c r="M966">
        <v>-1.22</v>
      </c>
      <c r="N966">
        <f t="shared" si="347"/>
        <v>0</v>
      </c>
      <c r="O966">
        <f t="shared" si="348"/>
        <v>284.59450303920352</v>
      </c>
      <c r="P966">
        <f t="shared" si="349"/>
        <v>910.70240972545128</v>
      </c>
      <c r="Q966">
        <f t="shared" si="350"/>
        <v>4171.0170365425665</v>
      </c>
      <c r="R966">
        <f t="shared" si="351"/>
        <v>0</v>
      </c>
      <c r="S966">
        <f t="shared" si="352"/>
        <v>2.2071931387355859</v>
      </c>
      <c r="T966">
        <f t="shared" si="353"/>
        <v>2695.6791327873357</v>
      </c>
      <c r="U966">
        <f t="shared" si="354"/>
        <v>0</v>
      </c>
      <c r="V966">
        <f t="shared" si="355"/>
        <v>0.79572180220954591</v>
      </c>
      <c r="W966">
        <f t="shared" si="356"/>
        <v>1739.4416025756118</v>
      </c>
      <c r="X966">
        <f t="shared" si="357"/>
        <v>0</v>
      </c>
      <c r="Y966">
        <f t="shared" si="358"/>
        <v>0.45940534368332869</v>
      </c>
      <c r="Z966">
        <f t="shared" si="359"/>
        <v>1311.4114700046498</v>
      </c>
      <c r="AA966">
        <f t="shared" si="360"/>
        <v>0</v>
      </c>
      <c r="AB966">
        <f t="shared" si="361"/>
        <v>0.37473457659481368</v>
      </c>
      <c r="AC966">
        <f t="shared" si="362"/>
        <v>6000</v>
      </c>
      <c r="AD966">
        <f t="shared" si="363"/>
        <v>0</v>
      </c>
      <c r="AE966">
        <f t="shared" si="364"/>
        <v>6.7000407999999982</v>
      </c>
      <c r="AF966">
        <f t="shared" si="365"/>
        <v>6000</v>
      </c>
      <c r="AG966">
        <f t="shared" si="366"/>
        <v>0</v>
      </c>
      <c r="AH966">
        <f t="shared" si="367"/>
        <v>6.7000407999999982</v>
      </c>
      <c r="AI966" cm="1">
        <f t="array" ref="AI966">_xlfn.LET(
    _xlpm.vals,   _xlfn.HSTACK(S966,V966,Y966,AB966,AE966,AH966),
    _xlpm.ints,   _xlfn.HSTACK(R966,U966,X966,AA966,AD966,AG966),
    _xlpm.slopes, _xlfn.HSTACK(Q966,T966,W966,Z966,AC966,AF966),
    _xlpm.limit,  -0.00001*_xlpm.slopes + 0.1086*_xlpm.slopes + 63.253,
    _xlpm.mask,   (_xlpm.vals&gt;=0) * (_xlpm.ints&lt;=_xlpm.limit),
    _xlpm.validVals, _xlfn._xlws.FILTER(_xlpm.vals, _xlpm.mask),
    _xlpm.minVal, MIN(_xlpm.validVals),
    IFERROR( _xlfn.XMATCH(_xlpm.minVal, _xlpm.vals), "" )
)</f>
        <v>4</v>
      </c>
      <c r="AJ966" cm="1">
        <f t="array" ref="AJ966">_xlfn.LET(
    _xlpm.vals, CHOOSE({1,2,3,4,5,6}, S966, V966, Y966, AB966, AE966, AH966),
    _xlpm.slopes, CHOOSE({1,2,3,4,5,6}, Q966, T966, W966, Z966, AC966, AF966),
    _xlpm.ints, CHOOSE({1,2,3,4,5,6}, R966, U966, X966, AA966, AD966, AG966),
    _xlpm.limit, -0.00001*_xlpm.slopes + 0.1086*_xlpm.slopes + 63.253,
    _xlpm.valid, (_xlpm.vals &gt;= 0) * (_xlpm.ints &lt;= _xlpm.limit),
    _xlpm.target, MIN(_xlfn._xlws.FILTER(_xlpm.vals, _xlpm.valid)),
    IFERROR(
        _xlfn.XLOOKUP(_xlpm.target, _xlpm.vals, _xlpm.vals),
        CHOOSE({1,2,3,4,5,6}, S$1, V$1, Y$1, AB$1, AE$1, AH$1)
    )
)</f>
        <v>0.37473457659481368</v>
      </c>
    </row>
    <row r="967" spans="9:36" x14ac:dyDescent="0.45">
      <c r="I967">
        <v>965</v>
      </c>
      <c r="J967">
        <v>21.8</v>
      </c>
      <c r="K967">
        <f t="shared" si="346"/>
        <v>21.8</v>
      </c>
      <c r="L967">
        <f t="shared" si="345"/>
        <v>6.0555555555555553E-3</v>
      </c>
      <c r="M967">
        <v>4.9000000000000004</v>
      </c>
      <c r="N967">
        <f t="shared" si="347"/>
        <v>4.9000000000000004</v>
      </c>
      <c r="O967">
        <f t="shared" si="348"/>
        <v>283.2949847604857</v>
      </c>
      <c r="P967">
        <f t="shared" si="349"/>
        <v>906.54395123355425</v>
      </c>
      <c r="Q967">
        <f t="shared" si="350"/>
        <v>4151.9712966496782</v>
      </c>
      <c r="R967">
        <f t="shared" si="351"/>
        <v>11.26971983326918</v>
      </c>
      <c r="S967">
        <f t="shared" si="352"/>
        <v>2.3497328099249413</v>
      </c>
      <c r="T967">
        <f t="shared" si="353"/>
        <v>2683.3700956513208</v>
      </c>
      <c r="U967">
        <f t="shared" si="354"/>
        <v>17.437607039315147</v>
      </c>
      <c r="V967">
        <f t="shared" si="355"/>
        <v>1.0502750473404145</v>
      </c>
      <c r="W967">
        <f t="shared" si="356"/>
        <v>1731.4989468560887</v>
      </c>
      <c r="X967">
        <f t="shared" si="357"/>
        <v>27.0237260923418</v>
      </c>
      <c r="Y967">
        <f t="shared" si="358"/>
        <v>0.77834004047774397</v>
      </c>
      <c r="Z967">
        <f t="shared" si="359"/>
        <v>1305.4232897763181</v>
      </c>
      <c r="AA967">
        <f t="shared" si="360"/>
        <v>35.843970025258912</v>
      </c>
      <c r="AB967">
        <f t="shared" si="361"/>
        <v>0.7237980529607807</v>
      </c>
      <c r="AC967">
        <f t="shared" si="362"/>
        <v>6000</v>
      </c>
      <c r="AD967">
        <f t="shared" si="363"/>
        <v>7.7985922115028723</v>
      </c>
      <c r="AE967">
        <f t="shared" si="364"/>
        <v>6.756755698946888</v>
      </c>
      <c r="AF967">
        <f t="shared" si="365"/>
        <v>6000</v>
      </c>
      <c r="AG967">
        <f t="shared" si="366"/>
        <v>7.7985922115028723</v>
      </c>
      <c r="AH967">
        <f t="shared" si="367"/>
        <v>6.756755698946888</v>
      </c>
      <c r="AI967" cm="1">
        <f t="array" ref="AI967">_xlfn.LET(
    _xlpm.vals,   _xlfn.HSTACK(S967,V967,Y967,AB967,AE967,AH967),
    _xlpm.ints,   _xlfn.HSTACK(R967,U967,X967,AA967,AD967,AG967),
    _xlpm.slopes, _xlfn.HSTACK(Q967,T967,W967,Z967,AC967,AF967),
    _xlpm.limit,  -0.00001*_xlpm.slopes + 0.1086*_xlpm.slopes + 63.253,
    _xlpm.mask,   (_xlpm.vals&gt;=0) * (_xlpm.ints&lt;=_xlpm.limit),
    _xlpm.validVals, _xlfn._xlws.FILTER(_xlpm.vals, _xlpm.mask),
    _xlpm.minVal, MIN(_xlpm.validVals),
    IFERROR( _xlfn.XMATCH(_xlpm.minVal, _xlpm.vals), "" )
)</f>
        <v>4</v>
      </c>
      <c r="AJ967" cm="1">
        <f t="array" ref="AJ967">_xlfn.LET(
    _xlpm.vals, CHOOSE({1,2,3,4,5,6}, S967, V967, Y967, AB967, AE967, AH967),
    _xlpm.slopes, CHOOSE({1,2,3,4,5,6}, Q967, T967, W967, Z967, AC967, AF967),
    _xlpm.ints, CHOOSE({1,2,3,4,5,6}, R967, U967, X967, AA967, AD967, AG967),
    _xlpm.limit, -0.00001*_xlpm.slopes + 0.1086*_xlpm.slopes + 63.253,
    _xlpm.valid, (_xlpm.vals &gt;= 0) * (_xlpm.ints &lt;= _xlpm.limit),
    _xlpm.target, MIN(_xlfn._xlws.FILTER(_xlpm.vals, _xlpm.valid)),
    IFERROR(
        _xlfn.XLOOKUP(_xlpm.target, _xlpm.vals, _xlpm.vals),
        CHOOSE({1,2,3,4,5,6}, S$1, V$1, Y$1, AB$1, AE$1, AH$1)
    )
)</f>
        <v>0.7237980529607807</v>
      </c>
    </row>
    <row r="968" spans="9:36" x14ac:dyDescent="0.45">
      <c r="I968">
        <v>966</v>
      </c>
      <c r="J968">
        <v>22</v>
      </c>
      <c r="K968">
        <f t="shared" si="346"/>
        <v>22</v>
      </c>
      <c r="L968">
        <f t="shared" si="345"/>
        <v>6.1111111111111114E-3</v>
      </c>
      <c r="M968">
        <v>4.79</v>
      </c>
      <c r="N968">
        <f t="shared" si="347"/>
        <v>4.79</v>
      </c>
      <c r="O968">
        <f t="shared" si="348"/>
        <v>285.89402131792139</v>
      </c>
      <c r="P968">
        <f t="shared" si="349"/>
        <v>914.86086821734852</v>
      </c>
      <c r="Q968">
        <f t="shared" si="350"/>
        <v>4190.0627764354567</v>
      </c>
      <c r="R968">
        <f t="shared" si="351"/>
        <v>10.916574067065248</v>
      </c>
      <c r="S968">
        <f t="shared" si="352"/>
        <v>2.4002743883485289</v>
      </c>
      <c r="T968">
        <f t="shared" si="353"/>
        <v>2707.9881699233515</v>
      </c>
      <c r="U968">
        <f t="shared" si="354"/>
        <v>16.891185549715829</v>
      </c>
      <c r="V968">
        <f t="shared" si="355"/>
        <v>1.0552022488681461</v>
      </c>
      <c r="W968">
        <f t="shared" si="356"/>
        <v>1747.3842582951356</v>
      </c>
      <c r="X968">
        <f t="shared" si="357"/>
        <v>26.176915825737613</v>
      </c>
      <c r="Y968">
        <f t="shared" si="358"/>
        <v>0.7727239063024588</v>
      </c>
      <c r="Z968">
        <f t="shared" si="359"/>
        <v>1317.3996502329819</v>
      </c>
      <c r="AA968">
        <f t="shared" si="360"/>
        <v>34.720770296638079</v>
      </c>
      <c r="AB968">
        <f t="shared" si="361"/>
        <v>0.71589684021824829</v>
      </c>
      <c r="AC968">
        <f t="shared" si="362"/>
        <v>6000</v>
      </c>
      <c r="AD968">
        <f t="shared" si="363"/>
        <v>7.6235217741017873</v>
      </c>
      <c r="AE968">
        <f t="shared" si="364"/>
        <v>6.7552663456933333</v>
      </c>
      <c r="AF968">
        <f t="shared" si="365"/>
        <v>6000</v>
      </c>
      <c r="AG968">
        <f t="shared" si="366"/>
        <v>7.6235217741017873</v>
      </c>
      <c r="AH968">
        <f t="shared" si="367"/>
        <v>6.7552663456933333</v>
      </c>
      <c r="AI968" cm="1">
        <f t="array" ref="AI968">_xlfn.LET(
    _xlpm.vals,   _xlfn.HSTACK(S968,V968,Y968,AB968,AE968,AH968),
    _xlpm.ints,   _xlfn.HSTACK(R968,U968,X968,AA968,AD968,AG968),
    _xlpm.slopes, _xlfn.HSTACK(Q968,T968,W968,Z968,AC968,AF968),
    _xlpm.limit,  -0.00001*_xlpm.slopes + 0.1086*_xlpm.slopes + 63.253,
    _xlpm.mask,   (_xlpm.vals&gt;=0) * (_xlpm.ints&lt;=_xlpm.limit),
    _xlpm.validVals, _xlfn._xlws.FILTER(_xlpm.vals, _xlpm.mask),
    _xlpm.minVal, MIN(_xlpm.validVals),
    IFERROR( _xlfn.XMATCH(_xlpm.minVal, _xlpm.vals), "" )
)</f>
        <v>4</v>
      </c>
      <c r="AJ968" cm="1">
        <f t="array" ref="AJ968">_xlfn.LET(
    _xlpm.vals, CHOOSE({1,2,3,4,5,6}, S968, V968, Y968, AB968, AE968, AH968),
    _xlpm.slopes, CHOOSE({1,2,3,4,5,6}, Q968, T968, W968, Z968, AC968, AF968),
    _xlpm.ints, CHOOSE({1,2,3,4,5,6}, R968, U968, X968, AA968, AD968, AG968),
    _xlpm.limit, -0.00001*_xlpm.slopes + 0.1086*_xlpm.slopes + 63.253,
    _xlpm.valid, (_xlpm.vals &gt;= 0) * (_xlpm.ints &lt;= _xlpm.limit),
    _xlpm.target, MIN(_xlfn._xlws.FILTER(_xlpm.vals, _xlpm.valid)),
    IFERROR(
        _xlfn.XLOOKUP(_xlpm.target, _xlpm.vals, _xlpm.vals),
        CHOOSE({1,2,3,4,5,6}, S$1, V$1, Y$1, AB$1, AE$1, AH$1)
    )
)</f>
        <v>0.71589684021824829</v>
      </c>
    </row>
    <row r="969" spans="9:36" x14ac:dyDescent="0.45">
      <c r="I969">
        <v>967</v>
      </c>
      <c r="J969">
        <v>22.6</v>
      </c>
      <c r="K969">
        <f t="shared" si="346"/>
        <v>22.6</v>
      </c>
      <c r="L969">
        <f t="shared" si="345"/>
        <v>6.277777777777778E-3</v>
      </c>
      <c r="M969">
        <v>12.51</v>
      </c>
      <c r="N969">
        <f t="shared" si="347"/>
        <v>12.51</v>
      </c>
      <c r="O969">
        <f t="shared" si="348"/>
        <v>293.69113099022837</v>
      </c>
      <c r="P969">
        <f t="shared" si="349"/>
        <v>939.81161916873089</v>
      </c>
      <c r="Q969">
        <f t="shared" si="350"/>
        <v>4304.3372157927879</v>
      </c>
      <c r="R969">
        <f t="shared" si="351"/>
        <v>27.753796762592582</v>
      </c>
      <c r="S969">
        <f t="shared" si="352"/>
        <v>2.8828985558540032</v>
      </c>
      <c r="T969">
        <f t="shared" si="353"/>
        <v>2781.8423927394433</v>
      </c>
      <c r="U969">
        <f t="shared" si="354"/>
        <v>42.943374720497992</v>
      </c>
      <c r="V969">
        <f t="shared" si="355"/>
        <v>1.5841635658643476</v>
      </c>
      <c r="W969">
        <f t="shared" si="356"/>
        <v>1795.0401926122759</v>
      </c>
      <c r="X969">
        <f t="shared" si="357"/>
        <v>66.550989095640858</v>
      </c>
      <c r="Y969">
        <f t="shared" si="358"/>
        <v>1.4142930760318324</v>
      </c>
      <c r="Z969">
        <f t="shared" si="359"/>
        <v>1353.3287316029723</v>
      </c>
      <c r="AA969">
        <f t="shared" si="360"/>
        <v>88.272492481023647</v>
      </c>
      <c r="AB969">
        <f t="shared" si="361"/>
        <v>1.4103496340570441</v>
      </c>
      <c r="AC969">
        <f t="shared" si="362"/>
        <v>6000</v>
      </c>
      <c r="AD969">
        <f t="shared" si="363"/>
        <v>19.910283380796109</v>
      </c>
      <c r="AE969">
        <f t="shared" si="364"/>
        <v>6.8828633830801413</v>
      </c>
      <c r="AF969">
        <f t="shared" si="365"/>
        <v>6000</v>
      </c>
      <c r="AG969">
        <f t="shared" si="366"/>
        <v>19.910283380796109</v>
      </c>
      <c r="AH969">
        <f t="shared" si="367"/>
        <v>6.8828633830801413</v>
      </c>
      <c r="AI969" cm="1">
        <f t="array" ref="AI969">_xlfn.LET(
    _xlpm.vals,   _xlfn.HSTACK(S969,V969,Y969,AB969,AE969,AH969),
    _xlpm.ints,   _xlfn.HSTACK(R969,U969,X969,AA969,AD969,AG969),
    _xlpm.slopes, _xlfn.HSTACK(Q969,T969,W969,Z969,AC969,AF969),
    _xlpm.limit,  -0.00001*_xlpm.slopes + 0.1086*_xlpm.slopes + 63.253,
    _xlpm.mask,   (_xlpm.vals&gt;=0) * (_xlpm.ints&lt;=_xlpm.limit),
    _xlpm.validVals, _xlfn._xlws.FILTER(_xlpm.vals, _xlpm.mask),
    _xlpm.minVal, MIN(_xlpm.validVals),
    IFERROR( _xlfn.XMATCH(_xlpm.minVal, _xlpm.vals), "" )
)</f>
        <v>4</v>
      </c>
      <c r="AJ969" cm="1">
        <f t="array" ref="AJ969">_xlfn.LET(
    _xlpm.vals, CHOOSE({1,2,3,4,5,6}, S969, V969, Y969, AB969, AE969, AH969),
    _xlpm.slopes, CHOOSE({1,2,3,4,5,6}, Q969, T969, W969, Z969, AC969, AF969),
    _xlpm.ints, CHOOSE({1,2,3,4,5,6}, R969, U969, X969, AA969, AD969, AG969),
    _xlpm.limit, -0.00001*_xlpm.slopes + 0.1086*_xlpm.slopes + 63.253,
    _xlpm.valid, (_xlpm.vals &gt;= 0) * (_xlpm.ints &lt;= _xlpm.limit),
    _xlpm.target, MIN(_xlfn._xlws.FILTER(_xlpm.vals, _xlpm.valid)),
    IFERROR(
        _xlfn.XLOOKUP(_xlpm.target, _xlpm.vals, _xlpm.vals),
        CHOOSE({1,2,3,4,5,6}, S$1, V$1, Y$1, AB$1, AE$1, AH$1)
    )
)</f>
        <v>1.4103496340570441</v>
      </c>
    </row>
    <row r="970" spans="9:36" x14ac:dyDescent="0.45">
      <c r="I970">
        <v>968</v>
      </c>
      <c r="J970">
        <v>23</v>
      </c>
      <c r="K970">
        <f t="shared" si="346"/>
        <v>23</v>
      </c>
      <c r="L970">
        <f t="shared" si="345"/>
        <v>6.3888888888888893E-3</v>
      </c>
      <c r="M970">
        <v>7.58</v>
      </c>
      <c r="N970">
        <f t="shared" si="347"/>
        <v>7.58</v>
      </c>
      <c r="O970">
        <f t="shared" si="348"/>
        <v>298.88920410509962</v>
      </c>
      <c r="P970">
        <f t="shared" si="349"/>
        <v>956.44545313631886</v>
      </c>
      <c r="Q970">
        <f t="shared" si="350"/>
        <v>4380.5201753643405</v>
      </c>
      <c r="R970">
        <f t="shared" si="351"/>
        <v>16.523989211435065</v>
      </c>
      <c r="S970">
        <f t="shared" si="352"/>
        <v>2.7949855211270358</v>
      </c>
      <c r="T970">
        <f t="shared" si="353"/>
        <v>2831.0785412835039</v>
      </c>
      <c r="U970">
        <f t="shared" si="354"/>
        <v>25.567523847423175</v>
      </c>
      <c r="V970">
        <f t="shared" si="355"/>
        <v>1.2806244780627611</v>
      </c>
      <c r="W970">
        <f t="shared" si="356"/>
        <v>1826.8108154903689</v>
      </c>
      <c r="X970">
        <f t="shared" si="357"/>
        <v>39.622968894435921</v>
      </c>
      <c r="Y970">
        <f t="shared" si="358"/>
        <v>0.99956052526035055</v>
      </c>
      <c r="Z970">
        <f t="shared" si="359"/>
        <v>1377.2814525162992</v>
      </c>
      <c r="AA970">
        <f t="shared" si="360"/>
        <v>52.555465686369857</v>
      </c>
      <c r="AB970">
        <f t="shared" si="361"/>
        <v>0.96247567300690307</v>
      </c>
      <c r="AC970">
        <f t="shared" si="362"/>
        <v>6000</v>
      </c>
      <c r="AD970">
        <f t="shared" si="363"/>
        <v>12.063944686365668</v>
      </c>
      <c r="AE970">
        <f t="shared" si="364"/>
        <v>6.7960298298743202</v>
      </c>
      <c r="AF970">
        <f t="shared" si="365"/>
        <v>6000</v>
      </c>
      <c r="AG970">
        <f t="shared" si="366"/>
        <v>12.063944686365668</v>
      </c>
      <c r="AH970">
        <f t="shared" si="367"/>
        <v>6.7960298298743202</v>
      </c>
      <c r="AI970" cm="1">
        <f t="array" ref="AI970">_xlfn.LET(
    _xlpm.vals,   _xlfn.HSTACK(S970,V970,Y970,AB970,AE970,AH970),
    _xlpm.ints,   _xlfn.HSTACK(R970,U970,X970,AA970,AD970,AG970),
    _xlpm.slopes, _xlfn.HSTACK(Q970,T970,W970,Z970,AC970,AF970),
    _xlpm.limit,  -0.00001*_xlpm.slopes + 0.1086*_xlpm.slopes + 63.253,
    _xlpm.mask,   (_xlpm.vals&gt;=0) * (_xlpm.ints&lt;=_xlpm.limit),
    _xlpm.validVals, _xlfn._xlws.FILTER(_xlpm.vals, _xlpm.mask),
    _xlpm.minVal, MIN(_xlpm.validVals),
    IFERROR( _xlfn.XMATCH(_xlpm.minVal, _xlpm.vals), "" )
)</f>
        <v>4</v>
      </c>
      <c r="AJ970" cm="1">
        <f t="array" ref="AJ970">_xlfn.LET(
    _xlpm.vals, CHOOSE({1,2,3,4,5,6}, S970, V970, Y970, AB970, AE970, AH970),
    _xlpm.slopes, CHOOSE({1,2,3,4,5,6}, Q970, T970, W970, Z970, AC970, AF970),
    _xlpm.ints, CHOOSE({1,2,3,4,5,6}, R970, U970, X970, AA970, AD970, AG970),
    _xlpm.limit, -0.00001*_xlpm.slopes + 0.1086*_xlpm.slopes + 63.253,
    _xlpm.valid, (_xlpm.vals &gt;= 0) * (_xlpm.ints &lt;= _xlpm.limit),
    _xlpm.target, MIN(_xlfn._xlws.FILTER(_xlpm.vals, _xlpm.valid)),
    IFERROR(
        _xlfn.XLOOKUP(_xlpm.target, _xlpm.vals, _xlpm.vals),
        CHOOSE({1,2,3,4,5,6}, S$1, V$1, Y$1, AB$1, AE$1, AH$1)
    )
)</f>
        <v>0.96247567300690307</v>
      </c>
    </row>
    <row r="971" spans="9:36" x14ac:dyDescent="0.45">
      <c r="I971">
        <v>969</v>
      </c>
      <c r="J971">
        <v>23</v>
      </c>
      <c r="K971">
        <f t="shared" si="346"/>
        <v>23</v>
      </c>
      <c r="L971">
        <f t="shared" si="345"/>
        <v>6.3888888888888893E-3</v>
      </c>
      <c r="M971">
        <v>4.16</v>
      </c>
      <c r="N971">
        <f t="shared" si="347"/>
        <v>4.16</v>
      </c>
      <c r="O971">
        <f t="shared" si="348"/>
        <v>298.88920410509962</v>
      </c>
      <c r="P971">
        <f t="shared" si="349"/>
        <v>956.44545313631886</v>
      </c>
      <c r="Q971">
        <f t="shared" si="350"/>
        <v>4380.5201753643405</v>
      </c>
      <c r="R971">
        <f t="shared" si="351"/>
        <v>9.0685745540329634</v>
      </c>
      <c r="S971">
        <f t="shared" si="352"/>
        <v>2.6715986406599579</v>
      </c>
      <c r="T971">
        <f t="shared" si="353"/>
        <v>2831.0785412835039</v>
      </c>
      <c r="U971">
        <f t="shared" si="354"/>
        <v>14.031780897794249</v>
      </c>
      <c r="V971">
        <f t="shared" si="355"/>
        <v>1.0811875256667702</v>
      </c>
      <c r="W971">
        <f t="shared" si="356"/>
        <v>1826.8108154903689</v>
      </c>
      <c r="X971">
        <f t="shared" si="357"/>
        <v>21.745587150508367</v>
      </c>
      <c r="Y971">
        <f t="shared" si="358"/>
        <v>0.74126870578318449</v>
      </c>
      <c r="Z971">
        <f t="shared" si="359"/>
        <v>1377.2814525162992</v>
      </c>
      <c r="AA971">
        <f t="shared" si="360"/>
        <v>28.843105178799288</v>
      </c>
      <c r="AB971">
        <f t="shared" si="361"/>
        <v>0.67182142181911741</v>
      </c>
      <c r="AC971">
        <f t="shared" si="362"/>
        <v>6000</v>
      </c>
      <c r="AD971">
        <f t="shared" si="363"/>
        <v>6.6208456326228466</v>
      </c>
      <c r="AE971">
        <f t="shared" si="364"/>
        <v>6.7469249536526537</v>
      </c>
      <c r="AF971">
        <f t="shared" si="365"/>
        <v>6000</v>
      </c>
      <c r="AG971">
        <f t="shared" si="366"/>
        <v>6.6208456326228466</v>
      </c>
      <c r="AH971">
        <f t="shared" si="367"/>
        <v>6.7469249536526537</v>
      </c>
      <c r="AI971" cm="1">
        <f t="array" ref="AI971">_xlfn.LET(
    _xlpm.vals,   _xlfn.HSTACK(S971,V971,Y971,AB971,AE971,AH971),
    _xlpm.ints,   _xlfn.HSTACK(R971,U971,X971,AA971,AD971,AG971),
    _xlpm.slopes, _xlfn.HSTACK(Q971,T971,W971,Z971,AC971,AF971),
    _xlpm.limit,  -0.00001*_xlpm.slopes + 0.1086*_xlpm.slopes + 63.253,
    _xlpm.mask,   (_xlpm.vals&gt;=0) * (_xlpm.ints&lt;=_xlpm.limit),
    _xlpm.validVals, _xlfn._xlws.FILTER(_xlpm.vals, _xlpm.mask),
    _xlpm.minVal, MIN(_xlpm.validVals),
    IFERROR( _xlfn.XMATCH(_xlpm.minVal, _xlpm.vals), "" )
)</f>
        <v>4</v>
      </c>
      <c r="AJ971" cm="1">
        <f t="array" ref="AJ971">_xlfn.LET(
    _xlpm.vals, CHOOSE({1,2,3,4,5,6}, S971, V971, Y971, AB971, AE971, AH971),
    _xlpm.slopes, CHOOSE({1,2,3,4,5,6}, Q971, T971, W971, Z971, AC971, AF971),
    _xlpm.ints, CHOOSE({1,2,3,4,5,6}, R971, U971, X971, AA971, AD971, AG971),
    _xlpm.limit, -0.00001*_xlpm.slopes + 0.1086*_xlpm.slopes + 63.253,
    _xlpm.valid, (_xlpm.vals &gt;= 0) * (_xlpm.ints &lt;= _xlpm.limit),
    _xlpm.target, MIN(_xlfn._xlws.FILTER(_xlpm.vals, _xlpm.valid)),
    IFERROR(
        _xlfn.XLOOKUP(_xlpm.target, _xlpm.vals, _xlpm.vals),
        CHOOSE({1,2,3,4,5,6}, S$1, V$1, Y$1, AB$1, AE$1, AH$1)
    )
)</f>
        <v>0.67182142181911741</v>
      </c>
    </row>
    <row r="972" spans="9:36" x14ac:dyDescent="0.45">
      <c r="I972">
        <v>970</v>
      </c>
      <c r="J972">
        <v>23</v>
      </c>
      <c r="K972">
        <f t="shared" si="346"/>
        <v>23</v>
      </c>
      <c r="L972">
        <f t="shared" si="345"/>
        <v>6.3888888888888893E-3</v>
      </c>
      <c r="M972">
        <v>3.54</v>
      </c>
      <c r="N972">
        <f t="shared" si="347"/>
        <v>3.54</v>
      </c>
      <c r="O972">
        <f t="shared" si="348"/>
        <v>298.88920410509962</v>
      </c>
      <c r="P972">
        <f t="shared" si="349"/>
        <v>956.44545313631886</v>
      </c>
      <c r="Q972">
        <f t="shared" si="350"/>
        <v>4380.5201753643405</v>
      </c>
      <c r="R972">
        <f t="shared" si="351"/>
        <v>7.7170081541530511</v>
      </c>
      <c r="S972">
        <f t="shared" si="352"/>
        <v>2.6506923879323692</v>
      </c>
      <c r="T972">
        <f t="shared" si="353"/>
        <v>2831.0785412835039</v>
      </c>
      <c r="U972">
        <f t="shared" si="354"/>
        <v>11.94050586014222</v>
      </c>
      <c r="V972">
        <f t="shared" si="355"/>
        <v>1.0474549606935986</v>
      </c>
      <c r="W972">
        <f t="shared" si="356"/>
        <v>1826.8108154903689</v>
      </c>
      <c r="X972">
        <f t="shared" si="357"/>
        <v>18.504658296346062</v>
      </c>
      <c r="Y972">
        <f t="shared" si="358"/>
        <v>0.69819136819040972</v>
      </c>
      <c r="Z972">
        <f t="shared" si="359"/>
        <v>1377.2814525162992</v>
      </c>
      <c r="AA972">
        <f t="shared" si="360"/>
        <v>24.544373156959011</v>
      </c>
      <c r="AB972">
        <f t="shared" si="361"/>
        <v>0.62353118023280585</v>
      </c>
      <c r="AC972">
        <f t="shared" si="362"/>
        <v>6000</v>
      </c>
      <c r="AD972">
        <f t="shared" si="363"/>
        <v>5.6340849854530948</v>
      </c>
      <c r="AE972">
        <f t="shared" si="364"/>
        <v>6.7390308673037866</v>
      </c>
      <c r="AF972">
        <f t="shared" si="365"/>
        <v>6000</v>
      </c>
      <c r="AG972">
        <f t="shared" si="366"/>
        <v>5.6340849854530948</v>
      </c>
      <c r="AH972">
        <f t="shared" si="367"/>
        <v>6.7390308673037866</v>
      </c>
      <c r="AI972" cm="1">
        <f t="array" ref="AI972">_xlfn.LET(
    _xlpm.vals,   _xlfn.HSTACK(S972,V972,Y972,AB972,AE972,AH972),
    _xlpm.ints,   _xlfn.HSTACK(R972,U972,X972,AA972,AD972,AG972),
    _xlpm.slopes, _xlfn.HSTACK(Q972,T972,W972,Z972,AC972,AF972),
    _xlpm.limit,  -0.00001*_xlpm.slopes + 0.1086*_xlpm.slopes + 63.253,
    _xlpm.mask,   (_xlpm.vals&gt;=0) * (_xlpm.ints&lt;=_xlpm.limit),
    _xlpm.validVals, _xlfn._xlws.FILTER(_xlpm.vals, _xlpm.mask),
    _xlpm.minVal, MIN(_xlpm.validVals),
    IFERROR( _xlfn.XMATCH(_xlpm.minVal, _xlpm.vals), "" )
)</f>
        <v>4</v>
      </c>
      <c r="AJ972" cm="1">
        <f t="array" ref="AJ972">_xlfn.LET(
    _xlpm.vals, CHOOSE({1,2,3,4,5,6}, S972, V972, Y972, AB972, AE972, AH972),
    _xlpm.slopes, CHOOSE({1,2,3,4,5,6}, Q972, T972, W972, Z972, AC972, AF972),
    _xlpm.ints, CHOOSE({1,2,3,4,5,6}, R972, U972, X972, AA972, AD972, AG972),
    _xlpm.limit, -0.00001*_xlpm.slopes + 0.1086*_xlpm.slopes + 63.253,
    _xlpm.valid, (_xlpm.vals &gt;= 0) * (_xlpm.ints &lt;= _xlpm.limit),
    _xlpm.target, MIN(_xlfn._xlws.FILTER(_xlpm.vals, _xlpm.valid)),
    IFERROR(
        _xlfn.XLOOKUP(_xlpm.target, _xlpm.vals, _xlpm.vals),
        CHOOSE({1,2,3,4,5,6}, S$1, V$1, Y$1, AB$1, AE$1, AH$1)
    )
)</f>
        <v>0.62353118023280585</v>
      </c>
    </row>
    <row r="973" spans="9:36" x14ac:dyDescent="0.45">
      <c r="I973">
        <v>971</v>
      </c>
      <c r="J973">
        <v>23.1</v>
      </c>
      <c r="K973">
        <f t="shared" si="346"/>
        <v>23.1</v>
      </c>
      <c r="L973">
        <f t="shared" si="345"/>
        <v>6.4166666666666669E-3</v>
      </c>
      <c r="M973">
        <v>2.39</v>
      </c>
      <c r="N973">
        <f t="shared" si="347"/>
        <v>2.39</v>
      </c>
      <c r="O973">
        <f t="shared" si="348"/>
        <v>300.18872238381749</v>
      </c>
      <c r="P973">
        <f t="shared" si="349"/>
        <v>960.603911628216</v>
      </c>
      <c r="Q973">
        <f t="shared" si="350"/>
        <v>4399.5659152572289</v>
      </c>
      <c r="R973">
        <f t="shared" si="351"/>
        <v>5.1875160593072769</v>
      </c>
      <c r="S973">
        <f t="shared" si="352"/>
        <v>2.6448671483700901</v>
      </c>
      <c r="T973">
        <f t="shared" si="353"/>
        <v>2843.3875784195193</v>
      </c>
      <c r="U973">
        <f t="shared" si="354"/>
        <v>8.026629578252475</v>
      </c>
      <c r="V973">
        <f t="shared" si="355"/>
        <v>0.99390176449119305</v>
      </c>
      <c r="W973">
        <f t="shared" si="356"/>
        <v>1834.7534712098925</v>
      </c>
      <c r="X973">
        <f t="shared" si="357"/>
        <v>12.439174634359857</v>
      </c>
      <c r="Y973">
        <f t="shared" si="358"/>
        <v>0.6235987218862592</v>
      </c>
      <c r="Z973">
        <f t="shared" si="359"/>
        <v>1383.2696327446311</v>
      </c>
      <c r="AA973">
        <f t="shared" si="360"/>
        <v>16.499183021963418</v>
      </c>
      <c r="AB973">
        <f t="shared" si="361"/>
        <v>0.53972944568759407</v>
      </c>
      <c r="AC973">
        <f t="shared" si="362"/>
        <v>6000</v>
      </c>
      <c r="AD973">
        <f t="shared" si="363"/>
        <v>3.8038031398962988</v>
      </c>
      <c r="AE973">
        <f t="shared" si="364"/>
        <v>6.7252225362406746</v>
      </c>
      <c r="AF973">
        <f t="shared" si="365"/>
        <v>6000</v>
      </c>
      <c r="AG973">
        <f t="shared" si="366"/>
        <v>3.8038031398962988</v>
      </c>
      <c r="AH973">
        <f t="shared" si="367"/>
        <v>6.7252225362406746</v>
      </c>
      <c r="AI973" cm="1">
        <f t="array" ref="AI973">_xlfn.LET(
    _xlpm.vals,   _xlfn.HSTACK(S973,V973,Y973,AB973,AE973,AH973),
    _xlpm.ints,   _xlfn.HSTACK(R973,U973,X973,AA973,AD973,AG973),
    _xlpm.slopes, _xlfn.HSTACK(Q973,T973,W973,Z973,AC973,AF973),
    _xlpm.limit,  -0.00001*_xlpm.slopes + 0.1086*_xlpm.slopes + 63.253,
    _xlpm.mask,   (_xlpm.vals&gt;=0) * (_xlpm.ints&lt;=_xlpm.limit),
    _xlpm.validVals, _xlfn._xlws.FILTER(_xlpm.vals, _xlpm.mask),
    _xlpm.minVal, MIN(_xlpm.validVals),
    IFERROR( _xlfn.XMATCH(_xlpm.minVal, _xlpm.vals), "" )
)</f>
        <v>4</v>
      </c>
      <c r="AJ973" cm="1">
        <f t="array" ref="AJ973">_xlfn.LET(
    _xlpm.vals, CHOOSE({1,2,3,4,5,6}, S973, V973, Y973, AB973, AE973, AH973),
    _xlpm.slopes, CHOOSE({1,2,3,4,5,6}, Q973, T973, W973, Z973, AC973, AF973),
    _xlpm.ints, CHOOSE({1,2,3,4,5,6}, R973, U973, X973, AA973, AD973, AG973),
    _xlpm.limit, -0.00001*_xlpm.slopes + 0.1086*_xlpm.slopes + 63.253,
    _xlpm.valid, (_xlpm.vals &gt;= 0) * (_xlpm.ints &lt;= _xlpm.limit),
    _xlpm.target, MIN(_xlfn._xlws.FILTER(_xlpm.vals, _xlpm.valid)),
    IFERROR(
        _xlfn.XLOOKUP(_xlpm.target, _xlpm.vals, _xlpm.vals),
        CHOOSE({1,2,3,4,5,6}, S$1, V$1, Y$1, AB$1, AE$1, AH$1)
    )
)</f>
        <v>0.53972944568759407</v>
      </c>
    </row>
    <row r="974" spans="9:36" x14ac:dyDescent="0.45">
      <c r="I974">
        <v>972</v>
      </c>
      <c r="J974">
        <v>23</v>
      </c>
      <c r="K974">
        <f t="shared" si="346"/>
        <v>23</v>
      </c>
      <c r="L974">
        <f t="shared" si="345"/>
        <v>6.3888888888888893E-3</v>
      </c>
      <c r="M974">
        <v>2.5299999999999998</v>
      </c>
      <c r="N974">
        <f t="shared" si="347"/>
        <v>2.5299999999999998</v>
      </c>
      <c r="O974">
        <f t="shared" si="348"/>
        <v>298.88920410509962</v>
      </c>
      <c r="P974">
        <f t="shared" si="349"/>
        <v>956.44545313631886</v>
      </c>
      <c r="Q974">
        <f t="shared" si="350"/>
        <v>4380.5201753643405</v>
      </c>
      <c r="R974">
        <f t="shared" si="351"/>
        <v>5.515262889832548</v>
      </c>
      <c r="S974">
        <f t="shared" si="352"/>
        <v>2.617626377112682</v>
      </c>
      <c r="T974">
        <f t="shared" si="353"/>
        <v>2831.0785412835039</v>
      </c>
      <c r="U974">
        <f t="shared" si="354"/>
        <v>8.5337513633219828</v>
      </c>
      <c r="V974">
        <f t="shared" si="355"/>
        <v>0.99420680413076734</v>
      </c>
      <c r="W974">
        <f t="shared" si="356"/>
        <v>1826.8108154903689</v>
      </c>
      <c r="X974">
        <f t="shared" si="357"/>
        <v>13.225080646823598</v>
      </c>
      <c r="Y974">
        <f t="shared" si="358"/>
        <v>0.63089305599138945</v>
      </c>
      <c r="Z974">
        <f t="shared" si="359"/>
        <v>1377.2814525162992</v>
      </c>
      <c r="AA974">
        <f t="shared" si="360"/>
        <v>17.5416000246063</v>
      </c>
      <c r="AB974">
        <f t="shared" si="361"/>
        <v>0.54872143745740609</v>
      </c>
      <c r="AC974">
        <f t="shared" si="362"/>
        <v>6000</v>
      </c>
      <c r="AD974">
        <f t="shared" si="363"/>
        <v>4.0266200602249524</v>
      </c>
      <c r="AE974">
        <f t="shared" si="364"/>
        <v>6.726845297012102</v>
      </c>
      <c r="AF974">
        <f t="shared" si="365"/>
        <v>6000</v>
      </c>
      <c r="AG974">
        <f t="shared" si="366"/>
        <v>4.0266200602249524</v>
      </c>
      <c r="AH974">
        <f t="shared" si="367"/>
        <v>6.726845297012102</v>
      </c>
      <c r="AI974" cm="1">
        <f t="array" ref="AI974">_xlfn.LET(
    _xlpm.vals,   _xlfn.HSTACK(S974,V974,Y974,AB974,AE974,AH974),
    _xlpm.ints,   _xlfn.HSTACK(R974,U974,X974,AA974,AD974,AG974),
    _xlpm.slopes, _xlfn.HSTACK(Q974,T974,W974,Z974,AC974,AF974),
    _xlpm.limit,  -0.00001*_xlpm.slopes + 0.1086*_xlpm.slopes + 63.253,
    _xlpm.mask,   (_xlpm.vals&gt;=0) * (_xlpm.ints&lt;=_xlpm.limit),
    _xlpm.validVals, _xlfn._xlws.FILTER(_xlpm.vals, _xlpm.mask),
    _xlpm.minVal, MIN(_xlpm.validVals),
    IFERROR( _xlfn.XMATCH(_xlpm.minVal, _xlpm.vals), "" )
)</f>
        <v>4</v>
      </c>
      <c r="AJ974" cm="1">
        <f t="array" ref="AJ974">_xlfn.LET(
    _xlpm.vals, CHOOSE({1,2,3,4,5,6}, S974, V974, Y974, AB974, AE974, AH974),
    _xlpm.slopes, CHOOSE({1,2,3,4,5,6}, Q974, T974, W974, Z974, AC974, AF974),
    _xlpm.ints, CHOOSE({1,2,3,4,5,6}, R974, U974, X974, AA974, AD974, AG974),
    _xlpm.limit, -0.00001*_xlpm.slopes + 0.1086*_xlpm.slopes + 63.253,
    _xlpm.valid, (_xlpm.vals &gt;= 0) * (_xlpm.ints &lt;= _xlpm.limit),
    _xlpm.target, MIN(_xlfn._xlws.FILTER(_xlpm.vals, _xlpm.valid)),
    IFERROR(
        _xlfn.XLOOKUP(_xlpm.target, _xlpm.vals, _xlpm.vals),
        CHOOSE({1,2,3,4,5,6}, S$1, V$1, Y$1, AB$1, AE$1, AH$1)
    )
)</f>
        <v>0.54872143745740609</v>
      </c>
    </row>
    <row r="975" spans="9:36" x14ac:dyDescent="0.45">
      <c r="I975">
        <v>973</v>
      </c>
      <c r="J975">
        <v>22.9</v>
      </c>
      <c r="K975">
        <f t="shared" si="346"/>
        <v>22.9</v>
      </c>
      <c r="L975">
        <f t="shared" si="345"/>
        <v>6.3611111111111108E-3</v>
      </c>
      <c r="M975">
        <v>2.33</v>
      </c>
      <c r="N975">
        <f t="shared" si="347"/>
        <v>2.33</v>
      </c>
      <c r="O975">
        <f t="shared" si="348"/>
        <v>297.58968582638181</v>
      </c>
      <c r="P975">
        <f t="shared" si="349"/>
        <v>952.28699464442184</v>
      </c>
      <c r="Q975">
        <f t="shared" si="350"/>
        <v>4361.4744354714521</v>
      </c>
      <c r="R975">
        <f t="shared" si="351"/>
        <v>5.1014539632035873</v>
      </c>
      <c r="S975">
        <f t="shared" si="352"/>
        <v>2.5798239469229607</v>
      </c>
      <c r="T975">
        <f t="shared" si="353"/>
        <v>2818.7695041474885</v>
      </c>
      <c r="U975">
        <f t="shared" si="354"/>
        <v>7.8934659295514971</v>
      </c>
      <c r="V975">
        <f t="shared" si="355"/>
        <v>0.9770775654984668</v>
      </c>
      <c r="W975">
        <f t="shared" si="356"/>
        <v>1818.8681597708455</v>
      </c>
      <c r="X975">
        <f t="shared" si="357"/>
        <v>12.232805838467243</v>
      </c>
      <c r="Y975">
        <f t="shared" si="358"/>
        <v>0.6162783909976064</v>
      </c>
      <c r="Z975">
        <f t="shared" si="359"/>
        <v>1371.2932722879673</v>
      </c>
      <c r="AA975">
        <f t="shared" si="360"/>
        <v>16.225457744078078</v>
      </c>
      <c r="AB975">
        <f t="shared" si="361"/>
        <v>0.53355491101556107</v>
      </c>
      <c r="AC975">
        <f t="shared" si="362"/>
        <v>6000</v>
      </c>
      <c r="AD975">
        <f t="shared" si="363"/>
        <v>3.7083101740411615</v>
      </c>
      <c r="AE975">
        <f t="shared" si="364"/>
        <v>6.7245320314117416</v>
      </c>
      <c r="AF975">
        <f t="shared" si="365"/>
        <v>6000</v>
      </c>
      <c r="AG975">
        <f t="shared" si="366"/>
        <v>3.7083101740411615</v>
      </c>
      <c r="AH975">
        <f t="shared" si="367"/>
        <v>6.7245320314117416</v>
      </c>
      <c r="AI975" cm="1">
        <f t="array" ref="AI975">_xlfn.LET(
    _xlpm.vals,   _xlfn.HSTACK(S975,V975,Y975,AB975,AE975,AH975),
    _xlpm.ints,   _xlfn.HSTACK(R975,U975,X975,AA975,AD975,AG975),
    _xlpm.slopes, _xlfn.HSTACK(Q975,T975,W975,Z975,AC975,AF975),
    _xlpm.limit,  -0.00001*_xlpm.slopes + 0.1086*_xlpm.slopes + 63.253,
    _xlpm.mask,   (_xlpm.vals&gt;=0) * (_xlpm.ints&lt;=_xlpm.limit),
    _xlpm.validVals, _xlfn._xlws.FILTER(_xlpm.vals, _xlpm.mask),
    _xlpm.minVal, MIN(_xlpm.validVals),
    IFERROR( _xlfn.XMATCH(_xlpm.minVal, _xlpm.vals), "" )
)</f>
        <v>4</v>
      </c>
      <c r="AJ975" cm="1">
        <f t="array" ref="AJ975">_xlfn.LET(
    _xlpm.vals, CHOOSE({1,2,3,4,5,6}, S975, V975, Y975, AB975, AE975, AH975),
    _xlpm.slopes, CHOOSE({1,2,3,4,5,6}, Q975, T975, W975, Z975, AC975, AF975),
    _xlpm.ints, CHOOSE({1,2,3,4,5,6}, R975, U975, X975, AA975, AD975, AG975),
    _xlpm.limit, -0.00001*_xlpm.slopes + 0.1086*_xlpm.slopes + 63.253,
    _xlpm.valid, (_xlpm.vals &gt;= 0) * (_xlpm.ints &lt;= _xlpm.limit),
    _xlpm.target, MIN(_xlfn._xlws.FILTER(_xlpm.vals, _xlpm.valid)),
    IFERROR(
        _xlfn.XLOOKUP(_xlpm.target, _xlpm.vals, _xlpm.vals),
        CHOOSE({1,2,3,4,5,6}, S$1, V$1, Y$1, AB$1, AE$1, AH$1)
    )
)</f>
        <v>0.53355491101556107</v>
      </c>
    </row>
    <row r="976" spans="9:36" x14ac:dyDescent="0.45">
      <c r="I976">
        <v>974</v>
      </c>
      <c r="J976">
        <v>22.9</v>
      </c>
      <c r="K976">
        <f t="shared" si="346"/>
        <v>22.9</v>
      </c>
      <c r="L976">
        <f t="shared" si="345"/>
        <v>6.3611111111111108E-3</v>
      </c>
      <c r="M976">
        <v>6.04</v>
      </c>
      <c r="N976">
        <f t="shared" si="347"/>
        <v>6.04</v>
      </c>
      <c r="O976">
        <f t="shared" si="348"/>
        <v>297.58968582638181</v>
      </c>
      <c r="P976">
        <f t="shared" si="349"/>
        <v>952.28699464442184</v>
      </c>
      <c r="Q976">
        <f t="shared" si="350"/>
        <v>4361.4744354714521</v>
      </c>
      <c r="R976">
        <f t="shared" si="351"/>
        <v>13.224369930364665</v>
      </c>
      <c r="S976">
        <f t="shared" si="352"/>
        <v>2.7072893834661045</v>
      </c>
      <c r="T976">
        <f t="shared" si="353"/>
        <v>2818.7695041474885</v>
      </c>
      <c r="U976">
        <f t="shared" si="354"/>
        <v>20.462031851712894</v>
      </c>
      <c r="V976">
        <f t="shared" si="355"/>
        <v>1.1819204764382936</v>
      </c>
      <c r="W976">
        <f t="shared" si="356"/>
        <v>1818.8681597708455</v>
      </c>
      <c r="X976">
        <f t="shared" si="357"/>
        <v>31.710792817314225</v>
      </c>
      <c r="Y976">
        <f t="shared" si="358"/>
        <v>0.87805718483829887</v>
      </c>
      <c r="Z976">
        <f t="shared" si="359"/>
        <v>1371.2932722879673</v>
      </c>
      <c r="AA976">
        <f t="shared" si="360"/>
        <v>42.060843250743176</v>
      </c>
      <c r="AB976">
        <f t="shared" si="361"/>
        <v>0.82684306552380349</v>
      </c>
      <c r="AC976">
        <f t="shared" si="362"/>
        <v>6000</v>
      </c>
      <c r="AD976">
        <f t="shared" si="363"/>
        <v>9.6129585627504781</v>
      </c>
      <c r="AE976">
        <f t="shared" si="364"/>
        <v>6.772763355734722</v>
      </c>
      <c r="AF976">
        <f t="shared" si="365"/>
        <v>6000</v>
      </c>
      <c r="AG976">
        <f t="shared" si="366"/>
        <v>9.6129585627504781</v>
      </c>
      <c r="AH976">
        <f t="shared" si="367"/>
        <v>6.772763355734722</v>
      </c>
      <c r="AI976" cm="1">
        <f t="array" ref="AI976">_xlfn.LET(
    _xlpm.vals,   _xlfn.HSTACK(S976,V976,Y976,AB976,AE976,AH976),
    _xlpm.ints,   _xlfn.HSTACK(R976,U976,X976,AA976,AD976,AG976),
    _xlpm.slopes, _xlfn.HSTACK(Q976,T976,W976,Z976,AC976,AF976),
    _xlpm.limit,  -0.00001*_xlpm.slopes + 0.1086*_xlpm.slopes + 63.253,
    _xlpm.mask,   (_xlpm.vals&gt;=0) * (_xlpm.ints&lt;=_xlpm.limit),
    _xlpm.validVals, _xlfn._xlws.FILTER(_xlpm.vals, _xlpm.mask),
    _xlpm.minVal, MIN(_xlpm.validVals),
    IFERROR( _xlfn.XMATCH(_xlpm.minVal, _xlpm.vals), "" )
)</f>
        <v>4</v>
      </c>
      <c r="AJ976" cm="1">
        <f t="array" ref="AJ976">_xlfn.LET(
    _xlpm.vals, CHOOSE({1,2,3,4,5,6}, S976, V976, Y976, AB976, AE976, AH976),
    _xlpm.slopes, CHOOSE({1,2,3,4,5,6}, Q976, T976, W976, Z976, AC976, AF976),
    _xlpm.ints, CHOOSE({1,2,3,4,5,6}, R976, U976, X976, AA976, AD976, AG976),
    _xlpm.limit, -0.00001*_xlpm.slopes + 0.1086*_xlpm.slopes + 63.253,
    _xlpm.valid, (_xlpm.vals &gt;= 0) * (_xlpm.ints &lt;= _xlpm.limit),
    _xlpm.target, MIN(_xlfn._xlws.FILTER(_xlpm.vals, _xlpm.valid)),
    IFERROR(
        _xlfn.XLOOKUP(_xlpm.target, _xlpm.vals, _xlpm.vals),
        CHOOSE({1,2,3,4,5,6}, S$1, V$1, Y$1, AB$1, AE$1, AH$1)
    )
)</f>
        <v>0.82684306552380349</v>
      </c>
    </row>
    <row r="977" spans="9:36" x14ac:dyDescent="0.45">
      <c r="I977">
        <v>975</v>
      </c>
      <c r="J977">
        <v>23.5</v>
      </c>
      <c r="K977">
        <f t="shared" si="346"/>
        <v>23.5</v>
      </c>
      <c r="L977">
        <f t="shared" si="345"/>
        <v>6.5277777777777782E-3</v>
      </c>
      <c r="M977">
        <v>10.93</v>
      </c>
      <c r="N977">
        <f t="shared" si="347"/>
        <v>10.93</v>
      </c>
      <c r="O977">
        <f t="shared" si="348"/>
        <v>305.3867954986888</v>
      </c>
      <c r="P977">
        <f t="shared" si="349"/>
        <v>977.2377455958042</v>
      </c>
      <c r="Q977">
        <f t="shared" si="350"/>
        <v>4475.7488748287833</v>
      </c>
      <c r="R977">
        <f t="shared" si="351"/>
        <v>23.319854307879979</v>
      </c>
      <c r="S977">
        <f t="shared" si="352"/>
        <v>3.0792656747238603</v>
      </c>
      <c r="T977">
        <f t="shared" si="353"/>
        <v>2892.6237269635803</v>
      </c>
      <c r="U977">
        <f t="shared" si="354"/>
        <v>36.082747543949424</v>
      </c>
      <c r="V977">
        <f t="shared" si="355"/>
        <v>1.5227136267913717</v>
      </c>
      <c r="W977">
        <f t="shared" si="356"/>
        <v>1866.524094087986</v>
      </c>
      <c r="X977">
        <f t="shared" si="357"/>
        <v>55.918812947691251</v>
      </c>
      <c r="Y977">
        <f t="shared" si="358"/>
        <v>1.2805888673593686</v>
      </c>
      <c r="Z977">
        <f t="shared" si="359"/>
        <v>1407.2223536579579</v>
      </c>
      <c r="AA977">
        <f t="shared" si="360"/>
        <v>74.170092173673837</v>
      </c>
      <c r="AB977">
        <f t="shared" si="361"/>
        <v>1.2679480294540988</v>
      </c>
      <c r="AC977">
        <f t="shared" si="362"/>
        <v>6000</v>
      </c>
      <c r="AD977">
        <f t="shared" si="363"/>
        <v>17.395635279944162</v>
      </c>
      <c r="AE977">
        <f t="shared" si="364"/>
        <v>6.8530212032103828</v>
      </c>
      <c r="AF977">
        <f t="shared" si="365"/>
        <v>6000</v>
      </c>
      <c r="AG977">
        <f t="shared" si="366"/>
        <v>17.395635279944162</v>
      </c>
      <c r="AH977">
        <f t="shared" si="367"/>
        <v>6.8530212032103828</v>
      </c>
      <c r="AI977" cm="1">
        <f t="array" ref="AI977">_xlfn.LET(
    _xlpm.vals,   _xlfn.HSTACK(S977,V977,Y977,AB977,AE977,AH977),
    _xlpm.ints,   _xlfn.HSTACK(R977,U977,X977,AA977,AD977,AG977),
    _xlpm.slopes, _xlfn.HSTACK(Q977,T977,W977,Z977,AC977,AF977),
    _xlpm.limit,  -0.00001*_xlpm.slopes + 0.1086*_xlpm.slopes + 63.253,
    _xlpm.mask,   (_xlpm.vals&gt;=0) * (_xlpm.ints&lt;=_xlpm.limit),
    _xlpm.validVals, _xlfn._xlws.FILTER(_xlpm.vals, _xlpm.mask),
    _xlpm.minVal, MIN(_xlpm.validVals),
    IFERROR( _xlfn.XMATCH(_xlpm.minVal, _xlpm.vals), "" )
)</f>
        <v>4</v>
      </c>
      <c r="AJ977" cm="1">
        <f t="array" ref="AJ977">_xlfn.LET(
    _xlpm.vals, CHOOSE({1,2,3,4,5,6}, S977, V977, Y977, AB977, AE977, AH977),
    _xlpm.slopes, CHOOSE({1,2,3,4,5,6}, Q977, T977, W977, Z977, AC977, AF977),
    _xlpm.ints, CHOOSE({1,2,3,4,5,6}, R977, U977, X977, AA977, AD977, AG977),
    _xlpm.limit, -0.00001*_xlpm.slopes + 0.1086*_xlpm.slopes + 63.253,
    _xlpm.valid, (_xlpm.vals &gt;= 0) * (_xlpm.ints &lt;= _xlpm.limit),
    _xlpm.target, MIN(_xlfn._xlws.FILTER(_xlpm.vals, _xlpm.valid)),
    IFERROR(
        _xlfn.XLOOKUP(_xlpm.target, _xlpm.vals, _xlpm.vals),
        CHOOSE({1,2,3,4,5,6}, S$1, V$1, Y$1, AB$1, AE$1, AH$1)
    )
)</f>
        <v>1.2679480294540988</v>
      </c>
    </row>
    <row r="978" spans="9:36" x14ac:dyDescent="0.45">
      <c r="I978">
        <v>976</v>
      </c>
      <c r="J978">
        <v>24.2</v>
      </c>
      <c r="K978">
        <f t="shared" si="346"/>
        <v>24.2</v>
      </c>
      <c r="L978">
        <f t="shared" si="345"/>
        <v>6.7222222222222223E-3</v>
      </c>
      <c r="M978">
        <v>12.56</v>
      </c>
      <c r="N978">
        <f t="shared" si="347"/>
        <v>12.56</v>
      </c>
      <c r="O978">
        <f t="shared" si="348"/>
        <v>314.48342344971354</v>
      </c>
      <c r="P978">
        <f t="shared" si="349"/>
        <v>1006.3469550390834</v>
      </c>
      <c r="Q978">
        <f t="shared" si="350"/>
        <v>4609.0690540790019</v>
      </c>
      <c r="R978">
        <f t="shared" si="351"/>
        <v>26.022427459164838</v>
      </c>
      <c r="S978">
        <f t="shared" si="352"/>
        <v>3.3687353897175574</v>
      </c>
      <c r="T978">
        <f t="shared" si="353"/>
        <v>2978.7869869156866</v>
      </c>
      <c r="U978">
        <f t="shared" si="354"/>
        <v>40.264431676680729</v>
      </c>
      <c r="V978">
        <f t="shared" si="355"/>
        <v>1.6703591914046347</v>
      </c>
      <c r="W978">
        <f t="shared" si="356"/>
        <v>1922.1226841246491</v>
      </c>
      <c r="X978">
        <f t="shared" si="357"/>
        <v>62.399328671714642</v>
      </c>
      <c r="Y978">
        <f t="shared" si="358"/>
        <v>1.4232068157054369</v>
      </c>
      <c r="Z978">
        <f t="shared" si="359"/>
        <v>1449.13961525628</v>
      </c>
      <c r="AA978">
        <f t="shared" si="360"/>
        <v>82.765776224288174</v>
      </c>
      <c r="AB978">
        <f t="shared" si="361"/>
        <v>1.4165507182182102</v>
      </c>
      <c r="AC978">
        <f t="shared" si="362"/>
        <v>6000</v>
      </c>
      <c r="AD978">
        <f t="shared" si="363"/>
        <v>19.989860852342055</v>
      </c>
      <c r="AE978">
        <f t="shared" si="364"/>
        <v>6.8838381850009629</v>
      </c>
      <c r="AF978">
        <f t="shared" si="365"/>
        <v>6000</v>
      </c>
      <c r="AG978">
        <f t="shared" si="366"/>
        <v>19.989860852342055</v>
      </c>
      <c r="AH978">
        <f t="shared" si="367"/>
        <v>6.8838381850009629</v>
      </c>
      <c r="AI978" cm="1">
        <f t="array" ref="AI978">_xlfn.LET(
    _xlpm.vals,   _xlfn.HSTACK(S978,V978,Y978,AB978,AE978,AH978),
    _xlpm.ints,   _xlfn.HSTACK(R978,U978,X978,AA978,AD978,AG978),
    _xlpm.slopes, _xlfn.HSTACK(Q978,T978,W978,Z978,AC978,AF978),
    _xlpm.limit,  -0.00001*_xlpm.slopes + 0.1086*_xlpm.slopes + 63.253,
    _xlpm.mask,   (_xlpm.vals&gt;=0) * (_xlpm.ints&lt;=_xlpm.limit),
    _xlpm.validVals, _xlfn._xlws.FILTER(_xlpm.vals, _xlpm.mask),
    _xlpm.minVal, MIN(_xlpm.validVals),
    IFERROR( _xlfn.XMATCH(_xlpm.minVal, _xlpm.vals), "" )
)</f>
        <v>4</v>
      </c>
      <c r="AJ978" cm="1">
        <f t="array" ref="AJ978">_xlfn.LET(
    _xlpm.vals, CHOOSE({1,2,3,4,5,6}, S978, V978, Y978, AB978, AE978, AH978),
    _xlpm.slopes, CHOOSE({1,2,3,4,5,6}, Q978, T978, W978, Z978, AC978, AF978),
    _xlpm.ints, CHOOSE({1,2,3,4,5,6}, R978, U978, X978, AA978, AD978, AG978),
    _xlpm.limit, -0.00001*_xlpm.slopes + 0.1086*_xlpm.slopes + 63.253,
    _xlpm.valid, (_xlpm.vals &gt;= 0) * (_xlpm.ints &lt;= _xlpm.limit),
    _xlpm.target, MIN(_xlfn._xlws.FILTER(_xlpm.vals, _xlpm.valid)),
    IFERROR(
        _xlfn.XLOOKUP(_xlpm.target, _xlpm.vals, _xlpm.vals),
        CHOOSE({1,2,3,4,5,6}, S$1, V$1, Y$1, AB$1, AE$1, AH$1)
    )
)</f>
        <v>1.4165507182182102</v>
      </c>
    </row>
    <row r="979" spans="9:36" x14ac:dyDescent="0.45">
      <c r="I979">
        <v>977</v>
      </c>
      <c r="J979">
        <v>24.7</v>
      </c>
      <c r="K979">
        <f t="shared" si="346"/>
        <v>24.7</v>
      </c>
      <c r="L979">
        <f t="shared" si="345"/>
        <v>6.8611111111111112E-3</v>
      </c>
      <c r="M979">
        <v>6.7</v>
      </c>
      <c r="N979">
        <f t="shared" si="347"/>
        <v>6.7</v>
      </c>
      <c r="O979">
        <f t="shared" si="348"/>
        <v>320.98101484330266</v>
      </c>
      <c r="P979">
        <f t="shared" si="349"/>
        <v>1027.1392474985685</v>
      </c>
      <c r="Q979">
        <f t="shared" si="350"/>
        <v>4704.2977535434438</v>
      </c>
      <c r="R979">
        <f t="shared" si="351"/>
        <v>13.600390637422921</v>
      </c>
      <c r="S979">
        <f t="shared" si="352"/>
        <v>3.3305241672303016</v>
      </c>
      <c r="T979">
        <f t="shared" si="353"/>
        <v>3040.3321725957626</v>
      </c>
      <c r="U979">
        <f t="shared" si="354"/>
        <v>21.043847675471952</v>
      </c>
      <c r="V979">
        <f t="shared" si="355"/>
        <v>1.3421971704378437</v>
      </c>
      <c r="W979">
        <f t="shared" si="356"/>
        <v>1961.8359627222658</v>
      </c>
      <c r="X979">
        <f t="shared" si="357"/>
        <v>32.612455036333493</v>
      </c>
      <c r="Y979">
        <f t="shared" si="358"/>
        <v>0.95132937561730502</v>
      </c>
      <c r="Z979">
        <f t="shared" si="359"/>
        <v>1479.0805163979385</v>
      </c>
      <c r="AA979">
        <f t="shared" si="360"/>
        <v>43.256797999581238</v>
      </c>
      <c r="AB979">
        <f t="shared" si="361"/>
        <v>0.89224291020899682</v>
      </c>
      <c r="AC979">
        <f t="shared" si="362"/>
        <v>6000</v>
      </c>
      <c r="AD979">
        <f t="shared" si="363"/>
        <v>10.663381187156988</v>
      </c>
      <c r="AE979">
        <f t="shared" si="364"/>
        <v>6.7825050837328673</v>
      </c>
      <c r="AF979">
        <f t="shared" si="365"/>
        <v>6000</v>
      </c>
      <c r="AG979">
        <f t="shared" si="366"/>
        <v>10.663381187156988</v>
      </c>
      <c r="AH979">
        <f t="shared" si="367"/>
        <v>6.7825050837328673</v>
      </c>
      <c r="AI979" cm="1">
        <f t="array" ref="AI979">_xlfn.LET(
    _xlpm.vals,   _xlfn.HSTACK(S979,V979,Y979,AB979,AE979,AH979),
    _xlpm.ints,   _xlfn.HSTACK(R979,U979,X979,AA979,AD979,AG979),
    _xlpm.slopes, _xlfn.HSTACK(Q979,T979,W979,Z979,AC979,AF979),
    _xlpm.limit,  -0.00001*_xlpm.slopes + 0.1086*_xlpm.slopes + 63.253,
    _xlpm.mask,   (_xlpm.vals&gt;=0) * (_xlpm.ints&lt;=_xlpm.limit),
    _xlpm.validVals, _xlfn._xlws.FILTER(_xlpm.vals, _xlpm.mask),
    _xlpm.minVal, MIN(_xlpm.validVals),
    IFERROR( _xlfn.XMATCH(_xlpm.minVal, _xlpm.vals), "" )
)</f>
        <v>4</v>
      </c>
      <c r="AJ979" cm="1">
        <f t="array" ref="AJ979">_xlfn.LET(
    _xlpm.vals, CHOOSE({1,2,3,4,5,6}, S979, V979, Y979, AB979, AE979, AH979),
    _xlpm.slopes, CHOOSE({1,2,3,4,5,6}, Q979, T979, W979, Z979, AC979, AF979),
    _xlpm.ints, CHOOSE({1,2,3,4,5,6}, R979, U979, X979, AA979, AD979, AG979),
    _xlpm.limit, -0.00001*_xlpm.slopes + 0.1086*_xlpm.slopes + 63.253,
    _xlpm.valid, (_xlpm.vals &gt;= 0) * (_xlpm.ints &lt;= _xlpm.limit),
    _xlpm.target, MIN(_xlfn._xlws.FILTER(_xlpm.vals, _xlpm.valid)),
    IFERROR(
        _xlfn.XLOOKUP(_xlpm.target, _xlpm.vals, _xlpm.vals),
        CHOOSE({1,2,3,4,5,6}, S$1, V$1, Y$1, AB$1, AE$1, AH$1)
    )
)</f>
        <v>0.89224291020899682</v>
      </c>
    </row>
    <row r="980" spans="9:36" x14ac:dyDescent="0.45">
      <c r="I980">
        <v>978</v>
      </c>
      <c r="J980">
        <v>24.9</v>
      </c>
      <c r="K980">
        <f t="shared" si="346"/>
        <v>24.9</v>
      </c>
      <c r="L980">
        <f t="shared" si="345"/>
        <v>6.9166666666666664E-3</v>
      </c>
      <c r="M980">
        <v>6.08</v>
      </c>
      <c r="N980">
        <f t="shared" si="347"/>
        <v>6.08</v>
      </c>
      <c r="O980">
        <f t="shared" si="348"/>
        <v>323.58005140073828</v>
      </c>
      <c r="P980">
        <f t="shared" si="349"/>
        <v>1035.4561644823625</v>
      </c>
      <c r="Q980">
        <f t="shared" si="350"/>
        <v>4742.3892333292206</v>
      </c>
      <c r="R980">
        <f t="shared" si="351"/>
        <v>12.242715724783459</v>
      </c>
      <c r="S980">
        <f t="shared" si="352"/>
        <v>3.3846535965934899</v>
      </c>
      <c r="T980">
        <f t="shared" si="353"/>
        <v>3064.9502468677929</v>
      </c>
      <c r="U980">
        <f t="shared" si="354"/>
        <v>18.943120952536571</v>
      </c>
      <c r="V980">
        <f t="shared" si="355"/>
        <v>1.3227364312755294</v>
      </c>
      <c r="W980">
        <f t="shared" si="356"/>
        <v>1977.7212741613123</v>
      </c>
      <c r="X980">
        <f t="shared" si="357"/>
        <v>29.356878544245156</v>
      </c>
      <c r="Y980">
        <f t="shared" si="358"/>
        <v>0.90818886169642077</v>
      </c>
      <c r="Z980">
        <f t="shared" si="359"/>
        <v>1491.056876854602</v>
      </c>
      <c r="AA980">
        <f t="shared" si="360"/>
        <v>38.938637513547391</v>
      </c>
      <c r="AB980">
        <f t="shared" si="361"/>
        <v>0.84101032717028867</v>
      </c>
      <c r="AC980">
        <f t="shared" si="362"/>
        <v>6000</v>
      </c>
      <c r="AD980">
        <f t="shared" si="363"/>
        <v>9.6766205399872369</v>
      </c>
      <c r="AE980">
        <f t="shared" si="364"/>
        <v>6.7733439067077672</v>
      </c>
      <c r="AF980">
        <f t="shared" si="365"/>
        <v>6000</v>
      </c>
      <c r="AG980">
        <f t="shared" si="366"/>
        <v>9.6766205399872369</v>
      </c>
      <c r="AH980">
        <f t="shared" si="367"/>
        <v>6.7733439067077672</v>
      </c>
      <c r="AI980" cm="1">
        <f t="array" ref="AI980">_xlfn.LET(
    _xlpm.vals,   _xlfn.HSTACK(S980,V980,Y980,AB980,AE980,AH980),
    _xlpm.ints,   _xlfn.HSTACK(R980,U980,X980,AA980,AD980,AG980),
    _xlpm.slopes, _xlfn.HSTACK(Q980,T980,W980,Z980,AC980,AF980),
    _xlpm.limit,  -0.00001*_xlpm.slopes + 0.1086*_xlpm.slopes + 63.253,
    _xlpm.mask,   (_xlpm.vals&gt;=0) * (_xlpm.ints&lt;=_xlpm.limit),
    _xlpm.validVals, _xlfn._xlws.FILTER(_xlpm.vals, _xlpm.mask),
    _xlpm.minVal, MIN(_xlpm.validVals),
    IFERROR( _xlfn.XMATCH(_xlpm.minVal, _xlpm.vals), "" )
)</f>
        <v>4</v>
      </c>
      <c r="AJ980" cm="1">
        <f t="array" ref="AJ980">_xlfn.LET(
    _xlpm.vals, CHOOSE({1,2,3,4,5,6}, S980, V980, Y980, AB980, AE980, AH980),
    _xlpm.slopes, CHOOSE({1,2,3,4,5,6}, Q980, T980, W980, Z980, AC980, AF980),
    _xlpm.ints, CHOOSE({1,2,3,4,5,6}, R980, U980, X980, AA980, AD980, AG980),
    _xlpm.limit, -0.00001*_xlpm.slopes + 0.1086*_xlpm.slopes + 63.253,
    _xlpm.valid, (_xlpm.vals &gt;= 0) * (_xlpm.ints &lt;= _xlpm.limit),
    _xlpm.target, MIN(_xlfn._xlws.FILTER(_xlpm.vals, _xlpm.valid)),
    IFERROR(
        _xlfn.XLOOKUP(_xlpm.target, _xlpm.vals, _xlpm.vals),
        CHOOSE({1,2,3,4,5,6}, S$1, V$1, Y$1, AB$1, AE$1, AH$1)
    )
)</f>
        <v>0.84101032717028867</v>
      </c>
    </row>
    <row r="981" spans="9:36" x14ac:dyDescent="0.45">
      <c r="I981">
        <v>979</v>
      </c>
      <c r="J981">
        <v>25.2</v>
      </c>
      <c r="K981">
        <f t="shared" si="346"/>
        <v>25.2</v>
      </c>
      <c r="L981">
        <f t="shared" si="345"/>
        <v>7.0000000000000001E-3</v>
      </c>
      <c r="M981">
        <v>6.55</v>
      </c>
      <c r="N981">
        <f t="shared" si="347"/>
        <v>6.55</v>
      </c>
      <c r="O981">
        <f t="shared" si="348"/>
        <v>327.47860623689172</v>
      </c>
      <c r="P981">
        <f t="shared" si="349"/>
        <v>1047.9315399580535</v>
      </c>
      <c r="Q981">
        <f t="shared" si="350"/>
        <v>4799.5264530078848</v>
      </c>
      <c r="R981">
        <f t="shared" si="351"/>
        <v>13.032096655268109</v>
      </c>
      <c r="S981">
        <f t="shared" si="352"/>
        <v>3.5131473588310609</v>
      </c>
      <c r="T981">
        <f t="shared" si="353"/>
        <v>3101.8773582758381</v>
      </c>
      <c r="U981">
        <f t="shared" si="354"/>
        <v>20.164527932813495</v>
      </c>
      <c r="V981">
        <f t="shared" si="355"/>
        <v>1.3721547059128862</v>
      </c>
      <c r="W981">
        <f t="shared" si="356"/>
        <v>2001.549241319882</v>
      </c>
      <c r="X981">
        <f t="shared" si="357"/>
        <v>31.249739623627196</v>
      </c>
      <c r="Y981">
        <f t="shared" si="358"/>
        <v>0.94729185816075512</v>
      </c>
      <c r="Z981">
        <f t="shared" si="359"/>
        <v>1509.021417539597</v>
      </c>
      <c r="AA981">
        <f t="shared" si="360"/>
        <v>41.449307417449958</v>
      </c>
      <c r="AB981">
        <f t="shared" si="361"/>
        <v>0.88206857371674996</v>
      </c>
      <c r="AC981">
        <f t="shared" si="362"/>
        <v>6000</v>
      </c>
      <c r="AD981">
        <f t="shared" si="363"/>
        <v>10.424648772519145</v>
      </c>
      <c r="AE981">
        <f t="shared" si="364"/>
        <v>6.7802607000529385</v>
      </c>
      <c r="AF981">
        <f t="shared" si="365"/>
        <v>6000</v>
      </c>
      <c r="AG981">
        <f t="shared" si="366"/>
        <v>10.424648772519145</v>
      </c>
      <c r="AH981">
        <f t="shared" si="367"/>
        <v>6.7802607000529385</v>
      </c>
      <c r="AI981" cm="1">
        <f t="array" ref="AI981">_xlfn.LET(
    _xlpm.vals,   _xlfn.HSTACK(S981,V981,Y981,AB981,AE981,AH981),
    _xlpm.ints,   _xlfn.HSTACK(R981,U981,X981,AA981,AD981,AG981),
    _xlpm.slopes, _xlfn.HSTACK(Q981,T981,W981,Z981,AC981,AF981),
    _xlpm.limit,  -0.00001*_xlpm.slopes + 0.1086*_xlpm.slopes + 63.253,
    _xlpm.mask,   (_xlpm.vals&gt;=0) * (_xlpm.ints&lt;=_xlpm.limit),
    _xlpm.validVals, _xlfn._xlws.FILTER(_xlpm.vals, _xlpm.mask),
    _xlpm.minVal, MIN(_xlpm.validVals),
    IFERROR( _xlfn.XMATCH(_xlpm.minVal, _xlpm.vals), "" )
)</f>
        <v>4</v>
      </c>
      <c r="AJ981" cm="1">
        <f t="array" ref="AJ981">_xlfn.LET(
    _xlpm.vals, CHOOSE({1,2,3,4,5,6}, S981, V981, Y981, AB981, AE981, AH981),
    _xlpm.slopes, CHOOSE({1,2,3,4,5,6}, Q981, T981, W981, Z981, AC981, AF981),
    _xlpm.ints, CHOOSE({1,2,3,4,5,6}, R981, U981, X981, AA981, AD981, AG981),
    _xlpm.limit, -0.00001*_xlpm.slopes + 0.1086*_xlpm.slopes + 63.253,
    _xlpm.valid, (_xlpm.vals &gt;= 0) * (_xlpm.ints &lt;= _xlpm.limit),
    _xlpm.target, MIN(_xlfn._xlws.FILTER(_xlpm.vals, _xlpm.valid)),
    IFERROR(
        _xlfn.XLOOKUP(_xlpm.target, _xlpm.vals, _xlpm.vals),
        CHOOSE({1,2,3,4,5,6}, S$1, V$1, Y$1, AB$1, AE$1, AH$1)
    )
)</f>
        <v>0.88206857371674996</v>
      </c>
    </row>
    <row r="982" spans="9:36" x14ac:dyDescent="0.45">
      <c r="I982">
        <v>980</v>
      </c>
      <c r="J982">
        <v>25.4</v>
      </c>
      <c r="K982">
        <f t="shared" si="346"/>
        <v>25.4</v>
      </c>
      <c r="L982">
        <f t="shared" si="345"/>
        <v>7.0555555555555554E-3</v>
      </c>
      <c r="M982">
        <v>7.44</v>
      </c>
      <c r="N982">
        <f t="shared" si="347"/>
        <v>7.44</v>
      </c>
      <c r="O982">
        <f t="shared" si="348"/>
        <v>330.0776427943274</v>
      </c>
      <c r="P982">
        <f t="shared" si="349"/>
        <v>1056.2484569418477</v>
      </c>
      <c r="Q982">
        <f t="shared" si="350"/>
        <v>4837.6179327936625</v>
      </c>
      <c r="R982">
        <f t="shared" si="351"/>
        <v>14.686312061687245</v>
      </c>
      <c r="S982">
        <f t="shared" si="352"/>
        <v>3.6184165075209123</v>
      </c>
      <c r="T982">
        <f t="shared" si="353"/>
        <v>3126.4954325478693</v>
      </c>
      <c r="U982">
        <f t="shared" si="354"/>
        <v>22.724090960313369</v>
      </c>
      <c r="V982">
        <f t="shared" si="355"/>
        <v>1.4377203980047926</v>
      </c>
      <c r="W982">
        <f t="shared" si="356"/>
        <v>2017.4345527589292</v>
      </c>
      <c r="X982">
        <f t="shared" si="357"/>
        <v>35.216392273574648</v>
      </c>
      <c r="Y982">
        <f t="shared" si="358"/>
        <v>1.016826414167088</v>
      </c>
      <c r="Z982">
        <f t="shared" si="359"/>
        <v>1520.9977779962608</v>
      </c>
      <c r="AA982">
        <f t="shared" si="360"/>
        <v>46.710631418421926</v>
      </c>
      <c r="AB982">
        <f t="shared" si="361"/>
        <v>0.95887334582433548</v>
      </c>
      <c r="AC982">
        <f t="shared" si="362"/>
        <v>6000</v>
      </c>
      <c r="AD982">
        <f t="shared" si="363"/>
        <v>11.841127766037014</v>
      </c>
      <c r="AE982">
        <f t="shared" si="364"/>
        <v>6.7938374110268027</v>
      </c>
      <c r="AF982">
        <f t="shared" si="365"/>
        <v>6000</v>
      </c>
      <c r="AG982">
        <f t="shared" si="366"/>
        <v>11.841127766037014</v>
      </c>
      <c r="AH982">
        <f t="shared" si="367"/>
        <v>6.7938374110268027</v>
      </c>
      <c r="AI982" cm="1">
        <f t="array" ref="AI982">_xlfn.LET(
    _xlpm.vals,   _xlfn.HSTACK(S982,V982,Y982,AB982,AE982,AH982),
    _xlpm.ints,   _xlfn.HSTACK(R982,U982,X982,AA982,AD982,AG982),
    _xlpm.slopes, _xlfn.HSTACK(Q982,T982,W982,Z982,AC982,AF982),
    _xlpm.limit,  -0.00001*_xlpm.slopes + 0.1086*_xlpm.slopes + 63.253,
    _xlpm.mask,   (_xlpm.vals&gt;=0) * (_xlpm.ints&lt;=_xlpm.limit),
    _xlpm.validVals, _xlfn._xlws.FILTER(_xlpm.vals, _xlpm.mask),
    _xlpm.minVal, MIN(_xlpm.validVals),
    IFERROR( _xlfn.XMATCH(_xlpm.minVal, _xlpm.vals), "" )
)</f>
        <v>4</v>
      </c>
      <c r="AJ982" cm="1">
        <f t="array" ref="AJ982">_xlfn.LET(
    _xlpm.vals, CHOOSE({1,2,3,4,5,6}, S982, V982, Y982, AB982, AE982, AH982),
    _xlpm.slopes, CHOOSE({1,2,3,4,5,6}, Q982, T982, W982, Z982, AC982, AF982),
    _xlpm.ints, CHOOSE({1,2,3,4,5,6}, R982, U982, X982, AA982, AD982, AG982),
    _xlpm.limit, -0.00001*_xlpm.slopes + 0.1086*_xlpm.slopes + 63.253,
    _xlpm.valid, (_xlpm.vals &gt;= 0) * (_xlpm.ints &lt;= _xlpm.limit),
    _xlpm.target, MIN(_xlfn._xlws.FILTER(_xlpm.vals, _xlpm.valid)),
    IFERROR(
        _xlfn.XLOOKUP(_xlpm.target, _xlpm.vals, _xlpm.vals),
        CHOOSE({1,2,3,4,5,6}, S$1, V$1, Y$1, AB$1, AE$1, AH$1)
    )
)</f>
        <v>0.95887334582433548</v>
      </c>
    </row>
    <row r="983" spans="9:36" x14ac:dyDescent="0.45">
      <c r="I983">
        <v>981</v>
      </c>
      <c r="J983">
        <v>25.7</v>
      </c>
      <c r="K983">
        <f t="shared" si="346"/>
        <v>25.7</v>
      </c>
      <c r="L983">
        <f t="shared" si="345"/>
        <v>7.1388888888888891E-3</v>
      </c>
      <c r="M983">
        <v>5.79</v>
      </c>
      <c r="N983">
        <f t="shared" si="347"/>
        <v>5.79</v>
      </c>
      <c r="O983">
        <f t="shared" si="348"/>
        <v>333.9761976304809</v>
      </c>
      <c r="P983">
        <f t="shared" si="349"/>
        <v>1068.7238324175389</v>
      </c>
      <c r="Q983">
        <f t="shared" si="350"/>
        <v>4894.7551524723285</v>
      </c>
      <c r="R983">
        <f t="shared" si="351"/>
        <v>11.295851479352832</v>
      </c>
      <c r="S983">
        <f t="shared" si="352"/>
        <v>3.687864562517881</v>
      </c>
      <c r="T983">
        <f t="shared" si="353"/>
        <v>3163.422543955915</v>
      </c>
      <c r="U983">
        <f t="shared" si="354"/>
        <v>17.478040464674315</v>
      </c>
      <c r="V983">
        <f t="shared" si="355"/>
        <v>1.3718292800232721</v>
      </c>
      <c r="W983">
        <f t="shared" si="356"/>
        <v>2041.2625199174993</v>
      </c>
      <c r="X983">
        <f t="shared" si="357"/>
        <v>27.086387316982183</v>
      </c>
      <c r="Y983">
        <f t="shared" si="358"/>
        <v>0.8999501195322136</v>
      </c>
      <c r="Z983">
        <f t="shared" si="359"/>
        <v>1538.962318681256</v>
      </c>
      <c r="AA983">
        <f t="shared" si="360"/>
        <v>35.927083177386088</v>
      </c>
      <c r="AB983">
        <f t="shared" si="361"/>
        <v>0.82205054315349435</v>
      </c>
      <c r="AC983">
        <f t="shared" si="362"/>
        <v>6000</v>
      </c>
      <c r="AD983">
        <f t="shared" si="363"/>
        <v>9.21507120502074</v>
      </c>
      <c r="AE983">
        <f t="shared" si="364"/>
        <v>6.7691638198501378</v>
      </c>
      <c r="AF983">
        <f t="shared" si="365"/>
        <v>6000</v>
      </c>
      <c r="AG983">
        <f t="shared" si="366"/>
        <v>9.21507120502074</v>
      </c>
      <c r="AH983">
        <f t="shared" si="367"/>
        <v>6.7691638198501378</v>
      </c>
      <c r="AI983" cm="1">
        <f t="array" ref="AI983">_xlfn.LET(
    _xlpm.vals,   _xlfn.HSTACK(S983,V983,Y983,AB983,AE983,AH983),
    _xlpm.ints,   _xlfn.HSTACK(R983,U983,X983,AA983,AD983,AG983),
    _xlpm.slopes, _xlfn.HSTACK(Q983,T983,W983,Z983,AC983,AF983),
    _xlpm.limit,  -0.00001*_xlpm.slopes + 0.1086*_xlpm.slopes + 63.253,
    _xlpm.mask,   (_xlpm.vals&gt;=0) * (_xlpm.ints&lt;=_xlpm.limit),
    _xlpm.validVals, _xlfn._xlws.FILTER(_xlpm.vals, _xlpm.mask),
    _xlpm.minVal, MIN(_xlpm.validVals),
    IFERROR( _xlfn.XMATCH(_xlpm.minVal, _xlpm.vals), "" )
)</f>
        <v>4</v>
      </c>
      <c r="AJ983" cm="1">
        <f t="array" ref="AJ983">_xlfn.LET(
    _xlpm.vals, CHOOSE({1,2,3,4,5,6}, S983, V983, Y983, AB983, AE983, AH983),
    _xlpm.slopes, CHOOSE({1,2,3,4,5,6}, Q983, T983, W983, Z983, AC983, AF983),
    _xlpm.ints, CHOOSE({1,2,3,4,5,6}, R983, U983, X983, AA983, AD983, AG983),
    _xlpm.limit, -0.00001*_xlpm.slopes + 0.1086*_xlpm.slopes + 63.253,
    _xlpm.valid, (_xlpm.vals &gt;= 0) * (_xlpm.ints &lt;= _xlpm.limit),
    _xlpm.target, MIN(_xlfn._xlws.FILTER(_xlpm.vals, _xlpm.valid)),
    IFERROR(
        _xlfn.XLOOKUP(_xlpm.target, _xlpm.vals, _xlpm.vals),
        CHOOSE({1,2,3,4,5,6}, S$1, V$1, Y$1, AB$1, AE$1, AH$1)
    )
)</f>
        <v>0.82205054315349435</v>
      </c>
    </row>
    <row r="984" spans="9:36" x14ac:dyDescent="0.45">
      <c r="I984">
        <v>982</v>
      </c>
      <c r="J984">
        <v>25.7</v>
      </c>
      <c r="K984">
        <f t="shared" si="346"/>
        <v>25.7</v>
      </c>
      <c r="L984">
        <f t="shared" si="345"/>
        <v>7.1388888888888891E-3</v>
      </c>
      <c r="M984">
        <v>4.3</v>
      </c>
      <c r="N984">
        <f t="shared" si="347"/>
        <v>4.3</v>
      </c>
      <c r="O984">
        <f t="shared" si="348"/>
        <v>333.9761976304809</v>
      </c>
      <c r="P984">
        <f t="shared" si="349"/>
        <v>1068.7238324175389</v>
      </c>
      <c r="Q984">
        <f t="shared" si="350"/>
        <v>4894.7551524723285</v>
      </c>
      <c r="R984">
        <f t="shared" si="351"/>
        <v>8.388974328362206</v>
      </c>
      <c r="S984">
        <f t="shared" si="352"/>
        <v>3.645754606662587</v>
      </c>
      <c r="T984">
        <f t="shared" si="353"/>
        <v>3163.422543955915</v>
      </c>
      <c r="U984">
        <f t="shared" si="354"/>
        <v>12.980237305371253</v>
      </c>
      <c r="V984">
        <f t="shared" si="355"/>
        <v>1.2944573686098504</v>
      </c>
      <c r="W984">
        <f t="shared" si="356"/>
        <v>2041.2625199174993</v>
      </c>
      <c r="X984">
        <f t="shared" si="357"/>
        <v>20.115969855444455</v>
      </c>
      <c r="Y984">
        <f t="shared" si="358"/>
        <v>0.79657972791764031</v>
      </c>
      <c r="Z984">
        <f t="shared" si="359"/>
        <v>1538.962318681256</v>
      </c>
      <c r="AA984">
        <f t="shared" si="360"/>
        <v>26.681598905485352</v>
      </c>
      <c r="AB984">
        <f t="shared" si="361"/>
        <v>0.70432502355954252</v>
      </c>
      <c r="AC984">
        <f t="shared" si="362"/>
        <v>6000</v>
      </c>
      <c r="AD984">
        <f t="shared" si="363"/>
        <v>6.8436625529514998</v>
      </c>
      <c r="AE984">
        <f t="shared" si="364"/>
        <v>6.7487507954628629</v>
      </c>
      <c r="AF984">
        <f t="shared" si="365"/>
        <v>6000</v>
      </c>
      <c r="AG984">
        <f t="shared" si="366"/>
        <v>6.8436625529514998</v>
      </c>
      <c r="AH984">
        <f t="shared" si="367"/>
        <v>6.7487507954628629</v>
      </c>
      <c r="AI984" cm="1">
        <f t="array" ref="AI984">_xlfn.LET(
    _xlpm.vals,   _xlfn.HSTACK(S984,V984,Y984,AB984,AE984,AH984),
    _xlpm.ints,   _xlfn.HSTACK(R984,U984,X984,AA984,AD984,AG984),
    _xlpm.slopes, _xlfn.HSTACK(Q984,T984,W984,Z984,AC984,AF984),
    _xlpm.limit,  -0.00001*_xlpm.slopes + 0.1086*_xlpm.slopes + 63.253,
    _xlpm.mask,   (_xlpm.vals&gt;=0) * (_xlpm.ints&lt;=_xlpm.limit),
    _xlpm.validVals, _xlfn._xlws.FILTER(_xlpm.vals, _xlpm.mask),
    _xlpm.minVal, MIN(_xlpm.validVals),
    IFERROR( _xlfn.XMATCH(_xlpm.minVal, _xlpm.vals), "" )
)</f>
        <v>4</v>
      </c>
      <c r="AJ984" cm="1">
        <f t="array" ref="AJ984">_xlfn.LET(
    _xlpm.vals, CHOOSE({1,2,3,4,5,6}, S984, V984, Y984, AB984, AE984, AH984),
    _xlpm.slopes, CHOOSE({1,2,3,4,5,6}, Q984, T984, W984, Z984, AC984, AF984),
    _xlpm.ints, CHOOSE({1,2,3,4,5,6}, R984, U984, X984, AA984, AD984, AG984),
    _xlpm.limit, -0.00001*_xlpm.slopes + 0.1086*_xlpm.slopes + 63.253,
    _xlpm.valid, (_xlpm.vals &gt;= 0) * (_xlpm.ints &lt;= _xlpm.limit),
    _xlpm.target, MIN(_xlfn._xlws.FILTER(_xlpm.vals, _xlpm.valid)),
    IFERROR(
        _xlfn.XLOOKUP(_xlpm.target, _xlpm.vals, _xlpm.vals),
        CHOOSE({1,2,3,4,5,6}, S$1, V$1, Y$1, AB$1, AE$1, AH$1)
    )
)</f>
        <v>0.70432502355954252</v>
      </c>
    </row>
    <row r="985" spans="9:36" x14ac:dyDescent="0.45">
      <c r="I985">
        <v>983</v>
      </c>
      <c r="J985">
        <v>25.2</v>
      </c>
      <c r="K985">
        <f t="shared" si="346"/>
        <v>25.2</v>
      </c>
      <c r="L985">
        <f t="shared" si="345"/>
        <v>7.0000000000000001E-3</v>
      </c>
      <c r="M985">
        <v>-1.45</v>
      </c>
      <c r="N985">
        <f t="shared" si="347"/>
        <v>0</v>
      </c>
      <c r="O985">
        <f t="shared" si="348"/>
        <v>327.47860623689172</v>
      </c>
      <c r="P985">
        <f t="shared" si="349"/>
        <v>1047.9315399580535</v>
      </c>
      <c r="Q985">
        <f t="shared" si="350"/>
        <v>4799.5264530078848</v>
      </c>
      <c r="R985">
        <f t="shared" si="351"/>
        <v>0</v>
      </c>
      <c r="S985">
        <f t="shared" si="352"/>
        <v>3.332250690096302</v>
      </c>
      <c r="T985">
        <f t="shared" si="353"/>
        <v>3101.8773582758381</v>
      </c>
      <c r="U985">
        <f t="shared" si="354"/>
        <v>0</v>
      </c>
      <c r="V985">
        <f t="shared" si="355"/>
        <v>1.0478029451209649</v>
      </c>
      <c r="W985">
        <f t="shared" si="356"/>
        <v>2001.549241319882</v>
      </c>
      <c r="X985">
        <f t="shared" si="357"/>
        <v>0</v>
      </c>
      <c r="Y985">
        <f t="shared" si="358"/>
        <v>0.52532077604851501</v>
      </c>
      <c r="Z985">
        <f t="shared" si="359"/>
        <v>1509.021417539597</v>
      </c>
      <c r="AA985">
        <f t="shared" si="360"/>
        <v>0</v>
      </c>
      <c r="AB985">
        <f t="shared" si="361"/>
        <v>0.41136338888171387</v>
      </c>
      <c r="AC985">
        <f t="shared" si="362"/>
        <v>6000</v>
      </c>
      <c r="AD985">
        <f t="shared" si="363"/>
        <v>0</v>
      </c>
      <c r="AE985">
        <f t="shared" si="364"/>
        <v>6.7000407999999982</v>
      </c>
      <c r="AF985">
        <f t="shared" si="365"/>
        <v>6000</v>
      </c>
      <c r="AG985">
        <f t="shared" si="366"/>
        <v>0</v>
      </c>
      <c r="AH985">
        <f t="shared" si="367"/>
        <v>6.7000407999999982</v>
      </c>
      <c r="AI985" cm="1">
        <f t="array" ref="AI985">_xlfn.LET(
    _xlpm.vals,   _xlfn.HSTACK(S985,V985,Y985,AB985,AE985,AH985),
    _xlpm.ints,   _xlfn.HSTACK(R985,U985,X985,AA985,AD985,AG985),
    _xlpm.slopes, _xlfn.HSTACK(Q985,T985,W985,Z985,AC985,AF985),
    _xlpm.limit,  -0.00001*_xlpm.slopes + 0.1086*_xlpm.slopes + 63.253,
    _xlpm.mask,   (_xlpm.vals&gt;=0) * (_xlpm.ints&lt;=_xlpm.limit),
    _xlpm.validVals, _xlfn._xlws.FILTER(_xlpm.vals, _xlpm.mask),
    _xlpm.minVal, MIN(_xlpm.validVals),
    IFERROR( _xlfn.XMATCH(_xlpm.minVal, _xlpm.vals), "" )
)</f>
        <v>4</v>
      </c>
      <c r="AJ985" cm="1">
        <f t="array" ref="AJ985">_xlfn.LET(
    _xlpm.vals, CHOOSE({1,2,3,4,5,6}, S985, V985, Y985, AB985, AE985, AH985),
    _xlpm.slopes, CHOOSE({1,2,3,4,5,6}, Q985, T985, W985, Z985, AC985, AF985),
    _xlpm.ints, CHOOSE({1,2,3,4,5,6}, R985, U985, X985, AA985, AD985, AG985),
    _xlpm.limit, -0.00001*_xlpm.slopes + 0.1086*_xlpm.slopes + 63.253,
    _xlpm.valid, (_xlpm.vals &gt;= 0) * (_xlpm.ints &lt;= _xlpm.limit),
    _xlpm.target, MIN(_xlfn._xlws.FILTER(_xlpm.vals, _xlpm.valid)),
    IFERROR(
        _xlfn.XLOOKUP(_xlpm.target, _xlpm.vals, _xlpm.vals),
        CHOOSE({1,2,3,4,5,6}, S$1, V$1, Y$1, AB$1, AE$1, AH$1)
    )
)</f>
        <v>0.41136338888171387</v>
      </c>
    </row>
    <row r="986" spans="9:36" x14ac:dyDescent="0.45">
      <c r="I986">
        <v>984</v>
      </c>
      <c r="J986">
        <v>24.4</v>
      </c>
      <c r="K986">
        <f t="shared" si="346"/>
        <v>24.4</v>
      </c>
      <c r="L986">
        <f t="shared" si="345"/>
        <v>6.7777777777777775E-3</v>
      </c>
      <c r="M986">
        <v>-0.87</v>
      </c>
      <c r="N986">
        <f t="shared" si="347"/>
        <v>0</v>
      </c>
      <c r="O986">
        <f t="shared" si="348"/>
        <v>317.08246000714911</v>
      </c>
      <c r="P986">
        <f t="shared" si="349"/>
        <v>1014.6638720228772</v>
      </c>
      <c r="Q986">
        <f t="shared" si="350"/>
        <v>4647.1605338647778</v>
      </c>
      <c r="R986">
        <f t="shared" si="351"/>
        <v>0</v>
      </c>
      <c r="S986">
        <f t="shared" si="352"/>
        <v>3.0239589948828867</v>
      </c>
      <c r="T986">
        <f t="shared" si="353"/>
        <v>3003.4050611877165</v>
      </c>
      <c r="U986">
        <f t="shared" si="354"/>
        <v>0</v>
      </c>
      <c r="V986">
        <f t="shared" si="355"/>
        <v>0.97886862488814019</v>
      </c>
      <c r="W986">
        <f t="shared" si="356"/>
        <v>1938.0079955636952</v>
      </c>
      <c r="X986">
        <f t="shared" si="357"/>
        <v>0</v>
      </c>
      <c r="Y986">
        <f t="shared" si="358"/>
        <v>0.50797960308071732</v>
      </c>
      <c r="Z986">
        <f t="shared" si="359"/>
        <v>1461.1159757129431</v>
      </c>
      <c r="AA986">
        <f t="shared" si="360"/>
        <v>0</v>
      </c>
      <c r="AB986">
        <f t="shared" si="361"/>
        <v>0.40219207240943455</v>
      </c>
      <c r="AC986">
        <f t="shared" si="362"/>
        <v>6000</v>
      </c>
      <c r="AD986">
        <f t="shared" si="363"/>
        <v>0</v>
      </c>
      <c r="AE986">
        <f t="shared" si="364"/>
        <v>6.7000407999999982</v>
      </c>
      <c r="AF986">
        <f t="shared" si="365"/>
        <v>6000</v>
      </c>
      <c r="AG986">
        <f t="shared" si="366"/>
        <v>0</v>
      </c>
      <c r="AH986">
        <f t="shared" si="367"/>
        <v>6.7000407999999982</v>
      </c>
      <c r="AI986" cm="1">
        <f t="array" ref="AI986">_xlfn.LET(
    _xlpm.vals,   _xlfn.HSTACK(S986,V986,Y986,AB986,AE986,AH986),
    _xlpm.ints,   _xlfn.HSTACK(R986,U986,X986,AA986,AD986,AG986),
    _xlpm.slopes, _xlfn.HSTACK(Q986,T986,W986,Z986,AC986,AF986),
    _xlpm.limit,  -0.00001*_xlpm.slopes + 0.1086*_xlpm.slopes + 63.253,
    _xlpm.mask,   (_xlpm.vals&gt;=0) * (_xlpm.ints&lt;=_xlpm.limit),
    _xlpm.validVals, _xlfn._xlws.FILTER(_xlpm.vals, _xlpm.mask),
    _xlpm.minVal, MIN(_xlpm.validVals),
    IFERROR( _xlfn.XMATCH(_xlpm.minVal, _xlpm.vals), "" )
)</f>
        <v>4</v>
      </c>
      <c r="AJ986" cm="1">
        <f t="array" ref="AJ986">_xlfn.LET(
    _xlpm.vals, CHOOSE({1,2,3,4,5,6}, S986, V986, Y986, AB986, AE986, AH986),
    _xlpm.slopes, CHOOSE({1,2,3,4,5,6}, Q986, T986, W986, Z986, AC986, AF986),
    _xlpm.ints, CHOOSE({1,2,3,4,5,6}, R986, U986, X986, AA986, AD986, AG986),
    _xlpm.limit, -0.00001*_xlpm.slopes + 0.1086*_xlpm.slopes + 63.253,
    _xlpm.valid, (_xlpm.vals &gt;= 0) * (_xlpm.ints &lt;= _xlpm.limit),
    _xlpm.target, MIN(_xlfn._xlws.FILTER(_xlpm.vals, _xlpm.valid)),
    IFERROR(
        _xlfn.XLOOKUP(_xlpm.target, _xlpm.vals, _xlpm.vals),
        CHOOSE({1,2,3,4,5,6}, S$1, V$1, Y$1, AB$1, AE$1, AH$1)
    )
)</f>
        <v>0.40219207240943455</v>
      </c>
    </row>
    <row r="987" spans="9:36" x14ac:dyDescent="0.45">
      <c r="I987">
        <v>985</v>
      </c>
      <c r="J987">
        <v>23.7</v>
      </c>
      <c r="K987">
        <f t="shared" si="346"/>
        <v>23.7</v>
      </c>
      <c r="L987">
        <f t="shared" si="345"/>
        <v>6.5833333333333334E-3</v>
      </c>
      <c r="M987">
        <v>-0.43</v>
      </c>
      <c r="N987">
        <f t="shared" si="347"/>
        <v>0</v>
      </c>
      <c r="O987">
        <f t="shared" si="348"/>
        <v>307.98583205612437</v>
      </c>
      <c r="P987">
        <f t="shared" si="349"/>
        <v>985.55466257959802</v>
      </c>
      <c r="Q987">
        <f t="shared" si="350"/>
        <v>4513.8403546145591</v>
      </c>
      <c r="R987">
        <f t="shared" si="351"/>
        <v>0</v>
      </c>
      <c r="S987">
        <f t="shared" si="352"/>
        <v>2.7734962328583848</v>
      </c>
      <c r="T987">
        <f t="shared" si="353"/>
        <v>2917.2418012356102</v>
      </c>
      <c r="U987">
        <f t="shared" si="354"/>
        <v>0</v>
      </c>
      <c r="V987">
        <f t="shared" si="355"/>
        <v>0.9228282130550276</v>
      </c>
      <c r="W987">
        <f t="shared" si="356"/>
        <v>1882.409405527032</v>
      </c>
      <c r="X987">
        <f t="shared" si="357"/>
        <v>0</v>
      </c>
      <c r="Y987">
        <f t="shared" si="358"/>
        <v>0.49356653745885548</v>
      </c>
      <c r="Z987">
        <f t="shared" si="359"/>
        <v>1419.198714114621</v>
      </c>
      <c r="AA987">
        <f t="shared" si="360"/>
        <v>0</v>
      </c>
      <c r="AB987">
        <f t="shared" si="361"/>
        <v>0.39433979623699272</v>
      </c>
      <c r="AC987">
        <f t="shared" si="362"/>
        <v>6000</v>
      </c>
      <c r="AD987">
        <f t="shared" si="363"/>
        <v>0</v>
      </c>
      <c r="AE987">
        <f t="shared" si="364"/>
        <v>6.7000407999999982</v>
      </c>
      <c r="AF987">
        <f t="shared" si="365"/>
        <v>6000</v>
      </c>
      <c r="AG987">
        <f t="shared" si="366"/>
        <v>0</v>
      </c>
      <c r="AH987">
        <f t="shared" si="367"/>
        <v>6.7000407999999982</v>
      </c>
      <c r="AI987" cm="1">
        <f t="array" ref="AI987">_xlfn.LET(
    _xlpm.vals,   _xlfn.HSTACK(S987,V987,Y987,AB987,AE987,AH987),
    _xlpm.ints,   _xlfn.HSTACK(R987,U987,X987,AA987,AD987,AG987),
    _xlpm.slopes, _xlfn.HSTACK(Q987,T987,W987,Z987,AC987,AF987),
    _xlpm.limit,  -0.00001*_xlpm.slopes + 0.1086*_xlpm.slopes + 63.253,
    _xlpm.mask,   (_xlpm.vals&gt;=0) * (_xlpm.ints&lt;=_xlpm.limit),
    _xlpm.validVals, _xlfn._xlws.FILTER(_xlpm.vals, _xlpm.mask),
    _xlpm.minVal, MIN(_xlpm.validVals),
    IFERROR( _xlfn.XMATCH(_xlpm.minVal, _xlpm.vals), "" )
)</f>
        <v>4</v>
      </c>
      <c r="AJ987" cm="1">
        <f t="array" ref="AJ987">_xlfn.LET(
    _xlpm.vals, CHOOSE({1,2,3,4,5,6}, S987, V987, Y987, AB987, AE987, AH987),
    _xlpm.slopes, CHOOSE({1,2,3,4,5,6}, Q987, T987, W987, Z987, AC987, AF987),
    _xlpm.ints, CHOOSE({1,2,3,4,5,6}, R987, U987, X987, AA987, AD987, AG987),
    _xlpm.limit, -0.00001*_xlpm.slopes + 0.1086*_xlpm.slopes + 63.253,
    _xlpm.valid, (_xlpm.vals &gt;= 0) * (_xlpm.ints &lt;= _xlpm.limit),
    _xlpm.target, MIN(_xlfn._xlws.FILTER(_xlpm.vals, _xlpm.valid)),
    IFERROR(
        _xlfn.XLOOKUP(_xlpm.target, _xlpm.vals, _xlpm.vals),
        CHOOSE({1,2,3,4,5,6}, S$1, V$1, Y$1, AB$1, AE$1, AH$1)
    )
)</f>
        <v>0.39433979623699272</v>
      </c>
    </row>
    <row r="988" spans="9:36" x14ac:dyDescent="0.45">
      <c r="I988">
        <v>986</v>
      </c>
      <c r="J988">
        <v>23.2</v>
      </c>
      <c r="K988">
        <f t="shared" si="346"/>
        <v>23.2</v>
      </c>
      <c r="L988">
        <f t="shared" si="345"/>
        <v>6.4444444444444445E-3</v>
      </c>
      <c r="M988">
        <v>0.45</v>
      </c>
      <c r="N988">
        <f t="shared" si="347"/>
        <v>0.45</v>
      </c>
      <c r="O988">
        <f t="shared" si="348"/>
        <v>301.4882406625353</v>
      </c>
      <c r="P988">
        <f t="shared" si="349"/>
        <v>964.76237012011302</v>
      </c>
      <c r="Q988">
        <f t="shared" si="350"/>
        <v>4418.6116551501173</v>
      </c>
      <c r="R988">
        <f t="shared" si="351"/>
        <v>0.97251892649868599</v>
      </c>
      <c r="S988">
        <f t="shared" si="352"/>
        <v>2.618179692489393</v>
      </c>
      <c r="T988">
        <f t="shared" si="353"/>
        <v>2855.6966155555347</v>
      </c>
      <c r="U988">
        <f t="shared" si="354"/>
        <v>1.5047759065418855</v>
      </c>
      <c r="V988">
        <f t="shared" si="355"/>
        <v>0.90595129470087976</v>
      </c>
      <c r="W988">
        <f t="shared" si="356"/>
        <v>1842.6961269294159</v>
      </c>
      <c r="X988">
        <f t="shared" si="357"/>
        <v>2.33200873474554</v>
      </c>
      <c r="Y988">
        <f t="shared" si="358"/>
        <v>0.50852933446255844</v>
      </c>
      <c r="Z988">
        <f t="shared" si="359"/>
        <v>1389.2578129729627</v>
      </c>
      <c r="AA988">
        <f t="shared" si="360"/>
        <v>3.0931504745583207</v>
      </c>
      <c r="AB988">
        <f t="shared" si="361"/>
        <v>0.41465682641088292</v>
      </c>
      <c r="AC988">
        <f t="shared" si="362"/>
        <v>6000</v>
      </c>
      <c r="AD988">
        <f t="shared" si="363"/>
        <v>0.71619724391352901</v>
      </c>
      <c r="AE988">
        <f t="shared" si="364"/>
        <v>6.7044155969597918</v>
      </c>
      <c r="AF988">
        <f t="shared" si="365"/>
        <v>6000</v>
      </c>
      <c r="AG988">
        <f t="shared" si="366"/>
        <v>0.71619724391352901</v>
      </c>
      <c r="AH988">
        <f t="shared" si="367"/>
        <v>6.7044155969597918</v>
      </c>
      <c r="AI988" cm="1">
        <f t="array" ref="AI988">_xlfn.LET(
    _xlpm.vals,   _xlfn.HSTACK(S988,V988,Y988,AB988,AE988,AH988),
    _xlpm.ints,   _xlfn.HSTACK(R988,U988,X988,AA988,AD988,AG988),
    _xlpm.slopes, _xlfn.HSTACK(Q988,T988,W988,Z988,AC988,AF988),
    _xlpm.limit,  -0.00001*_xlpm.slopes + 0.1086*_xlpm.slopes + 63.253,
    _xlpm.mask,   (_xlpm.vals&gt;=0) * (_xlpm.ints&lt;=_xlpm.limit),
    _xlpm.validVals, _xlfn._xlws.FILTER(_xlpm.vals, _xlpm.mask),
    _xlpm.minVal, MIN(_xlpm.validVals),
    IFERROR( _xlfn.XMATCH(_xlpm.minVal, _xlpm.vals), "" )
)</f>
        <v>4</v>
      </c>
      <c r="AJ988" cm="1">
        <f t="array" ref="AJ988">_xlfn.LET(
    _xlpm.vals, CHOOSE({1,2,3,4,5,6}, S988, V988, Y988, AB988, AE988, AH988),
    _xlpm.slopes, CHOOSE({1,2,3,4,5,6}, Q988, T988, W988, Z988, AC988, AF988),
    _xlpm.ints, CHOOSE({1,2,3,4,5,6}, R988, U988, X988, AA988, AD988, AG988),
    _xlpm.limit, -0.00001*_xlpm.slopes + 0.1086*_xlpm.slopes + 63.253,
    _xlpm.valid, (_xlpm.vals &gt;= 0) * (_xlpm.ints &lt;= _xlpm.limit),
    _xlpm.target, MIN(_xlfn._xlws.FILTER(_xlpm.vals, _xlpm.valid)),
    IFERROR(
        _xlfn.XLOOKUP(_xlpm.target, _xlpm.vals, _xlpm.vals),
        CHOOSE({1,2,3,4,5,6}, S$1, V$1, Y$1, AB$1, AE$1, AH$1)
    )
)</f>
        <v>0.41465682641088292</v>
      </c>
    </row>
    <row r="989" spans="9:36" x14ac:dyDescent="0.45">
      <c r="I989">
        <v>987</v>
      </c>
      <c r="J989">
        <v>22.8</v>
      </c>
      <c r="K989">
        <f t="shared" si="346"/>
        <v>22.8</v>
      </c>
      <c r="L989">
        <f t="shared" si="345"/>
        <v>6.3333333333333332E-3</v>
      </c>
      <c r="M989">
        <v>-1.32</v>
      </c>
      <c r="N989">
        <f t="shared" si="347"/>
        <v>0</v>
      </c>
      <c r="O989">
        <f t="shared" si="348"/>
        <v>296.29016754766405</v>
      </c>
      <c r="P989">
        <f t="shared" si="349"/>
        <v>948.12853615252504</v>
      </c>
      <c r="Q989">
        <f t="shared" si="350"/>
        <v>4342.4286955785647</v>
      </c>
      <c r="R989">
        <f t="shared" si="351"/>
        <v>0</v>
      </c>
      <c r="S989">
        <f t="shared" si="352"/>
        <v>2.4767817180539096</v>
      </c>
      <c r="T989">
        <f t="shared" si="353"/>
        <v>2806.4604670114741</v>
      </c>
      <c r="U989">
        <f t="shared" si="354"/>
        <v>0</v>
      </c>
      <c r="V989">
        <f t="shared" si="355"/>
        <v>0.85633179139936844</v>
      </c>
      <c r="W989">
        <f t="shared" si="356"/>
        <v>1810.9255040513228</v>
      </c>
      <c r="X989">
        <f t="shared" si="357"/>
        <v>0</v>
      </c>
      <c r="Y989">
        <f t="shared" si="358"/>
        <v>0.47599502114343384</v>
      </c>
      <c r="Z989">
        <f t="shared" si="359"/>
        <v>1365.3050920596361</v>
      </c>
      <c r="AA989">
        <f t="shared" si="360"/>
        <v>0</v>
      </c>
      <c r="AB989">
        <f t="shared" si="361"/>
        <v>0.38444503818896236</v>
      </c>
      <c r="AC989">
        <f t="shared" si="362"/>
        <v>6000</v>
      </c>
      <c r="AD989">
        <f t="shared" si="363"/>
        <v>0</v>
      </c>
      <c r="AE989">
        <f t="shared" si="364"/>
        <v>6.7000407999999982</v>
      </c>
      <c r="AF989">
        <f t="shared" si="365"/>
        <v>6000</v>
      </c>
      <c r="AG989">
        <f t="shared" si="366"/>
        <v>0</v>
      </c>
      <c r="AH989">
        <f t="shared" si="367"/>
        <v>6.7000407999999982</v>
      </c>
      <c r="AI989" cm="1">
        <f t="array" ref="AI989">_xlfn.LET(
    _xlpm.vals,   _xlfn.HSTACK(S989,V989,Y989,AB989,AE989,AH989),
    _xlpm.ints,   _xlfn.HSTACK(R989,U989,X989,AA989,AD989,AG989),
    _xlpm.slopes, _xlfn.HSTACK(Q989,T989,W989,Z989,AC989,AF989),
    _xlpm.limit,  -0.00001*_xlpm.slopes + 0.1086*_xlpm.slopes + 63.253,
    _xlpm.mask,   (_xlpm.vals&gt;=0) * (_xlpm.ints&lt;=_xlpm.limit),
    _xlpm.validVals, _xlfn._xlws.FILTER(_xlpm.vals, _xlpm.mask),
    _xlpm.minVal, MIN(_xlpm.validVals),
    IFERROR( _xlfn.XMATCH(_xlpm.minVal, _xlpm.vals), "" )
)</f>
        <v>4</v>
      </c>
      <c r="AJ989" cm="1">
        <f t="array" ref="AJ989">_xlfn.LET(
    _xlpm.vals, CHOOSE({1,2,3,4,5,6}, S989, V989, Y989, AB989, AE989, AH989),
    _xlpm.slopes, CHOOSE({1,2,3,4,5,6}, Q989, T989, W989, Z989, AC989, AF989),
    _xlpm.ints, CHOOSE({1,2,3,4,5,6}, R989, U989, X989, AA989, AD989, AG989),
    _xlpm.limit, -0.00001*_xlpm.slopes + 0.1086*_xlpm.slopes + 63.253,
    _xlpm.valid, (_xlpm.vals &gt;= 0) * (_xlpm.ints &lt;= _xlpm.limit),
    _xlpm.target, MIN(_xlfn._xlws.FILTER(_xlpm.vals, _xlpm.valid)),
    IFERROR(
        _xlfn.XLOOKUP(_xlpm.target, _xlpm.vals, _xlpm.vals),
        CHOOSE({1,2,3,4,5,6}, S$1, V$1, Y$1, AB$1, AE$1, AH$1)
    )
)</f>
        <v>0.38444503818896236</v>
      </c>
    </row>
    <row r="990" spans="9:36" x14ac:dyDescent="0.45">
      <c r="I990">
        <v>988</v>
      </c>
      <c r="J990">
        <v>22.3</v>
      </c>
      <c r="K990">
        <f t="shared" si="346"/>
        <v>22.3</v>
      </c>
      <c r="L990">
        <f t="shared" si="345"/>
        <v>6.1944444444444443E-3</v>
      </c>
      <c r="M990">
        <v>1.02</v>
      </c>
      <c r="N990">
        <f t="shared" si="347"/>
        <v>1.02</v>
      </c>
      <c r="O990">
        <f t="shared" si="348"/>
        <v>289.79257615407488</v>
      </c>
      <c r="P990">
        <f t="shared" si="349"/>
        <v>927.33624369303971</v>
      </c>
      <c r="Q990">
        <f t="shared" si="350"/>
        <v>4247.1999961141219</v>
      </c>
      <c r="R990">
        <f t="shared" si="351"/>
        <v>2.2933420903502642</v>
      </c>
      <c r="S990">
        <f t="shared" si="352"/>
        <v>2.3555648007196264</v>
      </c>
      <c r="T990">
        <f t="shared" si="353"/>
        <v>2744.9152813313976</v>
      </c>
      <c r="U990">
        <f t="shared" si="354"/>
        <v>3.5484820181770984</v>
      </c>
      <c r="V990">
        <f t="shared" si="355"/>
        <v>0.87098580149057969</v>
      </c>
      <c r="W990">
        <f t="shared" si="356"/>
        <v>1771.2122254537057</v>
      </c>
      <c r="X990">
        <f t="shared" si="357"/>
        <v>5.4992182061802151</v>
      </c>
      <c r="Y990">
        <f t="shared" si="358"/>
        <v>0.52479840221493101</v>
      </c>
      <c r="Z990">
        <f t="shared" si="359"/>
        <v>1335.3641909179771</v>
      </c>
      <c r="AA990">
        <f t="shared" si="360"/>
        <v>7.2941019262529245</v>
      </c>
      <c r="AB990">
        <f t="shared" si="361"/>
        <v>0.43975659810759959</v>
      </c>
      <c r="AC990">
        <f t="shared" si="362"/>
        <v>6000</v>
      </c>
      <c r="AD990">
        <f t="shared" si="363"/>
        <v>1.6233804195373325</v>
      </c>
      <c r="AE990">
        <f t="shared" si="364"/>
        <v>6.7102022273783124</v>
      </c>
      <c r="AF990">
        <f t="shared" si="365"/>
        <v>6000</v>
      </c>
      <c r="AG990">
        <f t="shared" si="366"/>
        <v>1.6233804195373325</v>
      </c>
      <c r="AH990">
        <f t="shared" si="367"/>
        <v>6.7102022273783124</v>
      </c>
      <c r="AI990" cm="1">
        <f t="array" ref="AI990">_xlfn.LET(
    _xlpm.vals,   _xlfn.HSTACK(S990,V990,Y990,AB990,AE990,AH990),
    _xlpm.ints,   _xlfn.HSTACK(R990,U990,X990,AA990,AD990,AG990),
    _xlpm.slopes, _xlfn.HSTACK(Q990,T990,W990,Z990,AC990,AF990),
    _xlpm.limit,  -0.00001*_xlpm.slopes + 0.1086*_xlpm.slopes + 63.253,
    _xlpm.mask,   (_xlpm.vals&gt;=0) * (_xlpm.ints&lt;=_xlpm.limit),
    _xlpm.validVals, _xlfn._xlws.FILTER(_xlpm.vals, _xlpm.mask),
    _xlpm.minVal, MIN(_xlpm.validVals),
    IFERROR( _xlfn.XMATCH(_xlpm.minVal, _xlpm.vals), "" )
)</f>
        <v>4</v>
      </c>
      <c r="AJ990" cm="1">
        <f t="array" ref="AJ990">_xlfn.LET(
    _xlpm.vals, CHOOSE({1,2,3,4,5,6}, S990, V990, Y990, AB990, AE990, AH990),
    _xlpm.slopes, CHOOSE({1,2,3,4,5,6}, Q990, T990, W990, Z990, AC990, AF990),
    _xlpm.ints, CHOOSE({1,2,3,4,5,6}, R990, U990, X990, AA990, AD990, AG990),
    _xlpm.limit, -0.00001*_xlpm.slopes + 0.1086*_xlpm.slopes + 63.253,
    _xlpm.valid, (_xlpm.vals &gt;= 0) * (_xlpm.ints &lt;= _xlpm.limit),
    _xlpm.target, MIN(_xlfn._xlws.FILTER(_xlpm.vals, _xlpm.valid)),
    IFERROR(
        _xlfn.XLOOKUP(_xlpm.target, _xlpm.vals, _xlpm.vals),
        CHOOSE({1,2,3,4,5,6}, S$1, V$1, Y$1, AB$1, AE$1, AH$1)
    )
)</f>
        <v>0.43975659810759959</v>
      </c>
    </row>
    <row r="991" spans="9:36" x14ac:dyDescent="0.45">
      <c r="I991">
        <v>989</v>
      </c>
      <c r="J991">
        <v>22</v>
      </c>
      <c r="K991">
        <f t="shared" si="346"/>
        <v>22</v>
      </c>
      <c r="L991">
        <f t="shared" si="345"/>
        <v>6.1111111111111114E-3</v>
      </c>
      <c r="M991">
        <v>1.22</v>
      </c>
      <c r="N991">
        <f t="shared" si="347"/>
        <v>1.22</v>
      </c>
      <c r="O991">
        <f t="shared" si="348"/>
        <v>285.89402131792139</v>
      </c>
      <c r="P991">
        <f t="shared" si="349"/>
        <v>914.86086821734852</v>
      </c>
      <c r="Q991">
        <f t="shared" si="350"/>
        <v>4190.0627764354567</v>
      </c>
      <c r="R991">
        <f t="shared" si="351"/>
        <v>2.7804217874362429</v>
      </c>
      <c r="S991">
        <f t="shared" si="352"/>
        <v>2.2748852344093939</v>
      </c>
      <c r="T991">
        <f t="shared" si="353"/>
        <v>2707.9881699233515</v>
      </c>
      <c r="U991">
        <f t="shared" si="354"/>
        <v>4.3021391170466199</v>
      </c>
      <c r="V991">
        <f t="shared" si="355"/>
        <v>0.86158200996626566</v>
      </c>
      <c r="W991">
        <f t="shared" si="356"/>
        <v>1747.3842582951356</v>
      </c>
      <c r="X991">
        <f t="shared" si="357"/>
        <v>6.6671894169937138</v>
      </c>
      <c r="Y991">
        <f t="shared" si="358"/>
        <v>0.53150721991145711</v>
      </c>
      <c r="Z991">
        <f t="shared" si="359"/>
        <v>1317.3996502329819</v>
      </c>
      <c r="AA991">
        <f t="shared" si="360"/>
        <v>8.8432859628180509</v>
      </c>
      <c r="AB991">
        <f t="shared" si="361"/>
        <v>0.44937505127739552</v>
      </c>
      <c r="AC991">
        <f t="shared" si="362"/>
        <v>6000</v>
      </c>
      <c r="AD991">
        <f t="shared" si="363"/>
        <v>1.9416903057211232</v>
      </c>
      <c r="AE991">
        <f t="shared" si="364"/>
        <v>6.7122973142002573</v>
      </c>
      <c r="AF991">
        <f t="shared" si="365"/>
        <v>6000</v>
      </c>
      <c r="AG991">
        <f t="shared" si="366"/>
        <v>1.9416903057211232</v>
      </c>
      <c r="AH991">
        <f t="shared" si="367"/>
        <v>6.7122973142002573</v>
      </c>
      <c r="AI991" cm="1">
        <f t="array" ref="AI991">_xlfn.LET(
    _xlpm.vals,   _xlfn.HSTACK(S991,V991,Y991,AB991,AE991,AH991),
    _xlpm.ints,   _xlfn.HSTACK(R991,U991,X991,AA991,AD991,AG991),
    _xlpm.slopes, _xlfn.HSTACK(Q991,T991,W991,Z991,AC991,AF991),
    _xlpm.limit,  -0.00001*_xlpm.slopes + 0.1086*_xlpm.slopes + 63.253,
    _xlpm.mask,   (_xlpm.vals&gt;=0) * (_xlpm.ints&lt;=_xlpm.limit),
    _xlpm.validVals, _xlfn._xlws.FILTER(_xlpm.vals, _xlpm.mask),
    _xlpm.minVal, MIN(_xlpm.validVals),
    IFERROR( _xlfn.XMATCH(_xlpm.minVal, _xlpm.vals), "" )
)</f>
        <v>4</v>
      </c>
      <c r="AJ991" cm="1">
        <f t="array" ref="AJ991">_xlfn.LET(
    _xlpm.vals, CHOOSE({1,2,3,4,5,6}, S991, V991, Y991, AB991, AE991, AH991),
    _xlpm.slopes, CHOOSE({1,2,3,4,5,6}, Q991, T991, W991, Z991, AC991, AF991),
    _xlpm.ints, CHOOSE({1,2,3,4,5,6}, R991, U991, X991, AA991, AD991, AG991),
    _xlpm.limit, -0.00001*_xlpm.slopes + 0.1086*_xlpm.slopes + 63.253,
    _xlpm.valid, (_xlpm.vals &gt;= 0) * (_xlpm.ints &lt;= _xlpm.limit),
    _xlpm.target, MIN(_xlfn._xlws.FILTER(_xlpm.vals, _xlpm.valid)),
    IFERROR(
        _xlfn.XLOOKUP(_xlpm.target, _xlpm.vals, _xlpm.vals),
        CHOOSE({1,2,3,4,5,6}, S$1, V$1, Y$1, AB$1, AE$1, AH$1)
    )
)</f>
        <v>0.44937505127739552</v>
      </c>
    </row>
    <row r="992" spans="9:36" x14ac:dyDescent="0.45">
      <c r="I992">
        <v>990</v>
      </c>
      <c r="J992">
        <v>21.4</v>
      </c>
      <c r="K992">
        <f t="shared" si="346"/>
        <v>21.4</v>
      </c>
      <c r="L992">
        <f t="shared" si="345"/>
        <v>5.944444444444444E-3</v>
      </c>
      <c r="M992">
        <v>-0.6</v>
      </c>
      <c r="N992">
        <f t="shared" si="347"/>
        <v>0</v>
      </c>
      <c r="O992">
        <f t="shared" si="348"/>
        <v>278.09691164561445</v>
      </c>
      <c r="P992">
        <f t="shared" si="349"/>
        <v>889.91011726596628</v>
      </c>
      <c r="Q992">
        <f t="shared" si="350"/>
        <v>4075.7883370781256</v>
      </c>
      <c r="R992">
        <f t="shared" si="351"/>
        <v>0</v>
      </c>
      <c r="S992">
        <f t="shared" si="352"/>
        <v>2.0686074221040602</v>
      </c>
      <c r="T992">
        <f t="shared" si="353"/>
        <v>2634.1339471072602</v>
      </c>
      <c r="U992">
        <f t="shared" si="354"/>
        <v>0</v>
      </c>
      <c r="V992">
        <f t="shared" si="355"/>
        <v>0.76444858543808147</v>
      </c>
      <c r="W992">
        <f t="shared" si="356"/>
        <v>1699.7283239779956</v>
      </c>
      <c r="X992">
        <f t="shared" si="357"/>
        <v>0</v>
      </c>
      <c r="Y992">
        <f t="shared" si="358"/>
        <v>0.45057427865321203</v>
      </c>
      <c r="Z992">
        <f t="shared" si="359"/>
        <v>1281.4705688629913</v>
      </c>
      <c r="AA992">
        <f t="shared" si="360"/>
        <v>0</v>
      </c>
      <c r="AB992">
        <f t="shared" si="361"/>
        <v>0.36940287039138919</v>
      </c>
      <c r="AC992">
        <f t="shared" si="362"/>
        <v>6000</v>
      </c>
      <c r="AD992">
        <f t="shared" si="363"/>
        <v>0</v>
      </c>
      <c r="AE992">
        <f t="shared" si="364"/>
        <v>6.7000407999999982</v>
      </c>
      <c r="AF992">
        <f t="shared" si="365"/>
        <v>6000</v>
      </c>
      <c r="AG992">
        <f t="shared" si="366"/>
        <v>0</v>
      </c>
      <c r="AH992">
        <f t="shared" si="367"/>
        <v>6.7000407999999982</v>
      </c>
      <c r="AI992" cm="1">
        <f t="array" ref="AI992">_xlfn.LET(
    _xlpm.vals,   _xlfn.HSTACK(S992,V992,Y992,AB992,AE992,AH992),
    _xlpm.ints,   _xlfn.HSTACK(R992,U992,X992,AA992,AD992,AG992),
    _xlpm.slopes, _xlfn.HSTACK(Q992,T992,W992,Z992,AC992,AF992),
    _xlpm.limit,  -0.00001*_xlpm.slopes + 0.1086*_xlpm.slopes + 63.253,
    _xlpm.mask,   (_xlpm.vals&gt;=0) * (_xlpm.ints&lt;=_xlpm.limit),
    _xlpm.validVals, _xlfn._xlws.FILTER(_xlpm.vals, _xlpm.mask),
    _xlpm.minVal, MIN(_xlpm.validVals),
    IFERROR( _xlfn.XMATCH(_xlpm.minVal, _xlpm.vals), "" )
)</f>
        <v>4</v>
      </c>
      <c r="AJ992" cm="1">
        <f t="array" ref="AJ992">_xlfn.LET(
    _xlpm.vals, CHOOSE({1,2,3,4,5,6}, S992, V992, Y992, AB992, AE992, AH992),
    _xlpm.slopes, CHOOSE({1,2,3,4,5,6}, Q992, T992, W992, Z992, AC992, AF992),
    _xlpm.ints, CHOOSE({1,2,3,4,5,6}, R992, U992, X992, AA992, AD992, AG992),
    _xlpm.limit, -0.00001*_xlpm.slopes + 0.1086*_xlpm.slopes + 63.253,
    _xlpm.valid, (_xlpm.vals &gt;= 0) * (_xlpm.ints &lt;= _xlpm.limit),
    _xlpm.target, MIN(_xlfn._xlws.FILTER(_xlpm.vals, _xlpm.valid)),
    IFERROR(
        _xlfn.XLOOKUP(_xlpm.target, _xlpm.vals, _xlpm.vals),
        CHOOSE({1,2,3,4,5,6}, S$1, V$1, Y$1, AB$1, AE$1, AH$1)
    )
)</f>
        <v>0.36940287039138919</v>
      </c>
    </row>
    <row r="993" spans="9:36" x14ac:dyDescent="0.45">
      <c r="I993">
        <v>991</v>
      </c>
      <c r="J993">
        <v>20</v>
      </c>
      <c r="K993">
        <f t="shared" si="346"/>
        <v>20</v>
      </c>
      <c r="L993">
        <f t="shared" si="345"/>
        <v>5.5555555555555558E-3</v>
      </c>
      <c r="M993">
        <v>-0.59</v>
      </c>
      <c r="N993">
        <f t="shared" si="347"/>
        <v>0</v>
      </c>
      <c r="O993">
        <f t="shared" si="348"/>
        <v>259.90365574356491</v>
      </c>
      <c r="P993">
        <f t="shared" si="349"/>
        <v>831.69169837940774</v>
      </c>
      <c r="Q993">
        <f t="shared" si="350"/>
        <v>3809.1479785776874</v>
      </c>
      <c r="R993">
        <f t="shared" si="351"/>
        <v>0</v>
      </c>
      <c r="S993">
        <f t="shared" si="352"/>
        <v>1.7205964836765486</v>
      </c>
      <c r="T993">
        <f t="shared" si="353"/>
        <v>2461.8074272030467</v>
      </c>
      <c r="U993">
        <f t="shared" si="354"/>
        <v>0</v>
      </c>
      <c r="V993">
        <f t="shared" si="355"/>
        <v>0.68533121078423831</v>
      </c>
      <c r="W993">
        <f t="shared" si="356"/>
        <v>1588.5311439046686</v>
      </c>
      <c r="X993">
        <f t="shared" si="357"/>
        <v>0</v>
      </c>
      <c r="Y993">
        <f t="shared" si="358"/>
        <v>0.42713227595836656</v>
      </c>
      <c r="Z993">
        <f t="shared" si="359"/>
        <v>1197.6360456663472</v>
      </c>
      <c r="AA993">
        <f t="shared" si="360"/>
        <v>0</v>
      </c>
      <c r="AB993">
        <f t="shared" si="361"/>
        <v>0.35463649663328495</v>
      </c>
      <c r="AC993">
        <f t="shared" si="362"/>
        <v>6000</v>
      </c>
      <c r="AD993">
        <f t="shared" si="363"/>
        <v>0</v>
      </c>
      <c r="AE993">
        <f t="shared" si="364"/>
        <v>6.7000407999999982</v>
      </c>
      <c r="AF993">
        <f t="shared" si="365"/>
        <v>6000</v>
      </c>
      <c r="AG993">
        <f t="shared" si="366"/>
        <v>0</v>
      </c>
      <c r="AH993">
        <f t="shared" si="367"/>
        <v>6.7000407999999982</v>
      </c>
      <c r="AI993" cm="1">
        <f t="array" ref="AI993">_xlfn.LET(
    _xlpm.vals,   _xlfn.HSTACK(S993,V993,Y993,AB993,AE993,AH993),
    _xlpm.ints,   _xlfn.HSTACK(R993,U993,X993,AA993,AD993,AG993),
    _xlpm.slopes, _xlfn.HSTACK(Q993,T993,W993,Z993,AC993,AF993),
    _xlpm.limit,  -0.00001*_xlpm.slopes + 0.1086*_xlpm.slopes + 63.253,
    _xlpm.mask,   (_xlpm.vals&gt;=0) * (_xlpm.ints&lt;=_xlpm.limit),
    _xlpm.validVals, _xlfn._xlws.FILTER(_xlpm.vals, _xlpm.mask),
    _xlpm.minVal, MIN(_xlpm.validVals),
    IFERROR( _xlfn.XMATCH(_xlpm.minVal, _xlpm.vals), "" )
)</f>
        <v>4</v>
      </c>
      <c r="AJ993" cm="1">
        <f t="array" ref="AJ993">_xlfn.LET(
    _xlpm.vals, CHOOSE({1,2,3,4,5,6}, S993, V993, Y993, AB993, AE993, AH993),
    _xlpm.slopes, CHOOSE({1,2,3,4,5,6}, Q993, T993, W993, Z993, AC993, AF993),
    _xlpm.ints, CHOOSE({1,2,3,4,5,6}, R993, U993, X993, AA993, AD993, AG993),
    _xlpm.limit, -0.00001*_xlpm.slopes + 0.1086*_xlpm.slopes + 63.253,
    _xlpm.valid, (_xlpm.vals &gt;= 0) * (_xlpm.ints &lt;= _xlpm.limit),
    _xlpm.target, MIN(_xlfn._xlws.FILTER(_xlpm.vals, _xlpm.valid)),
    IFERROR(
        _xlfn.XLOOKUP(_xlpm.target, _xlpm.vals, _xlpm.vals),
        CHOOSE({1,2,3,4,5,6}, S$1, V$1, Y$1, AB$1, AE$1, AH$1)
    )
)</f>
        <v>0.35463649663328495</v>
      </c>
    </row>
    <row r="994" spans="9:36" x14ac:dyDescent="0.45">
      <c r="I994">
        <v>992</v>
      </c>
      <c r="J994">
        <v>17</v>
      </c>
      <c r="K994">
        <f t="shared" si="346"/>
        <v>17</v>
      </c>
      <c r="L994">
        <f t="shared" si="345"/>
        <v>4.7222222222222223E-3</v>
      </c>
      <c r="M994">
        <v>-0.38</v>
      </c>
      <c r="N994">
        <f t="shared" si="347"/>
        <v>0</v>
      </c>
      <c r="O994">
        <f t="shared" si="348"/>
        <v>220.91810738203017</v>
      </c>
      <c r="P994">
        <f t="shared" si="349"/>
        <v>706.93794362249662</v>
      </c>
      <c r="Q994">
        <f t="shared" si="350"/>
        <v>3237.7757817910347</v>
      </c>
      <c r="R994">
        <f t="shared" si="351"/>
        <v>0</v>
      </c>
      <c r="S994">
        <f t="shared" si="352"/>
        <v>1.1519914632372885</v>
      </c>
      <c r="T994">
        <f t="shared" si="353"/>
        <v>2092.5363131225899</v>
      </c>
      <c r="U994">
        <f t="shared" si="354"/>
        <v>0</v>
      </c>
      <c r="V994">
        <f t="shared" si="355"/>
        <v>0.55190859646060009</v>
      </c>
      <c r="W994">
        <f t="shared" si="356"/>
        <v>1350.2514723189686</v>
      </c>
      <c r="X994">
        <f t="shared" si="357"/>
        <v>0</v>
      </c>
      <c r="Y994">
        <f t="shared" si="358"/>
        <v>0.38171609325790895</v>
      </c>
      <c r="Z994">
        <f t="shared" si="359"/>
        <v>1017.9906388163951</v>
      </c>
      <c r="AA994">
        <f t="shared" si="360"/>
        <v>0</v>
      </c>
      <c r="AB994">
        <f t="shared" si="361"/>
        <v>0.32313170244944506</v>
      </c>
      <c r="AC994">
        <f t="shared" si="362"/>
        <v>6000</v>
      </c>
      <c r="AD994">
        <f t="shared" si="363"/>
        <v>0</v>
      </c>
      <c r="AE994">
        <f t="shared" si="364"/>
        <v>6.7000407999999982</v>
      </c>
      <c r="AF994">
        <f t="shared" si="365"/>
        <v>6000</v>
      </c>
      <c r="AG994">
        <f t="shared" si="366"/>
        <v>0</v>
      </c>
      <c r="AH994">
        <f t="shared" si="367"/>
        <v>6.7000407999999982</v>
      </c>
      <c r="AI994" cm="1">
        <f t="array" ref="AI994">_xlfn.LET(
    _xlpm.vals,   _xlfn.HSTACK(S994,V994,Y994,AB994,AE994,AH994),
    _xlpm.ints,   _xlfn.HSTACK(R994,U994,X994,AA994,AD994,AG994),
    _xlpm.slopes, _xlfn.HSTACK(Q994,T994,W994,Z994,AC994,AF994),
    _xlpm.limit,  -0.00001*_xlpm.slopes + 0.1086*_xlpm.slopes + 63.253,
    _xlpm.mask,   (_xlpm.vals&gt;=0) * (_xlpm.ints&lt;=_xlpm.limit),
    _xlpm.validVals, _xlfn._xlws.FILTER(_xlpm.vals, _xlpm.mask),
    _xlpm.minVal, MIN(_xlpm.validVals),
    IFERROR( _xlfn.XMATCH(_xlpm.minVal, _xlpm.vals), "" )
)</f>
        <v>4</v>
      </c>
      <c r="AJ994" cm="1">
        <f t="array" ref="AJ994">_xlfn.LET(
    _xlpm.vals, CHOOSE({1,2,3,4,5,6}, S994, V994, Y994, AB994, AE994, AH994),
    _xlpm.slopes, CHOOSE({1,2,3,4,5,6}, Q994, T994, W994, Z994, AC994, AF994),
    _xlpm.ints, CHOOSE({1,2,3,4,5,6}, R994, U994, X994, AA994, AD994, AG994),
    _xlpm.limit, -0.00001*_xlpm.slopes + 0.1086*_xlpm.slopes + 63.253,
    _xlpm.valid, (_xlpm.vals &gt;= 0) * (_xlpm.ints &lt;= _xlpm.limit),
    _xlpm.target, MIN(_xlfn._xlws.FILTER(_xlpm.vals, _xlpm.valid)),
    IFERROR(
        _xlfn.XLOOKUP(_xlpm.target, _xlpm.vals, _xlpm.vals),
        CHOOSE({1,2,3,4,5,6}, S$1, V$1, Y$1, AB$1, AE$1, AH$1)
    )
)</f>
        <v>0.32313170244944506</v>
      </c>
    </row>
    <row r="995" spans="9:36" x14ac:dyDescent="0.45">
      <c r="I995">
        <v>993</v>
      </c>
      <c r="J995">
        <v>13.6</v>
      </c>
      <c r="K995">
        <f t="shared" si="346"/>
        <v>13.6</v>
      </c>
      <c r="L995">
        <f t="shared" si="345"/>
        <v>3.7777777777777775E-3</v>
      </c>
      <c r="M995">
        <v>-0.2</v>
      </c>
      <c r="N995">
        <f t="shared" si="347"/>
        <v>0</v>
      </c>
      <c r="O995">
        <f t="shared" si="348"/>
        <v>176.73448590562413</v>
      </c>
      <c r="P995">
        <f t="shared" si="349"/>
        <v>565.55035489799718</v>
      </c>
      <c r="Q995">
        <f t="shared" si="350"/>
        <v>2590.2206254328271</v>
      </c>
      <c r="R995">
        <f t="shared" si="351"/>
        <v>0</v>
      </c>
      <c r="S995">
        <f t="shared" si="352"/>
        <v>0.74313404167057451</v>
      </c>
      <c r="T995">
        <f t="shared" si="353"/>
        <v>1674.0290504980717</v>
      </c>
      <c r="U995">
        <f t="shared" si="354"/>
        <v>0</v>
      </c>
      <c r="V995">
        <f t="shared" si="355"/>
        <v>0.44499515959515207</v>
      </c>
      <c r="W995">
        <f t="shared" si="356"/>
        <v>1080.2011778551746</v>
      </c>
      <c r="X995">
        <f t="shared" si="357"/>
        <v>0</v>
      </c>
      <c r="Y995">
        <f t="shared" si="358"/>
        <v>0.33409125683610902</v>
      </c>
      <c r="Z995">
        <f t="shared" si="359"/>
        <v>6000</v>
      </c>
      <c r="AA995">
        <f t="shared" si="360"/>
        <v>0</v>
      </c>
      <c r="AB995">
        <f t="shared" si="361"/>
        <v>6.7000407999999982</v>
      </c>
      <c r="AC995">
        <f t="shared" si="362"/>
        <v>6000</v>
      </c>
      <c r="AD995">
        <f t="shared" si="363"/>
        <v>0</v>
      </c>
      <c r="AE995">
        <f t="shared" si="364"/>
        <v>6.7000407999999982</v>
      </c>
      <c r="AF995">
        <f t="shared" si="365"/>
        <v>6000</v>
      </c>
      <c r="AG995">
        <f t="shared" si="366"/>
        <v>0</v>
      </c>
      <c r="AH995">
        <f t="shared" si="367"/>
        <v>6.7000407999999982</v>
      </c>
      <c r="AI995" cm="1">
        <f t="array" ref="AI995">_xlfn.LET(
    _xlpm.vals,   _xlfn.HSTACK(S995,V995,Y995,AB995,AE995,AH995),
    _xlpm.ints,   _xlfn.HSTACK(R995,U995,X995,AA995,AD995,AG995),
    _xlpm.slopes, _xlfn.HSTACK(Q995,T995,W995,Z995,AC995,AF995),
    _xlpm.limit,  -0.00001*_xlpm.slopes + 0.1086*_xlpm.slopes + 63.253,
    _xlpm.mask,   (_xlpm.vals&gt;=0) * (_xlpm.ints&lt;=_xlpm.limit),
    _xlpm.validVals, _xlfn._xlws.FILTER(_xlpm.vals, _xlpm.mask),
    _xlpm.minVal, MIN(_xlpm.validVals),
    IFERROR( _xlfn.XMATCH(_xlpm.minVal, _xlpm.vals), "" )
)</f>
        <v>3</v>
      </c>
      <c r="AJ995" cm="1">
        <f t="array" ref="AJ995">_xlfn.LET(
    _xlpm.vals, CHOOSE({1,2,3,4,5,6}, S995, V995, Y995, AB995, AE995, AH995),
    _xlpm.slopes, CHOOSE({1,2,3,4,5,6}, Q995, T995, W995, Z995, AC995, AF995),
    _xlpm.ints, CHOOSE({1,2,3,4,5,6}, R995, U995, X995, AA995, AD995, AG995),
    _xlpm.limit, -0.00001*_xlpm.slopes + 0.1086*_xlpm.slopes + 63.253,
    _xlpm.valid, (_xlpm.vals &gt;= 0) * (_xlpm.ints &lt;= _xlpm.limit),
    _xlpm.target, MIN(_xlfn._xlws.FILTER(_xlpm.vals, _xlpm.valid)),
    IFERROR(
        _xlfn.XLOOKUP(_xlpm.target, _xlpm.vals, _xlpm.vals),
        CHOOSE({1,2,3,4,5,6}, S$1, V$1, Y$1, AB$1, AE$1, AH$1)
    )
)</f>
        <v>0.33409125683610902</v>
      </c>
    </row>
    <row r="996" spans="9:36" x14ac:dyDescent="0.45">
      <c r="I996">
        <v>994</v>
      </c>
      <c r="J996">
        <v>10.199999999999999</v>
      </c>
      <c r="K996">
        <f t="shared" si="346"/>
        <v>10.199999999999999</v>
      </c>
      <c r="L996">
        <f t="shared" si="345"/>
        <v>2.8333333333333331E-3</v>
      </c>
      <c r="M996">
        <v>-0.32</v>
      </c>
      <c r="N996">
        <f t="shared" si="347"/>
        <v>0</v>
      </c>
      <c r="O996">
        <f t="shared" si="348"/>
        <v>132.55086442921808</v>
      </c>
      <c r="P996">
        <f t="shared" si="349"/>
        <v>424.16276617349786</v>
      </c>
      <c r="Q996">
        <f t="shared" si="350"/>
        <v>1942.6654690746202</v>
      </c>
      <c r="R996">
        <f t="shared" si="351"/>
        <v>0</v>
      </c>
      <c r="S996">
        <f t="shared" si="352"/>
        <v>0.50921840355487558</v>
      </c>
      <c r="T996">
        <f t="shared" si="353"/>
        <v>1255.5217878735536</v>
      </c>
      <c r="U996">
        <f t="shared" si="354"/>
        <v>0</v>
      </c>
      <c r="V996">
        <f t="shared" si="355"/>
        <v>0.36481079195520905</v>
      </c>
      <c r="W996">
        <f t="shared" si="356"/>
        <v>6000</v>
      </c>
      <c r="X996">
        <f t="shared" si="357"/>
        <v>0</v>
      </c>
      <c r="Y996">
        <f t="shared" si="358"/>
        <v>6.7000407999999982</v>
      </c>
      <c r="Z996">
        <f t="shared" si="359"/>
        <v>6000</v>
      </c>
      <c r="AA996">
        <f t="shared" si="360"/>
        <v>0</v>
      </c>
      <c r="AB996">
        <f t="shared" si="361"/>
        <v>6.7000407999999982</v>
      </c>
      <c r="AC996">
        <f t="shared" si="362"/>
        <v>6000</v>
      </c>
      <c r="AD996">
        <f t="shared" si="363"/>
        <v>0</v>
      </c>
      <c r="AE996">
        <f t="shared" si="364"/>
        <v>6.7000407999999982</v>
      </c>
      <c r="AF996">
        <f t="shared" si="365"/>
        <v>6000</v>
      </c>
      <c r="AG996">
        <f t="shared" si="366"/>
        <v>0</v>
      </c>
      <c r="AH996">
        <f t="shared" si="367"/>
        <v>6.7000407999999982</v>
      </c>
      <c r="AI996" cm="1">
        <f t="array" ref="AI996">_xlfn.LET(
    _xlpm.vals,   _xlfn.HSTACK(S996,V996,Y996,AB996,AE996,AH996),
    _xlpm.ints,   _xlfn.HSTACK(R996,U996,X996,AA996,AD996,AG996),
    _xlpm.slopes, _xlfn.HSTACK(Q996,T996,W996,Z996,AC996,AF996),
    _xlpm.limit,  -0.00001*_xlpm.slopes + 0.1086*_xlpm.slopes + 63.253,
    _xlpm.mask,   (_xlpm.vals&gt;=0) * (_xlpm.ints&lt;=_xlpm.limit),
    _xlpm.validVals, _xlfn._xlws.FILTER(_xlpm.vals, _xlpm.mask),
    _xlpm.minVal, MIN(_xlpm.validVals),
    IFERROR( _xlfn.XMATCH(_xlpm.minVal, _xlpm.vals), "" )
)</f>
        <v>2</v>
      </c>
      <c r="AJ996" cm="1">
        <f t="array" ref="AJ996">_xlfn.LET(
    _xlpm.vals, CHOOSE({1,2,3,4,5,6}, S996, V996, Y996, AB996, AE996, AH996),
    _xlpm.slopes, CHOOSE({1,2,3,4,5,6}, Q996, T996, W996, Z996, AC996, AF996),
    _xlpm.ints, CHOOSE({1,2,3,4,5,6}, R996, U996, X996, AA996, AD996, AG996),
    _xlpm.limit, -0.00001*_xlpm.slopes + 0.1086*_xlpm.slopes + 63.253,
    _xlpm.valid, (_xlpm.vals &gt;= 0) * (_xlpm.ints &lt;= _xlpm.limit),
    _xlpm.target, MIN(_xlfn._xlws.FILTER(_xlpm.vals, _xlpm.valid)),
    IFERROR(
        _xlfn.XLOOKUP(_xlpm.target, _xlpm.vals, _xlpm.vals),
        CHOOSE({1,2,3,4,5,6}, S$1, V$1, Y$1, AB$1, AE$1, AH$1)
    )
)</f>
        <v>0.36481079195520905</v>
      </c>
    </row>
    <row r="997" spans="9:36" x14ac:dyDescent="0.45">
      <c r="I997">
        <v>995</v>
      </c>
      <c r="J997">
        <v>6.9</v>
      </c>
      <c r="K997">
        <f t="shared" si="346"/>
        <v>6.9</v>
      </c>
      <c r="L997">
        <f t="shared" si="345"/>
        <v>1.9166666666666668E-3</v>
      </c>
      <c r="M997">
        <v>0.12</v>
      </c>
      <c r="N997">
        <f t="shared" si="347"/>
        <v>0.12</v>
      </c>
      <c r="O997">
        <f t="shared" si="348"/>
        <v>89.666761231529904</v>
      </c>
      <c r="P997">
        <f t="shared" si="349"/>
        <v>286.93363594089573</v>
      </c>
      <c r="Q997">
        <f t="shared" si="350"/>
        <v>1314.1560526093024</v>
      </c>
      <c r="R997">
        <f t="shared" si="351"/>
        <v>0.87197832250316953</v>
      </c>
      <c r="S997">
        <f t="shared" si="352"/>
        <v>0.38198437361139426</v>
      </c>
      <c r="T997">
        <f t="shared" si="353"/>
        <v>6000</v>
      </c>
      <c r="U997">
        <f t="shared" si="354"/>
        <v>0.19098593171027442</v>
      </c>
      <c r="V997">
        <f t="shared" si="355"/>
        <v>6.701190660198594</v>
      </c>
      <c r="W997">
        <f t="shared" si="356"/>
        <v>6000</v>
      </c>
      <c r="X997">
        <f t="shared" si="357"/>
        <v>0.19098593171027442</v>
      </c>
      <c r="Y997">
        <f t="shared" si="358"/>
        <v>6.701190660198594</v>
      </c>
      <c r="Z997">
        <f t="shared" si="359"/>
        <v>6000</v>
      </c>
      <c r="AA997">
        <f t="shared" si="360"/>
        <v>0.19098593171027442</v>
      </c>
      <c r="AB997">
        <f t="shared" si="361"/>
        <v>6.701190660198594</v>
      </c>
      <c r="AC997">
        <f t="shared" si="362"/>
        <v>6000</v>
      </c>
      <c r="AD997">
        <f t="shared" si="363"/>
        <v>0.19098593171027442</v>
      </c>
      <c r="AE997">
        <f t="shared" si="364"/>
        <v>6.701190660198594</v>
      </c>
      <c r="AF997">
        <f t="shared" si="365"/>
        <v>6000</v>
      </c>
      <c r="AG997">
        <f t="shared" si="366"/>
        <v>0.19098593171027442</v>
      </c>
      <c r="AH997">
        <f t="shared" si="367"/>
        <v>6.701190660198594</v>
      </c>
      <c r="AI997" cm="1">
        <f t="array" ref="AI997">_xlfn.LET(
    _xlpm.vals,   _xlfn.HSTACK(S997,V997,Y997,AB997,AE997,AH997),
    _xlpm.ints,   _xlfn.HSTACK(R997,U997,X997,AA997,AD997,AG997),
    _xlpm.slopes, _xlfn.HSTACK(Q997,T997,W997,Z997,AC997,AF997),
    _xlpm.limit,  -0.00001*_xlpm.slopes + 0.1086*_xlpm.slopes + 63.253,
    _xlpm.mask,   (_xlpm.vals&gt;=0) * (_xlpm.ints&lt;=_xlpm.limit),
    _xlpm.validVals, _xlfn._xlws.FILTER(_xlpm.vals, _xlpm.mask),
    _xlpm.minVal, MIN(_xlpm.validVals),
    IFERROR( _xlfn.XMATCH(_xlpm.minVal, _xlpm.vals), "" )
)</f>
        <v>1</v>
      </c>
      <c r="AJ997" cm="1">
        <f t="array" ref="AJ997">_xlfn.LET(
    _xlpm.vals, CHOOSE({1,2,3,4,5,6}, S997, V997, Y997, AB997, AE997, AH997),
    _xlpm.slopes, CHOOSE({1,2,3,4,5,6}, Q997, T997, W997, Z997, AC997, AF997),
    _xlpm.ints, CHOOSE({1,2,3,4,5,6}, R997, U997, X997, AA997, AD997, AG997),
    _xlpm.limit, -0.00001*_xlpm.slopes + 0.1086*_xlpm.slopes + 63.253,
    _xlpm.valid, (_xlpm.vals &gt;= 0) * (_xlpm.ints &lt;= _xlpm.limit),
    _xlpm.target, MIN(_xlfn._xlws.FILTER(_xlpm.vals, _xlpm.valid)),
    IFERROR(
        _xlfn.XLOOKUP(_xlpm.target, _xlpm.vals, _xlpm.vals),
        CHOOSE({1,2,3,4,5,6}, S$1, V$1, Y$1, AB$1, AE$1, AH$1)
    )
)</f>
        <v>0.38198437361139426</v>
      </c>
    </row>
    <row r="998" spans="9:36" x14ac:dyDescent="0.45">
      <c r="I998">
        <v>996</v>
      </c>
      <c r="J998">
        <v>3.4</v>
      </c>
      <c r="K998">
        <f t="shared" si="346"/>
        <v>3.4</v>
      </c>
      <c r="L998">
        <f t="shared" si="345"/>
        <v>9.4444444444444437E-4</v>
      </c>
      <c r="M998">
        <v>0.53</v>
      </c>
      <c r="N998">
        <f t="shared" si="347"/>
        <v>0.53</v>
      </c>
      <c r="O998">
        <f t="shared" si="348"/>
        <v>44.183621476406032</v>
      </c>
      <c r="P998">
        <f t="shared" si="349"/>
        <v>141.3875887244993</v>
      </c>
      <c r="Q998">
        <f t="shared" si="350"/>
        <v>1000</v>
      </c>
      <c r="R998">
        <f t="shared" si="351"/>
        <v>5.0611271903222725</v>
      </c>
      <c r="S998">
        <f t="shared" si="352"/>
        <v>0.35032723311358005</v>
      </c>
      <c r="T998">
        <f t="shared" si="353"/>
        <v>6000</v>
      </c>
      <c r="U998">
        <f t="shared" si="354"/>
        <v>0.84352119838704531</v>
      </c>
      <c r="V998">
        <f t="shared" si="355"/>
        <v>6.7052112510999864</v>
      </c>
      <c r="W998">
        <f t="shared" si="356"/>
        <v>6000</v>
      </c>
      <c r="X998">
        <f t="shared" si="357"/>
        <v>0.84352119838704531</v>
      </c>
      <c r="Y998">
        <f t="shared" si="358"/>
        <v>6.7052112510999864</v>
      </c>
      <c r="Z998">
        <f t="shared" si="359"/>
        <v>6000</v>
      </c>
      <c r="AA998">
        <f t="shared" si="360"/>
        <v>0.84352119838704531</v>
      </c>
      <c r="AB998">
        <f t="shared" si="361"/>
        <v>6.7052112510999864</v>
      </c>
      <c r="AC998">
        <f t="shared" si="362"/>
        <v>6000</v>
      </c>
      <c r="AD998">
        <f t="shared" si="363"/>
        <v>0.84352119838704531</v>
      </c>
      <c r="AE998">
        <f t="shared" si="364"/>
        <v>6.7052112510999864</v>
      </c>
      <c r="AF998">
        <f t="shared" si="365"/>
        <v>6000</v>
      </c>
      <c r="AG998">
        <f t="shared" si="366"/>
        <v>0.84352119838704531</v>
      </c>
      <c r="AH998">
        <f t="shared" si="367"/>
        <v>6.7052112510999864</v>
      </c>
      <c r="AI998" cm="1">
        <f t="array" ref="AI998">_xlfn.LET(
    _xlpm.vals,   _xlfn.HSTACK(S998,V998,Y998,AB998,AE998,AH998),
    _xlpm.ints,   _xlfn.HSTACK(R998,U998,X998,AA998,AD998,AG998),
    _xlpm.slopes, _xlfn.HSTACK(Q998,T998,W998,Z998,AC998,AF998),
    _xlpm.limit,  -0.00001*_xlpm.slopes + 0.1086*_xlpm.slopes + 63.253,
    _xlpm.mask,   (_xlpm.vals&gt;=0) * (_xlpm.ints&lt;=_xlpm.limit),
    _xlpm.validVals, _xlfn._xlws.FILTER(_xlpm.vals, _xlpm.mask),
    _xlpm.minVal, MIN(_xlpm.validVals),
    IFERROR( _xlfn.XMATCH(_xlpm.minVal, _xlpm.vals), "" )
)</f>
        <v>1</v>
      </c>
      <c r="AJ998" cm="1">
        <f t="array" ref="AJ998">_xlfn.LET(
    _xlpm.vals, CHOOSE({1,2,3,4,5,6}, S998, V998, Y998, AB998, AE998, AH998),
    _xlpm.slopes, CHOOSE({1,2,3,4,5,6}, Q998, T998, W998, Z998, AC998, AF998),
    _xlpm.ints, CHOOSE({1,2,3,4,5,6}, R998, U998, X998, AA998, AD998, AG998),
    _xlpm.limit, -0.00001*_xlpm.slopes + 0.1086*_xlpm.slopes + 63.253,
    _xlpm.valid, (_xlpm.vals &gt;= 0) * (_xlpm.ints &lt;= _xlpm.limit),
    _xlpm.target, MIN(_xlfn._xlws.FILTER(_xlpm.vals, _xlpm.valid)),
    IFERROR(
        _xlfn.XLOOKUP(_xlpm.target, _xlpm.vals, _xlpm.vals),
        CHOOSE({1,2,3,4,5,6}, S$1, V$1, Y$1, AB$1, AE$1, AH$1)
    )
)</f>
        <v>0.35032723311358005</v>
      </c>
    </row>
    <row r="999" spans="9:36" x14ac:dyDescent="0.45">
      <c r="I999">
        <v>997</v>
      </c>
      <c r="J999">
        <v>0.9</v>
      </c>
      <c r="K999">
        <f t="shared" si="346"/>
        <v>0.9</v>
      </c>
      <c r="L999">
        <f t="shared" si="345"/>
        <v>2.5000000000000001E-4</v>
      </c>
      <c r="M999">
        <v>0.93</v>
      </c>
      <c r="N999">
        <f t="shared" si="347"/>
        <v>0.93</v>
      </c>
      <c r="O999">
        <f t="shared" si="348"/>
        <v>11.695664508460421</v>
      </c>
      <c r="P999">
        <f t="shared" si="349"/>
        <v>37.426126427073349</v>
      </c>
      <c r="Q999">
        <f t="shared" si="350"/>
        <v>1000</v>
      </c>
      <c r="R999">
        <f t="shared" si="351"/>
        <v>8.8808458245277606</v>
      </c>
      <c r="S999">
        <f t="shared" si="352"/>
        <v>0.37532721538074593</v>
      </c>
      <c r="T999">
        <f t="shared" si="353"/>
        <v>6000</v>
      </c>
      <c r="U999">
        <f t="shared" si="354"/>
        <v>1.4801409707546267</v>
      </c>
      <c r="V999">
        <f t="shared" si="355"/>
        <v>6.7092703844694617</v>
      </c>
      <c r="W999">
        <f t="shared" si="356"/>
        <v>6000</v>
      </c>
      <c r="X999">
        <f t="shared" si="357"/>
        <v>1.4801409707546267</v>
      </c>
      <c r="Y999">
        <f t="shared" si="358"/>
        <v>6.7092703844694617</v>
      </c>
      <c r="Z999">
        <f t="shared" si="359"/>
        <v>6000</v>
      </c>
      <c r="AA999">
        <f t="shared" si="360"/>
        <v>1.4801409707546267</v>
      </c>
      <c r="AB999">
        <f t="shared" si="361"/>
        <v>6.7092703844694617</v>
      </c>
      <c r="AC999">
        <f t="shared" si="362"/>
        <v>6000</v>
      </c>
      <c r="AD999">
        <f t="shared" si="363"/>
        <v>1.4801409707546267</v>
      </c>
      <c r="AE999">
        <f t="shared" si="364"/>
        <v>6.7092703844694617</v>
      </c>
      <c r="AF999">
        <f t="shared" si="365"/>
        <v>6000</v>
      </c>
      <c r="AG999">
        <f t="shared" si="366"/>
        <v>1.4801409707546267</v>
      </c>
      <c r="AH999">
        <f t="shared" si="367"/>
        <v>6.7092703844694617</v>
      </c>
      <c r="AI999" cm="1">
        <f t="array" ref="AI999">_xlfn.LET(
    _xlpm.vals,   _xlfn.HSTACK(S999,V999,Y999,AB999,AE999,AH999),
    _xlpm.ints,   _xlfn.HSTACK(R999,U999,X999,AA999,AD999,AG999),
    _xlpm.slopes, _xlfn.HSTACK(Q999,T999,W999,Z999,AC999,AF999),
    _xlpm.limit,  -0.00001*_xlpm.slopes + 0.1086*_xlpm.slopes + 63.253,
    _xlpm.mask,   (_xlpm.vals&gt;=0) * (_xlpm.ints&lt;=_xlpm.limit),
    _xlpm.validVals, _xlfn._xlws.FILTER(_xlpm.vals, _xlpm.mask),
    _xlpm.minVal, MIN(_xlpm.validVals),
    IFERROR( _xlfn.XMATCH(_xlpm.minVal, _xlpm.vals), "" )
)</f>
        <v>1</v>
      </c>
      <c r="AJ999" cm="1">
        <f t="array" ref="AJ999">_xlfn.LET(
    _xlpm.vals, CHOOSE({1,2,3,4,5,6}, S999, V999, Y999, AB999, AE999, AH999),
    _xlpm.slopes, CHOOSE({1,2,3,4,5,6}, Q999, T999, W999, Z999, AC999, AF999),
    _xlpm.ints, CHOOSE({1,2,3,4,5,6}, R999, U999, X999, AA999, AD999, AG999),
    _xlpm.limit, -0.00001*_xlpm.slopes + 0.1086*_xlpm.slopes + 63.253,
    _xlpm.valid, (_xlpm.vals &gt;= 0) * (_xlpm.ints &lt;= _xlpm.limit),
    _xlpm.target, MIN(_xlfn._xlws.FILTER(_xlpm.vals, _xlpm.valid)),
    IFERROR(
        _xlfn.XLOOKUP(_xlpm.target, _xlpm.vals, _xlpm.vals),
        CHOOSE({1,2,3,4,5,6}, S$1, V$1, Y$1, AB$1, AE$1, AH$1)
    )
)</f>
        <v>0.37532721538074593</v>
      </c>
    </row>
    <row r="1000" spans="9:36" x14ac:dyDescent="0.45">
      <c r="I1000">
        <v>998</v>
      </c>
      <c r="J1000">
        <v>-0.1</v>
      </c>
      <c r="K1000">
        <f t="shared" si="346"/>
        <v>0</v>
      </c>
      <c r="L1000">
        <f t="shared" si="345"/>
        <v>0</v>
      </c>
      <c r="M1000">
        <v>1.21</v>
      </c>
      <c r="N1000">
        <f t="shared" si="347"/>
        <v>1.21</v>
      </c>
      <c r="O1000">
        <f t="shared" si="348"/>
        <v>0</v>
      </c>
      <c r="P1000">
        <f t="shared" si="349"/>
        <v>0</v>
      </c>
      <c r="Q1000">
        <f t="shared" si="350"/>
        <v>1000</v>
      </c>
      <c r="R1000">
        <f t="shared" si="351"/>
        <v>11.554648868471602</v>
      </c>
      <c r="S1000">
        <f t="shared" si="352"/>
        <v>0.39381451894096864</v>
      </c>
      <c r="T1000">
        <f t="shared" si="353"/>
        <v>6000</v>
      </c>
      <c r="U1000">
        <f t="shared" si="354"/>
        <v>1.9257748114119337</v>
      </c>
      <c r="V1000">
        <f t="shared" si="355"/>
        <v>6.7121917637580824</v>
      </c>
      <c r="W1000">
        <f t="shared" si="356"/>
        <v>6000</v>
      </c>
      <c r="X1000">
        <f t="shared" si="357"/>
        <v>1.9257748114119337</v>
      </c>
      <c r="Y1000">
        <f t="shared" si="358"/>
        <v>6.7121917637580824</v>
      </c>
      <c r="Z1000">
        <f t="shared" si="359"/>
        <v>6000</v>
      </c>
      <c r="AA1000">
        <f t="shared" si="360"/>
        <v>1.9257748114119337</v>
      </c>
      <c r="AB1000">
        <f t="shared" si="361"/>
        <v>6.7121917637580824</v>
      </c>
      <c r="AC1000">
        <f t="shared" si="362"/>
        <v>6000</v>
      </c>
      <c r="AD1000">
        <f t="shared" si="363"/>
        <v>1.9257748114119337</v>
      </c>
      <c r="AE1000">
        <f t="shared" si="364"/>
        <v>6.7121917637580824</v>
      </c>
      <c r="AF1000">
        <f t="shared" si="365"/>
        <v>6000</v>
      </c>
      <c r="AG1000">
        <f t="shared" si="366"/>
        <v>1.9257748114119337</v>
      </c>
      <c r="AH1000">
        <f t="shared" si="367"/>
        <v>6.7121917637580824</v>
      </c>
      <c r="AI1000" cm="1">
        <f t="array" ref="AI1000">_xlfn.LET(
    _xlpm.vals,   _xlfn.HSTACK(S1000,V1000,Y1000,AB1000,AE1000,AH1000),
    _xlpm.ints,   _xlfn.HSTACK(R1000,U1000,X1000,AA1000,AD1000,AG1000),
    _xlpm.slopes, _xlfn.HSTACK(Q1000,T1000,W1000,Z1000,AC1000,AF1000),
    _xlpm.limit,  -0.00001*_xlpm.slopes + 0.1086*_xlpm.slopes + 63.253,
    _xlpm.mask,   (_xlpm.vals&gt;=0) * (_xlpm.ints&lt;=_xlpm.limit),
    _xlpm.validVals, _xlfn._xlws.FILTER(_xlpm.vals, _xlpm.mask),
    _xlpm.minVal, MIN(_xlpm.validVals),
    IFERROR( _xlfn.XMATCH(_xlpm.minVal, _xlpm.vals), "" )
)</f>
        <v>1</v>
      </c>
      <c r="AJ1000" cm="1">
        <f t="array" ref="AJ1000">_xlfn.LET(
    _xlpm.vals, CHOOSE({1,2,3,4,5,6}, S1000, V1000, Y1000, AB1000, AE1000, AH1000),
    _xlpm.slopes, CHOOSE({1,2,3,4,5,6}, Q1000, T1000, W1000, Z1000, AC1000, AF1000),
    _xlpm.ints, CHOOSE({1,2,3,4,5,6}, R1000, U1000, X1000, AA1000, AD1000, AG1000),
    _xlpm.limit, -0.00001*_xlpm.slopes + 0.1086*_xlpm.slopes + 63.253,
    _xlpm.valid, (_xlpm.vals &gt;= 0) * (_xlpm.ints &lt;= _xlpm.limit),
    _xlpm.target, MIN(_xlfn._xlws.FILTER(_xlpm.vals, _xlpm.valid)),
    IFERROR(
        _xlfn.XLOOKUP(_xlpm.target, _xlpm.vals, _xlpm.vals),
        CHOOSE({1,2,3,4,5,6}, S$1, V$1, Y$1, AB$1, AE$1, AH$1)
    )
)</f>
        <v>0.39381451894096864</v>
      </c>
    </row>
    <row r="1001" spans="9:36" x14ac:dyDescent="0.45">
      <c r="I1001">
        <v>999</v>
      </c>
      <c r="J1001">
        <v>0</v>
      </c>
      <c r="K1001">
        <f t="shared" si="346"/>
        <v>0</v>
      </c>
      <c r="L1001">
        <f t="shared" si="345"/>
        <v>0</v>
      </c>
      <c r="M1001">
        <v>0.81</v>
      </c>
      <c r="N1001">
        <f t="shared" si="347"/>
        <v>0.81</v>
      </c>
      <c r="O1001">
        <f t="shared" si="348"/>
        <v>0</v>
      </c>
      <c r="P1001">
        <f t="shared" si="349"/>
        <v>0</v>
      </c>
      <c r="Q1001">
        <f t="shared" si="350"/>
        <v>1000</v>
      </c>
      <c r="R1001">
        <f t="shared" si="351"/>
        <v>7.7349302342661144</v>
      </c>
      <c r="S1001">
        <f t="shared" si="352"/>
        <v>0.36764891824877477</v>
      </c>
      <c r="T1001">
        <f t="shared" si="353"/>
        <v>6000</v>
      </c>
      <c r="U1001">
        <f t="shared" si="354"/>
        <v>1.2891550390443522</v>
      </c>
      <c r="V1001">
        <f t="shared" si="355"/>
        <v>6.7080385104508862</v>
      </c>
      <c r="W1001">
        <f t="shared" si="356"/>
        <v>6000</v>
      </c>
      <c r="X1001">
        <f t="shared" si="357"/>
        <v>1.2891550390443522</v>
      </c>
      <c r="Y1001">
        <f t="shared" si="358"/>
        <v>6.7080385104508862</v>
      </c>
      <c r="Z1001">
        <f t="shared" si="359"/>
        <v>6000</v>
      </c>
      <c r="AA1001">
        <f t="shared" si="360"/>
        <v>1.2891550390443522</v>
      </c>
      <c r="AB1001">
        <f t="shared" si="361"/>
        <v>6.7080385104508862</v>
      </c>
      <c r="AC1001">
        <f t="shared" si="362"/>
        <v>6000</v>
      </c>
      <c r="AD1001">
        <f t="shared" si="363"/>
        <v>1.2891550390443522</v>
      </c>
      <c r="AE1001">
        <f t="shared" si="364"/>
        <v>6.7080385104508862</v>
      </c>
      <c r="AF1001">
        <f t="shared" si="365"/>
        <v>6000</v>
      </c>
      <c r="AG1001">
        <f t="shared" si="366"/>
        <v>1.2891550390443522</v>
      </c>
      <c r="AH1001">
        <f t="shared" si="367"/>
        <v>6.7080385104508862</v>
      </c>
      <c r="AI1001" cm="1">
        <f t="array" ref="AI1001">_xlfn.LET(
    _xlpm.vals,   _xlfn.HSTACK(S1001,V1001,Y1001,AB1001,AE1001,AH1001),
    _xlpm.ints,   _xlfn.HSTACK(R1001,U1001,X1001,AA1001,AD1001,AG1001),
    _xlpm.slopes, _xlfn.HSTACK(Q1001,T1001,W1001,Z1001,AC1001,AF1001),
    _xlpm.limit,  -0.00001*_xlpm.slopes + 0.1086*_xlpm.slopes + 63.253,
    _xlpm.mask,   (_xlpm.vals&gt;=0) * (_xlpm.ints&lt;=_xlpm.limit),
    _xlpm.validVals, _xlfn._xlws.FILTER(_xlpm.vals, _xlpm.mask),
    _xlpm.minVal, MIN(_xlpm.validVals),
    IFERROR( _xlfn.XMATCH(_xlpm.minVal, _xlpm.vals), "" )
)</f>
        <v>1</v>
      </c>
      <c r="AJ1001" cm="1">
        <f t="array" ref="AJ1001">_xlfn.LET(
    _xlpm.vals, CHOOSE({1,2,3,4,5,6}, S1001, V1001, Y1001, AB1001, AE1001, AH1001),
    _xlpm.slopes, CHOOSE({1,2,3,4,5,6}, Q1001, T1001, W1001, Z1001, AC1001, AF1001),
    _xlpm.ints, CHOOSE({1,2,3,4,5,6}, R1001, U1001, X1001, AA1001, AD1001, AG1001),
    _xlpm.limit, -0.00001*_xlpm.slopes + 0.1086*_xlpm.slopes + 63.253,
    _xlpm.valid, (_xlpm.vals &gt;= 0) * (_xlpm.ints &lt;= _xlpm.limit),
    _xlpm.target, MIN(_xlfn._xlws.FILTER(_xlpm.vals, _xlpm.valid)),
    IFERROR(
        _xlfn.XLOOKUP(_xlpm.target, _xlpm.vals, _xlpm.vals),
        CHOOSE({1,2,3,4,5,6}, S$1, V$1, Y$1, AB$1, AE$1, AH$1)
    )
)</f>
        <v>0.36764891824877477</v>
      </c>
    </row>
    <row r="1002" spans="9:36" x14ac:dyDescent="0.45">
      <c r="I1002">
        <v>1000</v>
      </c>
      <c r="J1002">
        <v>0</v>
      </c>
      <c r="K1002">
        <f t="shared" si="346"/>
        <v>0</v>
      </c>
      <c r="L1002">
        <f t="shared" si="345"/>
        <v>0</v>
      </c>
      <c r="M1002">
        <v>0.97</v>
      </c>
      <c r="N1002">
        <f t="shared" si="347"/>
        <v>0.97</v>
      </c>
      <c r="O1002">
        <f t="shared" si="348"/>
        <v>0</v>
      </c>
      <c r="P1002">
        <f t="shared" si="349"/>
        <v>0</v>
      </c>
      <c r="Q1002">
        <f t="shared" si="350"/>
        <v>1000</v>
      </c>
      <c r="R1002">
        <f t="shared" si="351"/>
        <v>9.26281768794831</v>
      </c>
      <c r="S1002">
        <f t="shared" si="352"/>
        <v>0.37791975732158206</v>
      </c>
      <c r="T1002">
        <f t="shared" si="353"/>
        <v>6000</v>
      </c>
      <c r="U1002">
        <f t="shared" si="354"/>
        <v>1.5438029479913848</v>
      </c>
      <c r="V1002">
        <f t="shared" si="355"/>
        <v>6.7096836973860823</v>
      </c>
      <c r="W1002">
        <f t="shared" si="356"/>
        <v>6000</v>
      </c>
      <c r="X1002">
        <f t="shared" si="357"/>
        <v>1.5438029479913848</v>
      </c>
      <c r="Y1002">
        <f t="shared" si="358"/>
        <v>6.7096836973860823</v>
      </c>
      <c r="Z1002">
        <f t="shared" si="359"/>
        <v>6000</v>
      </c>
      <c r="AA1002">
        <f t="shared" si="360"/>
        <v>1.5438029479913848</v>
      </c>
      <c r="AB1002">
        <f t="shared" si="361"/>
        <v>6.7096836973860823</v>
      </c>
      <c r="AC1002">
        <f t="shared" si="362"/>
        <v>6000</v>
      </c>
      <c r="AD1002">
        <f t="shared" si="363"/>
        <v>1.5438029479913848</v>
      </c>
      <c r="AE1002">
        <f t="shared" si="364"/>
        <v>6.7096836973860823</v>
      </c>
      <c r="AF1002">
        <f t="shared" si="365"/>
        <v>6000</v>
      </c>
      <c r="AG1002">
        <f t="shared" si="366"/>
        <v>1.5438029479913848</v>
      </c>
      <c r="AH1002">
        <f t="shared" si="367"/>
        <v>6.7096836973860823</v>
      </c>
      <c r="AI1002" cm="1">
        <f t="array" ref="AI1002">_xlfn.LET(
    _xlpm.vals,   _xlfn.HSTACK(S1002,V1002,Y1002,AB1002,AE1002,AH1002),
    _xlpm.ints,   _xlfn.HSTACK(R1002,U1002,X1002,AA1002,AD1002,AG1002),
    _xlpm.slopes, _xlfn.HSTACK(Q1002,T1002,W1002,Z1002,AC1002,AF1002),
    _xlpm.limit,  -0.00001*_xlpm.slopes + 0.1086*_xlpm.slopes + 63.253,
    _xlpm.mask,   (_xlpm.vals&gt;=0) * (_xlpm.ints&lt;=_xlpm.limit),
    _xlpm.validVals, _xlfn._xlws.FILTER(_xlpm.vals, _xlpm.mask),
    _xlpm.minVal, MIN(_xlpm.validVals),
    IFERROR( _xlfn.XMATCH(_xlpm.minVal, _xlpm.vals), "" )
)</f>
        <v>1</v>
      </c>
      <c r="AJ1002" cm="1">
        <f t="array" ref="AJ1002">_xlfn.LET(
    _xlpm.vals, CHOOSE({1,2,3,4,5,6}, S1002, V1002, Y1002, AB1002, AE1002, AH1002),
    _xlpm.slopes, CHOOSE({1,2,3,4,5,6}, Q1002, T1002, W1002, Z1002, AC1002, AF1002),
    _xlpm.ints, CHOOSE({1,2,3,4,5,6}, R1002, U1002, X1002, AA1002, AD1002, AG1002),
    _xlpm.limit, -0.00001*_xlpm.slopes + 0.1086*_xlpm.slopes + 63.253,
    _xlpm.valid, (_xlpm.vals &gt;= 0) * (_xlpm.ints &lt;= _xlpm.limit),
    _xlpm.target, MIN(_xlfn._xlws.FILTER(_xlpm.vals, _xlpm.valid)),
    IFERROR(
        _xlfn.XLOOKUP(_xlpm.target, _xlpm.vals, _xlpm.vals),
        CHOOSE({1,2,3,4,5,6}, S$1, V$1, Y$1, AB$1, AE$1, AH$1)
    )
)</f>
        <v>0.37791975732158206</v>
      </c>
    </row>
    <row r="1003" spans="9:36" x14ac:dyDescent="0.45">
      <c r="I1003">
        <v>1001</v>
      </c>
      <c r="J1003">
        <v>0</v>
      </c>
      <c r="K1003">
        <f t="shared" si="346"/>
        <v>0</v>
      </c>
      <c r="L1003">
        <f t="shared" si="345"/>
        <v>0</v>
      </c>
      <c r="M1003">
        <v>0.7</v>
      </c>
      <c r="N1003">
        <f t="shared" si="347"/>
        <v>0.7</v>
      </c>
      <c r="O1003">
        <f t="shared" si="348"/>
        <v>0</v>
      </c>
      <c r="P1003">
        <f t="shared" si="349"/>
        <v>0</v>
      </c>
      <c r="Q1003">
        <f t="shared" si="350"/>
        <v>1000</v>
      </c>
      <c r="R1003">
        <f t="shared" si="351"/>
        <v>6.6845076098596046</v>
      </c>
      <c r="S1003">
        <f t="shared" si="352"/>
        <v>0.36074343418068899</v>
      </c>
      <c r="T1003">
        <f t="shared" si="353"/>
        <v>6000</v>
      </c>
      <c r="U1003">
        <f t="shared" si="354"/>
        <v>1.1140846016432675</v>
      </c>
      <c r="V1003">
        <f t="shared" si="355"/>
        <v>6.7069199291415869</v>
      </c>
      <c r="W1003">
        <f t="shared" si="356"/>
        <v>6000</v>
      </c>
      <c r="X1003">
        <f t="shared" si="357"/>
        <v>1.1140846016432675</v>
      </c>
      <c r="Y1003">
        <f t="shared" si="358"/>
        <v>6.7069199291415869</v>
      </c>
      <c r="Z1003">
        <f t="shared" si="359"/>
        <v>6000</v>
      </c>
      <c r="AA1003">
        <f t="shared" si="360"/>
        <v>1.1140846016432675</v>
      </c>
      <c r="AB1003">
        <f t="shared" si="361"/>
        <v>6.7069199291415869</v>
      </c>
      <c r="AC1003">
        <f t="shared" si="362"/>
        <v>6000</v>
      </c>
      <c r="AD1003">
        <f t="shared" si="363"/>
        <v>1.1140846016432675</v>
      </c>
      <c r="AE1003">
        <f t="shared" si="364"/>
        <v>6.7069199291415869</v>
      </c>
      <c r="AF1003">
        <f t="shared" si="365"/>
        <v>6000</v>
      </c>
      <c r="AG1003">
        <f t="shared" si="366"/>
        <v>1.1140846016432675</v>
      </c>
      <c r="AH1003">
        <f t="shared" si="367"/>
        <v>6.7069199291415869</v>
      </c>
      <c r="AI1003" cm="1">
        <f t="array" ref="AI1003">_xlfn.LET(
    _xlpm.vals,   _xlfn.HSTACK(S1003,V1003,Y1003,AB1003,AE1003,AH1003),
    _xlpm.ints,   _xlfn.HSTACK(R1003,U1003,X1003,AA1003,AD1003,AG1003),
    _xlpm.slopes, _xlfn.HSTACK(Q1003,T1003,W1003,Z1003,AC1003,AF1003),
    _xlpm.limit,  -0.00001*_xlpm.slopes + 0.1086*_xlpm.slopes + 63.253,
    _xlpm.mask,   (_xlpm.vals&gt;=0) * (_xlpm.ints&lt;=_xlpm.limit),
    _xlpm.validVals, _xlfn._xlws.FILTER(_xlpm.vals, _xlpm.mask),
    _xlpm.minVal, MIN(_xlpm.validVals),
    IFERROR( _xlfn.XMATCH(_xlpm.minVal, _xlpm.vals), "" )
)</f>
        <v>1</v>
      </c>
      <c r="AJ1003" cm="1">
        <f t="array" ref="AJ1003">_xlfn.LET(
    _xlpm.vals, CHOOSE({1,2,3,4,5,6}, S1003, V1003, Y1003, AB1003, AE1003, AH1003),
    _xlpm.slopes, CHOOSE({1,2,3,4,5,6}, Q1003, T1003, W1003, Z1003, AC1003, AF1003),
    _xlpm.ints, CHOOSE({1,2,3,4,5,6}, R1003, U1003, X1003, AA1003, AD1003, AG1003),
    _xlpm.limit, -0.00001*_xlpm.slopes + 0.1086*_xlpm.slopes + 63.253,
    _xlpm.valid, (_xlpm.vals &gt;= 0) * (_xlpm.ints &lt;= _xlpm.limit),
    _xlpm.target, MIN(_xlfn._xlws.FILTER(_xlpm.vals, _xlpm.valid)),
    IFERROR(
        _xlfn.XLOOKUP(_xlpm.target, _xlpm.vals, _xlpm.vals),
        CHOOSE({1,2,3,4,5,6}, S$1, V$1, Y$1, AB$1, AE$1, AH$1)
    )
)</f>
        <v>0.36074343418068899</v>
      </c>
    </row>
    <row r="1004" spans="9:36" x14ac:dyDescent="0.45">
      <c r="I1004">
        <v>1002</v>
      </c>
      <c r="J1004">
        <v>0</v>
      </c>
      <c r="K1004">
        <f t="shared" si="346"/>
        <v>0</v>
      </c>
      <c r="L1004">
        <f t="shared" si="345"/>
        <v>0</v>
      </c>
      <c r="M1004">
        <v>0.97</v>
      </c>
      <c r="N1004">
        <f t="shared" si="347"/>
        <v>0.97</v>
      </c>
      <c r="O1004">
        <f t="shared" si="348"/>
        <v>0</v>
      </c>
      <c r="P1004">
        <f t="shared" si="349"/>
        <v>0</v>
      </c>
      <c r="Q1004">
        <f t="shared" si="350"/>
        <v>1000</v>
      </c>
      <c r="R1004">
        <f t="shared" si="351"/>
        <v>9.26281768794831</v>
      </c>
      <c r="S1004">
        <f t="shared" si="352"/>
        <v>0.37791975732158206</v>
      </c>
      <c r="T1004">
        <f t="shared" si="353"/>
        <v>6000</v>
      </c>
      <c r="U1004">
        <f t="shared" si="354"/>
        <v>1.5438029479913848</v>
      </c>
      <c r="V1004">
        <f t="shared" si="355"/>
        <v>6.7096836973860823</v>
      </c>
      <c r="W1004">
        <f t="shared" si="356"/>
        <v>6000</v>
      </c>
      <c r="X1004">
        <f t="shared" si="357"/>
        <v>1.5438029479913848</v>
      </c>
      <c r="Y1004">
        <f t="shared" si="358"/>
        <v>6.7096836973860823</v>
      </c>
      <c r="Z1004">
        <f t="shared" si="359"/>
        <v>6000</v>
      </c>
      <c r="AA1004">
        <f t="shared" si="360"/>
        <v>1.5438029479913848</v>
      </c>
      <c r="AB1004">
        <f t="shared" si="361"/>
        <v>6.7096836973860823</v>
      </c>
      <c r="AC1004">
        <f t="shared" si="362"/>
        <v>6000</v>
      </c>
      <c r="AD1004">
        <f t="shared" si="363"/>
        <v>1.5438029479913848</v>
      </c>
      <c r="AE1004">
        <f t="shared" si="364"/>
        <v>6.7096836973860823</v>
      </c>
      <c r="AF1004">
        <f t="shared" si="365"/>
        <v>6000</v>
      </c>
      <c r="AG1004">
        <f t="shared" si="366"/>
        <v>1.5438029479913848</v>
      </c>
      <c r="AH1004">
        <f t="shared" si="367"/>
        <v>6.7096836973860823</v>
      </c>
      <c r="AI1004" cm="1">
        <f t="array" ref="AI1004">_xlfn.LET(
    _xlpm.vals,   _xlfn.HSTACK(S1004,V1004,Y1004,AB1004,AE1004,AH1004),
    _xlpm.ints,   _xlfn.HSTACK(R1004,U1004,X1004,AA1004,AD1004,AG1004),
    _xlpm.slopes, _xlfn.HSTACK(Q1004,T1004,W1004,Z1004,AC1004,AF1004),
    _xlpm.limit,  -0.00001*_xlpm.slopes + 0.1086*_xlpm.slopes + 63.253,
    _xlpm.mask,   (_xlpm.vals&gt;=0) * (_xlpm.ints&lt;=_xlpm.limit),
    _xlpm.validVals, _xlfn._xlws.FILTER(_xlpm.vals, _xlpm.mask),
    _xlpm.minVal, MIN(_xlpm.validVals),
    IFERROR( _xlfn.XMATCH(_xlpm.minVal, _xlpm.vals), "" )
)</f>
        <v>1</v>
      </c>
      <c r="AJ1004" cm="1">
        <f t="array" ref="AJ1004">_xlfn.LET(
    _xlpm.vals, CHOOSE({1,2,3,4,5,6}, S1004, V1004, Y1004, AB1004, AE1004, AH1004),
    _xlpm.slopes, CHOOSE({1,2,3,4,5,6}, Q1004, T1004, W1004, Z1004, AC1004, AF1004),
    _xlpm.ints, CHOOSE({1,2,3,4,5,6}, R1004, U1004, X1004, AA1004, AD1004, AG1004),
    _xlpm.limit, -0.00001*_xlpm.slopes + 0.1086*_xlpm.slopes + 63.253,
    _xlpm.valid, (_xlpm.vals &gt;= 0) * (_xlpm.ints &lt;= _xlpm.limit),
    _xlpm.target, MIN(_xlfn._xlws.FILTER(_xlpm.vals, _xlpm.valid)),
    IFERROR(
        _xlfn.XLOOKUP(_xlpm.target, _xlpm.vals, _xlpm.vals),
        CHOOSE({1,2,3,4,5,6}, S$1, V$1, Y$1, AB$1, AE$1, AH$1)
    )
)</f>
        <v>0.37791975732158206</v>
      </c>
    </row>
    <row r="1005" spans="9:36" x14ac:dyDescent="0.45">
      <c r="I1005">
        <v>1003</v>
      </c>
      <c r="J1005">
        <v>0</v>
      </c>
      <c r="K1005">
        <f t="shared" si="346"/>
        <v>0</v>
      </c>
      <c r="L1005">
        <f t="shared" si="345"/>
        <v>0</v>
      </c>
      <c r="M1005">
        <v>0.75</v>
      </c>
      <c r="N1005">
        <f t="shared" si="347"/>
        <v>0.75</v>
      </c>
      <c r="O1005">
        <f t="shared" si="348"/>
        <v>0</v>
      </c>
      <c r="P1005">
        <f t="shared" si="349"/>
        <v>0</v>
      </c>
      <c r="Q1005">
        <f t="shared" si="350"/>
        <v>1000</v>
      </c>
      <c r="R1005">
        <f t="shared" si="351"/>
        <v>7.1619724391352912</v>
      </c>
      <c r="S1005">
        <f t="shared" si="352"/>
        <v>0.36386636162818831</v>
      </c>
      <c r="T1005">
        <f t="shared" si="353"/>
        <v>6000</v>
      </c>
      <c r="U1005">
        <f t="shared" si="354"/>
        <v>1.1936620731892151</v>
      </c>
      <c r="V1005">
        <f t="shared" si="355"/>
        <v>6.7074271131842309</v>
      </c>
      <c r="W1005">
        <f t="shared" si="356"/>
        <v>6000</v>
      </c>
      <c r="X1005">
        <f t="shared" si="357"/>
        <v>1.1936620731892151</v>
      </c>
      <c r="Y1005">
        <f t="shared" si="358"/>
        <v>6.7074271131842309</v>
      </c>
      <c r="Z1005">
        <f t="shared" si="359"/>
        <v>6000</v>
      </c>
      <c r="AA1005">
        <f t="shared" si="360"/>
        <v>1.1936620731892151</v>
      </c>
      <c r="AB1005">
        <f t="shared" si="361"/>
        <v>6.7074271131842309</v>
      </c>
      <c r="AC1005">
        <f t="shared" si="362"/>
        <v>6000</v>
      </c>
      <c r="AD1005">
        <f t="shared" si="363"/>
        <v>1.1936620731892151</v>
      </c>
      <c r="AE1005">
        <f t="shared" si="364"/>
        <v>6.7074271131842309</v>
      </c>
      <c r="AF1005">
        <f t="shared" si="365"/>
        <v>6000</v>
      </c>
      <c r="AG1005">
        <f t="shared" si="366"/>
        <v>1.1936620731892151</v>
      </c>
      <c r="AH1005">
        <f t="shared" si="367"/>
        <v>6.7074271131842309</v>
      </c>
      <c r="AI1005" cm="1">
        <f t="array" ref="AI1005">_xlfn.LET(
    _xlpm.vals,   _xlfn.HSTACK(S1005,V1005,Y1005,AB1005,AE1005,AH1005),
    _xlpm.ints,   _xlfn.HSTACK(R1005,U1005,X1005,AA1005,AD1005,AG1005),
    _xlpm.slopes, _xlfn.HSTACK(Q1005,T1005,W1005,Z1005,AC1005,AF1005),
    _xlpm.limit,  -0.00001*_xlpm.slopes + 0.1086*_xlpm.slopes + 63.253,
    _xlpm.mask,   (_xlpm.vals&gt;=0) * (_xlpm.ints&lt;=_xlpm.limit),
    _xlpm.validVals, _xlfn._xlws.FILTER(_xlpm.vals, _xlpm.mask),
    _xlpm.minVal, MIN(_xlpm.validVals),
    IFERROR( _xlfn.XMATCH(_xlpm.minVal, _xlpm.vals), "" )
)</f>
        <v>1</v>
      </c>
      <c r="AJ1005" cm="1">
        <f t="array" ref="AJ1005">_xlfn.LET(
    _xlpm.vals, CHOOSE({1,2,3,4,5,6}, S1005, V1005, Y1005, AB1005, AE1005, AH1005),
    _xlpm.slopes, CHOOSE({1,2,3,4,5,6}, Q1005, T1005, W1005, Z1005, AC1005, AF1005),
    _xlpm.ints, CHOOSE({1,2,3,4,5,6}, R1005, U1005, X1005, AA1005, AD1005, AG1005),
    _xlpm.limit, -0.00001*_xlpm.slopes + 0.1086*_xlpm.slopes + 63.253,
    _xlpm.valid, (_xlpm.vals &gt;= 0) * (_xlpm.ints &lt;= _xlpm.limit),
    _xlpm.target, MIN(_xlfn._xlws.FILTER(_xlpm.vals, _xlpm.valid)),
    IFERROR(
        _xlfn.XLOOKUP(_xlpm.target, _xlpm.vals, _xlpm.vals),
        CHOOSE({1,2,3,4,5,6}, S$1, V$1, Y$1, AB$1, AE$1, AH$1)
    )
)</f>
        <v>0.36386636162818831</v>
      </c>
    </row>
    <row r="1006" spans="9:36" x14ac:dyDescent="0.45">
      <c r="I1006">
        <v>1004</v>
      </c>
      <c r="J1006">
        <v>0</v>
      </c>
      <c r="K1006">
        <f t="shared" si="346"/>
        <v>0</v>
      </c>
      <c r="L1006">
        <f t="shared" si="345"/>
        <v>0</v>
      </c>
      <c r="M1006">
        <v>0.79</v>
      </c>
      <c r="N1006">
        <f t="shared" si="347"/>
        <v>0.79</v>
      </c>
      <c r="O1006">
        <f t="shared" si="348"/>
        <v>0</v>
      </c>
      <c r="P1006">
        <f t="shared" si="349"/>
        <v>0</v>
      </c>
      <c r="Q1006">
        <f t="shared" si="350"/>
        <v>1000</v>
      </c>
      <c r="R1006">
        <f t="shared" si="351"/>
        <v>7.5439443025558397</v>
      </c>
      <c r="S1006">
        <f t="shared" si="352"/>
        <v>0.36638384012744662</v>
      </c>
      <c r="T1006">
        <f t="shared" si="353"/>
        <v>6000</v>
      </c>
      <c r="U1006">
        <f t="shared" si="354"/>
        <v>1.2573240504259733</v>
      </c>
      <c r="V1006">
        <f t="shared" si="355"/>
        <v>6.7078343749277387</v>
      </c>
      <c r="W1006">
        <f t="shared" si="356"/>
        <v>6000</v>
      </c>
      <c r="X1006">
        <f t="shared" si="357"/>
        <v>1.2573240504259733</v>
      </c>
      <c r="Y1006">
        <f t="shared" si="358"/>
        <v>6.7078343749277387</v>
      </c>
      <c r="Z1006">
        <f t="shared" si="359"/>
        <v>6000</v>
      </c>
      <c r="AA1006">
        <f t="shared" si="360"/>
        <v>1.2573240504259733</v>
      </c>
      <c r="AB1006">
        <f t="shared" si="361"/>
        <v>6.7078343749277387</v>
      </c>
      <c r="AC1006">
        <f t="shared" si="362"/>
        <v>6000</v>
      </c>
      <c r="AD1006">
        <f t="shared" si="363"/>
        <v>1.2573240504259733</v>
      </c>
      <c r="AE1006">
        <f t="shared" si="364"/>
        <v>6.7078343749277387</v>
      </c>
      <c r="AF1006">
        <f t="shared" si="365"/>
        <v>6000</v>
      </c>
      <c r="AG1006">
        <f t="shared" si="366"/>
        <v>1.2573240504259733</v>
      </c>
      <c r="AH1006">
        <f t="shared" si="367"/>
        <v>6.7078343749277387</v>
      </c>
      <c r="AI1006" cm="1">
        <f t="array" ref="AI1006">_xlfn.LET(
    _xlpm.vals,   _xlfn.HSTACK(S1006,V1006,Y1006,AB1006,AE1006,AH1006),
    _xlpm.ints,   _xlfn.HSTACK(R1006,U1006,X1006,AA1006,AD1006,AG1006),
    _xlpm.slopes, _xlfn.HSTACK(Q1006,T1006,W1006,Z1006,AC1006,AF1006),
    _xlpm.limit,  -0.00001*_xlpm.slopes + 0.1086*_xlpm.slopes + 63.253,
    _xlpm.mask,   (_xlpm.vals&gt;=0) * (_xlpm.ints&lt;=_xlpm.limit),
    _xlpm.validVals, _xlfn._xlws.FILTER(_xlpm.vals, _xlpm.mask),
    _xlpm.minVal, MIN(_xlpm.validVals),
    IFERROR( _xlfn.XMATCH(_xlpm.minVal, _xlpm.vals), "" )
)</f>
        <v>1</v>
      </c>
      <c r="AJ1006" cm="1">
        <f t="array" ref="AJ1006">_xlfn.LET(
    _xlpm.vals, CHOOSE({1,2,3,4,5,6}, S1006, V1006, Y1006, AB1006, AE1006, AH1006),
    _xlpm.slopes, CHOOSE({1,2,3,4,5,6}, Q1006, T1006, W1006, Z1006, AC1006, AF1006),
    _xlpm.ints, CHOOSE({1,2,3,4,5,6}, R1006, U1006, X1006, AA1006, AD1006, AG1006),
    _xlpm.limit, -0.00001*_xlpm.slopes + 0.1086*_xlpm.slopes + 63.253,
    _xlpm.valid, (_xlpm.vals &gt;= 0) * (_xlpm.ints &lt;= _xlpm.limit),
    _xlpm.target, MIN(_xlfn._xlws.FILTER(_xlpm.vals, _xlpm.valid)),
    IFERROR(
        _xlfn.XLOOKUP(_xlpm.target, _xlpm.vals, _xlpm.vals),
        CHOOSE({1,2,3,4,5,6}, S$1, V$1, Y$1, AB$1, AE$1, AH$1)
    )
)</f>
        <v>0.36638384012744662</v>
      </c>
    </row>
    <row r="1007" spans="9:36" x14ac:dyDescent="0.45">
      <c r="I1007">
        <v>1005</v>
      </c>
      <c r="J1007">
        <v>0</v>
      </c>
      <c r="K1007">
        <f t="shared" si="346"/>
        <v>0</v>
      </c>
      <c r="L1007">
        <f t="shared" si="345"/>
        <v>0</v>
      </c>
      <c r="M1007">
        <v>1.02</v>
      </c>
      <c r="N1007">
        <f t="shared" si="347"/>
        <v>1.02</v>
      </c>
      <c r="O1007">
        <f t="shared" si="348"/>
        <v>0</v>
      </c>
      <c r="P1007">
        <f t="shared" si="349"/>
        <v>0</v>
      </c>
      <c r="Q1007">
        <f t="shared" si="350"/>
        <v>1000</v>
      </c>
      <c r="R1007">
        <f t="shared" si="351"/>
        <v>9.7402825172239957</v>
      </c>
      <c r="S1007">
        <f t="shared" si="352"/>
        <v>0.38118342872203997</v>
      </c>
      <c r="T1007">
        <f t="shared" si="353"/>
        <v>6000</v>
      </c>
      <c r="U1007">
        <f t="shared" si="354"/>
        <v>1.6233804195373325</v>
      </c>
      <c r="V1007">
        <f t="shared" si="355"/>
        <v>6.7102022273783124</v>
      </c>
      <c r="W1007">
        <f t="shared" si="356"/>
        <v>6000</v>
      </c>
      <c r="X1007">
        <f t="shared" si="357"/>
        <v>1.6233804195373325</v>
      </c>
      <c r="Y1007">
        <f t="shared" si="358"/>
        <v>6.7102022273783124</v>
      </c>
      <c r="Z1007">
        <f t="shared" si="359"/>
        <v>6000</v>
      </c>
      <c r="AA1007">
        <f t="shared" si="360"/>
        <v>1.6233804195373325</v>
      </c>
      <c r="AB1007">
        <f t="shared" si="361"/>
        <v>6.7102022273783124</v>
      </c>
      <c r="AC1007">
        <f t="shared" si="362"/>
        <v>6000</v>
      </c>
      <c r="AD1007">
        <f t="shared" si="363"/>
        <v>1.6233804195373325</v>
      </c>
      <c r="AE1007">
        <f t="shared" si="364"/>
        <v>6.7102022273783124</v>
      </c>
      <c r="AF1007">
        <f t="shared" si="365"/>
        <v>6000</v>
      </c>
      <c r="AG1007">
        <f t="shared" si="366"/>
        <v>1.6233804195373325</v>
      </c>
      <c r="AH1007">
        <f t="shared" si="367"/>
        <v>6.7102022273783124</v>
      </c>
      <c r="AI1007" cm="1">
        <f t="array" ref="AI1007">_xlfn.LET(
    _xlpm.vals,   _xlfn.HSTACK(S1007,V1007,Y1007,AB1007,AE1007,AH1007),
    _xlpm.ints,   _xlfn.HSTACK(R1007,U1007,X1007,AA1007,AD1007,AG1007),
    _xlpm.slopes, _xlfn.HSTACK(Q1007,T1007,W1007,Z1007,AC1007,AF1007),
    _xlpm.limit,  -0.00001*_xlpm.slopes + 0.1086*_xlpm.slopes + 63.253,
    _xlpm.mask,   (_xlpm.vals&gt;=0) * (_xlpm.ints&lt;=_xlpm.limit),
    _xlpm.validVals, _xlfn._xlws.FILTER(_xlpm.vals, _xlpm.mask),
    _xlpm.minVal, MIN(_xlpm.validVals),
    IFERROR( _xlfn.XMATCH(_xlpm.minVal, _xlpm.vals), "" )
)</f>
        <v>1</v>
      </c>
      <c r="AJ1007" cm="1">
        <f t="array" ref="AJ1007">_xlfn.LET(
    _xlpm.vals, CHOOSE({1,2,3,4,5,6}, S1007, V1007, Y1007, AB1007, AE1007, AH1007),
    _xlpm.slopes, CHOOSE({1,2,3,4,5,6}, Q1007, T1007, W1007, Z1007, AC1007, AF1007),
    _xlpm.ints, CHOOSE({1,2,3,4,5,6}, R1007, U1007, X1007, AA1007, AD1007, AG1007),
    _xlpm.limit, -0.00001*_xlpm.slopes + 0.1086*_xlpm.slopes + 63.253,
    _xlpm.valid, (_xlpm.vals &gt;= 0) * (_xlpm.ints &lt;= _xlpm.limit),
    _xlpm.target, MIN(_xlfn._xlws.FILTER(_xlpm.vals, _xlpm.valid)),
    IFERROR(
        _xlfn.XLOOKUP(_xlpm.target, _xlpm.vals, _xlpm.vals),
        CHOOSE({1,2,3,4,5,6}, S$1, V$1, Y$1, AB$1, AE$1, AH$1)
    )
)</f>
        <v>0.38118342872203997</v>
      </c>
    </row>
    <row r="1008" spans="9:36" x14ac:dyDescent="0.45">
      <c r="I1008">
        <v>1006</v>
      </c>
      <c r="J1008">
        <v>0</v>
      </c>
      <c r="K1008">
        <f t="shared" si="346"/>
        <v>0</v>
      </c>
      <c r="L1008">
        <f t="shared" si="345"/>
        <v>0</v>
      </c>
      <c r="M1008">
        <v>0.96</v>
      </c>
      <c r="N1008">
        <f t="shared" si="347"/>
        <v>0.96</v>
      </c>
      <c r="O1008">
        <f t="shared" si="348"/>
        <v>0</v>
      </c>
      <c r="P1008">
        <f t="shared" si="349"/>
        <v>0</v>
      </c>
      <c r="Q1008">
        <f t="shared" si="350"/>
        <v>1000</v>
      </c>
      <c r="R1008">
        <f t="shared" si="351"/>
        <v>9.1673247220931717</v>
      </c>
      <c r="S1008">
        <f t="shared" si="352"/>
        <v>0.37727008345355634</v>
      </c>
      <c r="T1008">
        <f t="shared" si="353"/>
        <v>6000</v>
      </c>
      <c r="U1008">
        <f t="shared" si="354"/>
        <v>1.5278874536821954</v>
      </c>
      <c r="V1008">
        <f t="shared" si="355"/>
        <v>6.7095802432085936</v>
      </c>
      <c r="W1008">
        <f t="shared" si="356"/>
        <v>6000</v>
      </c>
      <c r="X1008">
        <f t="shared" si="357"/>
        <v>1.5278874536821954</v>
      </c>
      <c r="Y1008">
        <f t="shared" si="358"/>
        <v>6.7095802432085936</v>
      </c>
      <c r="Z1008">
        <f t="shared" si="359"/>
        <v>6000</v>
      </c>
      <c r="AA1008">
        <f t="shared" si="360"/>
        <v>1.5278874536821954</v>
      </c>
      <c r="AB1008">
        <f t="shared" si="361"/>
        <v>6.7095802432085936</v>
      </c>
      <c r="AC1008">
        <f t="shared" si="362"/>
        <v>6000</v>
      </c>
      <c r="AD1008">
        <f t="shared" si="363"/>
        <v>1.5278874536821954</v>
      </c>
      <c r="AE1008">
        <f t="shared" si="364"/>
        <v>6.7095802432085936</v>
      </c>
      <c r="AF1008">
        <f t="shared" si="365"/>
        <v>6000</v>
      </c>
      <c r="AG1008">
        <f t="shared" si="366"/>
        <v>1.5278874536821954</v>
      </c>
      <c r="AH1008">
        <f t="shared" si="367"/>
        <v>6.7095802432085936</v>
      </c>
      <c r="AI1008" cm="1">
        <f t="array" ref="AI1008">_xlfn.LET(
    _xlpm.vals,   _xlfn.HSTACK(S1008,V1008,Y1008,AB1008,AE1008,AH1008),
    _xlpm.ints,   _xlfn.HSTACK(R1008,U1008,X1008,AA1008,AD1008,AG1008),
    _xlpm.slopes, _xlfn.HSTACK(Q1008,T1008,W1008,Z1008,AC1008,AF1008),
    _xlpm.limit,  -0.00001*_xlpm.slopes + 0.1086*_xlpm.slopes + 63.253,
    _xlpm.mask,   (_xlpm.vals&gt;=0) * (_xlpm.ints&lt;=_xlpm.limit),
    _xlpm.validVals, _xlfn._xlws.FILTER(_xlpm.vals, _xlpm.mask),
    _xlpm.minVal, MIN(_xlpm.validVals),
    IFERROR( _xlfn.XMATCH(_xlpm.minVal, _xlpm.vals), "" )
)</f>
        <v>1</v>
      </c>
      <c r="AJ1008" cm="1">
        <f t="array" ref="AJ1008">_xlfn.LET(
    _xlpm.vals, CHOOSE({1,2,3,4,5,6}, S1008, V1008, Y1008, AB1008, AE1008, AH1008),
    _xlpm.slopes, CHOOSE({1,2,3,4,5,6}, Q1008, T1008, W1008, Z1008, AC1008, AF1008),
    _xlpm.ints, CHOOSE({1,2,3,4,5,6}, R1008, U1008, X1008, AA1008, AD1008, AG1008),
    _xlpm.limit, -0.00001*_xlpm.slopes + 0.1086*_xlpm.slopes + 63.253,
    _xlpm.valid, (_xlpm.vals &gt;= 0) * (_xlpm.ints &lt;= _xlpm.limit),
    _xlpm.target, MIN(_xlfn._xlws.FILTER(_xlpm.vals, _xlpm.valid)),
    IFERROR(
        _xlfn.XLOOKUP(_xlpm.target, _xlpm.vals, _xlpm.vals),
        CHOOSE({1,2,3,4,5,6}, S$1, V$1, Y$1, AB$1, AE$1, AH$1)
    )
)</f>
        <v>0.37727008345355634</v>
      </c>
    </row>
    <row r="1009" spans="9:36" x14ac:dyDescent="0.45">
      <c r="I1009">
        <v>1007</v>
      </c>
      <c r="J1009">
        <v>0</v>
      </c>
      <c r="K1009">
        <f t="shared" si="346"/>
        <v>0</v>
      </c>
      <c r="L1009">
        <f t="shared" si="345"/>
        <v>0</v>
      </c>
      <c r="M1009">
        <v>0.91</v>
      </c>
      <c r="N1009">
        <f t="shared" si="347"/>
        <v>0.91</v>
      </c>
      <c r="O1009">
        <f t="shared" si="348"/>
        <v>0</v>
      </c>
      <c r="P1009">
        <f t="shared" si="349"/>
        <v>0</v>
      </c>
      <c r="Q1009">
        <f t="shared" si="350"/>
        <v>1000</v>
      </c>
      <c r="R1009">
        <f t="shared" si="351"/>
        <v>8.6898598928174859</v>
      </c>
      <c r="S1009">
        <f t="shared" si="352"/>
        <v>0.37403711611222523</v>
      </c>
      <c r="T1009">
        <f t="shared" si="353"/>
        <v>6000</v>
      </c>
      <c r="U1009">
        <f t="shared" si="354"/>
        <v>1.4483099821362477</v>
      </c>
      <c r="V1009">
        <f t="shared" si="355"/>
        <v>6.7090642318886093</v>
      </c>
      <c r="W1009">
        <f t="shared" si="356"/>
        <v>6000</v>
      </c>
      <c r="X1009">
        <f t="shared" si="357"/>
        <v>1.4483099821362477</v>
      </c>
      <c r="Y1009">
        <f t="shared" si="358"/>
        <v>6.7090642318886093</v>
      </c>
      <c r="Z1009">
        <f t="shared" si="359"/>
        <v>6000</v>
      </c>
      <c r="AA1009">
        <f t="shared" si="360"/>
        <v>1.4483099821362477</v>
      </c>
      <c r="AB1009">
        <f t="shared" si="361"/>
        <v>6.7090642318886093</v>
      </c>
      <c r="AC1009">
        <f t="shared" si="362"/>
        <v>6000</v>
      </c>
      <c r="AD1009">
        <f t="shared" si="363"/>
        <v>1.4483099821362477</v>
      </c>
      <c r="AE1009">
        <f t="shared" si="364"/>
        <v>6.7090642318886093</v>
      </c>
      <c r="AF1009">
        <f t="shared" si="365"/>
        <v>6000</v>
      </c>
      <c r="AG1009">
        <f t="shared" si="366"/>
        <v>1.4483099821362477</v>
      </c>
      <c r="AH1009">
        <f t="shared" si="367"/>
        <v>6.7090642318886093</v>
      </c>
      <c r="AI1009" cm="1">
        <f t="array" ref="AI1009">_xlfn.LET(
    _xlpm.vals,   _xlfn.HSTACK(S1009,V1009,Y1009,AB1009,AE1009,AH1009),
    _xlpm.ints,   _xlfn.HSTACK(R1009,U1009,X1009,AA1009,AD1009,AG1009),
    _xlpm.slopes, _xlfn.HSTACK(Q1009,T1009,W1009,Z1009,AC1009,AF1009),
    _xlpm.limit,  -0.00001*_xlpm.slopes + 0.1086*_xlpm.slopes + 63.253,
    _xlpm.mask,   (_xlpm.vals&gt;=0) * (_xlpm.ints&lt;=_xlpm.limit),
    _xlpm.validVals, _xlfn._xlws.FILTER(_xlpm.vals, _xlpm.mask),
    _xlpm.minVal, MIN(_xlpm.validVals),
    IFERROR( _xlfn.XMATCH(_xlpm.minVal, _xlpm.vals), "" )
)</f>
        <v>1</v>
      </c>
      <c r="AJ1009" cm="1">
        <f t="array" ref="AJ1009">_xlfn.LET(
    _xlpm.vals, CHOOSE({1,2,3,4,5,6}, S1009, V1009, Y1009, AB1009, AE1009, AH1009),
    _xlpm.slopes, CHOOSE({1,2,3,4,5,6}, Q1009, T1009, W1009, Z1009, AC1009, AF1009),
    _xlpm.ints, CHOOSE({1,2,3,4,5,6}, R1009, U1009, X1009, AA1009, AD1009, AG1009),
    _xlpm.limit, -0.00001*_xlpm.slopes + 0.1086*_xlpm.slopes + 63.253,
    _xlpm.valid, (_xlpm.vals &gt;= 0) * (_xlpm.ints &lt;= _xlpm.limit),
    _xlpm.target, MIN(_xlfn._xlws.FILTER(_xlpm.vals, _xlpm.valid)),
    IFERROR(
        _xlfn.XLOOKUP(_xlpm.target, _xlpm.vals, _xlpm.vals),
        CHOOSE({1,2,3,4,5,6}, S$1, V$1, Y$1, AB$1, AE$1, AH$1)
    )
)</f>
        <v>0.37403711611222523</v>
      </c>
    </row>
    <row r="1010" spans="9:36" x14ac:dyDescent="0.45">
      <c r="I1010">
        <v>1008</v>
      </c>
      <c r="J1010">
        <v>0</v>
      </c>
      <c r="K1010">
        <f t="shared" si="346"/>
        <v>0</v>
      </c>
      <c r="L1010">
        <f t="shared" si="345"/>
        <v>0</v>
      </c>
      <c r="M1010">
        <v>0.61</v>
      </c>
      <c r="N1010">
        <f t="shared" si="347"/>
        <v>0.61</v>
      </c>
      <c r="O1010">
        <f t="shared" si="348"/>
        <v>0</v>
      </c>
      <c r="P1010">
        <f t="shared" si="349"/>
        <v>0</v>
      </c>
      <c r="Q1010">
        <f t="shared" si="350"/>
        <v>1000</v>
      </c>
      <c r="R1010">
        <f t="shared" si="351"/>
        <v>5.8250709171633694</v>
      </c>
      <c r="S1010">
        <f t="shared" si="352"/>
        <v>0.3551898295194329</v>
      </c>
      <c r="T1010">
        <f t="shared" si="353"/>
        <v>6000</v>
      </c>
      <c r="U1010">
        <f t="shared" si="354"/>
        <v>0.97084515286056161</v>
      </c>
      <c r="V1010">
        <f t="shared" si="355"/>
        <v>6.7060123018275641</v>
      </c>
      <c r="W1010">
        <f t="shared" si="356"/>
        <v>6000</v>
      </c>
      <c r="X1010">
        <f t="shared" si="357"/>
        <v>0.97084515286056161</v>
      </c>
      <c r="Y1010">
        <f t="shared" si="358"/>
        <v>6.7060123018275641</v>
      </c>
      <c r="Z1010">
        <f t="shared" si="359"/>
        <v>6000</v>
      </c>
      <c r="AA1010">
        <f t="shared" si="360"/>
        <v>0.97084515286056161</v>
      </c>
      <c r="AB1010">
        <f t="shared" si="361"/>
        <v>6.7060123018275641</v>
      </c>
      <c r="AC1010">
        <f t="shared" si="362"/>
        <v>6000</v>
      </c>
      <c r="AD1010">
        <f t="shared" si="363"/>
        <v>0.97084515286056161</v>
      </c>
      <c r="AE1010">
        <f t="shared" si="364"/>
        <v>6.7060123018275641</v>
      </c>
      <c r="AF1010">
        <f t="shared" si="365"/>
        <v>6000</v>
      </c>
      <c r="AG1010">
        <f t="shared" si="366"/>
        <v>0.97084515286056161</v>
      </c>
      <c r="AH1010">
        <f t="shared" si="367"/>
        <v>6.7060123018275641</v>
      </c>
      <c r="AI1010" cm="1">
        <f t="array" ref="AI1010">_xlfn.LET(
    _xlpm.vals,   _xlfn.HSTACK(S1010,V1010,Y1010,AB1010,AE1010,AH1010),
    _xlpm.ints,   _xlfn.HSTACK(R1010,U1010,X1010,AA1010,AD1010,AG1010),
    _xlpm.slopes, _xlfn.HSTACK(Q1010,T1010,W1010,Z1010,AC1010,AF1010),
    _xlpm.limit,  -0.00001*_xlpm.slopes + 0.1086*_xlpm.slopes + 63.253,
    _xlpm.mask,   (_xlpm.vals&gt;=0) * (_xlpm.ints&lt;=_xlpm.limit),
    _xlpm.validVals, _xlfn._xlws.FILTER(_xlpm.vals, _xlpm.mask),
    _xlpm.minVal, MIN(_xlpm.validVals),
    IFERROR( _xlfn.XMATCH(_xlpm.minVal, _xlpm.vals), "" )
)</f>
        <v>1</v>
      </c>
      <c r="AJ1010" cm="1">
        <f t="array" ref="AJ1010">_xlfn.LET(
    _xlpm.vals, CHOOSE({1,2,3,4,5,6}, S1010, V1010, Y1010, AB1010, AE1010, AH1010),
    _xlpm.slopes, CHOOSE({1,2,3,4,5,6}, Q1010, T1010, W1010, Z1010, AC1010, AF1010),
    _xlpm.ints, CHOOSE({1,2,3,4,5,6}, R1010, U1010, X1010, AA1010, AD1010, AG1010),
    _xlpm.limit, -0.00001*_xlpm.slopes + 0.1086*_xlpm.slopes + 63.253,
    _xlpm.valid, (_xlpm.vals &gt;= 0) * (_xlpm.ints &lt;= _xlpm.limit),
    _xlpm.target, MIN(_xlfn._xlws.FILTER(_xlpm.vals, _xlpm.valid)),
    IFERROR(
        _xlfn.XLOOKUP(_xlpm.target, _xlpm.vals, _xlpm.vals),
        CHOOSE({1,2,3,4,5,6}, S$1, V$1, Y$1, AB$1, AE$1, AH$1)
    )
)</f>
        <v>0.3551898295194329</v>
      </c>
    </row>
    <row r="1011" spans="9:36" x14ac:dyDescent="0.45">
      <c r="I1011">
        <v>1009</v>
      </c>
      <c r="J1011">
        <v>0</v>
      </c>
      <c r="K1011">
        <f t="shared" si="346"/>
        <v>0</v>
      </c>
      <c r="L1011">
        <f t="shared" si="345"/>
        <v>0</v>
      </c>
      <c r="M1011">
        <v>1.18</v>
      </c>
      <c r="N1011">
        <f t="shared" si="347"/>
        <v>1.18</v>
      </c>
      <c r="O1011">
        <f t="shared" si="348"/>
        <v>0</v>
      </c>
      <c r="P1011">
        <f t="shared" si="349"/>
        <v>0</v>
      </c>
      <c r="Q1011">
        <f t="shared" si="350"/>
        <v>1000</v>
      </c>
      <c r="R1011">
        <f t="shared" si="351"/>
        <v>11.268169970906191</v>
      </c>
      <c r="S1011">
        <f t="shared" si="352"/>
        <v>0.3917963216575015</v>
      </c>
      <c r="T1011">
        <f t="shared" si="353"/>
        <v>6000</v>
      </c>
      <c r="U1011">
        <f t="shared" si="354"/>
        <v>1.8780283284843651</v>
      </c>
      <c r="V1011">
        <f t="shared" si="355"/>
        <v>6.7118756149630432</v>
      </c>
      <c r="W1011">
        <f t="shared" si="356"/>
        <v>6000</v>
      </c>
      <c r="X1011">
        <f t="shared" si="357"/>
        <v>1.8780283284843651</v>
      </c>
      <c r="Y1011">
        <f t="shared" si="358"/>
        <v>6.7118756149630432</v>
      </c>
      <c r="Z1011">
        <f t="shared" si="359"/>
        <v>6000</v>
      </c>
      <c r="AA1011">
        <f t="shared" si="360"/>
        <v>1.8780283284843651</v>
      </c>
      <c r="AB1011">
        <f t="shared" si="361"/>
        <v>6.7118756149630432</v>
      </c>
      <c r="AC1011">
        <f t="shared" si="362"/>
        <v>6000</v>
      </c>
      <c r="AD1011">
        <f t="shared" si="363"/>
        <v>1.8780283284843651</v>
      </c>
      <c r="AE1011">
        <f t="shared" si="364"/>
        <v>6.7118756149630432</v>
      </c>
      <c r="AF1011">
        <f t="shared" si="365"/>
        <v>6000</v>
      </c>
      <c r="AG1011">
        <f t="shared" si="366"/>
        <v>1.8780283284843651</v>
      </c>
      <c r="AH1011">
        <f t="shared" si="367"/>
        <v>6.7118756149630432</v>
      </c>
      <c r="AI1011" cm="1">
        <f t="array" ref="AI1011">_xlfn.LET(
    _xlpm.vals,   _xlfn.HSTACK(S1011,V1011,Y1011,AB1011,AE1011,AH1011),
    _xlpm.ints,   _xlfn.HSTACK(R1011,U1011,X1011,AA1011,AD1011,AG1011),
    _xlpm.slopes, _xlfn.HSTACK(Q1011,T1011,W1011,Z1011,AC1011,AF1011),
    _xlpm.limit,  -0.00001*_xlpm.slopes + 0.1086*_xlpm.slopes + 63.253,
    _xlpm.mask,   (_xlpm.vals&gt;=0) * (_xlpm.ints&lt;=_xlpm.limit),
    _xlpm.validVals, _xlfn._xlws.FILTER(_xlpm.vals, _xlpm.mask),
    _xlpm.minVal, MIN(_xlpm.validVals),
    IFERROR( _xlfn.XMATCH(_xlpm.minVal, _xlpm.vals), "" )
)</f>
        <v>1</v>
      </c>
      <c r="AJ1011" cm="1">
        <f t="array" ref="AJ1011">_xlfn.LET(
    _xlpm.vals, CHOOSE({1,2,3,4,5,6}, S1011, V1011, Y1011, AB1011, AE1011, AH1011),
    _xlpm.slopes, CHOOSE({1,2,3,4,5,6}, Q1011, T1011, W1011, Z1011, AC1011, AF1011),
    _xlpm.ints, CHOOSE({1,2,3,4,5,6}, R1011, U1011, X1011, AA1011, AD1011, AG1011),
    _xlpm.limit, -0.00001*_xlpm.slopes + 0.1086*_xlpm.slopes + 63.253,
    _xlpm.valid, (_xlpm.vals &gt;= 0) * (_xlpm.ints &lt;= _xlpm.limit),
    _xlpm.target, MIN(_xlfn._xlws.FILTER(_xlpm.vals, _xlpm.valid)),
    IFERROR(
        _xlfn.XLOOKUP(_xlpm.target, _xlpm.vals, _xlpm.vals),
        CHOOSE({1,2,3,4,5,6}, S$1, V$1, Y$1, AB$1, AE$1, AH$1)
    )
)</f>
        <v>0.3917963216575015</v>
      </c>
    </row>
    <row r="1012" spans="9:36" x14ac:dyDescent="0.45">
      <c r="I1012">
        <v>1010</v>
      </c>
      <c r="J1012">
        <v>0</v>
      </c>
      <c r="K1012">
        <f t="shared" si="346"/>
        <v>0</v>
      </c>
      <c r="L1012">
        <f t="shared" si="345"/>
        <v>0</v>
      </c>
      <c r="M1012">
        <v>0.85</v>
      </c>
      <c r="N1012">
        <f t="shared" si="347"/>
        <v>0.85</v>
      </c>
      <c r="O1012">
        <f t="shared" si="348"/>
        <v>0</v>
      </c>
      <c r="P1012">
        <f t="shared" si="349"/>
        <v>0</v>
      </c>
      <c r="Q1012">
        <f t="shared" si="350"/>
        <v>1000</v>
      </c>
      <c r="R1012">
        <f t="shared" si="351"/>
        <v>8.1169020976866637</v>
      </c>
      <c r="S1012">
        <f t="shared" si="352"/>
        <v>0.37019167955230636</v>
      </c>
      <c r="T1012">
        <f t="shared" si="353"/>
        <v>6000</v>
      </c>
      <c r="U1012">
        <f t="shared" si="354"/>
        <v>1.3528170162811104</v>
      </c>
      <c r="V1012">
        <f t="shared" si="355"/>
        <v>6.7084477904634747</v>
      </c>
      <c r="W1012">
        <f t="shared" si="356"/>
        <v>6000</v>
      </c>
      <c r="X1012">
        <f t="shared" si="357"/>
        <v>1.3528170162811104</v>
      </c>
      <c r="Y1012">
        <f t="shared" si="358"/>
        <v>6.7084477904634747</v>
      </c>
      <c r="Z1012">
        <f t="shared" si="359"/>
        <v>6000</v>
      </c>
      <c r="AA1012">
        <f t="shared" si="360"/>
        <v>1.3528170162811104</v>
      </c>
      <c r="AB1012">
        <f t="shared" si="361"/>
        <v>6.7084477904634747</v>
      </c>
      <c r="AC1012">
        <f t="shared" si="362"/>
        <v>6000</v>
      </c>
      <c r="AD1012">
        <f t="shared" si="363"/>
        <v>1.3528170162811104</v>
      </c>
      <c r="AE1012">
        <f t="shared" si="364"/>
        <v>6.7084477904634747</v>
      </c>
      <c r="AF1012">
        <f t="shared" si="365"/>
        <v>6000</v>
      </c>
      <c r="AG1012">
        <f t="shared" si="366"/>
        <v>1.3528170162811104</v>
      </c>
      <c r="AH1012">
        <f t="shared" si="367"/>
        <v>6.7084477904634747</v>
      </c>
      <c r="AI1012" cm="1">
        <f t="array" ref="AI1012">_xlfn.LET(
    _xlpm.vals,   _xlfn.HSTACK(S1012,V1012,Y1012,AB1012,AE1012,AH1012),
    _xlpm.ints,   _xlfn.HSTACK(R1012,U1012,X1012,AA1012,AD1012,AG1012),
    _xlpm.slopes, _xlfn.HSTACK(Q1012,T1012,W1012,Z1012,AC1012,AF1012),
    _xlpm.limit,  -0.00001*_xlpm.slopes + 0.1086*_xlpm.slopes + 63.253,
    _xlpm.mask,   (_xlpm.vals&gt;=0) * (_xlpm.ints&lt;=_xlpm.limit),
    _xlpm.validVals, _xlfn._xlws.FILTER(_xlpm.vals, _xlpm.mask),
    _xlpm.minVal, MIN(_xlpm.validVals),
    IFERROR( _xlfn.XMATCH(_xlpm.minVal, _xlpm.vals), "" )
)</f>
        <v>1</v>
      </c>
      <c r="AJ1012" cm="1">
        <f t="array" ref="AJ1012">_xlfn.LET(
    _xlpm.vals, CHOOSE({1,2,3,4,5,6}, S1012, V1012, Y1012, AB1012, AE1012, AH1012),
    _xlpm.slopes, CHOOSE({1,2,3,4,5,6}, Q1012, T1012, W1012, Z1012, AC1012, AF1012),
    _xlpm.ints, CHOOSE({1,2,3,4,5,6}, R1012, U1012, X1012, AA1012, AD1012, AG1012),
    _xlpm.limit, -0.00001*_xlpm.slopes + 0.1086*_xlpm.slopes + 63.253,
    _xlpm.valid, (_xlpm.vals &gt;= 0) * (_xlpm.ints &lt;= _xlpm.limit),
    _xlpm.target, MIN(_xlfn._xlws.FILTER(_xlpm.vals, _xlpm.valid)),
    IFERROR(
        _xlfn.XLOOKUP(_xlpm.target, _xlpm.vals, _xlpm.vals),
        CHOOSE({1,2,3,4,5,6}, S$1, V$1, Y$1, AB$1, AE$1, AH$1)
    )
)</f>
        <v>0.37019167955230636</v>
      </c>
    </row>
    <row r="1013" spans="9:36" x14ac:dyDescent="0.45">
      <c r="I1013">
        <v>1011</v>
      </c>
      <c r="J1013">
        <v>0</v>
      </c>
      <c r="K1013">
        <f t="shared" si="346"/>
        <v>0</v>
      </c>
      <c r="L1013">
        <f t="shared" si="345"/>
        <v>0</v>
      </c>
      <c r="M1013">
        <v>0.77</v>
      </c>
      <c r="N1013">
        <f t="shared" si="347"/>
        <v>0.77</v>
      </c>
      <c r="O1013">
        <f t="shared" si="348"/>
        <v>0</v>
      </c>
      <c r="P1013">
        <f t="shared" si="349"/>
        <v>0</v>
      </c>
      <c r="Q1013">
        <f t="shared" si="350"/>
        <v>1000</v>
      </c>
      <c r="R1013">
        <f t="shared" si="351"/>
        <v>7.352958370845565</v>
      </c>
      <c r="S1013">
        <f t="shared" si="352"/>
        <v>0.36512298307508295</v>
      </c>
      <c r="T1013">
        <f t="shared" si="353"/>
        <v>6000</v>
      </c>
      <c r="U1013">
        <f t="shared" si="354"/>
        <v>1.2254930618075941</v>
      </c>
      <c r="V1013">
        <f t="shared" si="355"/>
        <v>6.7076305758164212</v>
      </c>
      <c r="W1013">
        <f t="shared" si="356"/>
        <v>6000</v>
      </c>
      <c r="X1013">
        <f t="shared" si="357"/>
        <v>1.2254930618075941</v>
      </c>
      <c r="Y1013">
        <f t="shared" si="358"/>
        <v>6.7076305758164212</v>
      </c>
      <c r="Z1013">
        <f t="shared" si="359"/>
        <v>6000</v>
      </c>
      <c r="AA1013">
        <f t="shared" si="360"/>
        <v>1.2254930618075941</v>
      </c>
      <c r="AB1013">
        <f t="shared" si="361"/>
        <v>6.7076305758164212</v>
      </c>
      <c r="AC1013">
        <f t="shared" si="362"/>
        <v>6000</v>
      </c>
      <c r="AD1013">
        <f t="shared" si="363"/>
        <v>1.2254930618075941</v>
      </c>
      <c r="AE1013">
        <f t="shared" si="364"/>
        <v>6.7076305758164212</v>
      </c>
      <c r="AF1013">
        <f t="shared" si="365"/>
        <v>6000</v>
      </c>
      <c r="AG1013">
        <f t="shared" si="366"/>
        <v>1.2254930618075941</v>
      </c>
      <c r="AH1013">
        <f t="shared" si="367"/>
        <v>6.7076305758164212</v>
      </c>
      <c r="AI1013" cm="1">
        <f t="array" ref="AI1013">_xlfn.LET(
    _xlpm.vals,   _xlfn.HSTACK(S1013,V1013,Y1013,AB1013,AE1013,AH1013),
    _xlpm.ints,   _xlfn.HSTACK(R1013,U1013,X1013,AA1013,AD1013,AG1013),
    _xlpm.slopes, _xlfn.HSTACK(Q1013,T1013,W1013,Z1013,AC1013,AF1013),
    _xlpm.limit,  -0.00001*_xlpm.slopes + 0.1086*_xlpm.slopes + 63.253,
    _xlpm.mask,   (_xlpm.vals&gt;=0) * (_xlpm.ints&lt;=_xlpm.limit),
    _xlpm.validVals, _xlfn._xlws.FILTER(_xlpm.vals, _xlpm.mask),
    _xlpm.minVal, MIN(_xlpm.validVals),
    IFERROR( _xlfn.XMATCH(_xlpm.minVal, _xlpm.vals), "" )
)</f>
        <v>1</v>
      </c>
      <c r="AJ1013" cm="1">
        <f t="array" ref="AJ1013">_xlfn.LET(
    _xlpm.vals, CHOOSE({1,2,3,4,5,6}, S1013, V1013, Y1013, AB1013, AE1013, AH1013),
    _xlpm.slopes, CHOOSE({1,2,3,4,5,6}, Q1013, T1013, W1013, Z1013, AC1013, AF1013),
    _xlpm.ints, CHOOSE({1,2,3,4,5,6}, R1013, U1013, X1013, AA1013, AD1013, AG1013),
    _xlpm.limit, -0.00001*_xlpm.slopes + 0.1086*_xlpm.slopes + 63.253,
    _xlpm.valid, (_xlpm.vals &gt;= 0) * (_xlpm.ints &lt;= _xlpm.limit),
    _xlpm.target, MIN(_xlfn._xlws.FILTER(_xlpm.vals, _xlpm.valid)),
    IFERROR(
        _xlfn.XLOOKUP(_xlpm.target, _xlpm.vals, _xlpm.vals),
        CHOOSE({1,2,3,4,5,6}, S$1, V$1, Y$1, AB$1, AE$1, AH$1)
    )
)</f>
        <v>0.36512298307508295</v>
      </c>
    </row>
    <row r="1014" spans="9:36" x14ac:dyDescent="0.45">
      <c r="I1014">
        <v>1012</v>
      </c>
      <c r="J1014">
        <v>0</v>
      </c>
      <c r="K1014">
        <f t="shared" si="346"/>
        <v>0</v>
      </c>
      <c r="L1014">
        <f t="shared" si="345"/>
        <v>0</v>
      </c>
      <c r="M1014">
        <v>0.68</v>
      </c>
      <c r="N1014">
        <f t="shared" si="347"/>
        <v>0.68</v>
      </c>
      <c r="O1014">
        <f t="shared" si="348"/>
        <v>0</v>
      </c>
      <c r="P1014">
        <f t="shared" si="349"/>
        <v>0</v>
      </c>
      <c r="Q1014">
        <f t="shared" si="350"/>
        <v>1000</v>
      </c>
      <c r="R1014">
        <f t="shared" si="351"/>
        <v>6.4935216781493308</v>
      </c>
      <c r="S1014">
        <f t="shared" si="352"/>
        <v>0.35950175182790844</v>
      </c>
      <c r="T1014">
        <f t="shared" si="353"/>
        <v>6000</v>
      </c>
      <c r="U1014">
        <f t="shared" si="354"/>
        <v>1.0822536130248883</v>
      </c>
      <c r="V1014">
        <f t="shared" si="355"/>
        <v>6.7067176447163215</v>
      </c>
      <c r="W1014">
        <f t="shared" si="356"/>
        <v>6000</v>
      </c>
      <c r="X1014">
        <f t="shared" si="357"/>
        <v>1.0822536130248883</v>
      </c>
      <c r="Y1014">
        <f t="shared" si="358"/>
        <v>6.7067176447163215</v>
      </c>
      <c r="Z1014">
        <f t="shared" si="359"/>
        <v>6000</v>
      </c>
      <c r="AA1014">
        <f t="shared" si="360"/>
        <v>1.0822536130248883</v>
      </c>
      <c r="AB1014">
        <f t="shared" si="361"/>
        <v>6.7067176447163215</v>
      </c>
      <c r="AC1014">
        <f t="shared" si="362"/>
        <v>6000</v>
      </c>
      <c r="AD1014">
        <f t="shared" si="363"/>
        <v>1.0822536130248883</v>
      </c>
      <c r="AE1014">
        <f t="shared" si="364"/>
        <v>6.7067176447163215</v>
      </c>
      <c r="AF1014">
        <f t="shared" si="365"/>
        <v>6000</v>
      </c>
      <c r="AG1014">
        <f t="shared" si="366"/>
        <v>1.0822536130248883</v>
      </c>
      <c r="AH1014">
        <f t="shared" si="367"/>
        <v>6.7067176447163215</v>
      </c>
      <c r="AI1014" cm="1">
        <f t="array" ref="AI1014">_xlfn.LET(
    _xlpm.vals,   _xlfn.HSTACK(S1014,V1014,Y1014,AB1014,AE1014,AH1014),
    _xlpm.ints,   _xlfn.HSTACK(R1014,U1014,X1014,AA1014,AD1014,AG1014),
    _xlpm.slopes, _xlfn.HSTACK(Q1014,T1014,W1014,Z1014,AC1014,AF1014),
    _xlpm.limit,  -0.00001*_xlpm.slopes + 0.1086*_xlpm.slopes + 63.253,
    _xlpm.mask,   (_xlpm.vals&gt;=0) * (_xlpm.ints&lt;=_xlpm.limit),
    _xlpm.validVals, _xlfn._xlws.FILTER(_xlpm.vals, _xlpm.mask),
    _xlpm.minVal, MIN(_xlpm.validVals),
    IFERROR( _xlfn.XMATCH(_xlpm.minVal, _xlpm.vals), "" )
)</f>
        <v>1</v>
      </c>
      <c r="AJ1014" cm="1">
        <f t="array" ref="AJ1014">_xlfn.LET(
    _xlpm.vals, CHOOSE({1,2,3,4,5,6}, S1014, V1014, Y1014, AB1014, AE1014, AH1014),
    _xlpm.slopes, CHOOSE({1,2,3,4,5,6}, Q1014, T1014, W1014, Z1014, AC1014, AF1014),
    _xlpm.ints, CHOOSE({1,2,3,4,5,6}, R1014, U1014, X1014, AA1014, AD1014, AG1014),
    _xlpm.limit, -0.00001*_xlpm.slopes + 0.1086*_xlpm.slopes + 63.253,
    _xlpm.valid, (_xlpm.vals &gt;= 0) * (_xlpm.ints &lt;= _xlpm.limit),
    _xlpm.target, MIN(_xlfn._xlws.FILTER(_xlpm.vals, _xlpm.valid)),
    IFERROR(
        _xlfn.XLOOKUP(_xlpm.target, _xlpm.vals, _xlpm.vals),
        CHOOSE({1,2,3,4,5,6}, S$1, V$1, Y$1, AB$1, AE$1, AH$1)
    )
)</f>
        <v>0.35950175182790844</v>
      </c>
    </row>
    <row r="1015" spans="9:36" x14ac:dyDescent="0.45">
      <c r="I1015">
        <v>1013</v>
      </c>
      <c r="J1015">
        <v>0</v>
      </c>
      <c r="K1015">
        <f t="shared" si="346"/>
        <v>0</v>
      </c>
      <c r="L1015">
        <f t="shared" si="345"/>
        <v>0</v>
      </c>
      <c r="M1015">
        <v>0.5</v>
      </c>
      <c r="N1015">
        <f t="shared" si="347"/>
        <v>0.5</v>
      </c>
      <c r="O1015">
        <f t="shared" si="348"/>
        <v>0</v>
      </c>
      <c r="P1015">
        <f t="shared" si="349"/>
        <v>0</v>
      </c>
      <c r="Q1015">
        <f t="shared" si="350"/>
        <v>1000</v>
      </c>
      <c r="R1015">
        <f t="shared" si="351"/>
        <v>4.7746482927568605</v>
      </c>
      <c r="S1015">
        <f t="shared" si="352"/>
        <v>0.34852190092168239</v>
      </c>
      <c r="T1015">
        <f t="shared" si="353"/>
        <v>6000</v>
      </c>
      <c r="U1015">
        <f t="shared" si="354"/>
        <v>0.79577471545947676</v>
      </c>
      <c r="V1015">
        <f t="shared" si="355"/>
        <v>6.7049122481534917</v>
      </c>
      <c r="W1015">
        <f t="shared" si="356"/>
        <v>6000</v>
      </c>
      <c r="X1015">
        <f t="shared" si="357"/>
        <v>0.79577471545947676</v>
      </c>
      <c r="Y1015">
        <f t="shared" si="358"/>
        <v>6.7049122481534917</v>
      </c>
      <c r="Z1015">
        <f t="shared" si="359"/>
        <v>6000</v>
      </c>
      <c r="AA1015">
        <f t="shared" si="360"/>
        <v>0.79577471545947676</v>
      </c>
      <c r="AB1015">
        <f t="shared" si="361"/>
        <v>6.7049122481534917</v>
      </c>
      <c r="AC1015">
        <f t="shared" si="362"/>
        <v>6000</v>
      </c>
      <c r="AD1015">
        <f t="shared" si="363"/>
        <v>0.79577471545947676</v>
      </c>
      <c r="AE1015">
        <f t="shared" si="364"/>
        <v>6.7049122481534917</v>
      </c>
      <c r="AF1015">
        <f t="shared" si="365"/>
        <v>6000</v>
      </c>
      <c r="AG1015">
        <f t="shared" si="366"/>
        <v>0.79577471545947676</v>
      </c>
      <c r="AH1015">
        <f t="shared" si="367"/>
        <v>6.7049122481534917</v>
      </c>
      <c r="AI1015" cm="1">
        <f t="array" ref="AI1015">_xlfn.LET(
    _xlpm.vals,   _xlfn.HSTACK(S1015,V1015,Y1015,AB1015,AE1015,AH1015),
    _xlpm.ints,   _xlfn.HSTACK(R1015,U1015,X1015,AA1015,AD1015,AG1015),
    _xlpm.slopes, _xlfn.HSTACK(Q1015,T1015,W1015,Z1015,AC1015,AF1015),
    _xlpm.limit,  -0.00001*_xlpm.slopes + 0.1086*_xlpm.slopes + 63.253,
    _xlpm.mask,   (_xlpm.vals&gt;=0) * (_xlpm.ints&lt;=_xlpm.limit),
    _xlpm.validVals, _xlfn._xlws.FILTER(_xlpm.vals, _xlpm.mask),
    _xlpm.minVal, MIN(_xlpm.validVals),
    IFERROR( _xlfn.XMATCH(_xlpm.minVal, _xlpm.vals), "" )
)</f>
        <v>1</v>
      </c>
      <c r="AJ1015" cm="1">
        <f t="array" ref="AJ1015">_xlfn.LET(
    _xlpm.vals, CHOOSE({1,2,3,4,5,6}, S1015, V1015, Y1015, AB1015, AE1015, AH1015),
    _xlpm.slopes, CHOOSE({1,2,3,4,5,6}, Q1015, T1015, W1015, Z1015, AC1015, AF1015),
    _xlpm.ints, CHOOSE({1,2,3,4,5,6}, R1015, U1015, X1015, AA1015, AD1015, AG1015),
    _xlpm.limit, -0.00001*_xlpm.slopes + 0.1086*_xlpm.slopes + 63.253,
    _xlpm.valid, (_xlpm.vals &gt;= 0) * (_xlpm.ints &lt;= _xlpm.limit),
    _xlpm.target, MIN(_xlfn._xlws.FILTER(_xlpm.vals, _xlpm.valid)),
    IFERROR(
        _xlfn.XLOOKUP(_xlpm.target, _xlpm.vals, _xlpm.vals),
        CHOOSE({1,2,3,4,5,6}, S$1, V$1, Y$1, AB$1, AE$1, AH$1)
    )
)</f>
        <v>0.34852190092168239</v>
      </c>
    </row>
    <row r="1016" spans="9:36" x14ac:dyDescent="0.45">
      <c r="I1016">
        <v>1014</v>
      </c>
      <c r="J1016">
        <v>0</v>
      </c>
      <c r="K1016">
        <f t="shared" si="346"/>
        <v>0</v>
      </c>
      <c r="L1016">
        <f t="shared" si="345"/>
        <v>0</v>
      </c>
      <c r="M1016">
        <v>0.47</v>
      </c>
      <c r="N1016">
        <f t="shared" si="347"/>
        <v>0.47</v>
      </c>
      <c r="O1016">
        <f t="shared" si="348"/>
        <v>0</v>
      </c>
      <c r="P1016">
        <f t="shared" si="349"/>
        <v>0</v>
      </c>
      <c r="Q1016">
        <f t="shared" si="350"/>
        <v>1000</v>
      </c>
      <c r="R1016">
        <f t="shared" si="351"/>
        <v>4.4881693951914485</v>
      </c>
      <c r="S1016">
        <f t="shared" si="352"/>
        <v>0.34672654038841372</v>
      </c>
      <c r="T1016">
        <f t="shared" si="353"/>
        <v>6000</v>
      </c>
      <c r="U1016">
        <f t="shared" si="354"/>
        <v>0.74802823253190809</v>
      </c>
      <c r="V1016">
        <f t="shared" si="355"/>
        <v>6.7046140043292288</v>
      </c>
      <c r="W1016">
        <f t="shared" si="356"/>
        <v>6000</v>
      </c>
      <c r="X1016">
        <f t="shared" si="357"/>
        <v>0.74802823253190809</v>
      </c>
      <c r="Y1016">
        <f t="shared" si="358"/>
        <v>6.7046140043292288</v>
      </c>
      <c r="Z1016">
        <f t="shared" si="359"/>
        <v>6000</v>
      </c>
      <c r="AA1016">
        <f t="shared" si="360"/>
        <v>0.74802823253190809</v>
      </c>
      <c r="AB1016">
        <f t="shared" si="361"/>
        <v>6.7046140043292288</v>
      </c>
      <c r="AC1016">
        <f t="shared" si="362"/>
        <v>6000</v>
      </c>
      <c r="AD1016">
        <f t="shared" si="363"/>
        <v>0.74802823253190809</v>
      </c>
      <c r="AE1016">
        <f t="shared" si="364"/>
        <v>6.7046140043292288</v>
      </c>
      <c r="AF1016">
        <f t="shared" si="365"/>
        <v>6000</v>
      </c>
      <c r="AG1016">
        <f t="shared" si="366"/>
        <v>0.74802823253190809</v>
      </c>
      <c r="AH1016">
        <f t="shared" si="367"/>
        <v>6.7046140043292288</v>
      </c>
      <c r="AI1016" cm="1">
        <f t="array" ref="AI1016">_xlfn.LET(
    _xlpm.vals,   _xlfn.HSTACK(S1016,V1016,Y1016,AB1016,AE1016,AH1016),
    _xlpm.ints,   _xlfn.HSTACK(R1016,U1016,X1016,AA1016,AD1016,AG1016),
    _xlpm.slopes, _xlfn.HSTACK(Q1016,T1016,W1016,Z1016,AC1016,AF1016),
    _xlpm.limit,  -0.00001*_xlpm.slopes + 0.1086*_xlpm.slopes + 63.253,
    _xlpm.mask,   (_xlpm.vals&gt;=0) * (_xlpm.ints&lt;=_xlpm.limit),
    _xlpm.validVals, _xlfn._xlws.FILTER(_xlpm.vals, _xlpm.mask),
    _xlpm.minVal, MIN(_xlpm.validVals),
    IFERROR( _xlfn.XMATCH(_xlpm.minVal, _xlpm.vals), "" )
)</f>
        <v>1</v>
      </c>
      <c r="AJ1016" cm="1">
        <f t="array" ref="AJ1016">_xlfn.LET(
    _xlpm.vals, CHOOSE({1,2,3,4,5,6}, S1016, V1016, Y1016, AB1016, AE1016, AH1016),
    _xlpm.slopes, CHOOSE({1,2,3,4,5,6}, Q1016, T1016, W1016, Z1016, AC1016, AF1016),
    _xlpm.ints, CHOOSE({1,2,3,4,5,6}, R1016, U1016, X1016, AA1016, AD1016, AG1016),
    _xlpm.limit, -0.00001*_xlpm.slopes + 0.1086*_xlpm.slopes + 63.253,
    _xlpm.valid, (_xlpm.vals &gt;= 0) * (_xlpm.ints &lt;= _xlpm.limit),
    _xlpm.target, MIN(_xlfn._xlws.FILTER(_xlpm.vals, _xlpm.valid)),
    IFERROR(
        _xlfn.XLOOKUP(_xlpm.target, _xlpm.vals, _xlpm.vals),
        CHOOSE({1,2,3,4,5,6}, S$1, V$1, Y$1, AB$1, AE$1, AH$1)
    )
)</f>
        <v>0.34672654038841372</v>
      </c>
    </row>
    <row r="1017" spans="9:36" x14ac:dyDescent="0.45">
      <c r="I1017">
        <v>1015</v>
      </c>
      <c r="J1017">
        <v>0</v>
      </c>
      <c r="K1017">
        <f t="shared" si="346"/>
        <v>0</v>
      </c>
      <c r="L1017">
        <f t="shared" si="345"/>
        <v>0</v>
      </c>
      <c r="M1017">
        <v>0.65</v>
      </c>
      <c r="N1017">
        <f t="shared" si="347"/>
        <v>0.65</v>
      </c>
      <c r="O1017">
        <f t="shared" si="348"/>
        <v>0</v>
      </c>
      <c r="P1017">
        <f t="shared" si="349"/>
        <v>0</v>
      </c>
      <c r="Q1017">
        <f t="shared" si="350"/>
        <v>1000</v>
      </c>
      <c r="R1017">
        <f t="shared" si="351"/>
        <v>6.2070427805839188</v>
      </c>
      <c r="S1017">
        <f t="shared" si="352"/>
        <v>0.35764729725340616</v>
      </c>
      <c r="T1017">
        <f t="shared" si="353"/>
        <v>6000</v>
      </c>
      <c r="U1017">
        <f t="shared" si="354"/>
        <v>1.0345071300973196</v>
      </c>
      <c r="V1017">
        <f t="shared" si="355"/>
        <v>6.7064148495656495</v>
      </c>
      <c r="W1017">
        <f t="shared" si="356"/>
        <v>6000</v>
      </c>
      <c r="X1017">
        <f t="shared" si="357"/>
        <v>1.0345071300973196</v>
      </c>
      <c r="Y1017">
        <f t="shared" si="358"/>
        <v>6.7064148495656495</v>
      </c>
      <c r="Z1017">
        <f t="shared" si="359"/>
        <v>6000</v>
      </c>
      <c r="AA1017">
        <f t="shared" si="360"/>
        <v>1.0345071300973196</v>
      </c>
      <c r="AB1017">
        <f t="shared" si="361"/>
        <v>6.7064148495656495</v>
      </c>
      <c r="AC1017">
        <f t="shared" si="362"/>
        <v>6000</v>
      </c>
      <c r="AD1017">
        <f t="shared" si="363"/>
        <v>1.0345071300973196</v>
      </c>
      <c r="AE1017">
        <f t="shared" si="364"/>
        <v>6.7064148495656495</v>
      </c>
      <c r="AF1017">
        <f t="shared" si="365"/>
        <v>6000</v>
      </c>
      <c r="AG1017">
        <f t="shared" si="366"/>
        <v>1.0345071300973196</v>
      </c>
      <c r="AH1017">
        <f t="shared" si="367"/>
        <v>6.7064148495656495</v>
      </c>
      <c r="AI1017" cm="1">
        <f t="array" ref="AI1017">_xlfn.LET(
    _xlpm.vals,   _xlfn.HSTACK(S1017,V1017,Y1017,AB1017,AE1017,AH1017),
    _xlpm.ints,   _xlfn.HSTACK(R1017,U1017,X1017,AA1017,AD1017,AG1017),
    _xlpm.slopes, _xlfn.HSTACK(Q1017,T1017,W1017,Z1017,AC1017,AF1017),
    _xlpm.limit,  -0.00001*_xlpm.slopes + 0.1086*_xlpm.slopes + 63.253,
    _xlpm.mask,   (_xlpm.vals&gt;=0) * (_xlpm.ints&lt;=_xlpm.limit),
    _xlpm.validVals, _xlfn._xlws.FILTER(_xlpm.vals, _xlpm.mask),
    _xlpm.minVal, MIN(_xlpm.validVals),
    IFERROR( _xlfn.XMATCH(_xlpm.minVal, _xlpm.vals), "" )
)</f>
        <v>1</v>
      </c>
      <c r="AJ1017" cm="1">
        <f t="array" ref="AJ1017">_xlfn.LET(
    _xlpm.vals, CHOOSE({1,2,3,4,5,6}, S1017, V1017, Y1017, AB1017, AE1017, AH1017),
    _xlpm.slopes, CHOOSE({1,2,3,4,5,6}, Q1017, T1017, W1017, Z1017, AC1017, AF1017),
    _xlpm.ints, CHOOSE({1,2,3,4,5,6}, R1017, U1017, X1017, AA1017, AD1017, AG1017),
    _xlpm.limit, -0.00001*_xlpm.slopes + 0.1086*_xlpm.slopes + 63.253,
    _xlpm.valid, (_xlpm.vals &gt;= 0) * (_xlpm.ints &lt;= _xlpm.limit),
    _xlpm.target, MIN(_xlfn._xlws.FILTER(_xlpm.vals, _xlpm.valid)),
    IFERROR(
        _xlfn.XLOOKUP(_xlpm.target, _xlpm.vals, _xlpm.vals),
        CHOOSE({1,2,3,4,5,6}, S$1, V$1, Y$1, AB$1, AE$1, AH$1)
    )
)</f>
        <v>0.35764729725340616</v>
      </c>
    </row>
    <row r="1018" spans="9:36" x14ac:dyDescent="0.45">
      <c r="I1018">
        <v>1016</v>
      </c>
      <c r="J1018">
        <v>0</v>
      </c>
      <c r="K1018">
        <f t="shared" si="346"/>
        <v>0</v>
      </c>
      <c r="L1018">
        <f t="shared" si="345"/>
        <v>0</v>
      </c>
      <c r="M1018">
        <v>0.48</v>
      </c>
      <c r="N1018">
        <f t="shared" si="347"/>
        <v>0.48</v>
      </c>
      <c r="O1018">
        <f t="shared" si="348"/>
        <v>0</v>
      </c>
      <c r="P1018">
        <f t="shared" si="349"/>
        <v>0</v>
      </c>
      <c r="Q1018">
        <f t="shared" si="350"/>
        <v>1000</v>
      </c>
      <c r="R1018">
        <f t="shared" si="351"/>
        <v>4.5836623610465859</v>
      </c>
      <c r="S1018">
        <f t="shared" si="352"/>
        <v>0.34732388290899496</v>
      </c>
      <c r="T1018">
        <f t="shared" si="353"/>
        <v>6000</v>
      </c>
      <c r="U1018">
        <f t="shared" si="354"/>
        <v>0.76394372684109768</v>
      </c>
      <c r="V1018">
        <f t="shared" si="355"/>
        <v>6.7047133345763807</v>
      </c>
      <c r="W1018">
        <f t="shared" si="356"/>
        <v>6000</v>
      </c>
      <c r="X1018">
        <f t="shared" si="357"/>
        <v>0.76394372684109768</v>
      </c>
      <c r="Y1018">
        <f t="shared" si="358"/>
        <v>6.7047133345763807</v>
      </c>
      <c r="Z1018">
        <f t="shared" si="359"/>
        <v>6000</v>
      </c>
      <c r="AA1018">
        <f t="shared" si="360"/>
        <v>0.76394372684109768</v>
      </c>
      <c r="AB1018">
        <f t="shared" si="361"/>
        <v>6.7047133345763807</v>
      </c>
      <c r="AC1018">
        <f t="shared" si="362"/>
        <v>6000</v>
      </c>
      <c r="AD1018">
        <f t="shared" si="363"/>
        <v>0.76394372684109768</v>
      </c>
      <c r="AE1018">
        <f t="shared" si="364"/>
        <v>6.7047133345763807</v>
      </c>
      <c r="AF1018">
        <f t="shared" si="365"/>
        <v>6000</v>
      </c>
      <c r="AG1018">
        <f t="shared" si="366"/>
        <v>0.76394372684109768</v>
      </c>
      <c r="AH1018">
        <f t="shared" si="367"/>
        <v>6.7047133345763807</v>
      </c>
      <c r="AI1018" cm="1">
        <f t="array" ref="AI1018">_xlfn.LET(
    _xlpm.vals,   _xlfn.HSTACK(S1018,V1018,Y1018,AB1018,AE1018,AH1018),
    _xlpm.ints,   _xlfn.HSTACK(R1018,U1018,X1018,AA1018,AD1018,AG1018),
    _xlpm.slopes, _xlfn.HSTACK(Q1018,T1018,W1018,Z1018,AC1018,AF1018),
    _xlpm.limit,  -0.00001*_xlpm.slopes + 0.1086*_xlpm.slopes + 63.253,
    _xlpm.mask,   (_xlpm.vals&gt;=0) * (_xlpm.ints&lt;=_xlpm.limit),
    _xlpm.validVals, _xlfn._xlws.FILTER(_xlpm.vals, _xlpm.mask),
    _xlpm.minVal, MIN(_xlpm.validVals),
    IFERROR( _xlfn.XMATCH(_xlpm.minVal, _xlpm.vals), "" )
)</f>
        <v>1</v>
      </c>
      <c r="AJ1018" cm="1">
        <f t="array" ref="AJ1018">_xlfn.LET(
    _xlpm.vals, CHOOSE({1,2,3,4,5,6}, S1018, V1018, Y1018, AB1018, AE1018, AH1018),
    _xlpm.slopes, CHOOSE({1,2,3,4,5,6}, Q1018, T1018, W1018, Z1018, AC1018, AF1018),
    _xlpm.ints, CHOOSE({1,2,3,4,5,6}, R1018, U1018, X1018, AA1018, AD1018, AG1018),
    _xlpm.limit, -0.00001*_xlpm.slopes + 0.1086*_xlpm.slopes + 63.253,
    _xlpm.valid, (_xlpm.vals &gt;= 0) * (_xlpm.ints &lt;= _xlpm.limit),
    _xlpm.target, MIN(_xlfn._xlws.FILTER(_xlpm.vals, _xlpm.valid)),
    IFERROR(
        _xlfn.XLOOKUP(_xlpm.target, _xlpm.vals, _xlpm.vals),
        CHOOSE({1,2,3,4,5,6}, S$1, V$1, Y$1, AB$1, AE$1, AH$1)
    )
)</f>
        <v>0.34732388290899496</v>
      </c>
    </row>
    <row r="1019" spans="9:36" x14ac:dyDescent="0.45">
      <c r="I1019">
        <v>1017</v>
      </c>
      <c r="J1019">
        <v>0</v>
      </c>
      <c r="K1019">
        <f t="shared" si="346"/>
        <v>0</v>
      </c>
      <c r="L1019">
        <f t="shared" si="345"/>
        <v>0</v>
      </c>
      <c r="M1019">
        <v>0.7</v>
      </c>
      <c r="N1019">
        <f t="shared" si="347"/>
        <v>0.7</v>
      </c>
      <c r="O1019">
        <f t="shared" si="348"/>
        <v>0</v>
      </c>
      <c r="P1019">
        <f t="shared" si="349"/>
        <v>0</v>
      </c>
      <c r="Q1019">
        <f t="shared" si="350"/>
        <v>1000</v>
      </c>
      <c r="R1019">
        <f t="shared" si="351"/>
        <v>6.6845076098596046</v>
      </c>
      <c r="S1019">
        <f t="shared" si="352"/>
        <v>0.36074343418068899</v>
      </c>
      <c r="T1019">
        <f t="shared" si="353"/>
        <v>6000</v>
      </c>
      <c r="U1019">
        <f t="shared" si="354"/>
        <v>1.1140846016432675</v>
      </c>
      <c r="V1019">
        <f t="shared" si="355"/>
        <v>6.7069199291415869</v>
      </c>
      <c r="W1019">
        <f t="shared" si="356"/>
        <v>6000</v>
      </c>
      <c r="X1019">
        <f t="shared" si="357"/>
        <v>1.1140846016432675</v>
      </c>
      <c r="Y1019">
        <f t="shared" si="358"/>
        <v>6.7069199291415869</v>
      </c>
      <c r="Z1019">
        <f t="shared" si="359"/>
        <v>6000</v>
      </c>
      <c r="AA1019">
        <f t="shared" si="360"/>
        <v>1.1140846016432675</v>
      </c>
      <c r="AB1019">
        <f t="shared" si="361"/>
        <v>6.7069199291415869</v>
      </c>
      <c r="AC1019">
        <f t="shared" si="362"/>
        <v>6000</v>
      </c>
      <c r="AD1019">
        <f t="shared" si="363"/>
        <v>1.1140846016432675</v>
      </c>
      <c r="AE1019">
        <f t="shared" si="364"/>
        <v>6.7069199291415869</v>
      </c>
      <c r="AF1019">
        <f t="shared" si="365"/>
        <v>6000</v>
      </c>
      <c r="AG1019">
        <f t="shared" si="366"/>
        <v>1.1140846016432675</v>
      </c>
      <c r="AH1019">
        <f t="shared" si="367"/>
        <v>6.7069199291415869</v>
      </c>
      <c r="AI1019" cm="1">
        <f t="array" ref="AI1019">_xlfn.LET(
    _xlpm.vals,   _xlfn.HSTACK(S1019,V1019,Y1019,AB1019,AE1019,AH1019),
    _xlpm.ints,   _xlfn.HSTACK(R1019,U1019,X1019,AA1019,AD1019,AG1019),
    _xlpm.slopes, _xlfn.HSTACK(Q1019,T1019,W1019,Z1019,AC1019,AF1019),
    _xlpm.limit,  -0.00001*_xlpm.slopes + 0.1086*_xlpm.slopes + 63.253,
    _xlpm.mask,   (_xlpm.vals&gt;=0) * (_xlpm.ints&lt;=_xlpm.limit),
    _xlpm.validVals, _xlfn._xlws.FILTER(_xlpm.vals, _xlpm.mask),
    _xlpm.minVal, MIN(_xlpm.validVals),
    IFERROR( _xlfn.XMATCH(_xlpm.minVal, _xlpm.vals), "" )
)</f>
        <v>1</v>
      </c>
      <c r="AJ1019" cm="1">
        <f t="array" ref="AJ1019">_xlfn.LET(
    _xlpm.vals, CHOOSE({1,2,3,4,5,6}, S1019, V1019, Y1019, AB1019, AE1019, AH1019),
    _xlpm.slopes, CHOOSE({1,2,3,4,5,6}, Q1019, T1019, W1019, Z1019, AC1019, AF1019),
    _xlpm.ints, CHOOSE({1,2,3,4,5,6}, R1019, U1019, X1019, AA1019, AD1019, AG1019),
    _xlpm.limit, -0.00001*_xlpm.slopes + 0.1086*_xlpm.slopes + 63.253,
    _xlpm.valid, (_xlpm.vals &gt;= 0) * (_xlpm.ints &lt;= _xlpm.limit),
    _xlpm.target, MIN(_xlfn._xlws.FILTER(_xlpm.vals, _xlpm.valid)),
    IFERROR(
        _xlfn.XLOOKUP(_xlpm.target, _xlpm.vals, _xlpm.vals),
        CHOOSE({1,2,3,4,5,6}, S$1, V$1, Y$1, AB$1, AE$1, AH$1)
    )
)</f>
        <v>0.36074343418068899</v>
      </c>
    </row>
    <row r="1020" spans="9:36" x14ac:dyDescent="0.45">
      <c r="I1020">
        <v>1018</v>
      </c>
      <c r="J1020">
        <v>0</v>
      </c>
      <c r="K1020">
        <f t="shared" si="346"/>
        <v>0</v>
      </c>
      <c r="L1020">
        <f t="shared" si="345"/>
        <v>0</v>
      </c>
      <c r="M1020">
        <v>0.94</v>
      </c>
      <c r="N1020">
        <f t="shared" si="347"/>
        <v>0.94</v>
      </c>
      <c r="O1020">
        <f t="shared" si="348"/>
        <v>0</v>
      </c>
      <c r="P1020">
        <f t="shared" si="349"/>
        <v>0</v>
      </c>
      <c r="Q1020">
        <f t="shared" si="350"/>
        <v>1000</v>
      </c>
      <c r="R1020">
        <f t="shared" si="351"/>
        <v>8.9763387903828971</v>
      </c>
      <c r="S1020">
        <f t="shared" si="352"/>
        <v>0.37597381066607521</v>
      </c>
      <c r="T1020">
        <f t="shared" si="353"/>
        <v>6000</v>
      </c>
      <c r="U1020">
        <f t="shared" si="354"/>
        <v>1.4960564650638162</v>
      </c>
      <c r="V1020">
        <f t="shared" si="355"/>
        <v>6.7093735867418705</v>
      </c>
      <c r="W1020">
        <f t="shared" si="356"/>
        <v>6000</v>
      </c>
      <c r="X1020">
        <f t="shared" si="357"/>
        <v>1.4960564650638162</v>
      </c>
      <c r="Y1020">
        <f t="shared" si="358"/>
        <v>6.7093735867418705</v>
      </c>
      <c r="Z1020">
        <f t="shared" si="359"/>
        <v>6000</v>
      </c>
      <c r="AA1020">
        <f t="shared" si="360"/>
        <v>1.4960564650638162</v>
      </c>
      <c r="AB1020">
        <f t="shared" si="361"/>
        <v>6.7093735867418705</v>
      </c>
      <c r="AC1020">
        <f t="shared" si="362"/>
        <v>6000</v>
      </c>
      <c r="AD1020">
        <f t="shared" si="363"/>
        <v>1.4960564650638162</v>
      </c>
      <c r="AE1020">
        <f t="shared" si="364"/>
        <v>6.7093735867418705</v>
      </c>
      <c r="AF1020">
        <f t="shared" si="365"/>
        <v>6000</v>
      </c>
      <c r="AG1020">
        <f t="shared" si="366"/>
        <v>1.4960564650638162</v>
      </c>
      <c r="AH1020">
        <f t="shared" si="367"/>
        <v>6.7093735867418705</v>
      </c>
      <c r="AI1020" cm="1">
        <f t="array" ref="AI1020">_xlfn.LET(
    _xlpm.vals,   _xlfn.HSTACK(S1020,V1020,Y1020,AB1020,AE1020,AH1020),
    _xlpm.ints,   _xlfn.HSTACK(R1020,U1020,X1020,AA1020,AD1020,AG1020),
    _xlpm.slopes, _xlfn.HSTACK(Q1020,T1020,W1020,Z1020,AC1020,AF1020),
    _xlpm.limit,  -0.00001*_xlpm.slopes + 0.1086*_xlpm.slopes + 63.253,
    _xlpm.mask,   (_xlpm.vals&gt;=0) * (_xlpm.ints&lt;=_xlpm.limit),
    _xlpm.validVals, _xlfn._xlws.FILTER(_xlpm.vals, _xlpm.mask),
    _xlpm.minVal, MIN(_xlpm.validVals),
    IFERROR( _xlfn.XMATCH(_xlpm.minVal, _xlpm.vals), "" )
)</f>
        <v>1</v>
      </c>
      <c r="AJ1020" cm="1">
        <f t="array" ref="AJ1020">_xlfn.LET(
    _xlpm.vals, CHOOSE({1,2,3,4,5,6}, S1020, V1020, Y1020, AB1020, AE1020, AH1020),
    _xlpm.slopes, CHOOSE({1,2,3,4,5,6}, Q1020, T1020, W1020, Z1020, AC1020, AF1020),
    _xlpm.ints, CHOOSE({1,2,3,4,5,6}, R1020, U1020, X1020, AA1020, AD1020, AG1020),
    _xlpm.limit, -0.00001*_xlpm.slopes + 0.1086*_xlpm.slopes + 63.253,
    _xlpm.valid, (_xlpm.vals &gt;= 0) * (_xlpm.ints &lt;= _xlpm.limit),
    _xlpm.target, MIN(_xlfn._xlws.FILTER(_xlpm.vals, _xlpm.valid)),
    IFERROR(
        _xlfn.XLOOKUP(_xlpm.target, _xlpm.vals, _xlpm.vals),
        CHOOSE({1,2,3,4,5,6}, S$1, V$1, Y$1, AB$1, AE$1, AH$1)
    )
)</f>
        <v>0.37597381066607521</v>
      </c>
    </row>
    <row r="1021" spans="9:36" x14ac:dyDescent="0.45">
      <c r="I1021">
        <v>1019</v>
      </c>
      <c r="J1021">
        <v>0</v>
      </c>
      <c r="K1021">
        <f t="shared" si="346"/>
        <v>0</v>
      </c>
      <c r="L1021">
        <f t="shared" si="345"/>
        <v>0</v>
      </c>
      <c r="M1021">
        <v>1</v>
      </c>
      <c r="N1021">
        <f t="shared" si="347"/>
        <v>1</v>
      </c>
      <c r="O1021">
        <f t="shared" si="348"/>
        <v>0</v>
      </c>
      <c r="P1021">
        <f t="shared" si="349"/>
        <v>0</v>
      </c>
      <c r="Q1021">
        <f t="shared" si="350"/>
        <v>1000</v>
      </c>
      <c r="R1021">
        <f t="shared" si="351"/>
        <v>9.5492965855137211</v>
      </c>
      <c r="S1021">
        <f t="shared" si="352"/>
        <v>0.37987490701804322</v>
      </c>
      <c r="T1021">
        <f t="shared" si="353"/>
        <v>6000</v>
      </c>
      <c r="U1021">
        <f t="shared" si="354"/>
        <v>1.5915494309189535</v>
      </c>
      <c r="V1021">
        <f t="shared" si="355"/>
        <v>6.7099945635941127</v>
      </c>
      <c r="W1021">
        <f t="shared" si="356"/>
        <v>6000</v>
      </c>
      <c r="X1021">
        <f t="shared" si="357"/>
        <v>1.5915494309189535</v>
      </c>
      <c r="Y1021">
        <f t="shared" si="358"/>
        <v>6.7099945635941127</v>
      </c>
      <c r="Z1021">
        <f t="shared" si="359"/>
        <v>6000</v>
      </c>
      <c r="AA1021">
        <f t="shared" si="360"/>
        <v>1.5915494309189535</v>
      </c>
      <c r="AB1021">
        <f t="shared" si="361"/>
        <v>6.7099945635941127</v>
      </c>
      <c r="AC1021">
        <f t="shared" si="362"/>
        <v>6000</v>
      </c>
      <c r="AD1021">
        <f t="shared" si="363"/>
        <v>1.5915494309189535</v>
      </c>
      <c r="AE1021">
        <f t="shared" si="364"/>
        <v>6.7099945635941127</v>
      </c>
      <c r="AF1021">
        <f t="shared" si="365"/>
        <v>6000</v>
      </c>
      <c r="AG1021">
        <f t="shared" si="366"/>
        <v>1.5915494309189535</v>
      </c>
      <c r="AH1021">
        <f t="shared" si="367"/>
        <v>6.7099945635941127</v>
      </c>
      <c r="AI1021" cm="1">
        <f t="array" ref="AI1021">_xlfn.LET(
    _xlpm.vals,   _xlfn.HSTACK(S1021,V1021,Y1021,AB1021,AE1021,AH1021),
    _xlpm.ints,   _xlfn.HSTACK(R1021,U1021,X1021,AA1021,AD1021,AG1021),
    _xlpm.slopes, _xlfn.HSTACK(Q1021,T1021,W1021,Z1021,AC1021,AF1021),
    _xlpm.limit,  -0.00001*_xlpm.slopes + 0.1086*_xlpm.slopes + 63.253,
    _xlpm.mask,   (_xlpm.vals&gt;=0) * (_xlpm.ints&lt;=_xlpm.limit),
    _xlpm.validVals, _xlfn._xlws.FILTER(_xlpm.vals, _xlpm.mask),
    _xlpm.minVal, MIN(_xlpm.validVals),
    IFERROR( _xlfn.XMATCH(_xlpm.minVal, _xlpm.vals), "" )
)</f>
        <v>1</v>
      </c>
      <c r="AJ1021" cm="1">
        <f t="array" ref="AJ1021">_xlfn.LET(
    _xlpm.vals, CHOOSE({1,2,3,4,5,6}, S1021, V1021, Y1021, AB1021, AE1021, AH1021),
    _xlpm.slopes, CHOOSE({1,2,3,4,5,6}, Q1021, T1021, W1021, Z1021, AC1021, AF1021),
    _xlpm.ints, CHOOSE({1,2,3,4,5,6}, R1021, U1021, X1021, AA1021, AD1021, AG1021),
    _xlpm.limit, -0.00001*_xlpm.slopes + 0.1086*_xlpm.slopes + 63.253,
    _xlpm.valid, (_xlpm.vals &gt;= 0) * (_xlpm.ints &lt;= _xlpm.limit),
    _xlpm.target, MIN(_xlfn._xlws.FILTER(_xlpm.vals, _xlpm.valid)),
    IFERROR(
        _xlfn.XLOOKUP(_xlpm.target, _xlpm.vals, _xlpm.vals),
        CHOOSE({1,2,3,4,5,6}, S$1, V$1, Y$1, AB$1, AE$1, AH$1)
    )
)</f>
        <v>0.37987490701804322</v>
      </c>
    </row>
    <row r="1022" spans="9:36" x14ac:dyDescent="0.45">
      <c r="I1022">
        <v>1020</v>
      </c>
      <c r="J1022">
        <v>0</v>
      </c>
      <c r="K1022">
        <f t="shared" si="346"/>
        <v>0</v>
      </c>
      <c r="L1022">
        <f t="shared" si="345"/>
        <v>0</v>
      </c>
      <c r="M1022">
        <v>0.62</v>
      </c>
      <c r="N1022">
        <f t="shared" si="347"/>
        <v>0.62</v>
      </c>
      <c r="O1022">
        <f t="shared" si="348"/>
        <v>0</v>
      </c>
      <c r="P1022">
        <f t="shared" si="349"/>
        <v>0</v>
      </c>
      <c r="Q1022">
        <f t="shared" si="350"/>
        <v>1000</v>
      </c>
      <c r="R1022">
        <f t="shared" si="351"/>
        <v>5.9205638830185068</v>
      </c>
      <c r="S1022">
        <f t="shared" si="352"/>
        <v>0.35580256903401952</v>
      </c>
      <c r="T1022">
        <f t="shared" si="353"/>
        <v>6000</v>
      </c>
      <c r="U1022">
        <f t="shared" si="354"/>
        <v>0.98676064716975109</v>
      </c>
      <c r="V1022">
        <f t="shared" si="355"/>
        <v>6.7061128124015488</v>
      </c>
      <c r="W1022">
        <f t="shared" si="356"/>
        <v>6000</v>
      </c>
      <c r="X1022">
        <f t="shared" si="357"/>
        <v>0.98676064716975109</v>
      </c>
      <c r="Y1022">
        <f t="shared" si="358"/>
        <v>6.7061128124015488</v>
      </c>
      <c r="Z1022">
        <f t="shared" si="359"/>
        <v>6000</v>
      </c>
      <c r="AA1022">
        <f t="shared" si="360"/>
        <v>0.98676064716975109</v>
      </c>
      <c r="AB1022">
        <f t="shared" si="361"/>
        <v>6.7061128124015488</v>
      </c>
      <c r="AC1022">
        <f t="shared" si="362"/>
        <v>6000</v>
      </c>
      <c r="AD1022">
        <f t="shared" si="363"/>
        <v>0.98676064716975109</v>
      </c>
      <c r="AE1022">
        <f t="shared" si="364"/>
        <v>6.7061128124015488</v>
      </c>
      <c r="AF1022">
        <f t="shared" si="365"/>
        <v>6000</v>
      </c>
      <c r="AG1022">
        <f t="shared" si="366"/>
        <v>0.98676064716975109</v>
      </c>
      <c r="AH1022">
        <f t="shared" si="367"/>
        <v>6.7061128124015488</v>
      </c>
      <c r="AI1022" cm="1">
        <f t="array" ref="AI1022">_xlfn.LET(
    _xlpm.vals,   _xlfn.HSTACK(S1022,V1022,Y1022,AB1022,AE1022,AH1022),
    _xlpm.ints,   _xlfn.HSTACK(R1022,U1022,X1022,AA1022,AD1022,AG1022),
    _xlpm.slopes, _xlfn.HSTACK(Q1022,T1022,W1022,Z1022,AC1022,AF1022),
    _xlpm.limit,  -0.00001*_xlpm.slopes + 0.1086*_xlpm.slopes + 63.253,
    _xlpm.mask,   (_xlpm.vals&gt;=0) * (_xlpm.ints&lt;=_xlpm.limit),
    _xlpm.validVals, _xlfn._xlws.FILTER(_xlpm.vals, _xlpm.mask),
    _xlpm.minVal, MIN(_xlpm.validVals),
    IFERROR( _xlfn.XMATCH(_xlpm.minVal, _xlpm.vals), "" )
)</f>
        <v>1</v>
      </c>
      <c r="AJ1022" cm="1">
        <f t="array" ref="AJ1022">_xlfn.LET(
    _xlpm.vals, CHOOSE({1,2,3,4,5,6}, S1022, V1022, Y1022, AB1022, AE1022, AH1022),
    _xlpm.slopes, CHOOSE({1,2,3,4,5,6}, Q1022, T1022, W1022, Z1022, AC1022, AF1022),
    _xlpm.ints, CHOOSE({1,2,3,4,5,6}, R1022, U1022, X1022, AA1022, AD1022, AG1022),
    _xlpm.limit, -0.00001*_xlpm.slopes + 0.1086*_xlpm.slopes + 63.253,
    _xlpm.valid, (_xlpm.vals &gt;= 0) * (_xlpm.ints &lt;= _xlpm.limit),
    _xlpm.target, MIN(_xlfn._xlws.FILTER(_xlpm.vals, _xlpm.valid)),
    IFERROR(
        _xlfn.XLOOKUP(_xlpm.target, _xlpm.vals, _xlpm.vals),
        CHOOSE({1,2,3,4,5,6}, S$1, V$1, Y$1, AB$1, AE$1, AH$1)
    )
)</f>
        <v>0.35580256903401952</v>
      </c>
    </row>
    <row r="1023" spans="9:36" x14ac:dyDescent="0.45">
      <c r="I1023">
        <v>1021</v>
      </c>
      <c r="J1023">
        <v>0</v>
      </c>
      <c r="K1023">
        <f t="shared" si="346"/>
        <v>0</v>
      </c>
      <c r="L1023">
        <f t="shared" si="345"/>
        <v>0</v>
      </c>
      <c r="M1023">
        <v>0.76</v>
      </c>
      <c r="N1023">
        <f t="shared" si="347"/>
        <v>0.76</v>
      </c>
      <c r="O1023">
        <f t="shared" si="348"/>
        <v>0</v>
      </c>
      <c r="P1023">
        <f t="shared" si="349"/>
        <v>0</v>
      </c>
      <c r="Q1023">
        <f t="shared" si="350"/>
        <v>1000</v>
      </c>
      <c r="R1023">
        <f t="shared" si="351"/>
        <v>7.2574654049904277</v>
      </c>
      <c r="S1023">
        <f t="shared" si="352"/>
        <v>0.36449414199242058</v>
      </c>
      <c r="T1023">
        <f t="shared" si="353"/>
        <v>6000</v>
      </c>
      <c r="U1023">
        <f t="shared" si="354"/>
        <v>1.2095775674984046</v>
      </c>
      <c r="V1023">
        <f t="shared" si="355"/>
        <v>6.7075288024362294</v>
      </c>
      <c r="W1023">
        <f t="shared" si="356"/>
        <v>6000</v>
      </c>
      <c r="X1023">
        <f t="shared" si="357"/>
        <v>1.2095775674984046</v>
      </c>
      <c r="Y1023">
        <f t="shared" si="358"/>
        <v>6.7075288024362294</v>
      </c>
      <c r="Z1023">
        <f t="shared" si="359"/>
        <v>6000</v>
      </c>
      <c r="AA1023">
        <f t="shared" si="360"/>
        <v>1.2095775674984046</v>
      </c>
      <c r="AB1023">
        <f t="shared" si="361"/>
        <v>6.7075288024362294</v>
      </c>
      <c r="AC1023">
        <f t="shared" si="362"/>
        <v>6000</v>
      </c>
      <c r="AD1023">
        <f t="shared" si="363"/>
        <v>1.2095775674984046</v>
      </c>
      <c r="AE1023">
        <f t="shared" si="364"/>
        <v>6.7075288024362294</v>
      </c>
      <c r="AF1023">
        <f t="shared" si="365"/>
        <v>6000</v>
      </c>
      <c r="AG1023">
        <f t="shared" si="366"/>
        <v>1.2095775674984046</v>
      </c>
      <c r="AH1023">
        <f t="shared" si="367"/>
        <v>6.7075288024362294</v>
      </c>
      <c r="AI1023" cm="1">
        <f t="array" ref="AI1023">_xlfn.LET(
    _xlpm.vals,   _xlfn.HSTACK(S1023,V1023,Y1023,AB1023,AE1023,AH1023),
    _xlpm.ints,   _xlfn.HSTACK(R1023,U1023,X1023,AA1023,AD1023,AG1023),
    _xlpm.slopes, _xlfn.HSTACK(Q1023,T1023,W1023,Z1023,AC1023,AF1023),
    _xlpm.limit,  -0.00001*_xlpm.slopes + 0.1086*_xlpm.slopes + 63.253,
    _xlpm.mask,   (_xlpm.vals&gt;=0) * (_xlpm.ints&lt;=_xlpm.limit),
    _xlpm.validVals, _xlfn._xlws.FILTER(_xlpm.vals, _xlpm.mask),
    _xlpm.minVal, MIN(_xlpm.validVals),
    IFERROR( _xlfn.XMATCH(_xlpm.minVal, _xlpm.vals), "" )
)</f>
        <v>1</v>
      </c>
      <c r="AJ1023" cm="1">
        <f t="array" ref="AJ1023">_xlfn.LET(
    _xlpm.vals, CHOOSE({1,2,3,4,5,6}, S1023, V1023, Y1023, AB1023, AE1023, AH1023),
    _xlpm.slopes, CHOOSE({1,2,3,4,5,6}, Q1023, T1023, W1023, Z1023, AC1023, AF1023),
    _xlpm.ints, CHOOSE({1,2,3,4,5,6}, R1023, U1023, X1023, AA1023, AD1023, AG1023),
    _xlpm.limit, -0.00001*_xlpm.slopes + 0.1086*_xlpm.slopes + 63.253,
    _xlpm.valid, (_xlpm.vals &gt;= 0) * (_xlpm.ints &lt;= _xlpm.limit),
    _xlpm.target, MIN(_xlfn._xlws.FILTER(_xlpm.vals, _xlpm.valid)),
    IFERROR(
        _xlfn.XLOOKUP(_xlpm.target, _xlpm.vals, _xlpm.vals),
        CHOOSE({1,2,3,4,5,6}, S$1, V$1, Y$1, AB$1, AE$1, AH$1)
    )
)</f>
        <v>0.36449414199242058</v>
      </c>
    </row>
    <row r="1024" spans="9:36" x14ac:dyDescent="0.45">
      <c r="I1024">
        <v>1022</v>
      </c>
      <c r="J1024">
        <v>0</v>
      </c>
      <c r="K1024">
        <f t="shared" si="346"/>
        <v>0</v>
      </c>
      <c r="L1024">
        <f t="shared" si="345"/>
        <v>0</v>
      </c>
      <c r="M1024">
        <v>0.97</v>
      </c>
      <c r="N1024">
        <f t="shared" si="347"/>
        <v>0.97</v>
      </c>
      <c r="O1024">
        <f t="shared" si="348"/>
        <v>0</v>
      </c>
      <c r="P1024">
        <f t="shared" si="349"/>
        <v>0</v>
      </c>
      <c r="Q1024">
        <f t="shared" si="350"/>
        <v>1000</v>
      </c>
      <c r="R1024">
        <f t="shared" si="351"/>
        <v>9.26281768794831</v>
      </c>
      <c r="S1024">
        <f t="shared" si="352"/>
        <v>0.37791975732158206</v>
      </c>
      <c r="T1024">
        <f t="shared" si="353"/>
        <v>6000</v>
      </c>
      <c r="U1024">
        <f t="shared" si="354"/>
        <v>1.5438029479913848</v>
      </c>
      <c r="V1024">
        <f t="shared" si="355"/>
        <v>6.7096836973860823</v>
      </c>
      <c r="W1024">
        <f t="shared" si="356"/>
        <v>6000</v>
      </c>
      <c r="X1024">
        <f t="shared" si="357"/>
        <v>1.5438029479913848</v>
      </c>
      <c r="Y1024">
        <f t="shared" si="358"/>
        <v>6.7096836973860823</v>
      </c>
      <c r="Z1024">
        <f t="shared" si="359"/>
        <v>6000</v>
      </c>
      <c r="AA1024">
        <f t="shared" si="360"/>
        <v>1.5438029479913848</v>
      </c>
      <c r="AB1024">
        <f t="shared" si="361"/>
        <v>6.7096836973860823</v>
      </c>
      <c r="AC1024">
        <f t="shared" si="362"/>
        <v>6000</v>
      </c>
      <c r="AD1024">
        <f t="shared" si="363"/>
        <v>1.5438029479913848</v>
      </c>
      <c r="AE1024">
        <f t="shared" si="364"/>
        <v>6.7096836973860823</v>
      </c>
      <c r="AF1024">
        <f t="shared" si="365"/>
        <v>6000</v>
      </c>
      <c r="AG1024">
        <f t="shared" si="366"/>
        <v>1.5438029479913848</v>
      </c>
      <c r="AH1024">
        <f t="shared" si="367"/>
        <v>6.7096836973860823</v>
      </c>
      <c r="AI1024" cm="1">
        <f t="array" ref="AI1024">_xlfn.LET(
    _xlpm.vals,   _xlfn.HSTACK(S1024,V1024,Y1024,AB1024,AE1024,AH1024),
    _xlpm.ints,   _xlfn.HSTACK(R1024,U1024,X1024,AA1024,AD1024,AG1024),
    _xlpm.slopes, _xlfn.HSTACK(Q1024,T1024,W1024,Z1024,AC1024,AF1024),
    _xlpm.limit,  -0.00001*_xlpm.slopes + 0.1086*_xlpm.slopes + 63.253,
    _xlpm.mask,   (_xlpm.vals&gt;=0) * (_xlpm.ints&lt;=_xlpm.limit),
    _xlpm.validVals, _xlfn._xlws.FILTER(_xlpm.vals, _xlpm.mask),
    _xlpm.minVal, MIN(_xlpm.validVals),
    IFERROR( _xlfn.XMATCH(_xlpm.minVal, _xlpm.vals), "" )
)</f>
        <v>1</v>
      </c>
      <c r="AJ1024" cm="1">
        <f t="array" ref="AJ1024">_xlfn.LET(
    _xlpm.vals, CHOOSE({1,2,3,4,5,6}, S1024, V1024, Y1024, AB1024, AE1024, AH1024),
    _xlpm.slopes, CHOOSE({1,2,3,4,5,6}, Q1024, T1024, W1024, Z1024, AC1024, AF1024),
    _xlpm.ints, CHOOSE({1,2,3,4,5,6}, R1024, U1024, X1024, AA1024, AD1024, AG1024),
    _xlpm.limit, -0.00001*_xlpm.slopes + 0.1086*_xlpm.slopes + 63.253,
    _xlpm.valid, (_xlpm.vals &gt;= 0) * (_xlpm.ints &lt;= _xlpm.limit),
    _xlpm.target, MIN(_xlfn._xlws.FILTER(_xlpm.vals, _xlpm.valid)),
    IFERROR(
        _xlfn.XLOOKUP(_xlpm.target, _xlpm.vals, _xlpm.vals),
        CHOOSE({1,2,3,4,5,6}, S$1, V$1, Y$1, AB$1, AE$1, AH$1)
    )
)</f>
        <v>0.37791975732158206</v>
      </c>
    </row>
    <row r="1025" spans="9:36" x14ac:dyDescent="0.45">
      <c r="I1025">
        <v>1023</v>
      </c>
      <c r="J1025">
        <v>0</v>
      </c>
      <c r="K1025">
        <f t="shared" si="346"/>
        <v>0</v>
      </c>
      <c r="L1025">
        <f t="shared" si="345"/>
        <v>0</v>
      </c>
      <c r="M1025">
        <v>0.64</v>
      </c>
      <c r="N1025">
        <f t="shared" si="347"/>
        <v>0.64</v>
      </c>
      <c r="O1025">
        <f t="shared" si="348"/>
        <v>0</v>
      </c>
      <c r="P1025">
        <f t="shared" si="349"/>
        <v>0</v>
      </c>
      <c r="Q1025">
        <f t="shared" si="350"/>
        <v>1000</v>
      </c>
      <c r="R1025">
        <f t="shared" si="351"/>
        <v>6.1115498147287814</v>
      </c>
      <c r="S1025">
        <f t="shared" si="352"/>
        <v>0.35703130471806926</v>
      </c>
      <c r="T1025">
        <f t="shared" si="353"/>
        <v>6000</v>
      </c>
      <c r="U1025">
        <f t="shared" si="354"/>
        <v>1.0185916357881302</v>
      </c>
      <c r="V1025">
        <f t="shared" si="355"/>
        <v>6.7063140862790025</v>
      </c>
      <c r="W1025">
        <f t="shared" si="356"/>
        <v>6000</v>
      </c>
      <c r="X1025">
        <f t="shared" si="357"/>
        <v>1.0185916357881302</v>
      </c>
      <c r="Y1025">
        <f t="shared" si="358"/>
        <v>6.7063140862790025</v>
      </c>
      <c r="Z1025">
        <f t="shared" si="359"/>
        <v>6000</v>
      </c>
      <c r="AA1025">
        <f t="shared" si="360"/>
        <v>1.0185916357881302</v>
      </c>
      <c r="AB1025">
        <f t="shared" si="361"/>
        <v>6.7063140862790025</v>
      </c>
      <c r="AC1025">
        <f t="shared" si="362"/>
        <v>6000</v>
      </c>
      <c r="AD1025">
        <f t="shared" si="363"/>
        <v>1.0185916357881302</v>
      </c>
      <c r="AE1025">
        <f t="shared" si="364"/>
        <v>6.7063140862790025</v>
      </c>
      <c r="AF1025">
        <f t="shared" si="365"/>
        <v>6000</v>
      </c>
      <c r="AG1025">
        <f t="shared" si="366"/>
        <v>1.0185916357881302</v>
      </c>
      <c r="AH1025">
        <f t="shared" si="367"/>
        <v>6.7063140862790025</v>
      </c>
      <c r="AI1025" cm="1">
        <f t="array" ref="AI1025">_xlfn.LET(
    _xlpm.vals,   _xlfn.HSTACK(S1025,V1025,Y1025,AB1025,AE1025,AH1025),
    _xlpm.ints,   _xlfn.HSTACK(R1025,U1025,X1025,AA1025,AD1025,AG1025),
    _xlpm.slopes, _xlfn.HSTACK(Q1025,T1025,W1025,Z1025,AC1025,AF1025),
    _xlpm.limit,  -0.00001*_xlpm.slopes + 0.1086*_xlpm.slopes + 63.253,
    _xlpm.mask,   (_xlpm.vals&gt;=0) * (_xlpm.ints&lt;=_xlpm.limit),
    _xlpm.validVals, _xlfn._xlws.FILTER(_xlpm.vals, _xlpm.mask),
    _xlpm.minVal, MIN(_xlpm.validVals),
    IFERROR( _xlfn.XMATCH(_xlpm.minVal, _xlpm.vals), "" )
)</f>
        <v>1</v>
      </c>
      <c r="AJ1025" cm="1">
        <f t="array" ref="AJ1025">_xlfn.LET(
    _xlpm.vals, CHOOSE({1,2,3,4,5,6}, S1025, V1025, Y1025, AB1025, AE1025, AH1025),
    _xlpm.slopes, CHOOSE({1,2,3,4,5,6}, Q1025, T1025, W1025, Z1025, AC1025, AF1025),
    _xlpm.ints, CHOOSE({1,2,3,4,5,6}, R1025, U1025, X1025, AA1025, AD1025, AG1025),
    _xlpm.limit, -0.00001*_xlpm.slopes + 0.1086*_xlpm.slopes + 63.253,
    _xlpm.valid, (_xlpm.vals &gt;= 0) * (_xlpm.ints &lt;= _xlpm.limit),
    _xlpm.target, MIN(_xlfn._xlws.FILTER(_xlpm.vals, _xlpm.valid)),
    IFERROR(
        _xlfn.XLOOKUP(_xlpm.target, _xlpm.vals, _xlpm.vals),
        CHOOSE({1,2,3,4,5,6}, S$1, V$1, Y$1, AB$1, AE$1, AH$1)
    )
)</f>
        <v>0.35703130471806926</v>
      </c>
    </row>
    <row r="1026" spans="9:36" x14ac:dyDescent="0.45">
      <c r="I1026">
        <v>1024</v>
      </c>
      <c r="J1026">
        <v>0</v>
      </c>
      <c r="K1026">
        <f t="shared" si="346"/>
        <v>0</v>
      </c>
      <c r="L1026">
        <f t="shared" ref="L1026:L1089" si="368">K1026*(1/3600)</f>
        <v>0</v>
      </c>
      <c r="M1026">
        <v>0.63</v>
      </c>
      <c r="N1026">
        <f t="shared" si="347"/>
        <v>0.63</v>
      </c>
      <c r="O1026">
        <f t="shared" si="348"/>
        <v>0</v>
      </c>
      <c r="P1026">
        <f t="shared" si="349"/>
        <v>0</v>
      </c>
      <c r="Q1026">
        <f t="shared" si="350"/>
        <v>1000</v>
      </c>
      <c r="R1026">
        <f t="shared" si="351"/>
        <v>6.0160568488736441</v>
      </c>
      <c r="S1026">
        <f t="shared" si="352"/>
        <v>0.35641639470591929</v>
      </c>
      <c r="T1026">
        <f t="shared" si="353"/>
        <v>6000</v>
      </c>
      <c r="U1026">
        <f t="shared" si="354"/>
        <v>1.0026761414789407</v>
      </c>
      <c r="V1026">
        <f t="shared" si="355"/>
        <v>6.7062134072214974</v>
      </c>
      <c r="W1026">
        <f t="shared" si="356"/>
        <v>6000</v>
      </c>
      <c r="X1026">
        <f t="shared" si="357"/>
        <v>1.0026761414789407</v>
      </c>
      <c r="Y1026">
        <f t="shared" si="358"/>
        <v>6.7062134072214974</v>
      </c>
      <c r="Z1026">
        <f t="shared" si="359"/>
        <v>6000</v>
      </c>
      <c r="AA1026">
        <f t="shared" si="360"/>
        <v>1.0026761414789407</v>
      </c>
      <c r="AB1026">
        <f t="shared" si="361"/>
        <v>6.7062134072214974</v>
      </c>
      <c r="AC1026">
        <f t="shared" si="362"/>
        <v>6000</v>
      </c>
      <c r="AD1026">
        <f t="shared" si="363"/>
        <v>1.0026761414789407</v>
      </c>
      <c r="AE1026">
        <f t="shared" si="364"/>
        <v>6.7062134072214974</v>
      </c>
      <c r="AF1026">
        <f t="shared" si="365"/>
        <v>6000</v>
      </c>
      <c r="AG1026">
        <f t="shared" si="366"/>
        <v>1.0026761414789407</v>
      </c>
      <c r="AH1026">
        <f t="shared" si="367"/>
        <v>6.7062134072214974</v>
      </c>
      <c r="AI1026" cm="1">
        <f t="array" ref="AI1026">_xlfn.LET(
    _xlpm.vals,   _xlfn.HSTACK(S1026,V1026,Y1026,AB1026,AE1026,AH1026),
    _xlpm.ints,   _xlfn.HSTACK(R1026,U1026,X1026,AA1026,AD1026,AG1026),
    _xlpm.slopes, _xlfn.HSTACK(Q1026,T1026,W1026,Z1026,AC1026,AF1026),
    _xlpm.limit,  -0.00001*_xlpm.slopes + 0.1086*_xlpm.slopes + 63.253,
    _xlpm.mask,   (_xlpm.vals&gt;=0) * (_xlpm.ints&lt;=_xlpm.limit),
    _xlpm.validVals, _xlfn._xlws.FILTER(_xlpm.vals, _xlpm.mask),
    _xlpm.minVal, MIN(_xlpm.validVals),
    IFERROR( _xlfn.XMATCH(_xlpm.minVal, _xlpm.vals), "" )
)</f>
        <v>1</v>
      </c>
      <c r="AJ1026" cm="1">
        <f t="array" ref="AJ1026">_xlfn.LET(
    _xlpm.vals, CHOOSE({1,2,3,4,5,6}, S1026, V1026, Y1026, AB1026, AE1026, AH1026),
    _xlpm.slopes, CHOOSE({1,2,3,4,5,6}, Q1026, T1026, W1026, Z1026, AC1026, AF1026),
    _xlpm.ints, CHOOSE({1,2,3,4,5,6}, R1026, U1026, X1026, AA1026, AD1026, AG1026),
    _xlpm.limit, -0.00001*_xlpm.slopes + 0.1086*_xlpm.slopes + 63.253,
    _xlpm.valid, (_xlpm.vals &gt;= 0) * (_xlpm.ints &lt;= _xlpm.limit),
    _xlpm.target, MIN(_xlfn._xlws.FILTER(_xlpm.vals, _xlpm.valid)),
    IFERROR(
        _xlfn.XLOOKUP(_xlpm.target, _xlpm.vals, _xlpm.vals),
        CHOOSE({1,2,3,4,5,6}, S$1, V$1, Y$1, AB$1, AE$1, AH$1)
    )
)</f>
        <v>0.35641639470591929</v>
      </c>
    </row>
    <row r="1027" spans="9:36" x14ac:dyDescent="0.45">
      <c r="I1027">
        <v>1025</v>
      </c>
      <c r="J1027">
        <v>0</v>
      </c>
      <c r="K1027">
        <f t="shared" ref="K1027:K1090" si="369">IF(J1027&lt;0,0,J1027)</f>
        <v>0</v>
      </c>
      <c r="L1027">
        <f t="shared" si="368"/>
        <v>0</v>
      </c>
      <c r="M1027">
        <v>0.99</v>
      </c>
      <c r="N1027">
        <f t="shared" ref="N1027:N1090" si="370">IF(M1027&lt;0,0,M1027)</f>
        <v>0.99</v>
      </c>
      <c r="O1027">
        <f t="shared" ref="O1027:O1090" si="371">(K1027*0.44704*60)/(PI()*$B$2)</f>
        <v>0</v>
      </c>
      <c r="P1027">
        <f t="shared" ref="P1027:P1090" si="372">O1027*3.2</f>
        <v>0</v>
      </c>
      <c r="Q1027">
        <f t="shared" ref="Q1027:Q1090" si="373">IF(4.58*P1027&lt;1000,1000,4.58*P1027)</f>
        <v>1000</v>
      </c>
      <c r="R1027">
        <f t="shared" ref="R1027:R1090" si="374">(1000*N1027*60)/(Q1027*2*PI())</f>
        <v>9.4538036196585846</v>
      </c>
      <c r="S1027">
        <f t="shared" ref="S1027:S1090" si="375">(0.072946 + (0.000364279 * Q1027) + (-0.00248749 * R1027) + (0.00000951906 * Q1027 * R1027) + (-0.000000165418 * Q1027^2) + (0.000045414 * R1027^2) + (-0.00000000135106 * Q1027^2 * R1027) + (0.0000000203184 * Q1027 * R1027^2) + (0.0000000000481318 * Q1027^3) + (-0.00000034778 * R1027^3))</f>
        <v>0.3792221709208885</v>
      </c>
      <c r="T1027">
        <f t="shared" ref="T1027:T1090" si="376">IF(2.96*P1027&lt;1000,6000,2.96*P1027)</f>
        <v>6000</v>
      </c>
      <c r="U1027">
        <f t="shared" ref="U1027:U1090" si="377">(1000*N1027*60)/(T1027*2*PI())</f>
        <v>1.5756339366097638</v>
      </c>
      <c r="V1027">
        <f t="shared" ref="V1027:V1090" si="378">(0.072946 + (0.000364279 * T1027) + (-0.00248749 * U1027) + (0.00000951906 * T1027 * U1027) + (-0.000000165418 * T1027^2) + (0.000045414 * U1027^2) + (-0.00000000135106 * T1027^2 * U1027) + (0.0000000203184 * T1027 * U1027^2) + (0.0000000000481318 * T1027^3) + (-0.00000034778 * U1027^3))</f>
        <v>6.7098908575872533</v>
      </c>
      <c r="W1027">
        <f t="shared" ref="W1027:W1090" si="379">IF(1.91*P1027&lt;1000,6000,1.91*P1027)</f>
        <v>6000</v>
      </c>
      <c r="X1027">
        <f t="shared" ref="X1027:X1090" si="380">(1000*N1027*60)/(W1027*2*PI())</f>
        <v>1.5756339366097638</v>
      </c>
      <c r="Y1027">
        <f t="shared" ref="Y1027:Y1090" si="381">(0.072946 + (0.000364279 * W1027) + (-0.00248749 * X1027) + (0.00000951906 * W1027 * X1027) + (-0.000000165418 * W1027^2) + (0.000045414 * X1027^2) + (-0.00000000135106 * W1027^2 * X1027) + (0.0000000203184 * W1027 * X1027^2) + (0.0000000000481318 * W1027^3) + (-0.00000034778 * X1027^3))</f>
        <v>6.7098908575872533</v>
      </c>
      <c r="Z1027">
        <f t="shared" ref="Z1027:Z1090" si="382">IF(1.44*P1027&lt;1000,6000,1.44*P1027)</f>
        <v>6000</v>
      </c>
      <c r="AA1027">
        <f t="shared" ref="AA1027:AA1090" si="383">(1000*N1027*60)/(Z1027*2*PI())</f>
        <v>1.5756339366097638</v>
      </c>
      <c r="AB1027">
        <f t="shared" ref="AB1027:AB1090" si="384">(0.072946 + (0.000364279 * Z1027) + (-0.00248749 * AA1027) + (0.00000951906 * Z1027 * AA1027) + (-0.000000165418 * Z1027^2) + (0.000045414 * AA1027^2) + (-0.00000000135106 * Z1027^2 * AA1027) + (0.0000000203184 * Z1027 * AA1027^2) + (0.0000000000481318 * Z1027^3) + (-0.00000034778 * AA1027^3))</f>
        <v>6.7098908575872533</v>
      </c>
      <c r="AC1027">
        <f t="shared" ref="AC1027:AC1090" si="385">IF(0.74*P1027&lt;1000,6000,0.74*P1027)</f>
        <v>6000</v>
      </c>
      <c r="AD1027">
        <f t="shared" ref="AD1027:AD1090" si="386">(1000*N1027*60)/(AC1027*2*PI())</f>
        <v>1.5756339366097638</v>
      </c>
      <c r="AE1027">
        <f t="shared" ref="AE1027:AE1090" si="387">(0.072946 + (0.000364279 * AC1027) + (-0.00248749 * AD1027) + (0.00000951906 * AC1027 * AD1027) + (-0.000000165418 * AC1027^2) + (0.000045414 * AD1027^2) + (-0.00000000135106 * AC1027^2 * AD1027) + (0.0000000203184 * AC1027 * AD1027^2) + (0.0000000000481318 * AC1027^3) + (-0.00000034778 * AD1027^3))</f>
        <v>6.7098908575872533</v>
      </c>
      <c r="AF1027">
        <f t="shared" ref="AF1027:AF1090" si="388">IF(0.68*P1027&lt;1000,6000,0.68*P1027)</f>
        <v>6000</v>
      </c>
      <c r="AG1027">
        <f t="shared" ref="AG1027:AG1090" si="389">(1000*N1027*60)/(AF1027*2*PI())</f>
        <v>1.5756339366097638</v>
      </c>
      <c r="AH1027">
        <f t="shared" ref="AH1027:AH1090" si="390">(0.072946 + (0.000364279 * AF1027) + (-0.00248749 * AG1027) + (0.00000951906 * AF1027 * AG1027) + (-0.000000165418 * AF1027^2) + (0.000045414 * AG1027^2) + (-0.00000000135106 * AF1027^2 * AG1027) + (0.0000000203184 * AF1027 * AG1027^2) + (0.0000000000481318 * AF1027^3) + (-0.00000034778 * AG1027^3))</f>
        <v>6.7098908575872533</v>
      </c>
      <c r="AI1027" cm="1">
        <f t="array" ref="AI1027">_xlfn.LET(
    _xlpm.vals,   _xlfn.HSTACK(S1027,V1027,Y1027,AB1027,AE1027,AH1027),
    _xlpm.ints,   _xlfn.HSTACK(R1027,U1027,X1027,AA1027,AD1027,AG1027),
    _xlpm.slopes, _xlfn.HSTACK(Q1027,T1027,W1027,Z1027,AC1027,AF1027),
    _xlpm.limit,  -0.00001*_xlpm.slopes + 0.1086*_xlpm.slopes + 63.253,
    _xlpm.mask,   (_xlpm.vals&gt;=0) * (_xlpm.ints&lt;=_xlpm.limit),
    _xlpm.validVals, _xlfn._xlws.FILTER(_xlpm.vals, _xlpm.mask),
    _xlpm.minVal, MIN(_xlpm.validVals),
    IFERROR( _xlfn.XMATCH(_xlpm.minVal, _xlpm.vals), "" )
)</f>
        <v>1</v>
      </c>
      <c r="AJ1027" cm="1">
        <f t="array" ref="AJ1027">_xlfn.LET(
    _xlpm.vals, CHOOSE({1,2,3,4,5,6}, S1027, V1027, Y1027, AB1027, AE1027, AH1027),
    _xlpm.slopes, CHOOSE({1,2,3,4,5,6}, Q1027, T1027, W1027, Z1027, AC1027, AF1027),
    _xlpm.ints, CHOOSE({1,2,3,4,5,6}, R1027, U1027, X1027, AA1027, AD1027, AG1027),
    _xlpm.limit, -0.00001*_xlpm.slopes + 0.1086*_xlpm.slopes + 63.253,
    _xlpm.valid, (_xlpm.vals &gt;= 0) * (_xlpm.ints &lt;= _xlpm.limit),
    _xlpm.target, MIN(_xlfn._xlws.FILTER(_xlpm.vals, _xlpm.valid)),
    IFERROR(
        _xlfn.XLOOKUP(_xlpm.target, _xlpm.vals, _xlpm.vals),
        CHOOSE({1,2,3,4,5,6}, S$1, V$1, Y$1, AB$1, AE$1, AH$1)
    )
)</f>
        <v>0.3792221709208885</v>
      </c>
    </row>
    <row r="1028" spans="9:36" x14ac:dyDescent="0.45">
      <c r="I1028">
        <v>1026</v>
      </c>
      <c r="J1028">
        <v>0</v>
      </c>
      <c r="K1028">
        <f t="shared" si="369"/>
        <v>0</v>
      </c>
      <c r="L1028">
        <f t="shared" si="368"/>
        <v>0</v>
      </c>
      <c r="M1028">
        <v>0.61</v>
      </c>
      <c r="N1028">
        <f t="shared" si="370"/>
        <v>0.61</v>
      </c>
      <c r="O1028">
        <f t="shared" si="371"/>
        <v>0</v>
      </c>
      <c r="P1028">
        <f t="shared" si="372"/>
        <v>0</v>
      </c>
      <c r="Q1028">
        <f t="shared" si="373"/>
        <v>1000</v>
      </c>
      <c r="R1028">
        <f t="shared" si="374"/>
        <v>5.8250709171633694</v>
      </c>
      <c r="S1028">
        <f t="shared" si="375"/>
        <v>0.3551898295194329</v>
      </c>
      <c r="T1028">
        <f t="shared" si="376"/>
        <v>6000</v>
      </c>
      <c r="U1028">
        <f t="shared" si="377"/>
        <v>0.97084515286056161</v>
      </c>
      <c r="V1028">
        <f t="shared" si="378"/>
        <v>6.7060123018275641</v>
      </c>
      <c r="W1028">
        <f t="shared" si="379"/>
        <v>6000</v>
      </c>
      <c r="X1028">
        <f t="shared" si="380"/>
        <v>0.97084515286056161</v>
      </c>
      <c r="Y1028">
        <f t="shared" si="381"/>
        <v>6.7060123018275641</v>
      </c>
      <c r="Z1028">
        <f t="shared" si="382"/>
        <v>6000</v>
      </c>
      <c r="AA1028">
        <f t="shared" si="383"/>
        <v>0.97084515286056161</v>
      </c>
      <c r="AB1028">
        <f t="shared" si="384"/>
        <v>6.7060123018275641</v>
      </c>
      <c r="AC1028">
        <f t="shared" si="385"/>
        <v>6000</v>
      </c>
      <c r="AD1028">
        <f t="shared" si="386"/>
        <v>0.97084515286056161</v>
      </c>
      <c r="AE1028">
        <f t="shared" si="387"/>
        <v>6.7060123018275641</v>
      </c>
      <c r="AF1028">
        <f t="shared" si="388"/>
        <v>6000</v>
      </c>
      <c r="AG1028">
        <f t="shared" si="389"/>
        <v>0.97084515286056161</v>
      </c>
      <c r="AH1028">
        <f t="shared" si="390"/>
        <v>6.7060123018275641</v>
      </c>
      <c r="AI1028" cm="1">
        <f t="array" ref="AI1028">_xlfn.LET(
    _xlpm.vals,   _xlfn.HSTACK(S1028,V1028,Y1028,AB1028,AE1028,AH1028),
    _xlpm.ints,   _xlfn.HSTACK(R1028,U1028,X1028,AA1028,AD1028,AG1028),
    _xlpm.slopes, _xlfn.HSTACK(Q1028,T1028,W1028,Z1028,AC1028,AF1028),
    _xlpm.limit,  -0.00001*_xlpm.slopes + 0.1086*_xlpm.slopes + 63.253,
    _xlpm.mask,   (_xlpm.vals&gt;=0) * (_xlpm.ints&lt;=_xlpm.limit),
    _xlpm.validVals, _xlfn._xlws.FILTER(_xlpm.vals, _xlpm.mask),
    _xlpm.minVal, MIN(_xlpm.validVals),
    IFERROR( _xlfn.XMATCH(_xlpm.minVal, _xlpm.vals), "" )
)</f>
        <v>1</v>
      </c>
      <c r="AJ1028" cm="1">
        <f t="array" ref="AJ1028">_xlfn.LET(
    _xlpm.vals, CHOOSE({1,2,3,4,5,6}, S1028, V1028, Y1028, AB1028, AE1028, AH1028),
    _xlpm.slopes, CHOOSE({1,2,3,4,5,6}, Q1028, T1028, W1028, Z1028, AC1028, AF1028),
    _xlpm.ints, CHOOSE({1,2,3,4,5,6}, R1028, U1028, X1028, AA1028, AD1028, AG1028),
    _xlpm.limit, -0.00001*_xlpm.slopes + 0.1086*_xlpm.slopes + 63.253,
    _xlpm.valid, (_xlpm.vals &gt;= 0) * (_xlpm.ints &lt;= _xlpm.limit),
    _xlpm.target, MIN(_xlfn._xlws.FILTER(_xlpm.vals, _xlpm.valid)),
    IFERROR(
        _xlfn.XLOOKUP(_xlpm.target, _xlpm.vals, _xlpm.vals),
        CHOOSE({1,2,3,4,5,6}, S$1, V$1, Y$1, AB$1, AE$1, AH$1)
    )
)</f>
        <v>0.3551898295194329</v>
      </c>
    </row>
    <row r="1029" spans="9:36" x14ac:dyDescent="0.45">
      <c r="I1029">
        <v>1027</v>
      </c>
      <c r="J1029">
        <v>0.1</v>
      </c>
      <c r="K1029">
        <f t="shared" si="369"/>
        <v>0.1</v>
      </c>
      <c r="L1029">
        <f t="shared" si="368"/>
        <v>2.7777777777777779E-5</v>
      </c>
      <c r="M1029">
        <v>0.98</v>
      </c>
      <c r="N1029">
        <f t="shared" si="370"/>
        <v>0.98</v>
      </c>
      <c r="O1029">
        <f t="shared" si="371"/>
        <v>1.2995182787178245</v>
      </c>
      <c r="P1029">
        <f t="shared" si="372"/>
        <v>4.1584584918970391</v>
      </c>
      <c r="Q1029">
        <f t="shared" si="373"/>
        <v>1000</v>
      </c>
      <c r="R1029">
        <f t="shared" si="374"/>
        <v>9.3583106538034464</v>
      </c>
      <c r="S1029">
        <f t="shared" si="375"/>
        <v>0.37857045374971388</v>
      </c>
      <c r="T1029">
        <f t="shared" si="376"/>
        <v>6000</v>
      </c>
      <c r="U1029">
        <f t="shared" si="377"/>
        <v>1.5597184423005743</v>
      </c>
      <c r="V1029">
        <f t="shared" si="378"/>
        <v>6.7097872355151065</v>
      </c>
      <c r="W1029">
        <f t="shared" si="379"/>
        <v>6000</v>
      </c>
      <c r="X1029">
        <f t="shared" si="380"/>
        <v>1.5597184423005743</v>
      </c>
      <c r="Y1029">
        <f t="shared" si="381"/>
        <v>6.7097872355151065</v>
      </c>
      <c r="Z1029">
        <f t="shared" si="382"/>
        <v>6000</v>
      </c>
      <c r="AA1029">
        <f t="shared" si="383"/>
        <v>1.5597184423005743</v>
      </c>
      <c r="AB1029">
        <f t="shared" si="384"/>
        <v>6.7097872355151065</v>
      </c>
      <c r="AC1029">
        <f t="shared" si="385"/>
        <v>6000</v>
      </c>
      <c r="AD1029">
        <f t="shared" si="386"/>
        <v>1.5597184423005743</v>
      </c>
      <c r="AE1029">
        <f t="shared" si="387"/>
        <v>6.7097872355151065</v>
      </c>
      <c r="AF1029">
        <f t="shared" si="388"/>
        <v>6000</v>
      </c>
      <c r="AG1029">
        <f t="shared" si="389"/>
        <v>1.5597184423005743</v>
      </c>
      <c r="AH1029">
        <f t="shared" si="390"/>
        <v>6.7097872355151065</v>
      </c>
      <c r="AI1029" cm="1">
        <f t="array" ref="AI1029">_xlfn.LET(
    _xlpm.vals,   _xlfn.HSTACK(S1029,V1029,Y1029,AB1029,AE1029,AH1029),
    _xlpm.ints,   _xlfn.HSTACK(R1029,U1029,X1029,AA1029,AD1029,AG1029),
    _xlpm.slopes, _xlfn.HSTACK(Q1029,T1029,W1029,Z1029,AC1029,AF1029),
    _xlpm.limit,  -0.00001*_xlpm.slopes + 0.1086*_xlpm.slopes + 63.253,
    _xlpm.mask,   (_xlpm.vals&gt;=0) * (_xlpm.ints&lt;=_xlpm.limit),
    _xlpm.validVals, _xlfn._xlws.FILTER(_xlpm.vals, _xlpm.mask),
    _xlpm.minVal, MIN(_xlpm.validVals),
    IFERROR( _xlfn.XMATCH(_xlpm.minVal, _xlpm.vals), "" )
)</f>
        <v>1</v>
      </c>
      <c r="AJ1029" cm="1">
        <f t="array" ref="AJ1029">_xlfn.LET(
    _xlpm.vals, CHOOSE({1,2,3,4,5,6}, S1029, V1029, Y1029, AB1029, AE1029, AH1029),
    _xlpm.slopes, CHOOSE({1,2,3,4,5,6}, Q1029, T1029, W1029, Z1029, AC1029, AF1029),
    _xlpm.ints, CHOOSE({1,2,3,4,5,6}, R1029, U1029, X1029, AA1029, AD1029, AG1029),
    _xlpm.limit, -0.00001*_xlpm.slopes + 0.1086*_xlpm.slopes + 63.253,
    _xlpm.valid, (_xlpm.vals &gt;= 0) * (_xlpm.ints &lt;= _xlpm.limit),
    _xlpm.target, MIN(_xlfn._xlws.FILTER(_xlpm.vals, _xlpm.valid)),
    IFERROR(
        _xlfn.XLOOKUP(_xlpm.target, _xlpm.vals, _xlpm.vals),
        CHOOSE({1,2,3,4,5,6}, S$1, V$1, Y$1, AB$1, AE$1, AH$1)
    )
)</f>
        <v>0.37857045374971388</v>
      </c>
    </row>
    <row r="1030" spans="9:36" x14ac:dyDescent="0.45">
      <c r="I1030">
        <v>1028</v>
      </c>
      <c r="J1030">
        <v>1.1000000000000001</v>
      </c>
      <c r="K1030">
        <f t="shared" si="369"/>
        <v>1.1000000000000001</v>
      </c>
      <c r="L1030">
        <f t="shared" si="368"/>
        <v>3.055555555555556E-4</v>
      </c>
      <c r="M1030">
        <v>1.26</v>
      </c>
      <c r="N1030">
        <f t="shared" si="370"/>
        <v>1.26</v>
      </c>
      <c r="O1030">
        <f t="shared" si="371"/>
        <v>14.294701065896071</v>
      </c>
      <c r="P1030">
        <f t="shared" si="372"/>
        <v>45.743043410867429</v>
      </c>
      <c r="Q1030">
        <f t="shared" si="373"/>
        <v>1000</v>
      </c>
      <c r="R1030">
        <f t="shared" si="374"/>
        <v>12.032113697747288</v>
      </c>
      <c r="S1030">
        <f t="shared" si="375"/>
        <v>0.39719773586442447</v>
      </c>
      <c r="T1030">
        <f t="shared" si="376"/>
        <v>6000</v>
      </c>
      <c r="U1030">
        <f t="shared" si="377"/>
        <v>2.0053522829578814</v>
      </c>
      <c r="V1030">
        <f t="shared" si="378"/>
        <v>6.7127203532971071</v>
      </c>
      <c r="W1030">
        <f t="shared" si="379"/>
        <v>6000</v>
      </c>
      <c r="X1030">
        <f t="shared" si="380"/>
        <v>2.0053522829578814</v>
      </c>
      <c r="Y1030">
        <f t="shared" si="381"/>
        <v>6.7127203532971071</v>
      </c>
      <c r="Z1030">
        <f t="shared" si="382"/>
        <v>6000</v>
      </c>
      <c r="AA1030">
        <f t="shared" si="383"/>
        <v>2.0053522829578814</v>
      </c>
      <c r="AB1030">
        <f t="shared" si="384"/>
        <v>6.7127203532971071</v>
      </c>
      <c r="AC1030">
        <f t="shared" si="385"/>
        <v>6000</v>
      </c>
      <c r="AD1030">
        <f t="shared" si="386"/>
        <v>2.0053522829578814</v>
      </c>
      <c r="AE1030">
        <f t="shared" si="387"/>
        <v>6.7127203532971071</v>
      </c>
      <c r="AF1030">
        <f t="shared" si="388"/>
        <v>6000</v>
      </c>
      <c r="AG1030">
        <f t="shared" si="389"/>
        <v>2.0053522829578814</v>
      </c>
      <c r="AH1030">
        <f t="shared" si="390"/>
        <v>6.7127203532971071</v>
      </c>
      <c r="AI1030" cm="1">
        <f t="array" ref="AI1030">_xlfn.LET(
    _xlpm.vals,   _xlfn.HSTACK(S1030,V1030,Y1030,AB1030,AE1030,AH1030),
    _xlpm.ints,   _xlfn.HSTACK(R1030,U1030,X1030,AA1030,AD1030,AG1030),
    _xlpm.slopes, _xlfn.HSTACK(Q1030,T1030,W1030,Z1030,AC1030,AF1030),
    _xlpm.limit,  -0.00001*_xlpm.slopes + 0.1086*_xlpm.slopes + 63.253,
    _xlpm.mask,   (_xlpm.vals&gt;=0) * (_xlpm.ints&lt;=_xlpm.limit),
    _xlpm.validVals, _xlfn._xlws.FILTER(_xlpm.vals, _xlpm.mask),
    _xlpm.minVal, MIN(_xlpm.validVals),
    IFERROR( _xlfn.XMATCH(_xlpm.minVal, _xlpm.vals), "" )
)</f>
        <v>1</v>
      </c>
      <c r="AJ1030" cm="1">
        <f t="array" ref="AJ1030">_xlfn.LET(
    _xlpm.vals, CHOOSE({1,2,3,4,5,6}, S1030, V1030, Y1030, AB1030, AE1030, AH1030),
    _xlpm.slopes, CHOOSE({1,2,3,4,5,6}, Q1030, T1030, W1030, Z1030, AC1030, AF1030),
    _xlpm.ints, CHOOSE({1,2,3,4,5,6}, R1030, U1030, X1030, AA1030, AD1030, AG1030),
    _xlpm.limit, -0.00001*_xlpm.slopes + 0.1086*_xlpm.slopes + 63.253,
    _xlpm.valid, (_xlpm.vals &gt;= 0) * (_xlpm.ints &lt;= _xlpm.limit),
    _xlpm.target, MIN(_xlfn._xlws.FILTER(_xlpm.vals, _xlpm.valid)),
    IFERROR(
        _xlfn.XLOOKUP(_xlpm.target, _xlpm.vals, _xlpm.vals),
        CHOOSE({1,2,3,4,5,6}, S$1, V$1, Y$1, AB$1, AE$1, AH$1)
    )
)</f>
        <v>0.39719773586442447</v>
      </c>
    </row>
    <row r="1031" spans="9:36" x14ac:dyDescent="0.45">
      <c r="I1031">
        <v>1029</v>
      </c>
      <c r="J1031">
        <v>3.9</v>
      </c>
      <c r="K1031">
        <f t="shared" si="369"/>
        <v>3.9</v>
      </c>
      <c r="L1031">
        <f t="shared" si="368"/>
        <v>1.0833333333333333E-3</v>
      </c>
      <c r="M1031">
        <v>6.86</v>
      </c>
      <c r="N1031">
        <f t="shared" si="370"/>
        <v>6.86</v>
      </c>
      <c r="O1031">
        <f t="shared" si="371"/>
        <v>50.681212869995157</v>
      </c>
      <c r="P1031">
        <f t="shared" si="372"/>
        <v>162.17988118398452</v>
      </c>
      <c r="Q1031">
        <f t="shared" si="373"/>
        <v>1000</v>
      </c>
      <c r="R1031">
        <f t="shared" si="374"/>
        <v>65.508174576624128</v>
      </c>
      <c r="S1031">
        <f t="shared" si="375"/>
        <v>0.87637073356368522</v>
      </c>
      <c r="T1031">
        <f t="shared" si="376"/>
        <v>6000</v>
      </c>
      <c r="U1031">
        <f t="shared" si="377"/>
        <v>10.918029096104021</v>
      </c>
      <c r="V1031">
        <f t="shared" si="378"/>
        <v>6.7849187168512142</v>
      </c>
      <c r="W1031">
        <f t="shared" si="379"/>
        <v>6000</v>
      </c>
      <c r="X1031">
        <f t="shared" si="380"/>
        <v>10.918029096104021</v>
      </c>
      <c r="Y1031">
        <f t="shared" si="381"/>
        <v>6.7849187168512142</v>
      </c>
      <c r="Z1031">
        <f t="shared" si="382"/>
        <v>6000</v>
      </c>
      <c r="AA1031">
        <f t="shared" si="383"/>
        <v>10.918029096104021</v>
      </c>
      <c r="AB1031">
        <f t="shared" si="384"/>
        <v>6.7849187168512142</v>
      </c>
      <c r="AC1031">
        <f t="shared" si="385"/>
        <v>6000</v>
      </c>
      <c r="AD1031">
        <f t="shared" si="386"/>
        <v>10.918029096104021</v>
      </c>
      <c r="AE1031">
        <f t="shared" si="387"/>
        <v>6.7849187168512142</v>
      </c>
      <c r="AF1031">
        <f t="shared" si="388"/>
        <v>6000</v>
      </c>
      <c r="AG1031">
        <f t="shared" si="389"/>
        <v>10.918029096104021</v>
      </c>
      <c r="AH1031">
        <f t="shared" si="390"/>
        <v>6.7849187168512142</v>
      </c>
      <c r="AI1031" cm="1">
        <f t="array" ref="AI1031">_xlfn.LET(
    _xlpm.vals,   _xlfn.HSTACK(S1031,V1031,Y1031,AB1031,AE1031,AH1031),
    _xlpm.ints,   _xlfn.HSTACK(R1031,U1031,X1031,AA1031,AD1031,AG1031),
    _xlpm.slopes, _xlfn.HSTACK(Q1031,T1031,W1031,Z1031,AC1031,AF1031),
    _xlpm.limit,  -0.00001*_xlpm.slopes + 0.1086*_xlpm.slopes + 63.253,
    _xlpm.mask,   (_xlpm.vals&gt;=0) * (_xlpm.ints&lt;=_xlpm.limit),
    _xlpm.validVals, _xlfn._xlws.FILTER(_xlpm.vals, _xlpm.mask),
    _xlpm.minVal, MIN(_xlpm.validVals),
    IFERROR( _xlfn.XMATCH(_xlpm.minVal, _xlpm.vals), "" )
)</f>
        <v>1</v>
      </c>
      <c r="AJ1031" cm="1">
        <f t="array" ref="AJ1031">_xlfn.LET(
    _xlpm.vals, CHOOSE({1,2,3,4,5,6}, S1031, V1031, Y1031, AB1031, AE1031, AH1031),
    _xlpm.slopes, CHOOSE({1,2,3,4,5,6}, Q1031, T1031, W1031, Z1031, AC1031, AF1031),
    _xlpm.ints, CHOOSE({1,2,3,4,5,6}, R1031, U1031, X1031, AA1031, AD1031, AG1031),
    _xlpm.limit, -0.00001*_xlpm.slopes + 0.1086*_xlpm.slopes + 63.253,
    _xlpm.valid, (_xlpm.vals &gt;= 0) * (_xlpm.ints &lt;= _xlpm.limit),
    _xlpm.target, MIN(_xlfn._xlws.FILTER(_xlpm.vals, _xlpm.valid)),
    IFERROR(
        _xlfn.XLOOKUP(_xlpm.target, _xlpm.vals, _xlpm.vals),
        CHOOSE({1,2,3,4,5,6}, S$1, V$1, Y$1, AB$1, AE$1, AH$1)
    )
)</f>
        <v>0.87637073356368522</v>
      </c>
    </row>
    <row r="1032" spans="9:36" x14ac:dyDescent="0.45">
      <c r="I1032">
        <v>1030</v>
      </c>
      <c r="J1032">
        <v>7.2</v>
      </c>
      <c r="K1032">
        <f t="shared" si="369"/>
        <v>7.2</v>
      </c>
      <c r="L1032">
        <f t="shared" si="368"/>
        <v>2E-3</v>
      </c>
      <c r="M1032">
        <v>12.93</v>
      </c>
      <c r="N1032">
        <f t="shared" si="370"/>
        <v>12.93</v>
      </c>
      <c r="O1032">
        <f t="shared" si="371"/>
        <v>93.565316067683369</v>
      </c>
      <c r="P1032">
        <f t="shared" si="372"/>
        <v>299.40901141658679</v>
      </c>
      <c r="Q1032">
        <f t="shared" si="373"/>
        <v>1371.2932722879675</v>
      </c>
      <c r="R1032">
        <f t="shared" si="374"/>
        <v>90.040844905978332</v>
      </c>
      <c r="S1032">
        <f t="shared" si="375"/>
        <v>1.4483442235773714</v>
      </c>
      <c r="T1032">
        <f t="shared" si="376"/>
        <v>6000</v>
      </c>
      <c r="U1032">
        <f t="shared" si="377"/>
        <v>20.578734141782068</v>
      </c>
      <c r="V1032">
        <f t="shared" si="378"/>
        <v>6.8911093041726712</v>
      </c>
      <c r="W1032">
        <f t="shared" si="379"/>
        <v>6000</v>
      </c>
      <c r="X1032">
        <f t="shared" si="380"/>
        <v>20.578734141782068</v>
      </c>
      <c r="Y1032">
        <f t="shared" si="381"/>
        <v>6.8911093041726712</v>
      </c>
      <c r="Z1032">
        <f t="shared" si="382"/>
        <v>6000</v>
      </c>
      <c r="AA1032">
        <f t="shared" si="383"/>
        <v>20.578734141782068</v>
      </c>
      <c r="AB1032">
        <f t="shared" si="384"/>
        <v>6.8911093041726712</v>
      </c>
      <c r="AC1032">
        <f t="shared" si="385"/>
        <v>6000</v>
      </c>
      <c r="AD1032">
        <f t="shared" si="386"/>
        <v>20.578734141782068</v>
      </c>
      <c r="AE1032">
        <f t="shared" si="387"/>
        <v>6.8911093041726712</v>
      </c>
      <c r="AF1032">
        <f t="shared" si="388"/>
        <v>6000</v>
      </c>
      <c r="AG1032">
        <f t="shared" si="389"/>
        <v>20.578734141782068</v>
      </c>
      <c r="AH1032">
        <f t="shared" si="390"/>
        <v>6.8911093041726712</v>
      </c>
      <c r="AI1032" cm="1">
        <f t="array" ref="AI1032">_xlfn.LET(
    _xlpm.vals,   _xlfn.HSTACK(S1032,V1032,Y1032,AB1032,AE1032,AH1032),
    _xlpm.ints,   _xlfn.HSTACK(R1032,U1032,X1032,AA1032,AD1032,AG1032),
    _xlpm.slopes, _xlfn.HSTACK(Q1032,T1032,W1032,Z1032,AC1032,AF1032),
    _xlpm.limit,  -0.00001*_xlpm.slopes + 0.1086*_xlpm.slopes + 63.253,
    _xlpm.mask,   (_xlpm.vals&gt;=0) * (_xlpm.ints&lt;=_xlpm.limit),
    _xlpm.validVals, _xlfn._xlws.FILTER(_xlpm.vals, _xlpm.mask),
    _xlpm.minVal, MIN(_xlpm.validVals),
    IFERROR( _xlfn.XMATCH(_xlpm.minVal, _xlpm.vals), "" )
)</f>
        <v>1</v>
      </c>
      <c r="AJ1032" cm="1">
        <f t="array" ref="AJ1032">_xlfn.LET(
    _xlpm.vals, CHOOSE({1,2,3,4,5,6}, S1032, V1032, Y1032, AB1032, AE1032, AH1032),
    _xlpm.slopes, CHOOSE({1,2,3,4,5,6}, Q1032, T1032, W1032, Z1032, AC1032, AF1032),
    _xlpm.ints, CHOOSE({1,2,3,4,5,6}, R1032, U1032, X1032, AA1032, AD1032, AG1032),
    _xlpm.limit, -0.00001*_xlpm.slopes + 0.1086*_xlpm.slopes + 63.253,
    _xlpm.valid, (_xlpm.vals &gt;= 0) * (_xlpm.ints &lt;= _xlpm.limit),
    _xlpm.target, MIN(_xlfn._xlws.FILTER(_xlpm.vals, _xlpm.valid)),
    IFERROR(
        _xlfn.XLOOKUP(_xlpm.target, _xlpm.vals, _xlpm.vals),
        CHOOSE({1,2,3,4,5,6}, S$1, V$1, Y$1, AB$1, AE$1, AH$1)
    )
)</f>
        <v>1.4483442235773714</v>
      </c>
    </row>
    <row r="1033" spans="9:36" x14ac:dyDescent="0.45">
      <c r="I1033">
        <v>1031</v>
      </c>
      <c r="J1033">
        <v>10.8</v>
      </c>
      <c r="K1033">
        <f t="shared" si="369"/>
        <v>10.8</v>
      </c>
      <c r="L1033">
        <f t="shared" si="368"/>
        <v>3.0000000000000001E-3</v>
      </c>
      <c r="M1033">
        <v>21.72</v>
      </c>
      <c r="N1033">
        <f t="shared" si="370"/>
        <v>21.72</v>
      </c>
      <c r="O1033">
        <f t="shared" si="371"/>
        <v>140.34797410152504</v>
      </c>
      <c r="P1033">
        <f t="shared" si="372"/>
        <v>449.11351712488016</v>
      </c>
      <c r="Q1033">
        <f t="shared" si="373"/>
        <v>2056.9399084319512</v>
      </c>
      <c r="R1033">
        <f t="shared" si="374"/>
        <v>100.83460434946376</v>
      </c>
      <c r="S1033">
        <f t="shared" si="375"/>
        <v>2.2185087961113021</v>
      </c>
      <c r="T1033">
        <f t="shared" si="376"/>
        <v>1329.3760106896452</v>
      </c>
      <c r="U1033">
        <f t="shared" si="377"/>
        <v>156.02111078396757</v>
      </c>
      <c r="V1033">
        <f t="shared" si="378"/>
        <v>2.033837552741558</v>
      </c>
      <c r="W1033">
        <f t="shared" si="379"/>
        <v>6000</v>
      </c>
      <c r="X1033">
        <f t="shared" si="380"/>
        <v>34.568453639559671</v>
      </c>
      <c r="Y1033">
        <f t="shared" si="381"/>
        <v>7.0926439342494412</v>
      </c>
      <c r="Z1033">
        <f t="shared" si="382"/>
        <v>6000</v>
      </c>
      <c r="AA1033">
        <f t="shared" si="383"/>
        <v>34.568453639559671</v>
      </c>
      <c r="AB1033">
        <f t="shared" si="384"/>
        <v>7.0926439342494412</v>
      </c>
      <c r="AC1033">
        <f t="shared" si="385"/>
        <v>6000</v>
      </c>
      <c r="AD1033">
        <f t="shared" si="386"/>
        <v>34.568453639559671</v>
      </c>
      <c r="AE1033">
        <f t="shared" si="387"/>
        <v>7.0926439342494412</v>
      </c>
      <c r="AF1033">
        <f t="shared" si="388"/>
        <v>6000</v>
      </c>
      <c r="AG1033">
        <f t="shared" si="389"/>
        <v>34.568453639559671</v>
      </c>
      <c r="AH1033">
        <f t="shared" si="390"/>
        <v>7.0926439342494412</v>
      </c>
      <c r="AI1033" cm="1">
        <f t="array" ref="AI1033">_xlfn.LET(
    _xlpm.vals,   _xlfn.HSTACK(S1033,V1033,Y1033,AB1033,AE1033,AH1033),
    _xlpm.ints,   _xlfn.HSTACK(R1033,U1033,X1033,AA1033,AD1033,AG1033),
    _xlpm.slopes, _xlfn.HSTACK(Q1033,T1033,W1033,Z1033,AC1033,AF1033),
    _xlpm.limit,  -0.00001*_xlpm.slopes + 0.1086*_xlpm.slopes + 63.253,
    _xlpm.mask,   (_xlpm.vals&gt;=0) * (_xlpm.ints&lt;=_xlpm.limit),
    _xlpm.validVals, _xlfn._xlws.FILTER(_xlpm.vals, _xlpm.mask),
    _xlpm.minVal, MIN(_xlpm.validVals),
    IFERROR( _xlfn.XMATCH(_xlpm.minVal, _xlpm.vals), "" )
)</f>
        <v>2</v>
      </c>
      <c r="AJ1033" cm="1">
        <f t="array" ref="AJ1033">_xlfn.LET(
    _xlpm.vals, CHOOSE({1,2,3,4,5,6}, S1033, V1033, Y1033, AB1033, AE1033, AH1033),
    _xlpm.slopes, CHOOSE({1,2,3,4,5,6}, Q1033, T1033, W1033, Z1033, AC1033, AF1033),
    _xlpm.ints, CHOOSE({1,2,3,4,5,6}, R1033, U1033, X1033, AA1033, AD1033, AG1033),
    _xlpm.limit, -0.00001*_xlpm.slopes + 0.1086*_xlpm.slopes + 63.253,
    _xlpm.valid, (_xlpm.vals &gt;= 0) * (_xlpm.ints &lt;= _xlpm.limit),
    _xlpm.target, MIN(_xlfn._xlws.FILTER(_xlpm.vals, _xlpm.valid)),
    IFERROR(
        _xlfn.XLOOKUP(_xlpm.target, _xlpm.vals, _xlpm.vals),
        CHOOSE({1,2,3,4,5,6}, S$1, V$1, Y$1, AB$1, AE$1, AH$1)
    )
)</f>
        <v>2.033837552741558</v>
      </c>
    </row>
    <row r="1034" spans="9:36" x14ac:dyDescent="0.45">
      <c r="I1034">
        <v>1032</v>
      </c>
      <c r="J1034">
        <v>14.3</v>
      </c>
      <c r="K1034">
        <f t="shared" si="369"/>
        <v>14.3</v>
      </c>
      <c r="L1034">
        <f t="shared" si="368"/>
        <v>3.9722222222222225E-3</v>
      </c>
      <c r="M1034">
        <v>18.64</v>
      </c>
      <c r="N1034">
        <f t="shared" si="370"/>
        <v>18.64</v>
      </c>
      <c r="O1034">
        <f t="shared" si="371"/>
        <v>185.8311138566489</v>
      </c>
      <c r="P1034">
        <f t="shared" si="372"/>
        <v>594.65956434127645</v>
      </c>
      <c r="Q1034">
        <f t="shared" si="373"/>
        <v>2723.5408046830462</v>
      </c>
      <c r="R1034">
        <f t="shared" si="374"/>
        <v>65.355689934188632</v>
      </c>
      <c r="S1034">
        <f t="shared" si="375"/>
        <v>2.0205296718405212</v>
      </c>
      <c r="T1034">
        <f t="shared" si="376"/>
        <v>1760.1923104501782</v>
      </c>
      <c r="U1034">
        <f t="shared" si="377"/>
        <v>101.12468239817025</v>
      </c>
      <c r="V1034">
        <f t="shared" si="378"/>
        <v>1.9541567406297631</v>
      </c>
      <c r="W1034">
        <f t="shared" si="379"/>
        <v>1135.799767891838</v>
      </c>
      <c r="X1034">
        <f t="shared" si="380"/>
        <v>156.71678528721671</v>
      </c>
      <c r="Y1034">
        <f t="shared" si="381"/>
        <v>1.7187912986629528</v>
      </c>
      <c r="Z1034">
        <f t="shared" si="382"/>
        <v>6000</v>
      </c>
      <c r="AA1034">
        <f t="shared" si="383"/>
        <v>29.666481392329292</v>
      </c>
      <c r="AB1034">
        <f t="shared" si="384"/>
        <v>7.0158866252058258</v>
      </c>
      <c r="AC1034">
        <f t="shared" si="385"/>
        <v>6000</v>
      </c>
      <c r="AD1034">
        <f t="shared" si="386"/>
        <v>29.666481392329292</v>
      </c>
      <c r="AE1034">
        <f t="shared" si="387"/>
        <v>7.0158866252058258</v>
      </c>
      <c r="AF1034">
        <f t="shared" si="388"/>
        <v>6000</v>
      </c>
      <c r="AG1034">
        <f t="shared" si="389"/>
        <v>29.666481392329292</v>
      </c>
      <c r="AH1034">
        <f t="shared" si="390"/>
        <v>7.0158866252058258</v>
      </c>
      <c r="AI1034" cm="1">
        <f t="array" ref="AI1034">_xlfn.LET(
    _xlpm.vals,   _xlfn.HSTACK(S1034,V1034,Y1034,AB1034,AE1034,AH1034),
    _xlpm.ints,   _xlfn.HSTACK(R1034,U1034,X1034,AA1034,AD1034,AG1034),
    _xlpm.slopes, _xlfn.HSTACK(Q1034,T1034,W1034,Z1034,AC1034,AF1034),
    _xlpm.limit,  -0.00001*_xlpm.slopes + 0.1086*_xlpm.slopes + 63.253,
    _xlpm.mask,   (_xlpm.vals&gt;=0) * (_xlpm.ints&lt;=_xlpm.limit),
    _xlpm.validVals, _xlfn._xlws.FILTER(_xlpm.vals, _xlpm.mask),
    _xlpm.minVal, MIN(_xlpm.validVals),
    IFERROR( _xlfn.XMATCH(_xlpm.minVal, _xlpm.vals), "" )
)</f>
        <v>3</v>
      </c>
      <c r="AJ1034" cm="1">
        <f t="array" ref="AJ1034">_xlfn.LET(
    _xlpm.vals, CHOOSE({1,2,3,4,5,6}, S1034, V1034, Y1034, AB1034, AE1034, AH1034),
    _xlpm.slopes, CHOOSE({1,2,3,4,5,6}, Q1034, T1034, W1034, Z1034, AC1034, AF1034),
    _xlpm.ints, CHOOSE({1,2,3,4,5,6}, R1034, U1034, X1034, AA1034, AD1034, AG1034),
    _xlpm.limit, -0.00001*_xlpm.slopes + 0.1086*_xlpm.slopes + 63.253,
    _xlpm.valid, (_xlpm.vals &gt;= 0) * (_xlpm.ints &lt;= _xlpm.limit),
    _xlpm.target, MIN(_xlfn._xlws.FILTER(_xlpm.vals, _xlpm.valid)),
    IFERROR(
        _xlfn.XLOOKUP(_xlpm.target, _xlpm.vals, _xlpm.vals),
        CHOOSE({1,2,3,4,5,6}, S$1, V$1, Y$1, AB$1, AE$1, AH$1)
    )
)</f>
        <v>1.7187912986629528</v>
      </c>
    </row>
    <row r="1035" spans="9:36" x14ac:dyDescent="0.45">
      <c r="I1035">
        <v>1033</v>
      </c>
      <c r="J1035">
        <v>16.7</v>
      </c>
      <c r="K1035">
        <f t="shared" si="369"/>
        <v>16.7</v>
      </c>
      <c r="L1035">
        <f t="shared" si="368"/>
        <v>4.6388888888888886E-3</v>
      </c>
      <c r="M1035">
        <v>21.27</v>
      </c>
      <c r="N1035">
        <f t="shared" si="370"/>
        <v>21.27</v>
      </c>
      <c r="O1035">
        <f t="shared" si="371"/>
        <v>217.01955254587668</v>
      </c>
      <c r="P1035">
        <f t="shared" si="372"/>
        <v>694.46256814680544</v>
      </c>
      <c r="Q1035">
        <f t="shared" si="373"/>
        <v>3180.6385621123691</v>
      </c>
      <c r="R1035">
        <f t="shared" si="374"/>
        <v>63.859358555655035</v>
      </c>
      <c r="S1035">
        <f t="shared" si="375"/>
        <v>2.3668170496757757</v>
      </c>
      <c r="T1035">
        <f t="shared" si="376"/>
        <v>2055.6092017145443</v>
      </c>
      <c r="U1035">
        <f t="shared" si="377"/>
        <v>98.809412900304068</v>
      </c>
      <c r="V1035">
        <f t="shared" si="378"/>
        <v>2.1800882397938275</v>
      </c>
      <c r="W1035">
        <f t="shared" si="379"/>
        <v>1326.4235051603982</v>
      </c>
      <c r="X1035">
        <f t="shared" si="380"/>
        <v>153.12872365701577</v>
      </c>
      <c r="Y1035">
        <f t="shared" si="381"/>
        <v>2.0140639534524012</v>
      </c>
      <c r="Z1035">
        <f t="shared" si="382"/>
        <v>1000.0260981313997</v>
      </c>
      <c r="AA1035">
        <f t="shared" si="383"/>
        <v>203.10823762840283</v>
      </c>
      <c r="AB1035">
        <f t="shared" si="384"/>
        <v>1.271431283351474</v>
      </c>
      <c r="AC1035">
        <f t="shared" si="385"/>
        <v>6000</v>
      </c>
      <c r="AD1035">
        <f t="shared" si="386"/>
        <v>33.852256395646137</v>
      </c>
      <c r="AE1035">
        <f t="shared" si="387"/>
        <v>7.0810300451017518</v>
      </c>
      <c r="AF1035">
        <f t="shared" si="388"/>
        <v>6000</v>
      </c>
      <c r="AG1035">
        <f t="shared" si="389"/>
        <v>33.852256395646137</v>
      </c>
      <c r="AH1035">
        <f t="shared" si="390"/>
        <v>7.0810300451017518</v>
      </c>
      <c r="AI1035" cm="1">
        <f t="array" ref="AI1035">_xlfn.LET(
    _xlpm.vals,   _xlfn.HSTACK(S1035,V1035,Y1035,AB1035,AE1035,AH1035),
    _xlpm.ints,   _xlfn.HSTACK(R1035,U1035,X1035,AA1035,AD1035,AG1035),
    _xlpm.slopes, _xlfn.HSTACK(Q1035,T1035,W1035,Z1035,AC1035,AF1035),
    _xlpm.limit,  -0.00001*_xlpm.slopes + 0.1086*_xlpm.slopes + 63.253,
    _xlpm.mask,   (_xlpm.vals&gt;=0) * (_xlpm.ints&lt;=_xlpm.limit),
    _xlpm.validVals, _xlfn._xlws.FILTER(_xlpm.vals, _xlpm.mask),
    _xlpm.minVal, MIN(_xlpm.validVals),
    IFERROR( _xlfn.XMATCH(_xlpm.minVal, _xlpm.vals), "" )
)</f>
        <v>3</v>
      </c>
      <c r="AJ1035" cm="1">
        <f t="array" ref="AJ1035">_xlfn.LET(
    _xlpm.vals, CHOOSE({1,2,3,4,5,6}, S1035, V1035, Y1035, AB1035, AE1035, AH1035),
    _xlpm.slopes, CHOOSE({1,2,3,4,5,6}, Q1035, T1035, W1035, Z1035, AC1035, AF1035),
    _xlpm.ints, CHOOSE({1,2,3,4,5,6}, R1035, U1035, X1035, AA1035, AD1035, AG1035),
    _xlpm.limit, -0.00001*_xlpm.slopes + 0.1086*_xlpm.slopes + 63.253,
    _xlpm.valid, (_xlpm.vals &gt;= 0) * (_xlpm.ints &lt;= _xlpm.limit),
    _xlpm.target, MIN(_xlfn._xlws.FILTER(_xlpm.vals, _xlpm.valid)),
    IFERROR(
        _xlfn.XLOOKUP(_xlpm.target, _xlpm.vals, _xlpm.vals),
        CHOOSE({1,2,3,4,5,6}, S$1, V$1, Y$1, AB$1, AE$1, AH$1)
    )
)</f>
        <v>2.0140639534524012</v>
      </c>
    </row>
    <row r="1036" spans="9:36" x14ac:dyDescent="0.45">
      <c r="I1036">
        <v>1034</v>
      </c>
      <c r="J1036">
        <v>18.2</v>
      </c>
      <c r="K1036">
        <f t="shared" si="369"/>
        <v>18.2</v>
      </c>
      <c r="L1036">
        <f t="shared" si="368"/>
        <v>5.0555555555555553E-3</v>
      </c>
      <c r="M1036">
        <v>12.68</v>
      </c>
      <c r="N1036">
        <f t="shared" si="370"/>
        <v>12.68</v>
      </c>
      <c r="O1036">
        <f t="shared" si="371"/>
        <v>236.51232672664406</v>
      </c>
      <c r="P1036">
        <f t="shared" si="372"/>
        <v>756.839445525261</v>
      </c>
      <c r="Q1036">
        <f t="shared" si="373"/>
        <v>3466.3246605056956</v>
      </c>
      <c r="R1036">
        <f t="shared" si="374"/>
        <v>34.9318348866517</v>
      </c>
      <c r="S1036">
        <f t="shared" si="375"/>
        <v>1.9779356976393994</v>
      </c>
      <c r="T1036">
        <f t="shared" si="376"/>
        <v>2240.2447587547726</v>
      </c>
      <c r="U1036">
        <f t="shared" si="377"/>
        <v>54.04993370975162</v>
      </c>
      <c r="V1036">
        <f t="shared" si="378"/>
        <v>1.4624010640452116</v>
      </c>
      <c r="W1036">
        <f t="shared" si="379"/>
        <v>1445.5633409532484</v>
      </c>
      <c r="X1036">
        <f t="shared" si="380"/>
        <v>83.763248052808805</v>
      </c>
      <c r="Y1036">
        <f t="shared" si="381"/>
        <v>1.4273564358211628</v>
      </c>
      <c r="Z1036">
        <f t="shared" si="382"/>
        <v>1089.8488015563757</v>
      </c>
      <c r="AA1036">
        <f t="shared" si="383"/>
        <v>111.10264151448946</v>
      </c>
      <c r="AB1036">
        <f t="shared" si="384"/>
        <v>1.3907067929889356</v>
      </c>
      <c r="AC1036">
        <f t="shared" si="385"/>
        <v>6000</v>
      </c>
      <c r="AD1036">
        <f t="shared" si="386"/>
        <v>20.180846784052331</v>
      </c>
      <c r="AE1036">
        <f t="shared" si="387"/>
        <v>6.8861852761767004</v>
      </c>
      <c r="AF1036">
        <f t="shared" si="388"/>
        <v>6000</v>
      </c>
      <c r="AG1036">
        <f t="shared" si="389"/>
        <v>20.180846784052331</v>
      </c>
      <c r="AH1036">
        <f t="shared" si="390"/>
        <v>6.8861852761767004</v>
      </c>
      <c r="AI1036" cm="1">
        <f t="array" ref="AI1036">_xlfn.LET(
    _xlpm.vals,   _xlfn.HSTACK(S1036,V1036,Y1036,AB1036,AE1036,AH1036),
    _xlpm.ints,   _xlfn.HSTACK(R1036,U1036,X1036,AA1036,AD1036,AG1036),
    _xlpm.slopes, _xlfn.HSTACK(Q1036,T1036,W1036,Z1036,AC1036,AF1036),
    _xlpm.limit,  -0.00001*_xlpm.slopes + 0.1086*_xlpm.slopes + 63.253,
    _xlpm.mask,   (_xlpm.vals&gt;=0) * (_xlpm.ints&lt;=_xlpm.limit),
    _xlpm.validVals, _xlfn._xlws.FILTER(_xlpm.vals, _xlpm.mask),
    _xlpm.minVal, MIN(_xlpm.validVals),
    IFERROR( _xlfn.XMATCH(_xlpm.minVal, _xlpm.vals), "" )
)</f>
        <v>4</v>
      </c>
      <c r="AJ1036" cm="1">
        <f t="array" ref="AJ1036">_xlfn.LET(
    _xlpm.vals, CHOOSE({1,2,3,4,5,6}, S1036, V1036, Y1036, AB1036, AE1036, AH1036),
    _xlpm.slopes, CHOOSE({1,2,3,4,5,6}, Q1036, T1036, W1036, Z1036, AC1036, AF1036),
    _xlpm.ints, CHOOSE({1,2,3,4,5,6}, R1036, U1036, X1036, AA1036, AD1036, AG1036),
    _xlpm.limit, -0.00001*_xlpm.slopes + 0.1086*_xlpm.slopes + 63.253,
    _xlpm.valid, (_xlpm.vals &gt;= 0) * (_xlpm.ints &lt;= _xlpm.limit),
    _xlpm.target, MIN(_xlfn._xlws.FILTER(_xlpm.vals, _xlpm.valid)),
    IFERROR(
        _xlfn.XLOOKUP(_xlpm.target, _xlpm.vals, _xlpm.vals),
        CHOOSE({1,2,3,4,5,6}, S$1, V$1, Y$1, AB$1, AE$1, AH$1)
    )
)</f>
        <v>1.3907067929889356</v>
      </c>
    </row>
    <row r="1037" spans="9:36" x14ac:dyDescent="0.45">
      <c r="I1037">
        <v>1035</v>
      </c>
      <c r="J1037">
        <v>20</v>
      </c>
      <c r="K1037">
        <f t="shared" si="369"/>
        <v>20</v>
      </c>
      <c r="L1037">
        <f t="shared" si="368"/>
        <v>5.5555555555555558E-3</v>
      </c>
      <c r="M1037">
        <v>17.920000000000002</v>
      </c>
      <c r="N1037">
        <f t="shared" si="370"/>
        <v>17.920000000000002</v>
      </c>
      <c r="O1037">
        <f t="shared" si="371"/>
        <v>259.90365574356491</v>
      </c>
      <c r="P1037">
        <f t="shared" si="372"/>
        <v>831.69169837940774</v>
      </c>
      <c r="Q1037">
        <f t="shared" si="373"/>
        <v>3809.1479785776874</v>
      </c>
      <c r="R1037">
        <f t="shared" si="374"/>
        <v>44.924323175363305</v>
      </c>
      <c r="S1037">
        <f t="shared" si="375"/>
        <v>2.5734364988629075</v>
      </c>
      <c r="T1037">
        <f t="shared" si="376"/>
        <v>2461.8074272030467</v>
      </c>
      <c r="U1037">
        <f t="shared" si="377"/>
        <v>69.511283832149971</v>
      </c>
      <c r="V1037">
        <f t="shared" si="378"/>
        <v>1.9165038303324875</v>
      </c>
      <c r="W1037">
        <f t="shared" si="379"/>
        <v>1588.5311439046686</v>
      </c>
      <c r="X1037">
        <f t="shared" si="380"/>
        <v>107.72429326867221</v>
      </c>
      <c r="Y1037">
        <f t="shared" si="381"/>
        <v>1.8876420666648148</v>
      </c>
      <c r="Z1037">
        <f t="shared" si="382"/>
        <v>1197.6360456663472</v>
      </c>
      <c r="AA1037">
        <f t="shared" si="383"/>
        <v>142.88430565497495</v>
      </c>
      <c r="AB1037">
        <f t="shared" si="384"/>
        <v>1.760712620404588</v>
      </c>
      <c r="AC1037">
        <f t="shared" si="385"/>
        <v>6000</v>
      </c>
      <c r="AD1037">
        <f t="shared" si="386"/>
        <v>28.520565802067647</v>
      </c>
      <c r="AE1037">
        <f t="shared" si="387"/>
        <v>6.9988794146217383</v>
      </c>
      <c r="AF1037">
        <f t="shared" si="388"/>
        <v>6000</v>
      </c>
      <c r="AG1037">
        <f t="shared" si="389"/>
        <v>28.520565802067647</v>
      </c>
      <c r="AH1037">
        <f t="shared" si="390"/>
        <v>6.9988794146217383</v>
      </c>
      <c r="AI1037" cm="1">
        <f t="array" ref="AI1037">_xlfn.LET(
    _xlpm.vals,   _xlfn.HSTACK(S1037,V1037,Y1037,AB1037,AE1037,AH1037),
    _xlpm.ints,   _xlfn.HSTACK(R1037,U1037,X1037,AA1037,AD1037,AG1037),
    _xlpm.slopes, _xlfn.HSTACK(Q1037,T1037,W1037,Z1037,AC1037,AF1037),
    _xlpm.limit,  -0.00001*_xlpm.slopes + 0.1086*_xlpm.slopes + 63.253,
    _xlpm.mask,   (_xlpm.vals&gt;=0) * (_xlpm.ints&lt;=_xlpm.limit),
    _xlpm.validVals, _xlfn._xlws.FILTER(_xlpm.vals, _xlpm.mask),
    _xlpm.minVal, MIN(_xlpm.validVals),
    IFERROR( _xlfn.XMATCH(_xlpm.minVal, _xlpm.vals), "" )
)</f>
        <v>4</v>
      </c>
      <c r="AJ1037" cm="1">
        <f t="array" ref="AJ1037">_xlfn.LET(
    _xlpm.vals, CHOOSE({1,2,3,4,5,6}, S1037, V1037, Y1037, AB1037, AE1037, AH1037),
    _xlpm.slopes, CHOOSE({1,2,3,4,5,6}, Q1037, T1037, W1037, Z1037, AC1037, AF1037),
    _xlpm.ints, CHOOSE({1,2,3,4,5,6}, R1037, U1037, X1037, AA1037, AD1037, AG1037),
    _xlpm.limit, -0.00001*_xlpm.slopes + 0.1086*_xlpm.slopes + 63.253,
    _xlpm.valid, (_xlpm.vals &gt;= 0) * (_xlpm.ints &lt;= _xlpm.limit),
    _xlpm.target, MIN(_xlfn._xlws.FILTER(_xlpm.vals, _xlpm.valid)),
    IFERROR(
        _xlfn.XLOOKUP(_xlpm.target, _xlpm.vals, _xlpm.vals),
        CHOOSE({1,2,3,4,5,6}, S$1, V$1, Y$1, AB$1, AE$1, AH$1)
    )
)</f>
        <v>1.760712620404588</v>
      </c>
    </row>
    <row r="1038" spans="9:36" x14ac:dyDescent="0.45">
      <c r="I1038">
        <v>1036</v>
      </c>
      <c r="J1038">
        <v>21.9</v>
      </c>
      <c r="K1038">
        <f t="shared" si="369"/>
        <v>21.9</v>
      </c>
      <c r="L1038">
        <f t="shared" si="368"/>
        <v>6.083333333333333E-3</v>
      </c>
      <c r="M1038">
        <v>16.41</v>
      </c>
      <c r="N1038">
        <f t="shared" si="370"/>
        <v>16.41</v>
      </c>
      <c r="O1038">
        <f t="shared" si="371"/>
        <v>284.59450303920352</v>
      </c>
      <c r="P1038">
        <f t="shared" si="372"/>
        <v>910.70240972545128</v>
      </c>
      <c r="Q1038">
        <f t="shared" si="373"/>
        <v>4171.0170365425665</v>
      </c>
      <c r="R1038">
        <f t="shared" si="374"/>
        <v>37.56972354593281</v>
      </c>
      <c r="S1038">
        <f t="shared" si="375"/>
        <v>2.8876199854218663</v>
      </c>
      <c r="T1038">
        <f t="shared" si="376"/>
        <v>2695.6791327873357</v>
      </c>
      <c r="U1038">
        <f t="shared" si="377"/>
        <v>58.131531702828475</v>
      </c>
      <c r="V1038">
        <f t="shared" si="378"/>
        <v>1.8423118680633592</v>
      </c>
      <c r="W1038">
        <f t="shared" si="379"/>
        <v>1739.4416025756118</v>
      </c>
      <c r="X1038">
        <f t="shared" si="380"/>
        <v>90.088656460927893</v>
      </c>
      <c r="Y1038">
        <f t="shared" si="381"/>
        <v>1.7598534755650488</v>
      </c>
      <c r="Z1038">
        <f t="shared" si="382"/>
        <v>1311.4114700046498</v>
      </c>
      <c r="AA1038">
        <f t="shared" si="383"/>
        <v>119.49259294470295</v>
      </c>
      <c r="AB1038">
        <f t="shared" si="384"/>
        <v>1.7270563910814325</v>
      </c>
      <c r="AC1038">
        <f t="shared" si="385"/>
        <v>6000</v>
      </c>
      <c r="AD1038">
        <f t="shared" si="386"/>
        <v>26.117326161380024</v>
      </c>
      <c r="AE1038">
        <f t="shared" si="387"/>
        <v>6.9643886244424529</v>
      </c>
      <c r="AF1038">
        <f t="shared" si="388"/>
        <v>6000</v>
      </c>
      <c r="AG1038">
        <f t="shared" si="389"/>
        <v>26.117326161380024</v>
      </c>
      <c r="AH1038">
        <f t="shared" si="390"/>
        <v>6.9643886244424529</v>
      </c>
      <c r="AI1038" cm="1">
        <f t="array" ref="AI1038">_xlfn.LET(
    _xlpm.vals,   _xlfn.HSTACK(S1038,V1038,Y1038,AB1038,AE1038,AH1038),
    _xlpm.ints,   _xlfn.HSTACK(R1038,U1038,X1038,AA1038,AD1038,AG1038),
    _xlpm.slopes, _xlfn.HSTACK(Q1038,T1038,W1038,Z1038,AC1038,AF1038),
    _xlpm.limit,  -0.00001*_xlpm.slopes + 0.1086*_xlpm.slopes + 63.253,
    _xlpm.mask,   (_xlpm.vals&gt;=0) * (_xlpm.ints&lt;=_xlpm.limit),
    _xlpm.validVals, _xlfn._xlws.FILTER(_xlpm.vals, _xlpm.mask),
    _xlpm.minVal, MIN(_xlpm.validVals),
    IFERROR( _xlfn.XMATCH(_xlpm.minVal, _xlpm.vals), "" )
)</f>
        <v>4</v>
      </c>
      <c r="AJ1038" cm="1">
        <f t="array" ref="AJ1038">_xlfn.LET(
    _xlpm.vals, CHOOSE({1,2,3,4,5,6}, S1038, V1038, Y1038, AB1038, AE1038, AH1038),
    _xlpm.slopes, CHOOSE({1,2,3,4,5,6}, Q1038, T1038, W1038, Z1038, AC1038, AF1038),
    _xlpm.ints, CHOOSE({1,2,3,4,5,6}, R1038, U1038, X1038, AA1038, AD1038, AG1038),
    _xlpm.limit, -0.00001*_xlpm.slopes + 0.1086*_xlpm.slopes + 63.253,
    _xlpm.valid, (_xlpm.vals &gt;= 0) * (_xlpm.ints &lt;= _xlpm.limit),
    _xlpm.target, MIN(_xlfn._xlws.FILTER(_xlpm.vals, _xlpm.valid)),
    IFERROR(
        _xlfn.XLOOKUP(_xlpm.target, _xlpm.vals, _xlpm.vals),
        CHOOSE({1,2,3,4,5,6}, S$1, V$1, Y$1, AB$1, AE$1, AH$1)
    )
)</f>
        <v>1.7270563910814325</v>
      </c>
    </row>
    <row r="1039" spans="9:36" x14ac:dyDescent="0.45">
      <c r="I1039">
        <v>1037</v>
      </c>
      <c r="J1039">
        <v>23.2</v>
      </c>
      <c r="K1039">
        <f t="shared" si="369"/>
        <v>23.2</v>
      </c>
      <c r="L1039">
        <f t="shared" si="368"/>
        <v>6.4444444444444445E-3</v>
      </c>
      <c r="M1039">
        <v>14.69</v>
      </c>
      <c r="N1039">
        <f t="shared" si="370"/>
        <v>14.69</v>
      </c>
      <c r="O1039">
        <f t="shared" si="371"/>
        <v>301.4882406625353</v>
      </c>
      <c r="P1039">
        <f t="shared" si="372"/>
        <v>964.76237012011302</v>
      </c>
      <c r="Q1039">
        <f t="shared" si="373"/>
        <v>4418.6116551501173</v>
      </c>
      <c r="R1039">
        <f t="shared" si="374"/>
        <v>31.747340067257106</v>
      </c>
      <c r="S1039">
        <f t="shared" si="375"/>
        <v>3.1492662511260443</v>
      </c>
      <c r="T1039">
        <f t="shared" si="376"/>
        <v>2855.6966155555347</v>
      </c>
      <c r="U1039">
        <f t="shared" si="377"/>
        <v>49.122573482445105</v>
      </c>
      <c r="V1039">
        <f t="shared" si="378"/>
        <v>1.7654150156870378</v>
      </c>
      <c r="W1039">
        <f t="shared" si="379"/>
        <v>1842.6961269294159</v>
      </c>
      <c r="X1039">
        <f t="shared" si="380"/>
        <v>76.127129585359967</v>
      </c>
      <c r="Y1039">
        <f t="shared" si="381"/>
        <v>1.6071356948044702</v>
      </c>
      <c r="Z1039">
        <f t="shared" si="382"/>
        <v>1389.2578129729627</v>
      </c>
      <c r="AA1039">
        <f t="shared" si="383"/>
        <v>100.97417882502607</v>
      </c>
      <c r="AB1039">
        <f t="shared" si="384"/>
        <v>1.6024604438425931</v>
      </c>
      <c r="AC1039">
        <f t="shared" si="385"/>
        <v>6000</v>
      </c>
      <c r="AD1039">
        <f t="shared" si="386"/>
        <v>23.379861140199427</v>
      </c>
      <c r="AE1039">
        <f t="shared" si="387"/>
        <v>6.9270739450184573</v>
      </c>
      <c r="AF1039">
        <f t="shared" si="388"/>
        <v>6000</v>
      </c>
      <c r="AG1039">
        <f t="shared" si="389"/>
        <v>23.379861140199427</v>
      </c>
      <c r="AH1039">
        <f t="shared" si="390"/>
        <v>6.9270739450184573</v>
      </c>
      <c r="AI1039" cm="1">
        <f t="array" ref="AI1039">_xlfn.LET(
    _xlpm.vals,   _xlfn.HSTACK(S1039,V1039,Y1039,AB1039,AE1039,AH1039),
    _xlpm.ints,   _xlfn.HSTACK(R1039,U1039,X1039,AA1039,AD1039,AG1039),
    _xlpm.slopes, _xlfn.HSTACK(Q1039,T1039,W1039,Z1039,AC1039,AF1039),
    _xlpm.limit,  -0.00001*_xlpm.slopes + 0.1086*_xlpm.slopes + 63.253,
    _xlpm.mask,   (_xlpm.vals&gt;=0) * (_xlpm.ints&lt;=_xlpm.limit),
    _xlpm.validVals, _xlfn._xlws.FILTER(_xlpm.vals, _xlpm.mask),
    _xlpm.minVal, MIN(_xlpm.validVals),
    IFERROR( _xlfn.XMATCH(_xlpm.minVal, _xlpm.vals), "" )
)</f>
        <v>4</v>
      </c>
      <c r="AJ1039" cm="1">
        <f t="array" ref="AJ1039">_xlfn.LET(
    _xlpm.vals, CHOOSE({1,2,3,4,5,6}, S1039, V1039, Y1039, AB1039, AE1039, AH1039),
    _xlpm.slopes, CHOOSE({1,2,3,4,5,6}, Q1039, T1039, W1039, Z1039, AC1039, AF1039),
    _xlpm.ints, CHOOSE({1,2,3,4,5,6}, R1039, U1039, X1039, AA1039, AD1039, AG1039),
    _xlpm.limit, -0.00001*_xlpm.slopes + 0.1086*_xlpm.slopes + 63.253,
    _xlpm.valid, (_xlpm.vals &gt;= 0) * (_xlpm.ints &lt;= _xlpm.limit),
    _xlpm.target, MIN(_xlfn._xlws.FILTER(_xlpm.vals, _xlpm.valid)),
    IFERROR(
        _xlfn.XLOOKUP(_xlpm.target, _xlpm.vals, _xlpm.vals),
        CHOOSE({1,2,3,4,5,6}, S$1, V$1, Y$1, AB$1, AE$1, AH$1)
    )
)</f>
        <v>1.6024604438425931</v>
      </c>
    </row>
    <row r="1040" spans="9:36" x14ac:dyDescent="0.45">
      <c r="I1040">
        <v>1038</v>
      </c>
      <c r="J1040">
        <v>23.9</v>
      </c>
      <c r="K1040">
        <f t="shared" si="369"/>
        <v>23.9</v>
      </c>
      <c r="L1040">
        <f t="shared" si="368"/>
        <v>6.6388888888888886E-3</v>
      </c>
      <c r="M1040">
        <v>10.1</v>
      </c>
      <c r="N1040">
        <f t="shared" si="370"/>
        <v>10.1</v>
      </c>
      <c r="O1040">
        <f t="shared" si="371"/>
        <v>310.58486861356005</v>
      </c>
      <c r="P1040">
        <f t="shared" si="372"/>
        <v>993.87157956339217</v>
      </c>
      <c r="Q1040">
        <f t="shared" si="373"/>
        <v>4551.9318344003359</v>
      </c>
      <c r="R1040">
        <f t="shared" si="374"/>
        <v>21.188343547854217</v>
      </c>
      <c r="S1040">
        <f t="shared" si="375"/>
        <v>3.1741045817384039</v>
      </c>
      <c r="T1040">
        <f t="shared" si="376"/>
        <v>2941.8598755076409</v>
      </c>
      <c r="U1040">
        <f t="shared" si="377"/>
        <v>32.784666705801463</v>
      </c>
      <c r="V1040">
        <f t="shared" si="378"/>
        <v>1.4924456888277264</v>
      </c>
      <c r="W1040">
        <f t="shared" si="379"/>
        <v>1898.294716966079</v>
      </c>
      <c r="X1040">
        <f t="shared" si="380"/>
        <v>50.80765102050907</v>
      </c>
      <c r="Y1040">
        <f t="shared" si="381"/>
        <v>1.2131493737420946</v>
      </c>
      <c r="Z1040">
        <f t="shared" si="382"/>
        <v>1431.1750745712848</v>
      </c>
      <c r="AA1040">
        <f t="shared" si="383"/>
        <v>67.390703784147448</v>
      </c>
      <c r="AB1040">
        <f t="shared" si="384"/>
        <v>1.1924072311448781</v>
      </c>
      <c r="AC1040">
        <f t="shared" si="385"/>
        <v>6000</v>
      </c>
      <c r="AD1040">
        <f t="shared" si="386"/>
        <v>16.074649252281429</v>
      </c>
      <c r="AE1040">
        <f t="shared" si="387"/>
        <v>6.8380983535697455</v>
      </c>
      <c r="AF1040">
        <f t="shared" si="388"/>
        <v>6000</v>
      </c>
      <c r="AG1040">
        <f t="shared" si="389"/>
        <v>16.074649252281429</v>
      </c>
      <c r="AH1040">
        <f t="shared" si="390"/>
        <v>6.8380983535697455</v>
      </c>
      <c r="AI1040" cm="1">
        <f t="array" ref="AI1040">_xlfn.LET(
    _xlpm.vals,   _xlfn.HSTACK(S1040,V1040,Y1040,AB1040,AE1040,AH1040),
    _xlpm.ints,   _xlfn.HSTACK(R1040,U1040,X1040,AA1040,AD1040,AG1040),
    _xlpm.slopes, _xlfn.HSTACK(Q1040,T1040,W1040,Z1040,AC1040,AF1040),
    _xlpm.limit,  -0.00001*_xlpm.slopes + 0.1086*_xlpm.slopes + 63.253,
    _xlpm.mask,   (_xlpm.vals&gt;=0) * (_xlpm.ints&lt;=_xlpm.limit),
    _xlpm.validVals, _xlfn._xlws.FILTER(_xlpm.vals, _xlpm.mask),
    _xlpm.minVal, MIN(_xlpm.validVals),
    IFERROR( _xlfn.XMATCH(_xlpm.minVal, _xlpm.vals), "" )
)</f>
        <v>4</v>
      </c>
      <c r="AJ1040" cm="1">
        <f t="array" ref="AJ1040">_xlfn.LET(
    _xlpm.vals, CHOOSE({1,2,3,4,5,6}, S1040, V1040, Y1040, AB1040, AE1040, AH1040),
    _xlpm.slopes, CHOOSE({1,2,3,4,5,6}, Q1040, T1040, W1040, Z1040, AC1040, AF1040),
    _xlpm.ints, CHOOSE({1,2,3,4,5,6}, R1040, U1040, X1040, AA1040, AD1040, AG1040),
    _xlpm.limit, -0.00001*_xlpm.slopes + 0.1086*_xlpm.slopes + 63.253,
    _xlpm.valid, (_xlpm.vals &gt;= 0) * (_xlpm.ints &lt;= _xlpm.limit),
    _xlpm.target, MIN(_xlfn._xlws.FILTER(_xlpm.vals, _xlpm.valid)),
    IFERROR(
        _xlfn.XLOOKUP(_xlpm.target, _xlpm.vals, _xlpm.vals),
        CHOOSE({1,2,3,4,5,6}, S$1, V$1, Y$1, AB$1, AE$1, AH$1)
    )
)</f>
        <v>1.1924072311448781</v>
      </c>
    </row>
    <row r="1041" spans="9:36" x14ac:dyDescent="0.45">
      <c r="I1041">
        <v>1039</v>
      </c>
      <c r="J1041">
        <v>24.6</v>
      </c>
      <c r="K1041">
        <f t="shared" si="369"/>
        <v>24.6</v>
      </c>
      <c r="L1041">
        <f t="shared" si="368"/>
        <v>6.8333333333333336E-3</v>
      </c>
      <c r="M1041">
        <v>10.4</v>
      </c>
      <c r="N1041">
        <f t="shared" si="370"/>
        <v>10.4</v>
      </c>
      <c r="O1041">
        <f t="shared" si="371"/>
        <v>319.68149656458485</v>
      </c>
      <c r="P1041">
        <f t="shared" si="372"/>
        <v>1022.9807890066716</v>
      </c>
      <c r="Q1041">
        <f t="shared" si="373"/>
        <v>4685.2520136505555</v>
      </c>
      <c r="R1041">
        <f t="shared" si="374"/>
        <v>21.196871416946969</v>
      </c>
      <c r="S1041">
        <f t="shared" si="375"/>
        <v>3.4226378887946427</v>
      </c>
      <c r="T1041">
        <f t="shared" si="376"/>
        <v>3028.0231354597477</v>
      </c>
      <c r="U1041">
        <f t="shared" si="377"/>
        <v>32.797861854600377</v>
      </c>
      <c r="V1041">
        <f t="shared" si="378"/>
        <v>1.5558543916623746</v>
      </c>
      <c r="W1041">
        <f t="shared" si="379"/>
        <v>1953.8933070027426</v>
      </c>
      <c r="X1041">
        <f t="shared" si="380"/>
        <v>50.828100046919957</v>
      </c>
      <c r="Y1041">
        <f t="shared" si="381"/>
        <v>1.2432092537697923</v>
      </c>
      <c r="Z1041">
        <f t="shared" si="382"/>
        <v>1473.0923361696071</v>
      </c>
      <c r="AA1041">
        <f t="shared" si="383"/>
        <v>67.417827145567443</v>
      </c>
      <c r="AB1041">
        <f t="shared" si="384"/>
        <v>1.2203568834305196</v>
      </c>
      <c r="AC1041">
        <f t="shared" si="385"/>
        <v>6000</v>
      </c>
      <c r="AD1041">
        <f t="shared" si="386"/>
        <v>16.552114081557114</v>
      </c>
      <c r="AE1041">
        <f t="shared" si="387"/>
        <v>6.8434317710440391</v>
      </c>
      <c r="AF1041">
        <f t="shared" si="388"/>
        <v>6000</v>
      </c>
      <c r="AG1041">
        <f t="shared" si="389"/>
        <v>16.552114081557114</v>
      </c>
      <c r="AH1041">
        <f t="shared" si="390"/>
        <v>6.8434317710440391</v>
      </c>
      <c r="AI1041" cm="1">
        <f t="array" ref="AI1041">_xlfn.LET(
    _xlpm.vals,   _xlfn.HSTACK(S1041,V1041,Y1041,AB1041,AE1041,AH1041),
    _xlpm.ints,   _xlfn.HSTACK(R1041,U1041,X1041,AA1041,AD1041,AG1041),
    _xlpm.slopes, _xlfn.HSTACK(Q1041,T1041,W1041,Z1041,AC1041,AF1041),
    _xlpm.limit,  -0.00001*_xlpm.slopes + 0.1086*_xlpm.slopes + 63.253,
    _xlpm.mask,   (_xlpm.vals&gt;=0) * (_xlpm.ints&lt;=_xlpm.limit),
    _xlpm.validVals, _xlfn._xlws.FILTER(_xlpm.vals, _xlpm.mask),
    _xlpm.minVal, MIN(_xlpm.validVals),
    IFERROR( _xlfn.XMATCH(_xlpm.minVal, _xlpm.vals), "" )
)</f>
        <v>4</v>
      </c>
      <c r="AJ1041" cm="1">
        <f t="array" ref="AJ1041">_xlfn.LET(
    _xlpm.vals, CHOOSE({1,2,3,4,5,6}, S1041, V1041, Y1041, AB1041, AE1041, AH1041),
    _xlpm.slopes, CHOOSE({1,2,3,4,5,6}, Q1041, T1041, W1041, Z1041, AC1041, AF1041),
    _xlpm.ints, CHOOSE({1,2,3,4,5,6}, R1041, U1041, X1041, AA1041, AD1041, AG1041),
    _xlpm.limit, -0.00001*_xlpm.slopes + 0.1086*_xlpm.slopes + 63.253,
    _xlpm.valid, (_xlpm.vals &gt;= 0) * (_xlpm.ints &lt;= _xlpm.limit),
    _xlpm.target, MIN(_xlfn._xlws.FILTER(_xlpm.vals, _xlpm.valid)),
    IFERROR(
        _xlfn.XLOOKUP(_xlpm.target, _xlpm.vals, _xlpm.vals),
        CHOOSE({1,2,3,4,5,6}, S$1, V$1, Y$1, AB$1, AE$1, AH$1)
    )
)</f>
        <v>1.2203568834305196</v>
      </c>
    </row>
    <row r="1042" spans="9:36" x14ac:dyDescent="0.45">
      <c r="I1042">
        <v>1040</v>
      </c>
      <c r="J1042">
        <v>25.5</v>
      </c>
      <c r="K1042">
        <f t="shared" si="369"/>
        <v>25.5</v>
      </c>
      <c r="L1042">
        <f t="shared" si="368"/>
        <v>7.083333333333333E-3</v>
      </c>
      <c r="M1042">
        <v>10.9</v>
      </c>
      <c r="N1042">
        <f t="shared" si="370"/>
        <v>10.9</v>
      </c>
      <c r="O1042">
        <f t="shared" si="371"/>
        <v>331.37716107304522</v>
      </c>
      <c r="P1042">
        <f t="shared" si="372"/>
        <v>1060.4069154337446</v>
      </c>
      <c r="Q1042">
        <f t="shared" si="373"/>
        <v>4856.6636726865509</v>
      </c>
      <c r="R1042">
        <f t="shared" si="374"/>
        <v>21.431859357994572</v>
      </c>
      <c r="S1042">
        <f t="shared" si="375"/>
        <v>3.771401091392657</v>
      </c>
      <c r="T1042">
        <f t="shared" si="376"/>
        <v>3138.8044696838842</v>
      </c>
      <c r="U1042">
        <f t="shared" si="377"/>
        <v>33.161458060680793</v>
      </c>
      <c r="V1042">
        <f t="shared" si="378"/>
        <v>1.6493623472523538</v>
      </c>
      <c r="W1042">
        <f t="shared" si="379"/>
        <v>2025.3772084784521</v>
      </c>
      <c r="X1042">
        <f t="shared" si="380"/>
        <v>51.391578984091716</v>
      </c>
      <c r="Y1042">
        <f t="shared" si="381"/>
        <v>1.2916552694564403</v>
      </c>
      <c r="Z1042">
        <f t="shared" si="382"/>
        <v>1526.9859582245922</v>
      </c>
      <c r="AA1042">
        <f t="shared" si="383"/>
        <v>68.165219346954984</v>
      </c>
      <c r="AB1042">
        <f t="shared" si="384"/>
        <v>1.2664045997874096</v>
      </c>
      <c r="AC1042">
        <f t="shared" si="385"/>
        <v>6000</v>
      </c>
      <c r="AD1042">
        <f t="shared" si="386"/>
        <v>17.347888797016594</v>
      </c>
      <c r="AE1042">
        <f t="shared" si="387"/>
        <v>6.8524727254217916</v>
      </c>
      <c r="AF1042">
        <f t="shared" si="388"/>
        <v>6000</v>
      </c>
      <c r="AG1042">
        <f t="shared" si="389"/>
        <v>17.347888797016594</v>
      </c>
      <c r="AH1042">
        <f t="shared" si="390"/>
        <v>6.8524727254217916</v>
      </c>
      <c r="AI1042" cm="1">
        <f t="array" ref="AI1042">_xlfn.LET(
    _xlpm.vals,   _xlfn.HSTACK(S1042,V1042,Y1042,AB1042,AE1042,AH1042),
    _xlpm.ints,   _xlfn.HSTACK(R1042,U1042,X1042,AA1042,AD1042,AG1042),
    _xlpm.slopes, _xlfn.HSTACK(Q1042,T1042,W1042,Z1042,AC1042,AF1042),
    _xlpm.limit,  -0.00001*_xlpm.slopes + 0.1086*_xlpm.slopes + 63.253,
    _xlpm.mask,   (_xlpm.vals&gt;=0) * (_xlpm.ints&lt;=_xlpm.limit),
    _xlpm.validVals, _xlfn._xlws.FILTER(_xlpm.vals, _xlpm.mask),
    _xlpm.minVal, MIN(_xlpm.validVals),
    IFERROR( _xlfn.XMATCH(_xlpm.minVal, _xlpm.vals), "" )
)</f>
        <v>4</v>
      </c>
      <c r="AJ1042" cm="1">
        <f t="array" ref="AJ1042">_xlfn.LET(
    _xlpm.vals, CHOOSE({1,2,3,4,5,6}, S1042, V1042, Y1042, AB1042, AE1042, AH1042),
    _xlpm.slopes, CHOOSE({1,2,3,4,5,6}, Q1042, T1042, W1042, Z1042, AC1042, AF1042),
    _xlpm.ints, CHOOSE({1,2,3,4,5,6}, R1042, U1042, X1042, AA1042, AD1042, AG1042),
    _xlpm.limit, -0.00001*_xlpm.slopes + 0.1086*_xlpm.slopes + 63.253,
    _xlpm.valid, (_xlpm.vals &gt;= 0) * (_xlpm.ints &lt;= _xlpm.limit),
    _xlpm.target, MIN(_xlfn._xlws.FILTER(_xlpm.vals, _xlpm.valid)),
    IFERROR(
        _xlfn.XLOOKUP(_xlpm.target, _xlpm.vals, _xlpm.vals),
        CHOOSE({1,2,3,4,5,6}, S$1, V$1, Y$1, AB$1, AE$1, AH$1)
    )
)</f>
        <v>1.2664045997874096</v>
      </c>
    </row>
    <row r="1043" spans="9:36" x14ac:dyDescent="0.45">
      <c r="I1043">
        <v>1041</v>
      </c>
      <c r="J1043">
        <v>26.4</v>
      </c>
      <c r="K1043">
        <f t="shared" si="369"/>
        <v>26.4</v>
      </c>
      <c r="L1043">
        <f t="shared" si="368"/>
        <v>7.3333333333333332E-3</v>
      </c>
      <c r="M1043">
        <v>11.44</v>
      </c>
      <c r="N1043">
        <f t="shared" si="370"/>
        <v>11.44</v>
      </c>
      <c r="O1043">
        <f t="shared" si="371"/>
        <v>343.0728255815057</v>
      </c>
      <c r="P1043">
        <f t="shared" si="372"/>
        <v>1097.8330418608182</v>
      </c>
      <c r="Q1043">
        <f t="shared" si="373"/>
        <v>5028.0753317225472</v>
      </c>
      <c r="R1043">
        <f t="shared" si="374"/>
        <v>21.726793202370644</v>
      </c>
      <c r="S1043">
        <f t="shared" si="375"/>
        <v>4.1507722624849546</v>
      </c>
      <c r="T1043">
        <f t="shared" si="376"/>
        <v>3249.5858039080217</v>
      </c>
      <c r="U1043">
        <f t="shared" si="377"/>
        <v>33.617808400965394</v>
      </c>
      <c r="V1043">
        <f t="shared" si="378"/>
        <v>1.7509468837373023</v>
      </c>
      <c r="W1043">
        <f t="shared" si="379"/>
        <v>2096.8611099541627</v>
      </c>
      <c r="X1043">
        <f t="shared" si="380"/>
        <v>52.098802548092962</v>
      </c>
      <c r="Y1043">
        <f t="shared" si="381"/>
        <v>1.3437733831966465</v>
      </c>
      <c r="Z1043">
        <f t="shared" si="382"/>
        <v>1580.879580279578</v>
      </c>
      <c r="AA1043">
        <f t="shared" si="383"/>
        <v>69.103272824206641</v>
      </c>
      <c r="AB1043">
        <f t="shared" si="384"/>
        <v>1.3157448908130065</v>
      </c>
      <c r="AC1043">
        <f t="shared" si="385"/>
        <v>6000</v>
      </c>
      <c r="AD1043">
        <f t="shared" si="386"/>
        <v>18.207325489712826</v>
      </c>
      <c r="AE1043">
        <f t="shared" si="387"/>
        <v>6.86244920409833</v>
      </c>
      <c r="AF1043">
        <f t="shared" si="388"/>
        <v>6000</v>
      </c>
      <c r="AG1043">
        <f t="shared" si="389"/>
        <v>18.207325489712826</v>
      </c>
      <c r="AH1043">
        <f t="shared" si="390"/>
        <v>6.86244920409833</v>
      </c>
      <c r="AI1043" cm="1">
        <f t="array" ref="AI1043">_xlfn.LET(
    _xlpm.vals,   _xlfn.HSTACK(S1043,V1043,Y1043,AB1043,AE1043,AH1043),
    _xlpm.ints,   _xlfn.HSTACK(R1043,U1043,X1043,AA1043,AD1043,AG1043),
    _xlpm.slopes, _xlfn.HSTACK(Q1043,T1043,W1043,Z1043,AC1043,AF1043),
    _xlpm.limit,  -0.00001*_xlpm.slopes + 0.1086*_xlpm.slopes + 63.253,
    _xlpm.mask,   (_xlpm.vals&gt;=0) * (_xlpm.ints&lt;=_xlpm.limit),
    _xlpm.validVals, _xlfn._xlws.FILTER(_xlpm.vals, _xlpm.mask),
    _xlpm.minVal, MIN(_xlpm.validVals),
    IFERROR( _xlfn.XMATCH(_xlpm.minVal, _xlpm.vals), "" )
)</f>
        <v>4</v>
      </c>
      <c r="AJ1043" cm="1">
        <f t="array" ref="AJ1043">_xlfn.LET(
    _xlpm.vals, CHOOSE({1,2,3,4,5,6}, S1043, V1043, Y1043, AB1043, AE1043, AH1043),
    _xlpm.slopes, CHOOSE({1,2,3,4,5,6}, Q1043, T1043, W1043, Z1043, AC1043, AF1043),
    _xlpm.ints, CHOOSE({1,2,3,4,5,6}, R1043, U1043, X1043, AA1043, AD1043, AG1043),
    _xlpm.limit, -0.00001*_xlpm.slopes + 0.1086*_xlpm.slopes + 63.253,
    _xlpm.valid, (_xlpm.vals &gt;= 0) * (_xlpm.ints &lt;= _xlpm.limit),
    _xlpm.target, MIN(_xlfn._xlws.FILTER(_xlpm.vals, _xlpm.valid)),
    IFERROR(
        _xlfn.XLOOKUP(_xlpm.target, _xlpm.vals, _xlpm.vals),
        CHOOSE({1,2,3,4,5,6}, S$1, V$1, Y$1, AB$1, AE$1, AH$1)
    )
)</f>
        <v>1.3157448908130065</v>
      </c>
    </row>
    <row r="1044" spans="9:36" x14ac:dyDescent="0.45">
      <c r="I1044">
        <v>1042</v>
      </c>
      <c r="J1044">
        <v>26.8</v>
      </c>
      <c r="K1044">
        <f t="shared" si="369"/>
        <v>26.8</v>
      </c>
      <c r="L1044">
        <f t="shared" si="368"/>
        <v>7.4444444444444445E-3</v>
      </c>
      <c r="M1044">
        <v>11.1</v>
      </c>
      <c r="N1044">
        <f t="shared" si="370"/>
        <v>11.1</v>
      </c>
      <c r="O1044">
        <f t="shared" si="371"/>
        <v>348.270898696377</v>
      </c>
      <c r="P1044">
        <f t="shared" si="372"/>
        <v>1114.4668758284065</v>
      </c>
      <c r="Q1044">
        <f t="shared" si="373"/>
        <v>5104.2582912941016</v>
      </c>
      <c r="R1044">
        <f t="shared" si="374"/>
        <v>20.76642404244955</v>
      </c>
      <c r="S1044">
        <f t="shared" si="375"/>
        <v>4.3109061718735173</v>
      </c>
      <c r="T1044">
        <f t="shared" si="376"/>
        <v>3298.8219524520832</v>
      </c>
      <c r="U1044">
        <f t="shared" si="377"/>
        <v>32.131831795411806</v>
      </c>
      <c r="V1044">
        <f t="shared" si="378"/>
        <v>1.7635811568042701</v>
      </c>
      <c r="W1044">
        <f t="shared" si="379"/>
        <v>2128.6317328322561</v>
      </c>
      <c r="X1044">
        <f t="shared" si="380"/>
        <v>49.795927808596311</v>
      </c>
      <c r="Y1044">
        <f t="shared" si="381"/>
        <v>1.3202726868973345</v>
      </c>
      <c r="Z1044">
        <f t="shared" si="382"/>
        <v>1604.8323011929053</v>
      </c>
      <c r="AA1044">
        <f t="shared" si="383"/>
        <v>66.048765357235382</v>
      </c>
      <c r="AB1044">
        <f t="shared" si="384"/>
        <v>1.2854900822108779</v>
      </c>
      <c r="AC1044">
        <f t="shared" si="385"/>
        <v>6000</v>
      </c>
      <c r="AD1044">
        <f t="shared" si="386"/>
        <v>17.666198683200385</v>
      </c>
      <c r="AE1044">
        <f t="shared" si="387"/>
        <v>6.8561420847240919</v>
      </c>
      <c r="AF1044">
        <f t="shared" si="388"/>
        <v>6000</v>
      </c>
      <c r="AG1044">
        <f t="shared" si="389"/>
        <v>17.666198683200385</v>
      </c>
      <c r="AH1044">
        <f t="shared" si="390"/>
        <v>6.8561420847240919</v>
      </c>
      <c r="AI1044" cm="1">
        <f t="array" ref="AI1044">_xlfn.LET(
    _xlpm.vals,   _xlfn.HSTACK(S1044,V1044,Y1044,AB1044,AE1044,AH1044),
    _xlpm.ints,   _xlfn.HSTACK(R1044,U1044,X1044,AA1044,AD1044,AG1044),
    _xlpm.slopes, _xlfn.HSTACK(Q1044,T1044,W1044,Z1044,AC1044,AF1044),
    _xlpm.limit,  -0.00001*_xlpm.slopes + 0.1086*_xlpm.slopes + 63.253,
    _xlpm.mask,   (_xlpm.vals&gt;=0) * (_xlpm.ints&lt;=_xlpm.limit),
    _xlpm.validVals, _xlfn._xlws.FILTER(_xlpm.vals, _xlpm.mask),
    _xlpm.minVal, MIN(_xlpm.validVals),
    IFERROR( _xlfn.XMATCH(_xlpm.minVal, _xlpm.vals), "" )
)</f>
        <v>4</v>
      </c>
      <c r="AJ1044" cm="1">
        <f t="array" ref="AJ1044">_xlfn.LET(
    _xlpm.vals, CHOOSE({1,2,3,4,5,6}, S1044, V1044, Y1044, AB1044, AE1044, AH1044),
    _xlpm.slopes, CHOOSE({1,2,3,4,5,6}, Q1044, T1044, W1044, Z1044, AC1044, AF1044),
    _xlpm.ints, CHOOSE({1,2,3,4,5,6}, R1044, U1044, X1044, AA1044, AD1044, AG1044),
    _xlpm.limit, -0.00001*_xlpm.slopes + 0.1086*_xlpm.slopes + 63.253,
    _xlpm.valid, (_xlpm.vals &gt;= 0) * (_xlpm.ints &lt;= _xlpm.limit),
    _xlpm.target, MIN(_xlfn._xlws.FILTER(_xlpm.vals, _xlpm.valid)),
    IFERROR(
        _xlfn.XLOOKUP(_xlpm.target, _xlpm.vals, _xlpm.vals),
        CHOOSE({1,2,3,4,5,6}, S$1, V$1, Y$1, AB$1, AE$1, AH$1)
    )
)</f>
        <v>1.2854900822108779</v>
      </c>
    </row>
    <row r="1045" spans="9:36" x14ac:dyDescent="0.45">
      <c r="I1045">
        <v>1043</v>
      </c>
      <c r="J1045">
        <v>27.5</v>
      </c>
      <c r="K1045">
        <f t="shared" si="369"/>
        <v>27.5</v>
      </c>
      <c r="L1045">
        <f t="shared" si="368"/>
        <v>7.6388888888888886E-3</v>
      </c>
      <c r="M1045">
        <v>10.57</v>
      </c>
      <c r="N1045">
        <f t="shared" si="370"/>
        <v>10.57</v>
      </c>
      <c r="O1045">
        <f t="shared" si="371"/>
        <v>357.36752664740175</v>
      </c>
      <c r="P1045">
        <f t="shared" si="372"/>
        <v>1143.5760852716855</v>
      </c>
      <c r="Q1045">
        <f t="shared" si="373"/>
        <v>5237.5784705443202</v>
      </c>
      <c r="R1045">
        <f t="shared" si="374"/>
        <v>19.271513634885959</v>
      </c>
      <c r="S1045">
        <f t="shared" si="375"/>
        <v>4.6111308344503099</v>
      </c>
      <c r="T1045">
        <f t="shared" si="376"/>
        <v>3384.985212404189</v>
      </c>
      <c r="U1045">
        <f t="shared" si="377"/>
        <v>29.818760962087065</v>
      </c>
      <c r="V1045">
        <f t="shared" si="378"/>
        <v>1.7948081450288889</v>
      </c>
      <c r="W1045">
        <f t="shared" si="379"/>
        <v>2184.2303228689193</v>
      </c>
      <c r="X1045">
        <f t="shared" si="380"/>
        <v>46.211273532867914</v>
      </c>
      <c r="Y1045">
        <f t="shared" si="381"/>
        <v>1.2864288797466878</v>
      </c>
      <c r="Z1045">
        <f t="shared" si="382"/>
        <v>1646.7495627912272</v>
      </c>
      <c r="AA1045">
        <f t="shared" si="383"/>
        <v>61.294119755401191</v>
      </c>
      <c r="AB1045">
        <f t="shared" si="384"/>
        <v>1.2392005410156561</v>
      </c>
      <c r="AC1045">
        <f t="shared" si="385"/>
        <v>6000</v>
      </c>
      <c r="AD1045">
        <f t="shared" si="386"/>
        <v>16.822677484813337</v>
      </c>
      <c r="AE1045">
        <f t="shared" si="387"/>
        <v>6.8464844249835908</v>
      </c>
      <c r="AF1045">
        <f t="shared" si="388"/>
        <v>6000</v>
      </c>
      <c r="AG1045">
        <f t="shared" si="389"/>
        <v>16.822677484813337</v>
      </c>
      <c r="AH1045">
        <f t="shared" si="390"/>
        <v>6.8464844249835908</v>
      </c>
      <c r="AI1045" cm="1">
        <f t="array" ref="AI1045">_xlfn.LET(
    _xlpm.vals,   _xlfn.HSTACK(S1045,V1045,Y1045,AB1045,AE1045,AH1045),
    _xlpm.ints,   _xlfn.HSTACK(R1045,U1045,X1045,AA1045,AD1045,AG1045),
    _xlpm.slopes, _xlfn.HSTACK(Q1045,T1045,W1045,Z1045,AC1045,AF1045),
    _xlpm.limit,  -0.00001*_xlpm.slopes + 0.1086*_xlpm.slopes + 63.253,
    _xlpm.mask,   (_xlpm.vals&gt;=0) * (_xlpm.ints&lt;=_xlpm.limit),
    _xlpm.validVals, _xlfn._xlws.FILTER(_xlpm.vals, _xlpm.mask),
    _xlpm.minVal, MIN(_xlpm.validVals),
    IFERROR( _xlfn.XMATCH(_xlpm.minVal, _xlpm.vals), "" )
)</f>
        <v>4</v>
      </c>
      <c r="AJ1045" cm="1">
        <f t="array" ref="AJ1045">_xlfn.LET(
    _xlpm.vals, CHOOSE({1,2,3,4,5,6}, S1045, V1045, Y1045, AB1045, AE1045, AH1045),
    _xlpm.slopes, CHOOSE({1,2,3,4,5,6}, Q1045, T1045, W1045, Z1045, AC1045, AF1045),
    _xlpm.ints, CHOOSE({1,2,3,4,5,6}, R1045, U1045, X1045, AA1045, AD1045, AG1045),
    _xlpm.limit, -0.00001*_xlpm.slopes + 0.1086*_xlpm.slopes + 63.253,
    _xlpm.valid, (_xlpm.vals &gt;= 0) * (_xlpm.ints &lt;= _xlpm.limit),
    _xlpm.target, MIN(_xlfn._xlws.FILTER(_xlpm.vals, _xlpm.valid)),
    IFERROR(
        _xlfn.XLOOKUP(_xlpm.target, _xlpm.vals, _xlpm.vals),
        CHOOSE({1,2,3,4,5,6}, S$1, V$1, Y$1, AB$1, AE$1, AH$1)
    )
)</f>
        <v>1.2392005410156561</v>
      </c>
    </row>
    <row r="1046" spans="9:36" x14ac:dyDescent="0.45">
      <c r="I1046">
        <v>1044</v>
      </c>
      <c r="J1046">
        <v>28</v>
      </c>
      <c r="K1046">
        <f t="shared" si="369"/>
        <v>28</v>
      </c>
      <c r="L1046">
        <f t="shared" si="368"/>
        <v>7.7777777777777776E-3</v>
      </c>
      <c r="M1046">
        <v>10</v>
      </c>
      <c r="N1046">
        <f t="shared" si="370"/>
        <v>10</v>
      </c>
      <c r="O1046">
        <f t="shared" si="371"/>
        <v>363.86511804099086</v>
      </c>
      <c r="P1046">
        <f t="shared" si="372"/>
        <v>1164.3683777311708</v>
      </c>
      <c r="Q1046">
        <f t="shared" si="373"/>
        <v>5332.8071700087621</v>
      </c>
      <c r="R1046">
        <f t="shared" si="374"/>
        <v>17.906697694261521</v>
      </c>
      <c r="S1046">
        <f t="shared" si="375"/>
        <v>4.8346404131288407</v>
      </c>
      <c r="T1046">
        <f t="shared" si="376"/>
        <v>3446.5303980842655</v>
      </c>
      <c r="U1046">
        <f t="shared" si="377"/>
        <v>27.706984945850596</v>
      </c>
      <c r="V1046">
        <f t="shared" si="378"/>
        <v>1.8106713774830896</v>
      </c>
      <c r="W1046">
        <f t="shared" si="379"/>
        <v>2223.9436014665362</v>
      </c>
      <c r="X1046">
        <f t="shared" si="380"/>
        <v>42.938573528648043</v>
      </c>
      <c r="Y1046">
        <f t="shared" si="381"/>
        <v>1.2491390387505847</v>
      </c>
      <c r="Z1046">
        <f t="shared" si="382"/>
        <v>1676.6904639328859</v>
      </c>
      <c r="AA1046">
        <f t="shared" si="383"/>
        <v>56.953246833137335</v>
      </c>
      <c r="AB1046">
        <f t="shared" si="384"/>
        <v>1.1901441131637673</v>
      </c>
      <c r="AC1046">
        <f t="shared" si="385"/>
        <v>6000</v>
      </c>
      <c r="AD1046">
        <f t="shared" si="386"/>
        <v>15.915494309189535</v>
      </c>
      <c r="AE1046">
        <f t="shared" si="387"/>
        <v>6.8363357907443483</v>
      </c>
      <c r="AF1046">
        <f t="shared" si="388"/>
        <v>6000</v>
      </c>
      <c r="AG1046">
        <f t="shared" si="389"/>
        <v>15.915494309189535</v>
      </c>
      <c r="AH1046">
        <f t="shared" si="390"/>
        <v>6.8363357907443483</v>
      </c>
      <c r="AI1046" cm="1">
        <f t="array" ref="AI1046">_xlfn.LET(
    _xlpm.vals,   _xlfn.HSTACK(S1046,V1046,Y1046,AB1046,AE1046,AH1046),
    _xlpm.ints,   _xlfn.HSTACK(R1046,U1046,X1046,AA1046,AD1046,AG1046),
    _xlpm.slopes, _xlfn.HSTACK(Q1046,T1046,W1046,Z1046,AC1046,AF1046),
    _xlpm.limit,  -0.00001*_xlpm.slopes + 0.1086*_xlpm.slopes + 63.253,
    _xlpm.mask,   (_xlpm.vals&gt;=0) * (_xlpm.ints&lt;=_xlpm.limit),
    _xlpm.validVals, _xlfn._xlws.FILTER(_xlpm.vals, _xlpm.mask),
    _xlpm.minVal, MIN(_xlpm.validVals),
    IFERROR( _xlfn.XMATCH(_xlpm.minVal, _xlpm.vals), "" )
)</f>
        <v>4</v>
      </c>
      <c r="AJ1046" cm="1">
        <f t="array" ref="AJ1046">_xlfn.LET(
    _xlpm.vals, CHOOSE({1,2,3,4,5,6}, S1046, V1046, Y1046, AB1046, AE1046, AH1046),
    _xlpm.slopes, CHOOSE({1,2,3,4,5,6}, Q1046, T1046, W1046, Z1046, AC1046, AF1046),
    _xlpm.ints, CHOOSE({1,2,3,4,5,6}, R1046, U1046, X1046, AA1046, AD1046, AG1046),
    _xlpm.limit, -0.00001*_xlpm.slopes + 0.1086*_xlpm.slopes + 63.253,
    _xlpm.valid, (_xlpm.vals &gt;= 0) * (_xlpm.ints &lt;= _xlpm.limit),
    _xlpm.target, MIN(_xlfn._xlws.FILTER(_xlpm.vals, _xlpm.valid)),
    IFERROR(
        _xlfn.XLOOKUP(_xlpm.target, _xlpm.vals, _xlpm.vals),
        CHOOSE({1,2,3,4,5,6}, S$1, V$1, Y$1, AB$1, AE$1, AH$1)
    )
)</f>
        <v>1.1901441131637673</v>
      </c>
    </row>
    <row r="1047" spans="9:36" x14ac:dyDescent="0.45">
      <c r="I1047">
        <v>1045</v>
      </c>
      <c r="J1047">
        <v>28.3</v>
      </c>
      <c r="K1047">
        <f t="shared" si="369"/>
        <v>28.3</v>
      </c>
      <c r="L1047">
        <f t="shared" si="368"/>
        <v>7.8611111111111121E-3</v>
      </c>
      <c r="M1047">
        <v>8.11</v>
      </c>
      <c r="N1047">
        <f t="shared" si="370"/>
        <v>8.11</v>
      </c>
      <c r="O1047">
        <f t="shared" si="371"/>
        <v>367.76367287714436</v>
      </c>
      <c r="P1047">
        <f t="shared" si="372"/>
        <v>1176.8437532068619</v>
      </c>
      <c r="Q1047">
        <f t="shared" si="373"/>
        <v>5389.9443896874282</v>
      </c>
      <c r="R1047">
        <f t="shared" si="374"/>
        <v>14.368384849515564</v>
      </c>
      <c r="S1047">
        <f t="shared" si="375"/>
        <v>4.9359634061716671</v>
      </c>
      <c r="T1047">
        <f t="shared" si="376"/>
        <v>3483.4575094923111</v>
      </c>
      <c r="U1047">
        <f t="shared" si="377"/>
        <v>22.232163044182869</v>
      </c>
      <c r="V1047">
        <f t="shared" si="378"/>
        <v>1.7401884462204951</v>
      </c>
      <c r="W1047">
        <f t="shared" si="379"/>
        <v>2247.7715686251063</v>
      </c>
      <c r="X1047">
        <f t="shared" si="380"/>
        <v>34.454032780513771</v>
      </c>
      <c r="Y1047">
        <f t="shared" si="381"/>
        <v>1.1128239917398233</v>
      </c>
      <c r="Z1047">
        <f t="shared" si="382"/>
        <v>1694.6550046178811</v>
      </c>
      <c r="AA1047">
        <f t="shared" si="383"/>
        <v>45.699446257487018</v>
      </c>
      <c r="AB1047">
        <f t="shared" si="384"/>
        <v>1.0292359612818494</v>
      </c>
      <c r="AC1047">
        <f t="shared" si="385"/>
        <v>6000</v>
      </c>
      <c r="AD1047">
        <f t="shared" si="386"/>
        <v>12.90746588475271</v>
      </c>
      <c r="AE1047">
        <f t="shared" si="387"/>
        <v>6.8044686902519889</v>
      </c>
      <c r="AF1047">
        <f t="shared" si="388"/>
        <v>6000</v>
      </c>
      <c r="AG1047">
        <f t="shared" si="389"/>
        <v>12.90746588475271</v>
      </c>
      <c r="AH1047">
        <f t="shared" si="390"/>
        <v>6.8044686902519889</v>
      </c>
      <c r="AI1047" cm="1">
        <f t="array" ref="AI1047">_xlfn.LET(
    _xlpm.vals,   _xlfn.HSTACK(S1047,V1047,Y1047,AB1047,AE1047,AH1047),
    _xlpm.ints,   _xlfn.HSTACK(R1047,U1047,X1047,AA1047,AD1047,AG1047),
    _xlpm.slopes, _xlfn.HSTACK(Q1047,T1047,W1047,Z1047,AC1047,AF1047),
    _xlpm.limit,  -0.00001*_xlpm.slopes + 0.1086*_xlpm.slopes + 63.253,
    _xlpm.mask,   (_xlpm.vals&gt;=0) * (_xlpm.ints&lt;=_xlpm.limit),
    _xlpm.validVals, _xlfn._xlws.FILTER(_xlpm.vals, _xlpm.mask),
    _xlpm.minVal, MIN(_xlpm.validVals),
    IFERROR( _xlfn.XMATCH(_xlpm.minVal, _xlpm.vals), "" )
)</f>
        <v>4</v>
      </c>
      <c r="AJ1047" cm="1">
        <f t="array" ref="AJ1047">_xlfn.LET(
    _xlpm.vals, CHOOSE({1,2,3,4,5,6}, S1047, V1047, Y1047, AB1047, AE1047, AH1047),
    _xlpm.slopes, CHOOSE({1,2,3,4,5,6}, Q1047, T1047, W1047, Z1047, AC1047, AF1047),
    _xlpm.ints, CHOOSE({1,2,3,4,5,6}, R1047, U1047, X1047, AA1047, AD1047, AG1047),
    _xlpm.limit, -0.00001*_xlpm.slopes + 0.1086*_xlpm.slopes + 63.253,
    _xlpm.valid, (_xlpm.vals &gt;= 0) * (_xlpm.ints &lt;= _xlpm.limit),
    _xlpm.target, MIN(_xlfn._xlws.FILTER(_xlpm.vals, _xlpm.valid)),
    IFERROR(
        _xlfn.XLOOKUP(_xlpm.target, _xlpm.vals, _xlpm.vals),
        CHOOSE({1,2,3,4,5,6}, S$1, V$1, Y$1, AB$1, AE$1, AH$1)
    )
)</f>
        <v>1.0292359612818494</v>
      </c>
    </row>
    <row r="1048" spans="9:36" x14ac:dyDescent="0.45">
      <c r="I1048">
        <v>1046</v>
      </c>
      <c r="J1048">
        <v>28.3</v>
      </c>
      <c r="K1048">
        <f t="shared" si="369"/>
        <v>28.3</v>
      </c>
      <c r="L1048">
        <f t="shared" si="368"/>
        <v>7.8611111111111121E-3</v>
      </c>
      <c r="M1048">
        <v>2.73</v>
      </c>
      <c r="N1048">
        <f t="shared" si="370"/>
        <v>2.73</v>
      </c>
      <c r="O1048">
        <f t="shared" si="371"/>
        <v>367.76367287714436</v>
      </c>
      <c r="P1048">
        <f t="shared" si="372"/>
        <v>1176.8437532068619</v>
      </c>
      <c r="Q1048">
        <f t="shared" si="373"/>
        <v>5389.9443896874282</v>
      </c>
      <c r="R1048">
        <f t="shared" si="374"/>
        <v>4.8367066139553021</v>
      </c>
      <c r="S1048">
        <f t="shared" si="375"/>
        <v>4.817382505930615</v>
      </c>
      <c r="T1048">
        <f t="shared" si="376"/>
        <v>3483.4575094923111</v>
      </c>
      <c r="U1048">
        <f t="shared" si="377"/>
        <v>7.4838230715930019</v>
      </c>
      <c r="V1048">
        <f t="shared" si="378"/>
        <v>1.4823745666690682</v>
      </c>
      <c r="W1048">
        <f t="shared" si="379"/>
        <v>2247.7715686251063</v>
      </c>
      <c r="X1048">
        <f t="shared" si="380"/>
        <v>11.597966644981824</v>
      </c>
      <c r="Y1048">
        <f t="shared" si="381"/>
        <v>0.75446283108400392</v>
      </c>
      <c r="Z1048">
        <f t="shared" si="382"/>
        <v>1694.6550046178811</v>
      </c>
      <c r="AA1048">
        <f t="shared" si="383"/>
        <v>15.383414091607838</v>
      </c>
      <c r="AB1048">
        <f t="shared" si="384"/>
        <v>0.61729766802725472</v>
      </c>
      <c r="AC1048">
        <f t="shared" si="385"/>
        <v>6000</v>
      </c>
      <c r="AD1048">
        <f t="shared" si="386"/>
        <v>4.344929946408743</v>
      </c>
      <c r="AE1048">
        <f t="shared" si="387"/>
        <v>6.72919161829729</v>
      </c>
      <c r="AF1048">
        <f t="shared" si="388"/>
        <v>6000</v>
      </c>
      <c r="AG1048">
        <f t="shared" si="389"/>
        <v>4.344929946408743</v>
      </c>
      <c r="AH1048">
        <f t="shared" si="390"/>
        <v>6.72919161829729</v>
      </c>
      <c r="AI1048" cm="1">
        <f t="array" ref="AI1048">_xlfn.LET(
    _xlpm.vals,   _xlfn.HSTACK(S1048,V1048,Y1048,AB1048,AE1048,AH1048),
    _xlpm.ints,   _xlfn.HSTACK(R1048,U1048,X1048,AA1048,AD1048,AG1048),
    _xlpm.slopes, _xlfn.HSTACK(Q1048,T1048,W1048,Z1048,AC1048,AF1048),
    _xlpm.limit,  -0.00001*_xlpm.slopes + 0.1086*_xlpm.slopes + 63.253,
    _xlpm.mask,   (_xlpm.vals&gt;=0) * (_xlpm.ints&lt;=_xlpm.limit),
    _xlpm.validVals, _xlfn._xlws.FILTER(_xlpm.vals, _xlpm.mask),
    _xlpm.minVal, MIN(_xlpm.validVals),
    IFERROR( _xlfn.XMATCH(_xlpm.minVal, _xlpm.vals), "" )
)</f>
        <v>4</v>
      </c>
      <c r="AJ1048" cm="1">
        <f t="array" ref="AJ1048">_xlfn.LET(
    _xlpm.vals, CHOOSE({1,2,3,4,5,6}, S1048, V1048, Y1048, AB1048, AE1048, AH1048),
    _xlpm.slopes, CHOOSE({1,2,3,4,5,6}, Q1048, T1048, W1048, Z1048, AC1048, AF1048),
    _xlpm.ints, CHOOSE({1,2,3,4,5,6}, R1048, U1048, X1048, AA1048, AD1048, AG1048),
    _xlpm.limit, -0.00001*_xlpm.slopes + 0.1086*_xlpm.slopes + 63.253,
    _xlpm.valid, (_xlpm.vals &gt;= 0) * (_xlpm.ints &lt;= _xlpm.limit),
    _xlpm.target, MIN(_xlfn._xlws.FILTER(_xlpm.vals, _xlpm.valid)),
    IFERROR(
        _xlfn.XLOOKUP(_xlpm.target, _xlpm.vals, _xlpm.vals),
        CHOOSE({1,2,3,4,5,6}, S$1, V$1, Y$1, AB$1, AE$1, AH$1)
    )
)</f>
        <v>0.61729766802725472</v>
      </c>
    </row>
    <row r="1049" spans="9:36" x14ac:dyDescent="0.45">
      <c r="I1049">
        <v>1047</v>
      </c>
      <c r="J1049">
        <v>27.9</v>
      </c>
      <c r="K1049">
        <f t="shared" si="369"/>
        <v>27.9</v>
      </c>
      <c r="L1049">
        <f t="shared" si="368"/>
        <v>7.7499999999999999E-3</v>
      </c>
      <c r="M1049">
        <v>-0.1</v>
      </c>
      <c r="N1049">
        <f t="shared" si="370"/>
        <v>0</v>
      </c>
      <c r="O1049">
        <f t="shared" si="371"/>
        <v>362.565599762273</v>
      </c>
      <c r="P1049">
        <f t="shared" si="372"/>
        <v>1160.2099192392736</v>
      </c>
      <c r="Q1049">
        <f t="shared" si="373"/>
        <v>5313.7614301158737</v>
      </c>
      <c r="R1049">
        <f t="shared" si="374"/>
        <v>0</v>
      </c>
      <c r="S1049">
        <f t="shared" si="375"/>
        <v>4.55956536124034</v>
      </c>
      <c r="T1049">
        <f t="shared" si="376"/>
        <v>3434.2213609482501</v>
      </c>
      <c r="U1049">
        <f t="shared" si="377"/>
        <v>0</v>
      </c>
      <c r="V1049">
        <f t="shared" si="378"/>
        <v>1.322513092057749</v>
      </c>
      <c r="W1049">
        <f t="shared" si="379"/>
        <v>2216.0009457470123</v>
      </c>
      <c r="X1049">
        <f t="shared" si="380"/>
        <v>0</v>
      </c>
      <c r="Y1049">
        <f t="shared" si="381"/>
        <v>0.59164859836974193</v>
      </c>
      <c r="Z1049">
        <f t="shared" si="382"/>
        <v>1670.702283704554</v>
      </c>
      <c r="AA1049">
        <f t="shared" si="383"/>
        <v>0</v>
      </c>
      <c r="AB1049">
        <f t="shared" si="384"/>
        <v>0.44428041565966303</v>
      </c>
      <c r="AC1049">
        <f t="shared" si="385"/>
        <v>6000</v>
      </c>
      <c r="AD1049">
        <f t="shared" si="386"/>
        <v>0</v>
      </c>
      <c r="AE1049">
        <f t="shared" si="387"/>
        <v>6.7000407999999982</v>
      </c>
      <c r="AF1049">
        <f t="shared" si="388"/>
        <v>6000</v>
      </c>
      <c r="AG1049">
        <f t="shared" si="389"/>
        <v>0</v>
      </c>
      <c r="AH1049">
        <f t="shared" si="390"/>
        <v>6.7000407999999982</v>
      </c>
      <c r="AI1049" cm="1">
        <f t="array" ref="AI1049">_xlfn.LET(
    _xlpm.vals,   _xlfn.HSTACK(S1049,V1049,Y1049,AB1049,AE1049,AH1049),
    _xlpm.ints,   _xlfn.HSTACK(R1049,U1049,X1049,AA1049,AD1049,AG1049),
    _xlpm.slopes, _xlfn.HSTACK(Q1049,T1049,W1049,Z1049,AC1049,AF1049),
    _xlpm.limit,  -0.00001*_xlpm.slopes + 0.1086*_xlpm.slopes + 63.253,
    _xlpm.mask,   (_xlpm.vals&gt;=0) * (_xlpm.ints&lt;=_xlpm.limit),
    _xlpm.validVals, _xlfn._xlws.FILTER(_xlpm.vals, _xlpm.mask),
    _xlpm.minVal, MIN(_xlpm.validVals),
    IFERROR( _xlfn.XMATCH(_xlpm.minVal, _xlpm.vals), "" )
)</f>
        <v>4</v>
      </c>
      <c r="AJ1049" cm="1">
        <f t="array" ref="AJ1049">_xlfn.LET(
    _xlpm.vals, CHOOSE({1,2,3,4,5,6}, S1049, V1049, Y1049, AB1049, AE1049, AH1049),
    _xlpm.slopes, CHOOSE({1,2,3,4,5,6}, Q1049, T1049, W1049, Z1049, AC1049, AF1049),
    _xlpm.ints, CHOOSE({1,2,3,4,5,6}, R1049, U1049, X1049, AA1049, AD1049, AG1049),
    _xlpm.limit, -0.00001*_xlpm.slopes + 0.1086*_xlpm.slopes + 63.253,
    _xlpm.valid, (_xlpm.vals &gt;= 0) * (_xlpm.ints &lt;= _xlpm.limit),
    _xlpm.target, MIN(_xlfn._xlws.FILTER(_xlpm.vals, _xlpm.valid)),
    IFERROR(
        _xlfn.XLOOKUP(_xlpm.target, _xlpm.vals, _xlpm.vals),
        CHOOSE({1,2,3,4,5,6}, S$1, V$1, Y$1, AB$1, AE$1, AH$1)
    )
)</f>
        <v>0.44428041565966303</v>
      </c>
    </row>
    <row r="1050" spans="9:36" x14ac:dyDescent="0.45">
      <c r="I1050">
        <v>1048</v>
      </c>
      <c r="J1050">
        <v>27.5</v>
      </c>
      <c r="K1050">
        <f t="shared" si="369"/>
        <v>27.5</v>
      </c>
      <c r="L1050">
        <f t="shared" si="368"/>
        <v>7.6388888888888886E-3</v>
      </c>
      <c r="M1050">
        <v>-0.25</v>
      </c>
      <c r="N1050">
        <f t="shared" si="370"/>
        <v>0</v>
      </c>
      <c r="O1050">
        <f t="shared" si="371"/>
        <v>357.36752664740175</v>
      </c>
      <c r="P1050">
        <f t="shared" si="372"/>
        <v>1143.5760852716855</v>
      </c>
      <c r="Q1050">
        <f t="shared" si="373"/>
        <v>5237.5784705443202</v>
      </c>
      <c r="R1050">
        <f t="shared" si="374"/>
        <v>0</v>
      </c>
      <c r="S1050">
        <f t="shared" si="375"/>
        <v>4.3586038410797325</v>
      </c>
      <c r="T1050">
        <f t="shared" si="376"/>
        <v>3384.985212404189</v>
      </c>
      <c r="U1050">
        <f t="shared" si="377"/>
        <v>0</v>
      </c>
      <c r="V1050">
        <f t="shared" si="378"/>
        <v>1.2774648641181774</v>
      </c>
      <c r="W1050">
        <f t="shared" si="379"/>
        <v>2184.2303228689193</v>
      </c>
      <c r="X1050">
        <f t="shared" si="380"/>
        <v>0</v>
      </c>
      <c r="Y1050">
        <f t="shared" si="381"/>
        <v>0.58099397385486973</v>
      </c>
      <c r="Z1050">
        <f t="shared" si="382"/>
        <v>1646.7495627912272</v>
      </c>
      <c r="AA1050">
        <f t="shared" si="383"/>
        <v>0</v>
      </c>
      <c r="AB1050">
        <f t="shared" si="384"/>
        <v>0.43918315521720386</v>
      </c>
      <c r="AC1050">
        <f t="shared" si="385"/>
        <v>6000</v>
      </c>
      <c r="AD1050">
        <f t="shared" si="386"/>
        <v>0</v>
      </c>
      <c r="AE1050">
        <f t="shared" si="387"/>
        <v>6.7000407999999982</v>
      </c>
      <c r="AF1050">
        <f t="shared" si="388"/>
        <v>6000</v>
      </c>
      <c r="AG1050">
        <f t="shared" si="389"/>
        <v>0</v>
      </c>
      <c r="AH1050">
        <f t="shared" si="390"/>
        <v>6.7000407999999982</v>
      </c>
      <c r="AI1050" cm="1">
        <f t="array" ref="AI1050">_xlfn.LET(
    _xlpm.vals,   _xlfn.HSTACK(S1050,V1050,Y1050,AB1050,AE1050,AH1050),
    _xlpm.ints,   _xlfn.HSTACK(R1050,U1050,X1050,AA1050,AD1050,AG1050),
    _xlpm.slopes, _xlfn.HSTACK(Q1050,T1050,W1050,Z1050,AC1050,AF1050),
    _xlpm.limit,  -0.00001*_xlpm.slopes + 0.1086*_xlpm.slopes + 63.253,
    _xlpm.mask,   (_xlpm.vals&gt;=0) * (_xlpm.ints&lt;=_xlpm.limit),
    _xlpm.validVals, _xlfn._xlws.FILTER(_xlpm.vals, _xlpm.mask),
    _xlpm.minVal, MIN(_xlpm.validVals),
    IFERROR( _xlfn.XMATCH(_xlpm.minVal, _xlpm.vals), "" )
)</f>
        <v>4</v>
      </c>
      <c r="AJ1050" cm="1">
        <f t="array" ref="AJ1050">_xlfn.LET(
    _xlpm.vals, CHOOSE({1,2,3,4,5,6}, S1050, V1050, Y1050, AB1050, AE1050, AH1050),
    _xlpm.slopes, CHOOSE({1,2,3,4,5,6}, Q1050, T1050, W1050, Z1050, AC1050, AF1050),
    _xlpm.ints, CHOOSE({1,2,3,4,5,6}, R1050, U1050, X1050, AA1050, AD1050, AG1050),
    _xlpm.limit, -0.00001*_xlpm.slopes + 0.1086*_xlpm.slopes + 63.253,
    _xlpm.valid, (_xlpm.vals &gt;= 0) * (_xlpm.ints &lt;= _xlpm.limit),
    _xlpm.target, MIN(_xlfn._xlws.FILTER(_xlpm.vals, _xlpm.valid)),
    IFERROR(
        _xlfn.XLOOKUP(_xlpm.target, _xlpm.vals, _xlpm.vals),
        CHOOSE({1,2,3,4,5,6}, S$1, V$1, Y$1, AB$1, AE$1, AH$1)
    )
)</f>
        <v>0.43918315521720386</v>
      </c>
    </row>
    <row r="1051" spans="9:36" x14ac:dyDescent="0.45">
      <c r="I1051">
        <v>1049</v>
      </c>
      <c r="J1051">
        <v>27.1</v>
      </c>
      <c r="K1051">
        <f t="shared" si="369"/>
        <v>27.1</v>
      </c>
      <c r="L1051">
        <f t="shared" si="368"/>
        <v>7.5277777777777782E-3</v>
      </c>
      <c r="M1051">
        <v>-0.16</v>
      </c>
      <c r="N1051">
        <f t="shared" si="370"/>
        <v>0</v>
      </c>
      <c r="O1051">
        <f t="shared" si="371"/>
        <v>352.1694535325305</v>
      </c>
      <c r="P1051">
        <f t="shared" si="372"/>
        <v>1126.9422513040977</v>
      </c>
      <c r="Q1051">
        <f t="shared" si="373"/>
        <v>5161.3955109727676</v>
      </c>
      <c r="R1051">
        <f t="shared" si="374"/>
        <v>0</v>
      </c>
      <c r="S1051">
        <f t="shared" si="375"/>
        <v>4.1645008878546612</v>
      </c>
      <c r="T1051">
        <f t="shared" si="376"/>
        <v>3335.7490638601289</v>
      </c>
      <c r="U1051">
        <f t="shared" si="377"/>
        <v>0</v>
      </c>
      <c r="V1051">
        <f t="shared" si="378"/>
        <v>1.2339844054457212</v>
      </c>
      <c r="W1051">
        <f t="shared" si="379"/>
        <v>2152.4596999908263</v>
      </c>
      <c r="X1051">
        <f t="shared" si="380"/>
        <v>0</v>
      </c>
      <c r="Y1051">
        <f t="shared" si="381"/>
        <v>0.57064211023357814</v>
      </c>
      <c r="Z1051">
        <f t="shared" si="382"/>
        <v>1622.7968418779005</v>
      </c>
      <c r="AA1051">
        <f t="shared" si="383"/>
        <v>0</v>
      </c>
      <c r="AB1051">
        <f t="shared" si="384"/>
        <v>0.43416893119949046</v>
      </c>
      <c r="AC1051">
        <f t="shared" si="385"/>
        <v>6000</v>
      </c>
      <c r="AD1051">
        <f t="shared" si="386"/>
        <v>0</v>
      </c>
      <c r="AE1051">
        <f t="shared" si="387"/>
        <v>6.7000407999999982</v>
      </c>
      <c r="AF1051">
        <f t="shared" si="388"/>
        <v>6000</v>
      </c>
      <c r="AG1051">
        <f t="shared" si="389"/>
        <v>0</v>
      </c>
      <c r="AH1051">
        <f t="shared" si="390"/>
        <v>6.7000407999999982</v>
      </c>
      <c r="AI1051" cm="1">
        <f t="array" ref="AI1051">_xlfn.LET(
    _xlpm.vals,   _xlfn.HSTACK(S1051,V1051,Y1051,AB1051,AE1051,AH1051),
    _xlpm.ints,   _xlfn.HSTACK(R1051,U1051,X1051,AA1051,AD1051,AG1051),
    _xlpm.slopes, _xlfn.HSTACK(Q1051,T1051,W1051,Z1051,AC1051,AF1051),
    _xlpm.limit,  -0.00001*_xlpm.slopes + 0.1086*_xlpm.slopes + 63.253,
    _xlpm.mask,   (_xlpm.vals&gt;=0) * (_xlpm.ints&lt;=_xlpm.limit),
    _xlpm.validVals, _xlfn._xlws.FILTER(_xlpm.vals, _xlpm.mask),
    _xlpm.minVal, MIN(_xlpm.validVals),
    IFERROR( _xlfn.XMATCH(_xlpm.minVal, _xlpm.vals), "" )
)</f>
        <v>4</v>
      </c>
      <c r="AJ1051" cm="1">
        <f t="array" ref="AJ1051">_xlfn.LET(
    _xlpm.vals, CHOOSE({1,2,3,4,5,6}, S1051, V1051, Y1051, AB1051, AE1051, AH1051),
    _xlpm.slopes, CHOOSE({1,2,3,4,5,6}, Q1051, T1051, W1051, Z1051, AC1051, AF1051),
    _xlpm.ints, CHOOSE({1,2,3,4,5,6}, R1051, U1051, X1051, AA1051, AD1051, AG1051),
    _xlpm.limit, -0.00001*_xlpm.slopes + 0.1086*_xlpm.slopes + 63.253,
    _xlpm.valid, (_xlpm.vals &gt;= 0) * (_xlpm.ints &lt;= _xlpm.limit),
    _xlpm.target, MIN(_xlfn._xlws.FILTER(_xlpm.vals, _xlpm.valid)),
    IFERROR(
        _xlfn.XLOOKUP(_xlpm.target, _xlpm.vals, _xlpm.vals),
        CHOOSE({1,2,3,4,5,6}, S$1, V$1, Y$1, AB$1, AE$1, AH$1)
    )
)</f>
        <v>0.43416893119949046</v>
      </c>
    </row>
    <row r="1052" spans="9:36" x14ac:dyDescent="0.45">
      <c r="I1052">
        <v>1050</v>
      </c>
      <c r="J1052">
        <v>26</v>
      </c>
      <c r="K1052">
        <f t="shared" si="369"/>
        <v>26</v>
      </c>
      <c r="L1052">
        <f t="shared" si="368"/>
        <v>7.2222222222222219E-3</v>
      </c>
      <c r="M1052">
        <v>-0.22</v>
      </c>
      <c r="N1052">
        <f t="shared" si="370"/>
        <v>0</v>
      </c>
      <c r="O1052">
        <f t="shared" si="371"/>
        <v>337.87475246663439</v>
      </c>
      <c r="P1052">
        <f t="shared" si="372"/>
        <v>1081.1992078932301</v>
      </c>
      <c r="Q1052">
        <f t="shared" si="373"/>
        <v>4951.8923721509937</v>
      </c>
      <c r="R1052">
        <f t="shared" si="374"/>
        <v>0</v>
      </c>
      <c r="S1052">
        <f t="shared" si="375"/>
        <v>3.6650397831364439</v>
      </c>
      <c r="T1052">
        <f t="shared" si="376"/>
        <v>3200.3496553639611</v>
      </c>
      <c r="U1052">
        <f t="shared" si="377"/>
        <v>0</v>
      </c>
      <c r="V1052">
        <f t="shared" si="378"/>
        <v>1.1222155428454625</v>
      </c>
      <c r="W1052">
        <f t="shared" si="379"/>
        <v>2065.0904870760696</v>
      </c>
      <c r="X1052">
        <f t="shared" si="380"/>
        <v>0</v>
      </c>
      <c r="Y1052">
        <f t="shared" si="381"/>
        <v>0.54365998828700102</v>
      </c>
      <c r="Z1052">
        <f t="shared" si="382"/>
        <v>1556.9268593662514</v>
      </c>
      <c r="AA1052">
        <f t="shared" si="383"/>
        <v>0</v>
      </c>
      <c r="AB1052">
        <f t="shared" si="384"/>
        <v>0.42077557102747287</v>
      </c>
      <c r="AC1052">
        <f t="shared" si="385"/>
        <v>6000</v>
      </c>
      <c r="AD1052">
        <f t="shared" si="386"/>
        <v>0</v>
      </c>
      <c r="AE1052">
        <f t="shared" si="387"/>
        <v>6.7000407999999982</v>
      </c>
      <c r="AF1052">
        <f t="shared" si="388"/>
        <v>6000</v>
      </c>
      <c r="AG1052">
        <f t="shared" si="389"/>
        <v>0</v>
      </c>
      <c r="AH1052">
        <f t="shared" si="390"/>
        <v>6.7000407999999982</v>
      </c>
      <c r="AI1052" cm="1">
        <f t="array" ref="AI1052">_xlfn.LET(
    _xlpm.vals,   _xlfn.HSTACK(S1052,V1052,Y1052,AB1052,AE1052,AH1052),
    _xlpm.ints,   _xlfn.HSTACK(R1052,U1052,X1052,AA1052,AD1052,AG1052),
    _xlpm.slopes, _xlfn.HSTACK(Q1052,T1052,W1052,Z1052,AC1052,AF1052),
    _xlpm.limit,  -0.00001*_xlpm.slopes + 0.1086*_xlpm.slopes + 63.253,
    _xlpm.mask,   (_xlpm.vals&gt;=0) * (_xlpm.ints&lt;=_xlpm.limit),
    _xlpm.validVals, _xlfn._xlws.FILTER(_xlpm.vals, _xlpm.mask),
    _xlpm.minVal, MIN(_xlpm.validVals),
    IFERROR( _xlfn.XMATCH(_xlpm.minVal, _xlpm.vals), "" )
)</f>
        <v>4</v>
      </c>
      <c r="AJ1052" cm="1">
        <f t="array" ref="AJ1052">_xlfn.LET(
    _xlpm.vals, CHOOSE({1,2,3,4,5,6}, S1052, V1052, Y1052, AB1052, AE1052, AH1052),
    _xlpm.slopes, CHOOSE({1,2,3,4,5,6}, Q1052, T1052, W1052, Z1052, AC1052, AF1052),
    _xlpm.ints, CHOOSE({1,2,3,4,5,6}, R1052, U1052, X1052, AA1052, AD1052, AG1052),
    _xlpm.limit, -0.00001*_xlpm.slopes + 0.1086*_xlpm.slopes + 63.253,
    _xlpm.valid, (_xlpm.vals &gt;= 0) * (_xlpm.ints &lt;= _xlpm.limit),
    _xlpm.target, MIN(_xlfn._xlws.FILTER(_xlpm.vals, _xlpm.valid)),
    IFERROR(
        _xlfn.XLOOKUP(_xlpm.target, _xlpm.vals, _xlpm.vals),
        CHOOSE({1,2,3,4,5,6}, S$1, V$1, Y$1, AB$1, AE$1, AH$1)
    )
)</f>
        <v>0.42077557102747287</v>
      </c>
    </row>
    <row r="1053" spans="9:36" x14ac:dyDescent="0.45">
      <c r="I1053">
        <v>1051</v>
      </c>
      <c r="J1053">
        <v>24.2</v>
      </c>
      <c r="K1053">
        <f t="shared" si="369"/>
        <v>24.2</v>
      </c>
      <c r="L1053">
        <f t="shared" si="368"/>
        <v>6.7222222222222223E-3</v>
      </c>
      <c r="M1053">
        <v>-0.06</v>
      </c>
      <c r="N1053">
        <f t="shared" si="370"/>
        <v>0</v>
      </c>
      <c r="O1053">
        <f t="shared" si="371"/>
        <v>314.48342344971354</v>
      </c>
      <c r="P1053">
        <f t="shared" si="372"/>
        <v>1006.3469550390834</v>
      </c>
      <c r="Q1053">
        <f t="shared" si="373"/>
        <v>4609.0690540790019</v>
      </c>
      <c r="R1053">
        <f t="shared" si="374"/>
        <v>0</v>
      </c>
      <c r="S1053">
        <f t="shared" si="375"/>
        <v>2.9505940801184076</v>
      </c>
      <c r="T1053">
        <f t="shared" si="376"/>
        <v>2978.7869869156866</v>
      </c>
      <c r="U1053">
        <f t="shared" si="377"/>
        <v>0</v>
      </c>
      <c r="V1053">
        <f t="shared" si="378"/>
        <v>0.96245871048786702</v>
      </c>
      <c r="W1053">
        <f t="shared" si="379"/>
        <v>1922.1226841246491</v>
      </c>
      <c r="X1053">
        <f t="shared" si="380"/>
        <v>0</v>
      </c>
      <c r="Y1053">
        <f t="shared" si="381"/>
        <v>0.50379157123417584</v>
      </c>
      <c r="Z1053">
        <f t="shared" si="382"/>
        <v>1449.13961525628</v>
      </c>
      <c r="AA1053">
        <f t="shared" si="383"/>
        <v>0</v>
      </c>
      <c r="AB1053">
        <f t="shared" si="384"/>
        <v>0.39993315789963246</v>
      </c>
      <c r="AC1053">
        <f t="shared" si="385"/>
        <v>6000</v>
      </c>
      <c r="AD1053">
        <f t="shared" si="386"/>
        <v>0</v>
      </c>
      <c r="AE1053">
        <f t="shared" si="387"/>
        <v>6.7000407999999982</v>
      </c>
      <c r="AF1053">
        <f t="shared" si="388"/>
        <v>6000</v>
      </c>
      <c r="AG1053">
        <f t="shared" si="389"/>
        <v>0</v>
      </c>
      <c r="AH1053">
        <f t="shared" si="390"/>
        <v>6.7000407999999982</v>
      </c>
      <c r="AI1053" cm="1">
        <f t="array" ref="AI1053">_xlfn.LET(
    _xlpm.vals,   _xlfn.HSTACK(S1053,V1053,Y1053,AB1053,AE1053,AH1053),
    _xlpm.ints,   _xlfn.HSTACK(R1053,U1053,X1053,AA1053,AD1053,AG1053),
    _xlpm.slopes, _xlfn.HSTACK(Q1053,T1053,W1053,Z1053,AC1053,AF1053),
    _xlpm.limit,  -0.00001*_xlpm.slopes + 0.1086*_xlpm.slopes + 63.253,
    _xlpm.mask,   (_xlpm.vals&gt;=0) * (_xlpm.ints&lt;=_xlpm.limit),
    _xlpm.validVals, _xlfn._xlws.FILTER(_xlpm.vals, _xlpm.mask),
    _xlpm.minVal, MIN(_xlpm.validVals),
    IFERROR( _xlfn.XMATCH(_xlpm.minVal, _xlpm.vals), "" )
)</f>
        <v>4</v>
      </c>
      <c r="AJ1053" cm="1">
        <f t="array" ref="AJ1053">_xlfn.LET(
    _xlpm.vals, CHOOSE({1,2,3,4,5,6}, S1053, V1053, Y1053, AB1053, AE1053, AH1053),
    _xlpm.slopes, CHOOSE({1,2,3,4,5,6}, Q1053, T1053, W1053, Z1053, AC1053, AF1053),
    _xlpm.ints, CHOOSE({1,2,3,4,5,6}, R1053, U1053, X1053, AA1053, AD1053, AG1053),
    _xlpm.limit, -0.00001*_xlpm.slopes + 0.1086*_xlpm.slopes + 63.253,
    _xlpm.valid, (_xlpm.vals &gt;= 0) * (_xlpm.ints &lt;= _xlpm.limit),
    _xlpm.target, MIN(_xlfn._xlws.FILTER(_xlpm.vals, _xlpm.valid)),
    IFERROR(
        _xlfn.XLOOKUP(_xlpm.target, _xlpm.vals, _xlpm.vals),
        CHOOSE({1,2,3,4,5,6}, S$1, V$1, Y$1, AB$1, AE$1, AH$1)
    )
)</f>
        <v>0.39993315789963246</v>
      </c>
    </row>
    <row r="1054" spans="9:36" x14ac:dyDescent="0.45">
      <c r="I1054">
        <v>1052</v>
      </c>
      <c r="J1054">
        <v>22.1</v>
      </c>
      <c r="K1054">
        <f t="shared" si="369"/>
        <v>22.1</v>
      </c>
      <c r="L1054">
        <f t="shared" si="368"/>
        <v>6.138888888888889E-3</v>
      </c>
      <c r="M1054">
        <v>-1.1399999999999999</v>
      </c>
      <c r="N1054">
        <f t="shared" si="370"/>
        <v>0</v>
      </c>
      <c r="O1054">
        <f t="shared" si="371"/>
        <v>287.19353959663925</v>
      </c>
      <c r="P1054">
        <f t="shared" si="372"/>
        <v>919.01932670924566</v>
      </c>
      <c r="Q1054">
        <f t="shared" si="373"/>
        <v>4209.1085163283451</v>
      </c>
      <c r="R1054">
        <f t="shared" si="374"/>
        <v>0</v>
      </c>
      <c r="S1054">
        <f t="shared" si="375"/>
        <v>2.2648319811016728</v>
      </c>
      <c r="T1054">
        <f t="shared" si="376"/>
        <v>2720.2972070593673</v>
      </c>
      <c r="U1054">
        <f t="shared" si="377"/>
        <v>0</v>
      </c>
      <c r="V1054">
        <f t="shared" si="378"/>
        <v>0.80870209189155917</v>
      </c>
      <c r="W1054">
        <f t="shared" si="379"/>
        <v>1755.3269140146592</v>
      </c>
      <c r="X1054">
        <f t="shared" si="380"/>
        <v>0</v>
      </c>
      <c r="Y1054">
        <f t="shared" si="381"/>
        <v>0.46301249068607941</v>
      </c>
      <c r="Z1054">
        <f t="shared" si="382"/>
        <v>1323.3878304613138</v>
      </c>
      <c r="AA1054">
        <f t="shared" si="383"/>
        <v>0</v>
      </c>
      <c r="AB1054">
        <f t="shared" si="384"/>
        <v>0.37687884516814046</v>
      </c>
      <c r="AC1054">
        <f t="shared" si="385"/>
        <v>6000</v>
      </c>
      <c r="AD1054">
        <f t="shared" si="386"/>
        <v>0</v>
      </c>
      <c r="AE1054">
        <f t="shared" si="387"/>
        <v>6.7000407999999982</v>
      </c>
      <c r="AF1054">
        <f t="shared" si="388"/>
        <v>6000</v>
      </c>
      <c r="AG1054">
        <f t="shared" si="389"/>
        <v>0</v>
      </c>
      <c r="AH1054">
        <f t="shared" si="390"/>
        <v>6.7000407999999982</v>
      </c>
      <c r="AI1054" cm="1">
        <f t="array" ref="AI1054">_xlfn.LET(
    _xlpm.vals,   _xlfn.HSTACK(S1054,V1054,Y1054,AB1054,AE1054,AH1054),
    _xlpm.ints,   _xlfn.HSTACK(R1054,U1054,X1054,AA1054,AD1054,AG1054),
    _xlpm.slopes, _xlfn.HSTACK(Q1054,T1054,W1054,Z1054,AC1054,AF1054),
    _xlpm.limit,  -0.00001*_xlpm.slopes + 0.1086*_xlpm.slopes + 63.253,
    _xlpm.mask,   (_xlpm.vals&gt;=0) * (_xlpm.ints&lt;=_xlpm.limit),
    _xlpm.validVals, _xlfn._xlws.FILTER(_xlpm.vals, _xlpm.mask),
    _xlpm.minVal, MIN(_xlpm.validVals),
    IFERROR( _xlfn.XMATCH(_xlpm.minVal, _xlpm.vals), "" )
)</f>
        <v>4</v>
      </c>
      <c r="AJ1054" cm="1">
        <f t="array" ref="AJ1054">_xlfn.LET(
    _xlpm.vals, CHOOSE({1,2,3,4,5,6}, S1054, V1054, Y1054, AB1054, AE1054, AH1054),
    _xlpm.slopes, CHOOSE({1,2,3,4,5,6}, Q1054, T1054, W1054, Z1054, AC1054, AF1054),
    _xlpm.ints, CHOOSE({1,2,3,4,5,6}, R1054, U1054, X1054, AA1054, AD1054, AG1054),
    _xlpm.limit, -0.00001*_xlpm.slopes + 0.1086*_xlpm.slopes + 63.253,
    _xlpm.valid, (_xlpm.vals &gt;= 0) * (_xlpm.ints &lt;= _xlpm.limit),
    _xlpm.target, MIN(_xlfn._xlws.FILTER(_xlpm.vals, _xlpm.valid)),
    IFERROR(
        _xlfn.XLOOKUP(_xlpm.target, _xlpm.vals, _xlpm.vals),
        CHOOSE({1,2,3,4,5,6}, S$1, V$1, Y$1, AB$1, AE$1, AH$1)
    )
)</f>
        <v>0.37687884516814046</v>
      </c>
    </row>
    <row r="1055" spans="9:36" x14ac:dyDescent="0.45">
      <c r="I1055">
        <v>1053</v>
      </c>
      <c r="J1055">
        <v>21.5</v>
      </c>
      <c r="K1055">
        <f t="shared" si="369"/>
        <v>21.5</v>
      </c>
      <c r="L1055">
        <f t="shared" si="368"/>
        <v>5.9722222222222225E-3</v>
      </c>
      <c r="M1055">
        <v>-0.74</v>
      </c>
      <c r="N1055">
        <f t="shared" si="370"/>
        <v>0</v>
      </c>
      <c r="O1055">
        <f t="shared" si="371"/>
        <v>279.39642992433227</v>
      </c>
      <c r="P1055">
        <f t="shared" si="372"/>
        <v>894.0685757578633</v>
      </c>
      <c r="Q1055">
        <f t="shared" si="373"/>
        <v>4094.8340769710139</v>
      </c>
      <c r="R1055">
        <f t="shared" si="374"/>
        <v>0</v>
      </c>
      <c r="S1055">
        <f t="shared" si="375"/>
        <v>2.0957026729941433</v>
      </c>
      <c r="T1055">
        <f t="shared" si="376"/>
        <v>2646.4429842432755</v>
      </c>
      <c r="U1055">
        <f t="shared" si="377"/>
        <v>0</v>
      </c>
      <c r="V1055">
        <f t="shared" si="378"/>
        <v>0.77057081086092871</v>
      </c>
      <c r="W1055">
        <f t="shared" si="379"/>
        <v>1707.6709796975188</v>
      </c>
      <c r="X1055">
        <f t="shared" si="380"/>
        <v>0</v>
      </c>
      <c r="Y1055">
        <f t="shared" si="381"/>
        <v>0.45231972162079104</v>
      </c>
      <c r="Z1055">
        <f t="shared" si="382"/>
        <v>1287.4587490913232</v>
      </c>
      <c r="AA1055">
        <f t="shared" si="383"/>
        <v>0</v>
      </c>
      <c r="AB1055">
        <f t="shared" si="384"/>
        <v>0.37046614936363403</v>
      </c>
      <c r="AC1055">
        <f t="shared" si="385"/>
        <v>6000</v>
      </c>
      <c r="AD1055">
        <f t="shared" si="386"/>
        <v>0</v>
      </c>
      <c r="AE1055">
        <f t="shared" si="387"/>
        <v>6.7000407999999982</v>
      </c>
      <c r="AF1055">
        <f t="shared" si="388"/>
        <v>6000</v>
      </c>
      <c r="AG1055">
        <f t="shared" si="389"/>
        <v>0</v>
      </c>
      <c r="AH1055">
        <f t="shared" si="390"/>
        <v>6.7000407999999982</v>
      </c>
      <c r="AI1055" cm="1">
        <f t="array" ref="AI1055">_xlfn.LET(
    _xlpm.vals,   _xlfn.HSTACK(S1055,V1055,Y1055,AB1055,AE1055,AH1055),
    _xlpm.ints,   _xlfn.HSTACK(R1055,U1055,X1055,AA1055,AD1055,AG1055),
    _xlpm.slopes, _xlfn.HSTACK(Q1055,T1055,W1055,Z1055,AC1055,AF1055),
    _xlpm.limit,  -0.00001*_xlpm.slopes + 0.1086*_xlpm.slopes + 63.253,
    _xlpm.mask,   (_xlpm.vals&gt;=0) * (_xlpm.ints&lt;=_xlpm.limit),
    _xlpm.validVals, _xlfn._xlws.FILTER(_xlpm.vals, _xlpm.mask),
    _xlpm.minVal, MIN(_xlpm.validVals),
    IFERROR( _xlfn.XMATCH(_xlpm.minVal, _xlpm.vals), "" )
)</f>
        <v>4</v>
      </c>
      <c r="AJ1055" cm="1">
        <f t="array" ref="AJ1055">_xlfn.LET(
    _xlpm.vals, CHOOSE({1,2,3,4,5,6}, S1055, V1055, Y1055, AB1055, AE1055, AH1055),
    _xlpm.slopes, CHOOSE({1,2,3,4,5,6}, Q1055, T1055, W1055, Z1055, AC1055, AF1055),
    _xlpm.ints, CHOOSE({1,2,3,4,5,6}, R1055, U1055, X1055, AA1055, AD1055, AG1055),
    _xlpm.limit, -0.00001*_xlpm.slopes + 0.1086*_xlpm.slopes + 63.253,
    _xlpm.valid, (_xlpm.vals &gt;= 0) * (_xlpm.ints &lt;= _xlpm.limit),
    _xlpm.target, MIN(_xlfn._xlws.FILTER(_xlpm.vals, _xlpm.valid)),
    IFERROR(
        _xlfn.XLOOKUP(_xlpm.target, _xlpm.vals, _xlpm.vals),
        CHOOSE({1,2,3,4,5,6}, S$1, V$1, Y$1, AB$1, AE$1, AH$1)
    )
)</f>
        <v>0.37046614936363403</v>
      </c>
    </row>
    <row r="1056" spans="9:36" x14ac:dyDescent="0.45">
      <c r="I1056">
        <v>1054</v>
      </c>
      <c r="J1056">
        <v>20.100000000000001</v>
      </c>
      <c r="K1056">
        <f t="shared" si="369"/>
        <v>20.100000000000001</v>
      </c>
      <c r="L1056">
        <f t="shared" si="368"/>
        <v>5.5833333333333334E-3</v>
      </c>
      <c r="M1056">
        <v>-0.36</v>
      </c>
      <c r="N1056">
        <f t="shared" si="370"/>
        <v>0</v>
      </c>
      <c r="O1056">
        <f t="shared" si="371"/>
        <v>261.20317402228278</v>
      </c>
      <c r="P1056">
        <f t="shared" si="372"/>
        <v>835.85015687130499</v>
      </c>
      <c r="Q1056">
        <f t="shared" si="373"/>
        <v>3828.1937184705771</v>
      </c>
      <c r="R1056">
        <f t="shared" si="374"/>
        <v>0</v>
      </c>
      <c r="S1056">
        <f t="shared" si="375"/>
        <v>1.7435759110999864</v>
      </c>
      <c r="T1056">
        <f t="shared" si="376"/>
        <v>2474.1164643390625</v>
      </c>
      <c r="U1056">
        <f t="shared" si="377"/>
        <v>0</v>
      </c>
      <c r="V1056">
        <f t="shared" si="378"/>
        <v>0.69059060250057702</v>
      </c>
      <c r="W1056">
        <f t="shared" si="379"/>
        <v>1596.4737996241925</v>
      </c>
      <c r="X1056">
        <f t="shared" si="380"/>
        <v>0</v>
      </c>
      <c r="Y1056">
        <f t="shared" si="381"/>
        <v>0.42874954843409968</v>
      </c>
      <c r="Z1056">
        <f t="shared" si="382"/>
        <v>1203.6242258946791</v>
      </c>
      <c r="AA1056">
        <f t="shared" si="383"/>
        <v>0</v>
      </c>
      <c r="AB1056">
        <f t="shared" si="384"/>
        <v>0.35568571902198903</v>
      </c>
      <c r="AC1056">
        <f t="shared" si="385"/>
        <v>6000</v>
      </c>
      <c r="AD1056">
        <f t="shared" si="386"/>
        <v>0</v>
      </c>
      <c r="AE1056">
        <f t="shared" si="387"/>
        <v>6.7000407999999982</v>
      </c>
      <c r="AF1056">
        <f t="shared" si="388"/>
        <v>6000</v>
      </c>
      <c r="AG1056">
        <f t="shared" si="389"/>
        <v>0</v>
      </c>
      <c r="AH1056">
        <f t="shared" si="390"/>
        <v>6.7000407999999982</v>
      </c>
      <c r="AI1056" cm="1">
        <f t="array" ref="AI1056">_xlfn.LET(
    _xlpm.vals,   _xlfn.HSTACK(S1056,V1056,Y1056,AB1056,AE1056,AH1056),
    _xlpm.ints,   _xlfn.HSTACK(R1056,U1056,X1056,AA1056,AD1056,AG1056),
    _xlpm.slopes, _xlfn.HSTACK(Q1056,T1056,W1056,Z1056,AC1056,AF1056),
    _xlpm.limit,  -0.00001*_xlpm.slopes + 0.1086*_xlpm.slopes + 63.253,
    _xlpm.mask,   (_xlpm.vals&gt;=0) * (_xlpm.ints&lt;=_xlpm.limit),
    _xlpm.validVals, _xlfn._xlws.FILTER(_xlpm.vals, _xlpm.mask),
    _xlpm.minVal, MIN(_xlpm.validVals),
    IFERROR( _xlfn.XMATCH(_xlpm.minVal, _xlpm.vals), "" )
)</f>
        <v>4</v>
      </c>
      <c r="AJ1056" cm="1">
        <f t="array" ref="AJ1056">_xlfn.LET(
    _xlpm.vals, CHOOSE({1,2,3,4,5,6}, S1056, V1056, Y1056, AB1056, AE1056, AH1056),
    _xlpm.slopes, CHOOSE({1,2,3,4,5,6}, Q1056, T1056, W1056, Z1056, AC1056, AF1056),
    _xlpm.ints, CHOOSE({1,2,3,4,5,6}, R1056, U1056, X1056, AA1056, AD1056, AG1056),
    _xlpm.limit, -0.00001*_xlpm.slopes + 0.1086*_xlpm.slopes + 63.253,
    _xlpm.valid, (_xlpm.vals &gt;= 0) * (_xlpm.ints &lt;= _xlpm.limit),
    _xlpm.target, MIN(_xlfn._xlws.FILTER(_xlpm.vals, _xlpm.valid)),
    IFERROR(
        _xlfn.XLOOKUP(_xlpm.target, _xlpm.vals, _xlpm.vals),
        CHOOSE({1,2,3,4,5,6}, S$1, V$1, Y$1, AB$1, AE$1, AH$1)
    )
)</f>
        <v>0.35568571902198903</v>
      </c>
    </row>
    <row r="1057" spans="9:36" x14ac:dyDescent="0.45">
      <c r="I1057">
        <v>1055</v>
      </c>
      <c r="J1057">
        <v>17.5</v>
      </c>
      <c r="K1057">
        <f t="shared" si="369"/>
        <v>17.5</v>
      </c>
      <c r="L1057">
        <f t="shared" si="368"/>
        <v>4.8611111111111112E-3</v>
      </c>
      <c r="M1057">
        <v>-0.26</v>
      </c>
      <c r="N1057">
        <f t="shared" si="370"/>
        <v>0</v>
      </c>
      <c r="O1057">
        <f t="shared" si="371"/>
        <v>227.41569877561929</v>
      </c>
      <c r="P1057">
        <f t="shared" si="372"/>
        <v>727.73023608198173</v>
      </c>
      <c r="Q1057">
        <f t="shared" si="373"/>
        <v>3333.0044812554765</v>
      </c>
      <c r="R1057">
        <f t="shared" si="374"/>
        <v>0</v>
      </c>
      <c r="S1057">
        <f t="shared" si="375"/>
        <v>1.2316061006750245</v>
      </c>
      <c r="T1057">
        <f t="shared" si="376"/>
        <v>2154.0814988026659</v>
      </c>
      <c r="U1057">
        <f t="shared" si="377"/>
        <v>0</v>
      </c>
      <c r="V1057">
        <f t="shared" si="378"/>
        <v>0.57116335571744403</v>
      </c>
      <c r="W1057">
        <f t="shared" si="379"/>
        <v>1389.964750916585</v>
      </c>
      <c r="X1057">
        <f t="shared" si="380"/>
        <v>0</v>
      </c>
      <c r="Y1057">
        <f t="shared" si="381"/>
        <v>0.38894690402939236</v>
      </c>
      <c r="Z1057">
        <f t="shared" si="382"/>
        <v>1047.9315399580537</v>
      </c>
      <c r="AA1057">
        <f t="shared" si="383"/>
        <v>0</v>
      </c>
      <c r="AB1057">
        <f t="shared" si="384"/>
        <v>0.3284198706194516</v>
      </c>
      <c r="AC1057">
        <f t="shared" si="385"/>
        <v>6000</v>
      </c>
      <c r="AD1057">
        <f t="shared" si="386"/>
        <v>0</v>
      </c>
      <c r="AE1057">
        <f t="shared" si="387"/>
        <v>6.7000407999999982</v>
      </c>
      <c r="AF1057">
        <f t="shared" si="388"/>
        <v>6000</v>
      </c>
      <c r="AG1057">
        <f t="shared" si="389"/>
        <v>0</v>
      </c>
      <c r="AH1057">
        <f t="shared" si="390"/>
        <v>6.7000407999999982</v>
      </c>
      <c r="AI1057" cm="1">
        <f t="array" ref="AI1057">_xlfn.LET(
    _xlpm.vals,   _xlfn.HSTACK(S1057,V1057,Y1057,AB1057,AE1057,AH1057),
    _xlpm.ints,   _xlfn.HSTACK(R1057,U1057,X1057,AA1057,AD1057,AG1057),
    _xlpm.slopes, _xlfn.HSTACK(Q1057,T1057,W1057,Z1057,AC1057,AF1057),
    _xlpm.limit,  -0.00001*_xlpm.slopes + 0.1086*_xlpm.slopes + 63.253,
    _xlpm.mask,   (_xlpm.vals&gt;=0) * (_xlpm.ints&lt;=_xlpm.limit),
    _xlpm.validVals, _xlfn._xlws.FILTER(_xlpm.vals, _xlpm.mask),
    _xlpm.minVal, MIN(_xlpm.validVals),
    IFERROR( _xlfn.XMATCH(_xlpm.minVal, _xlpm.vals), "" )
)</f>
        <v>4</v>
      </c>
      <c r="AJ1057" cm="1">
        <f t="array" ref="AJ1057">_xlfn.LET(
    _xlpm.vals, CHOOSE({1,2,3,4,5,6}, S1057, V1057, Y1057, AB1057, AE1057, AH1057),
    _xlpm.slopes, CHOOSE({1,2,3,4,5,6}, Q1057, T1057, W1057, Z1057, AC1057, AF1057),
    _xlpm.ints, CHOOSE({1,2,3,4,5,6}, R1057, U1057, X1057, AA1057, AD1057, AG1057),
    _xlpm.limit, -0.00001*_xlpm.slopes + 0.1086*_xlpm.slopes + 63.253,
    _xlpm.valid, (_xlpm.vals &gt;= 0) * (_xlpm.ints &lt;= _xlpm.limit),
    _xlpm.target, MIN(_xlfn._xlws.FILTER(_xlpm.vals, _xlpm.valid)),
    IFERROR(
        _xlfn.XLOOKUP(_xlpm.target, _xlpm.vals, _xlpm.vals),
        CHOOSE({1,2,3,4,5,6}, S$1, V$1, Y$1, AB$1, AE$1, AH$1)
    )
)</f>
        <v>0.3284198706194516</v>
      </c>
    </row>
    <row r="1058" spans="9:36" x14ac:dyDescent="0.45">
      <c r="I1058">
        <v>1056</v>
      </c>
      <c r="J1058">
        <v>14.5</v>
      </c>
      <c r="K1058">
        <f t="shared" si="369"/>
        <v>14.5</v>
      </c>
      <c r="L1058">
        <f t="shared" si="368"/>
        <v>4.0277777777777777E-3</v>
      </c>
      <c r="M1058">
        <v>0.11</v>
      </c>
      <c r="N1058">
        <f t="shared" si="370"/>
        <v>0.11</v>
      </c>
      <c r="O1058">
        <f t="shared" si="371"/>
        <v>188.43015041408455</v>
      </c>
      <c r="P1058">
        <f t="shared" si="372"/>
        <v>602.97648132507061</v>
      </c>
      <c r="Q1058">
        <f t="shared" si="373"/>
        <v>2761.6322844688234</v>
      </c>
      <c r="R1058">
        <f t="shared" si="374"/>
        <v>0.3803629579194861</v>
      </c>
      <c r="S1058">
        <f t="shared" si="375"/>
        <v>0.83626706487178726</v>
      </c>
      <c r="T1058">
        <f t="shared" si="376"/>
        <v>1784.8103847222089</v>
      </c>
      <c r="U1058">
        <f t="shared" si="377"/>
        <v>0.58853457678082644</v>
      </c>
      <c r="V1058">
        <f t="shared" si="378"/>
        <v>0.47585638372136724</v>
      </c>
      <c r="W1058">
        <f t="shared" si="379"/>
        <v>1151.6850793308847</v>
      </c>
      <c r="X1058">
        <f t="shared" si="380"/>
        <v>0.91207452736714478</v>
      </c>
      <c r="Y1058">
        <f t="shared" si="381"/>
        <v>0.35275130553708334</v>
      </c>
      <c r="Z1058">
        <f t="shared" si="382"/>
        <v>6000</v>
      </c>
      <c r="AA1058">
        <f t="shared" si="383"/>
        <v>0.17507043740108488</v>
      </c>
      <c r="AB1058">
        <f t="shared" si="384"/>
        <v>6.7010943726486767</v>
      </c>
      <c r="AC1058">
        <f t="shared" si="385"/>
        <v>6000</v>
      </c>
      <c r="AD1058">
        <f t="shared" si="386"/>
        <v>0.17507043740108488</v>
      </c>
      <c r="AE1058">
        <f t="shared" si="387"/>
        <v>6.7010943726486767</v>
      </c>
      <c r="AF1058">
        <f t="shared" si="388"/>
        <v>6000</v>
      </c>
      <c r="AG1058">
        <f t="shared" si="389"/>
        <v>0.17507043740108488</v>
      </c>
      <c r="AH1058">
        <f t="shared" si="390"/>
        <v>6.7010943726486767</v>
      </c>
      <c r="AI1058" cm="1">
        <f t="array" ref="AI1058">_xlfn.LET(
    _xlpm.vals,   _xlfn.HSTACK(S1058,V1058,Y1058,AB1058,AE1058,AH1058),
    _xlpm.ints,   _xlfn.HSTACK(R1058,U1058,X1058,AA1058,AD1058,AG1058),
    _xlpm.slopes, _xlfn.HSTACK(Q1058,T1058,W1058,Z1058,AC1058,AF1058),
    _xlpm.limit,  -0.00001*_xlpm.slopes + 0.1086*_xlpm.slopes + 63.253,
    _xlpm.mask,   (_xlpm.vals&gt;=0) * (_xlpm.ints&lt;=_xlpm.limit),
    _xlpm.validVals, _xlfn._xlws.FILTER(_xlpm.vals, _xlpm.mask),
    _xlpm.minVal, MIN(_xlpm.validVals),
    IFERROR( _xlfn.XMATCH(_xlpm.minVal, _xlpm.vals), "" )
)</f>
        <v>3</v>
      </c>
      <c r="AJ1058" cm="1">
        <f t="array" ref="AJ1058">_xlfn.LET(
    _xlpm.vals, CHOOSE({1,2,3,4,5,6}, S1058, V1058, Y1058, AB1058, AE1058, AH1058),
    _xlpm.slopes, CHOOSE({1,2,3,4,5,6}, Q1058, T1058, W1058, Z1058, AC1058, AF1058),
    _xlpm.ints, CHOOSE({1,2,3,4,5,6}, R1058, U1058, X1058, AA1058, AD1058, AG1058),
    _xlpm.limit, -0.00001*_xlpm.slopes + 0.1086*_xlpm.slopes + 63.253,
    _xlpm.valid, (_xlpm.vals &gt;= 0) * (_xlpm.ints &lt;= _xlpm.limit),
    _xlpm.target, MIN(_xlfn._xlws.FILTER(_xlpm.vals, _xlpm.valid)),
    IFERROR(
        _xlfn.XLOOKUP(_xlpm.target, _xlpm.vals, _xlpm.vals),
        CHOOSE({1,2,3,4,5,6}, S$1, V$1, Y$1, AB$1, AE$1, AH$1)
    )
)</f>
        <v>0.35275130553708334</v>
      </c>
    </row>
    <row r="1059" spans="9:36" x14ac:dyDescent="0.45">
      <c r="I1059">
        <v>1057</v>
      </c>
      <c r="J1059">
        <v>11.9</v>
      </c>
      <c r="K1059">
        <f t="shared" si="369"/>
        <v>11.9</v>
      </c>
      <c r="L1059">
        <f t="shared" si="368"/>
        <v>3.3055555555555555E-3</v>
      </c>
      <c r="M1059">
        <v>-0.37</v>
      </c>
      <c r="N1059">
        <f t="shared" si="370"/>
        <v>0</v>
      </c>
      <c r="O1059">
        <f t="shared" si="371"/>
        <v>154.64267516742112</v>
      </c>
      <c r="P1059">
        <f t="shared" si="372"/>
        <v>494.85656053574758</v>
      </c>
      <c r="Q1059">
        <f t="shared" si="373"/>
        <v>2266.4430472537238</v>
      </c>
      <c r="R1059">
        <f t="shared" si="374"/>
        <v>0</v>
      </c>
      <c r="S1059">
        <f t="shared" si="375"/>
        <v>0.60920960086830978</v>
      </c>
      <c r="T1059">
        <f t="shared" si="376"/>
        <v>1464.7754191858128</v>
      </c>
      <c r="U1059">
        <f t="shared" si="377"/>
        <v>0</v>
      </c>
      <c r="V1059">
        <f t="shared" si="378"/>
        <v>0.40288488027441999</v>
      </c>
      <c r="W1059">
        <f t="shared" si="379"/>
        <v>6000</v>
      </c>
      <c r="X1059">
        <f t="shared" si="380"/>
        <v>0</v>
      </c>
      <c r="Y1059">
        <f t="shared" si="381"/>
        <v>6.7000407999999982</v>
      </c>
      <c r="Z1059">
        <f t="shared" si="382"/>
        <v>6000</v>
      </c>
      <c r="AA1059">
        <f t="shared" si="383"/>
        <v>0</v>
      </c>
      <c r="AB1059">
        <f t="shared" si="384"/>
        <v>6.7000407999999982</v>
      </c>
      <c r="AC1059">
        <f t="shared" si="385"/>
        <v>6000</v>
      </c>
      <c r="AD1059">
        <f t="shared" si="386"/>
        <v>0</v>
      </c>
      <c r="AE1059">
        <f t="shared" si="387"/>
        <v>6.7000407999999982</v>
      </c>
      <c r="AF1059">
        <f t="shared" si="388"/>
        <v>6000</v>
      </c>
      <c r="AG1059">
        <f t="shared" si="389"/>
        <v>0</v>
      </c>
      <c r="AH1059">
        <f t="shared" si="390"/>
        <v>6.7000407999999982</v>
      </c>
      <c r="AI1059" cm="1">
        <f t="array" ref="AI1059">_xlfn.LET(
    _xlpm.vals,   _xlfn.HSTACK(S1059,V1059,Y1059,AB1059,AE1059,AH1059),
    _xlpm.ints,   _xlfn.HSTACK(R1059,U1059,X1059,AA1059,AD1059,AG1059),
    _xlpm.slopes, _xlfn.HSTACK(Q1059,T1059,W1059,Z1059,AC1059,AF1059),
    _xlpm.limit,  -0.00001*_xlpm.slopes + 0.1086*_xlpm.slopes + 63.253,
    _xlpm.mask,   (_xlpm.vals&gt;=0) * (_xlpm.ints&lt;=_xlpm.limit),
    _xlpm.validVals, _xlfn._xlws.FILTER(_xlpm.vals, _xlpm.mask),
    _xlpm.minVal, MIN(_xlpm.validVals),
    IFERROR( _xlfn.XMATCH(_xlpm.minVal, _xlpm.vals), "" )
)</f>
        <v>2</v>
      </c>
      <c r="AJ1059" cm="1">
        <f t="array" ref="AJ1059">_xlfn.LET(
    _xlpm.vals, CHOOSE({1,2,3,4,5,6}, S1059, V1059, Y1059, AB1059, AE1059, AH1059),
    _xlpm.slopes, CHOOSE({1,2,3,4,5,6}, Q1059, T1059, W1059, Z1059, AC1059, AF1059),
    _xlpm.ints, CHOOSE({1,2,3,4,5,6}, R1059, U1059, X1059, AA1059, AD1059, AG1059),
    _xlpm.limit, -0.00001*_xlpm.slopes + 0.1086*_xlpm.slopes + 63.253,
    _xlpm.valid, (_xlpm.vals &gt;= 0) * (_xlpm.ints &lt;= _xlpm.limit),
    _xlpm.target, MIN(_xlfn._xlws.FILTER(_xlpm.vals, _xlpm.valid)),
    IFERROR(
        _xlfn.XLOOKUP(_xlpm.target, _xlpm.vals, _xlpm.vals),
        CHOOSE({1,2,3,4,5,6}, S$1, V$1, Y$1, AB$1, AE$1, AH$1)
    )
)</f>
        <v>0.40288488027441999</v>
      </c>
    </row>
    <row r="1060" spans="9:36" x14ac:dyDescent="0.45">
      <c r="I1060">
        <v>1058</v>
      </c>
      <c r="J1060">
        <v>10.9</v>
      </c>
      <c r="K1060">
        <f t="shared" si="369"/>
        <v>10.9</v>
      </c>
      <c r="L1060">
        <f t="shared" si="368"/>
        <v>3.0277777777777777E-3</v>
      </c>
      <c r="M1060">
        <v>-0.14000000000000001</v>
      </c>
      <c r="N1060">
        <f t="shared" si="370"/>
        <v>0</v>
      </c>
      <c r="O1060">
        <f t="shared" si="371"/>
        <v>141.64749238024285</v>
      </c>
      <c r="P1060">
        <f t="shared" si="372"/>
        <v>453.27197561677713</v>
      </c>
      <c r="Q1060">
        <f t="shared" si="373"/>
        <v>2075.9856483248391</v>
      </c>
      <c r="R1060">
        <f t="shared" si="374"/>
        <v>0</v>
      </c>
      <c r="S1060">
        <f t="shared" si="375"/>
        <v>0.5469101613478754</v>
      </c>
      <c r="T1060">
        <f t="shared" si="376"/>
        <v>1341.6850478256604</v>
      </c>
      <c r="U1060">
        <f t="shared" si="377"/>
        <v>0</v>
      </c>
      <c r="V1060">
        <f t="shared" si="378"/>
        <v>0.38016920047543873</v>
      </c>
      <c r="W1060">
        <f t="shared" si="379"/>
        <v>6000</v>
      </c>
      <c r="X1060">
        <f t="shared" si="380"/>
        <v>0</v>
      </c>
      <c r="Y1060">
        <f t="shared" si="381"/>
        <v>6.7000407999999982</v>
      </c>
      <c r="Z1060">
        <f t="shared" si="382"/>
        <v>6000</v>
      </c>
      <c r="AA1060">
        <f t="shared" si="383"/>
        <v>0</v>
      </c>
      <c r="AB1060">
        <f t="shared" si="384"/>
        <v>6.7000407999999982</v>
      </c>
      <c r="AC1060">
        <f t="shared" si="385"/>
        <v>6000</v>
      </c>
      <c r="AD1060">
        <f t="shared" si="386"/>
        <v>0</v>
      </c>
      <c r="AE1060">
        <f t="shared" si="387"/>
        <v>6.7000407999999982</v>
      </c>
      <c r="AF1060">
        <f t="shared" si="388"/>
        <v>6000</v>
      </c>
      <c r="AG1060">
        <f t="shared" si="389"/>
        <v>0</v>
      </c>
      <c r="AH1060">
        <f t="shared" si="390"/>
        <v>6.7000407999999982</v>
      </c>
      <c r="AI1060" cm="1">
        <f t="array" ref="AI1060">_xlfn.LET(
    _xlpm.vals,   _xlfn.HSTACK(S1060,V1060,Y1060,AB1060,AE1060,AH1060),
    _xlpm.ints,   _xlfn.HSTACK(R1060,U1060,X1060,AA1060,AD1060,AG1060),
    _xlpm.slopes, _xlfn.HSTACK(Q1060,T1060,W1060,Z1060,AC1060,AF1060),
    _xlpm.limit,  -0.00001*_xlpm.slopes + 0.1086*_xlpm.slopes + 63.253,
    _xlpm.mask,   (_xlpm.vals&gt;=0) * (_xlpm.ints&lt;=_xlpm.limit),
    _xlpm.validVals, _xlfn._xlws.FILTER(_xlpm.vals, _xlpm.mask),
    _xlpm.minVal, MIN(_xlpm.validVals),
    IFERROR( _xlfn.XMATCH(_xlpm.minVal, _xlpm.vals), "" )
)</f>
        <v>2</v>
      </c>
      <c r="AJ1060" cm="1">
        <f t="array" ref="AJ1060">_xlfn.LET(
    _xlpm.vals, CHOOSE({1,2,3,4,5,6}, S1060, V1060, Y1060, AB1060, AE1060, AH1060),
    _xlpm.slopes, CHOOSE({1,2,3,4,5,6}, Q1060, T1060, W1060, Z1060, AC1060, AF1060),
    _xlpm.ints, CHOOSE({1,2,3,4,5,6}, R1060, U1060, X1060, AA1060, AD1060, AG1060),
    _xlpm.limit, -0.00001*_xlpm.slopes + 0.1086*_xlpm.slopes + 63.253,
    _xlpm.valid, (_xlpm.vals &gt;= 0) * (_xlpm.ints &lt;= _xlpm.limit),
    _xlpm.target, MIN(_xlfn._xlws.FILTER(_xlpm.vals, _xlpm.valid)),
    IFERROR(
        _xlfn.XLOOKUP(_xlpm.target, _xlpm.vals, _xlpm.vals),
        CHOOSE({1,2,3,4,5,6}, S$1, V$1, Y$1, AB$1, AE$1, AH$1)
    )
)</f>
        <v>0.38016920047543873</v>
      </c>
    </row>
    <row r="1061" spans="9:36" x14ac:dyDescent="0.45">
      <c r="I1061">
        <v>1059</v>
      </c>
      <c r="J1061">
        <v>10.3</v>
      </c>
      <c r="K1061">
        <f t="shared" si="369"/>
        <v>10.3</v>
      </c>
      <c r="L1061">
        <f t="shared" si="368"/>
        <v>2.8611111111111111E-3</v>
      </c>
      <c r="M1061">
        <v>0.23</v>
      </c>
      <c r="N1061">
        <f t="shared" si="370"/>
        <v>0.23</v>
      </c>
      <c r="O1061">
        <f t="shared" si="371"/>
        <v>133.85038270793595</v>
      </c>
      <c r="P1061">
        <f t="shared" si="372"/>
        <v>428.32122466539505</v>
      </c>
      <c r="Q1061">
        <f t="shared" si="373"/>
        <v>1961.7112089675093</v>
      </c>
      <c r="R1061">
        <f t="shared" si="374"/>
        <v>1.1196032344761571</v>
      </c>
      <c r="S1061">
        <f t="shared" si="375"/>
        <v>0.52674380783056884</v>
      </c>
      <c r="T1061">
        <f t="shared" si="376"/>
        <v>1267.8308250095693</v>
      </c>
      <c r="U1061">
        <f t="shared" si="377"/>
        <v>1.73235905875027</v>
      </c>
      <c r="V1061">
        <f t="shared" si="378"/>
        <v>0.38003360977957429</v>
      </c>
      <c r="W1061">
        <f t="shared" si="379"/>
        <v>6000</v>
      </c>
      <c r="X1061">
        <f t="shared" si="380"/>
        <v>0.3660563691113593</v>
      </c>
      <c r="Y1061">
        <f t="shared" si="381"/>
        <v>6.7022554093914879</v>
      </c>
      <c r="Z1061">
        <f t="shared" si="382"/>
        <v>6000</v>
      </c>
      <c r="AA1061">
        <f t="shared" si="383"/>
        <v>0.3660563691113593</v>
      </c>
      <c r="AB1061">
        <f t="shared" si="384"/>
        <v>6.7022554093914879</v>
      </c>
      <c r="AC1061">
        <f t="shared" si="385"/>
        <v>6000</v>
      </c>
      <c r="AD1061">
        <f t="shared" si="386"/>
        <v>0.3660563691113593</v>
      </c>
      <c r="AE1061">
        <f t="shared" si="387"/>
        <v>6.7022554093914879</v>
      </c>
      <c r="AF1061">
        <f t="shared" si="388"/>
        <v>6000</v>
      </c>
      <c r="AG1061">
        <f t="shared" si="389"/>
        <v>0.3660563691113593</v>
      </c>
      <c r="AH1061">
        <f t="shared" si="390"/>
        <v>6.7022554093914879</v>
      </c>
      <c r="AI1061" cm="1">
        <f t="array" ref="AI1061">_xlfn.LET(
    _xlpm.vals,   _xlfn.HSTACK(S1061,V1061,Y1061,AB1061,AE1061,AH1061),
    _xlpm.ints,   _xlfn.HSTACK(R1061,U1061,X1061,AA1061,AD1061,AG1061),
    _xlpm.slopes, _xlfn.HSTACK(Q1061,T1061,W1061,Z1061,AC1061,AF1061),
    _xlpm.limit,  -0.00001*_xlpm.slopes + 0.1086*_xlpm.slopes + 63.253,
    _xlpm.mask,   (_xlpm.vals&gt;=0) * (_xlpm.ints&lt;=_xlpm.limit),
    _xlpm.validVals, _xlfn._xlws.FILTER(_xlpm.vals, _xlpm.mask),
    _xlpm.minVal, MIN(_xlpm.validVals),
    IFERROR( _xlfn.XMATCH(_xlpm.minVal, _xlpm.vals), "" )
)</f>
        <v>2</v>
      </c>
      <c r="AJ1061" cm="1">
        <f t="array" ref="AJ1061">_xlfn.LET(
    _xlpm.vals, CHOOSE({1,2,3,4,5,6}, S1061, V1061, Y1061, AB1061, AE1061, AH1061),
    _xlpm.slopes, CHOOSE({1,2,3,4,5,6}, Q1061, T1061, W1061, Z1061, AC1061, AF1061),
    _xlpm.ints, CHOOSE({1,2,3,4,5,6}, R1061, U1061, X1061, AA1061, AD1061, AG1061),
    _xlpm.limit, -0.00001*_xlpm.slopes + 0.1086*_xlpm.slopes + 63.253,
    _xlpm.valid, (_xlpm.vals &gt;= 0) * (_xlpm.ints &lt;= _xlpm.limit),
    _xlpm.target, MIN(_xlfn._xlws.FILTER(_xlpm.vals, _xlpm.valid)),
    IFERROR(
        _xlfn.XLOOKUP(_xlpm.target, _xlpm.vals, _xlpm.vals),
        CHOOSE({1,2,3,4,5,6}, S$1, V$1, Y$1, AB$1, AE$1, AH$1)
    )
)</f>
        <v>0.38003360977957429</v>
      </c>
    </row>
    <row r="1062" spans="9:36" x14ac:dyDescent="0.45">
      <c r="I1062">
        <v>1060</v>
      </c>
      <c r="J1062">
        <v>10</v>
      </c>
      <c r="K1062">
        <f t="shared" si="369"/>
        <v>10</v>
      </c>
      <c r="L1062">
        <f t="shared" si="368"/>
        <v>2.7777777777777779E-3</v>
      </c>
      <c r="M1062">
        <v>7.0000000000000007E-2</v>
      </c>
      <c r="N1062">
        <f t="shared" si="370"/>
        <v>7.0000000000000007E-2</v>
      </c>
      <c r="O1062">
        <f t="shared" si="371"/>
        <v>129.95182787178246</v>
      </c>
      <c r="P1062">
        <f t="shared" si="372"/>
        <v>415.84584918970387</v>
      </c>
      <c r="Q1062">
        <f t="shared" si="373"/>
        <v>1904.5739892888437</v>
      </c>
      <c r="R1062">
        <f t="shared" si="374"/>
        <v>0.35097127480752582</v>
      </c>
      <c r="S1062">
        <f t="shared" si="375"/>
        <v>0.50301102094505867</v>
      </c>
      <c r="T1062">
        <f t="shared" si="376"/>
        <v>1230.9037136015234</v>
      </c>
      <c r="U1062">
        <f t="shared" si="377"/>
        <v>0.54305690493867165</v>
      </c>
      <c r="V1062">
        <f t="shared" si="378"/>
        <v>0.36439528200919491</v>
      </c>
      <c r="W1062">
        <f t="shared" si="379"/>
        <v>6000</v>
      </c>
      <c r="X1062">
        <f t="shared" si="380"/>
        <v>0.11140846016432675</v>
      </c>
      <c r="Y1062">
        <f t="shared" si="381"/>
        <v>6.7007100692830805</v>
      </c>
      <c r="Z1062">
        <f t="shared" si="382"/>
        <v>6000</v>
      </c>
      <c r="AA1062">
        <f t="shared" si="383"/>
        <v>0.11140846016432675</v>
      </c>
      <c r="AB1062">
        <f t="shared" si="384"/>
        <v>6.7007100692830805</v>
      </c>
      <c r="AC1062">
        <f t="shared" si="385"/>
        <v>6000</v>
      </c>
      <c r="AD1062">
        <f t="shared" si="386"/>
        <v>0.11140846016432675</v>
      </c>
      <c r="AE1062">
        <f t="shared" si="387"/>
        <v>6.7007100692830805</v>
      </c>
      <c r="AF1062">
        <f t="shared" si="388"/>
        <v>6000</v>
      </c>
      <c r="AG1062">
        <f t="shared" si="389"/>
        <v>0.11140846016432675</v>
      </c>
      <c r="AH1062">
        <f t="shared" si="390"/>
        <v>6.7007100692830805</v>
      </c>
      <c r="AI1062" cm="1">
        <f t="array" ref="AI1062">_xlfn.LET(
    _xlpm.vals,   _xlfn.HSTACK(S1062,V1062,Y1062,AB1062,AE1062,AH1062),
    _xlpm.ints,   _xlfn.HSTACK(R1062,U1062,X1062,AA1062,AD1062,AG1062),
    _xlpm.slopes, _xlfn.HSTACK(Q1062,T1062,W1062,Z1062,AC1062,AF1062),
    _xlpm.limit,  -0.00001*_xlpm.slopes + 0.1086*_xlpm.slopes + 63.253,
    _xlpm.mask,   (_xlpm.vals&gt;=0) * (_xlpm.ints&lt;=_xlpm.limit),
    _xlpm.validVals, _xlfn._xlws.FILTER(_xlpm.vals, _xlpm.mask),
    _xlpm.minVal, MIN(_xlpm.validVals),
    IFERROR( _xlfn.XMATCH(_xlpm.minVal, _xlpm.vals), "" )
)</f>
        <v>2</v>
      </c>
      <c r="AJ1062" cm="1">
        <f t="array" ref="AJ1062">_xlfn.LET(
    _xlpm.vals, CHOOSE({1,2,3,4,5,6}, S1062, V1062, Y1062, AB1062, AE1062, AH1062),
    _xlpm.slopes, CHOOSE({1,2,3,4,5,6}, Q1062, T1062, W1062, Z1062, AC1062, AF1062),
    _xlpm.ints, CHOOSE({1,2,3,4,5,6}, R1062, U1062, X1062, AA1062, AD1062, AG1062),
    _xlpm.limit, -0.00001*_xlpm.slopes + 0.1086*_xlpm.slopes + 63.253,
    _xlpm.valid, (_xlpm.vals &gt;= 0) * (_xlpm.ints &lt;= _xlpm.limit),
    _xlpm.target, MIN(_xlfn._xlws.FILTER(_xlpm.vals, _xlpm.valid)),
    IFERROR(
        _xlfn.XLOOKUP(_xlpm.target, _xlpm.vals, _xlpm.vals),
        CHOOSE({1,2,3,4,5,6}, S$1, V$1, Y$1, AB$1, AE$1, AH$1)
    )
)</f>
        <v>0.36439528200919491</v>
      </c>
    </row>
    <row r="1063" spans="9:36" x14ac:dyDescent="0.45">
      <c r="I1063">
        <v>1061</v>
      </c>
      <c r="J1063">
        <v>9.6</v>
      </c>
      <c r="K1063">
        <f t="shared" si="369"/>
        <v>9.6</v>
      </c>
      <c r="L1063">
        <f t="shared" si="368"/>
        <v>2.6666666666666666E-3</v>
      </c>
      <c r="M1063">
        <v>0.22</v>
      </c>
      <c r="N1063">
        <f t="shared" si="370"/>
        <v>0.22</v>
      </c>
      <c r="O1063">
        <f t="shared" si="371"/>
        <v>124.75375475691114</v>
      </c>
      <c r="P1063">
        <f t="shared" si="372"/>
        <v>399.21201522211567</v>
      </c>
      <c r="Q1063">
        <f t="shared" si="373"/>
        <v>1828.3910297172897</v>
      </c>
      <c r="R1063">
        <f t="shared" si="374"/>
        <v>1.1490131020484478</v>
      </c>
      <c r="S1063">
        <f t="shared" si="375"/>
        <v>0.49225230047606855</v>
      </c>
      <c r="T1063">
        <f t="shared" si="376"/>
        <v>1181.6675650574623</v>
      </c>
      <c r="U1063">
        <f t="shared" si="377"/>
        <v>1.7778648673587467</v>
      </c>
      <c r="V1063">
        <f t="shared" si="378"/>
        <v>0.36428016026337717</v>
      </c>
      <c r="W1063">
        <f t="shared" si="379"/>
        <v>6000</v>
      </c>
      <c r="X1063">
        <f t="shared" si="380"/>
        <v>0.35014087480216977</v>
      </c>
      <c r="Y1063">
        <f t="shared" si="381"/>
        <v>6.7021581909718293</v>
      </c>
      <c r="Z1063">
        <f t="shared" si="382"/>
        <v>6000</v>
      </c>
      <c r="AA1063">
        <f t="shared" si="383"/>
        <v>0.35014087480216977</v>
      </c>
      <c r="AB1063">
        <f t="shared" si="384"/>
        <v>6.7021581909718293</v>
      </c>
      <c r="AC1063">
        <f t="shared" si="385"/>
        <v>6000</v>
      </c>
      <c r="AD1063">
        <f t="shared" si="386"/>
        <v>0.35014087480216977</v>
      </c>
      <c r="AE1063">
        <f t="shared" si="387"/>
        <v>6.7021581909718293</v>
      </c>
      <c r="AF1063">
        <f t="shared" si="388"/>
        <v>6000</v>
      </c>
      <c r="AG1063">
        <f t="shared" si="389"/>
        <v>0.35014087480216977</v>
      </c>
      <c r="AH1063">
        <f t="shared" si="390"/>
        <v>6.7021581909718293</v>
      </c>
      <c r="AI1063" cm="1">
        <f t="array" ref="AI1063">_xlfn.LET(
    _xlpm.vals,   _xlfn.HSTACK(S1063,V1063,Y1063,AB1063,AE1063,AH1063),
    _xlpm.ints,   _xlfn.HSTACK(R1063,U1063,X1063,AA1063,AD1063,AG1063),
    _xlpm.slopes, _xlfn.HSTACK(Q1063,T1063,W1063,Z1063,AC1063,AF1063),
    _xlpm.limit,  -0.00001*_xlpm.slopes + 0.1086*_xlpm.slopes + 63.253,
    _xlpm.mask,   (_xlpm.vals&gt;=0) * (_xlpm.ints&lt;=_xlpm.limit),
    _xlpm.validVals, _xlfn._xlws.FILTER(_xlpm.vals, _xlpm.mask),
    _xlpm.minVal, MIN(_xlpm.validVals),
    IFERROR( _xlfn.XMATCH(_xlpm.minVal, _xlpm.vals), "" )
)</f>
        <v>2</v>
      </c>
      <c r="AJ1063" cm="1">
        <f t="array" ref="AJ1063">_xlfn.LET(
    _xlpm.vals, CHOOSE({1,2,3,4,5,6}, S1063, V1063, Y1063, AB1063, AE1063, AH1063),
    _xlpm.slopes, CHOOSE({1,2,3,4,5,6}, Q1063, T1063, W1063, Z1063, AC1063, AF1063),
    _xlpm.ints, CHOOSE({1,2,3,4,5,6}, R1063, U1063, X1063, AA1063, AD1063, AG1063),
    _xlpm.limit, -0.00001*_xlpm.slopes + 0.1086*_xlpm.slopes + 63.253,
    _xlpm.valid, (_xlpm.vals &gt;= 0) * (_xlpm.ints &lt;= _xlpm.limit),
    _xlpm.target, MIN(_xlfn._xlws.FILTER(_xlpm.vals, _xlpm.valid)),
    IFERROR(
        _xlfn.XLOOKUP(_xlpm.target, _xlpm.vals, _xlpm.vals),
        CHOOSE({1,2,3,4,5,6}, S$1, V$1, Y$1, AB$1, AE$1, AH$1)
    )
)</f>
        <v>0.36428016026337717</v>
      </c>
    </row>
    <row r="1064" spans="9:36" x14ac:dyDescent="0.45">
      <c r="I1064">
        <v>1062</v>
      </c>
      <c r="J1064">
        <v>9.3000000000000007</v>
      </c>
      <c r="K1064">
        <f t="shared" si="369"/>
        <v>9.3000000000000007</v>
      </c>
      <c r="L1064">
        <f t="shared" si="368"/>
        <v>2.5833333333333333E-3</v>
      </c>
      <c r="M1064">
        <v>-0.05</v>
      </c>
      <c r="N1064">
        <f t="shared" si="370"/>
        <v>0</v>
      </c>
      <c r="O1064">
        <f t="shared" si="371"/>
        <v>120.8551999207577</v>
      </c>
      <c r="P1064">
        <f t="shared" si="372"/>
        <v>386.73663974642466</v>
      </c>
      <c r="Q1064">
        <f t="shared" si="373"/>
        <v>1771.253810038625</v>
      </c>
      <c r="R1064">
        <f t="shared" si="374"/>
        <v>0</v>
      </c>
      <c r="S1064">
        <f t="shared" si="375"/>
        <v>0.46667369028517747</v>
      </c>
      <c r="T1064">
        <f t="shared" si="376"/>
        <v>1144.7404536494171</v>
      </c>
      <c r="U1064">
        <f t="shared" si="377"/>
        <v>0</v>
      </c>
      <c r="V1064">
        <f t="shared" si="378"/>
        <v>0.34538474070760405</v>
      </c>
      <c r="W1064">
        <f t="shared" si="379"/>
        <v>6000</v>
      </c>
      <c r="X1064">
        <f t="shared" si="380"/>
        <v>0</v>
      </c>
      <c r="Y1064">
        <f t="shared" si="381"/>
        <v>6.7000407999999982</v>
      </c>
      <c r="Z1064">
        <f t="shared" si="382"/>
        <v>6000</v>
      </c>
      <c r="AA1064">
        <f t="shared" si="383"/>
        <v>0</v>
      </c>
      <c r="AB1064">
        <f t="shared" si="384"/>
        <v>6.7000407999999982</v>
      </c>
      <c r="AC1064">
        <f t="shared" si="385"/>
        <v>6000</v>
      </c>
      <c r="AD1064">
        <f t="shared" si="386"/>
        <v>0</v>
      </c>
      <c r="AE1064">
        <f t="shared" si="387"/>
        <v>6.7000407999999982</v>
      </c>
      <c r="AF1064">
        <f t="shared" si="388"/>
        <v>6000</v>
      </c>
      <c r="AG1064">
        <f t="shared" si="389"/>
        <v>0</v>
      </c>
      <c r="AH1064">
        <f t="shared" si="390"/>
        <v>6.7000407999999982</v>
      </c>
      <c r="AI1064" cm="1">
        <f t="array" ref="AI1064">_xlfn.LET(
    _xlpm.vals,   _xlfn.HSTACK(S1064,V1064,Y1064,AB1064,AE1064,AH1064),
    _xlpm.ints,   _xlfn.HSTACK(R1064,U1064,X1064,AA1064,AD1064,AG1064),
    _xlpm.slopes, _xlfn.HSTACK(Q1064,T1064,W1064,Z1064,AC1064,AF1064),
    _xlpm.limit,  -0.00001*_xlpm.slopes + 0.1086*_xlpm.slopes + 63.253,
    _xlpm.mask,   (_xlpm.vals&gt;=0) * (_xlpm.ints&lt;=_xlpm.limit),
    _xlpm.validVals, _xlfn._xlws.FILTER(_xlpm.vals, _xlpm.mask),
    _xlpm.minVal, MIN(_xlpm.validVals),
    IFERROR( _xlfn.XMATCH(_xlpm.minVal, _xlpm.vals), "" )
)</f>
        <v>2</v>
      </c>
      <c r="AJ1064" cm="1">
        <f t="array" ref="AJ1064">_xlfn.LET(
    _xlpm.vals, CHOOSE({1,2,3,4,5,6}, S1064, V1064, Y1064, AB1064, AE1064, AH1064),
    _xlpm.slopes, CHOOSE({1,2,3,4,5,6}, Q1064, T1064, W1064, Z1064, AC1064, AF1064),
    _xlpm.ints, CHOOSE({1,2,3,4,5,6}, R1064, U1064, X1064, AA1064, AD1064, AG1064),
    _xlpm.limit, -0.00001*_xlpm.slopes + 0.1086*_xlpm.slopes + 63.253,
    _xlpm.valid, (_xlpm.vals &gt;= 0) * (_xlpm.ints &lt;= _xlpm.limit),
    _xlpm.target, MIN(_xlfn._xlws.FILTER(_xlpm.vals, _xlpm.valid)),
    IFERROR(
        _xlfn.XLOOKUP(_xlpm.target, _xlpm.vals, _xlpm.vals),
        CHOOSE({1,2,3,4,5,6}, S$1, V$1, Y$1, AB$1, AE$1, AH$1)
    )
)</f>
        <v>0.34538474070760405</v>
      </c>
    </row>
    <row r="1065" spans="9:36" x14ac:dyDescent="0.45">
      <c r="I1065">
        <v>1063</v>
      </c>
      <c r="J1065">
        <v>9.1</v>
      </c>
      <c r="K1065">
        <f t="shared" si="369"/>
        <v>9.1</v>
      </c>
      <c r="L1065">
        <f t="shared" si="368"/>
        <v>2.5277777777777777E-3</v>
      </c>
      <c r="M1065">
        <v>0.47</v>
      </c>
      <c r="N1065">
        <f t="shared" si="370"/>
        <v>0.47</v>
      </c>
      <c r="O1065">
        <f t="shared" si="371"/>
        <v>118.25616336332203</v>
      </c>
      <c r="P1065">
        <f t="shared" si="372"/>
        <v>378.4197227626305</v>
      </c>
      <c r="Q1065">
        <f t="shared" si="373"/>
        <v>1733.1623302528478</v>
      </c>
      <c r="R1065">
        <f t="shared" si="374"/>
        <v>2.5895839742470503</v>
      </c>
      <c r="S1065">
        <f t="shared" si="375"/>
        <v>0.48429819925364803</v>
      </c>
      <c r="T1065">
        <f t="shared" si="376"/>
        <v>1120.1223793773863</v>
      </c>
      <c r="U1065">
        <f t="shared" si="377"/>
        <v>4.0068562844768554</v>
      </c>
      <c r="V1065">
        <f t="shared" si="378"/>
        <v>0.36811735073529628</v>
      </c>
      <c r="W1065">
        <f t="shared" si="379"/>
        <v>6000</v>
      </c>
      <c r="X1065">
        <f t="shared" si="380"/>
        <v>0.74802823253190809</v>
      </c>
      <c r="Y1065">
        <f t="shared" si="381"/>
        <v>6.7046140043292288</v>
      </c>
      <c r="Z1065">
        <f t="shared" si="382"/>
        <v>6000</v>
      </c>
      <c r="AA1065">
        <f t="shared" si="383"/>
        <v>0.74802823253190809</v>
      </c>
      <c r="AB1065">
        <f t="shared" si="384"/>
        <v>6.7046140043292288</v>
      </c>
      <c r="AC1065">
        <f t="shared" si="385"/>
        <v>6000</v>
      </c>
      <c r="AD1065">
        <f t="shared" si="386"/>
        <v>0.74802823253190809</v>
      </c>
      <c r="AE1065">
        <f t="shared" si="387"/>
        <v>6.7046140043292288</v>
      </c>
      <c r="AF1065">
        <f t="shared" si="388"/>
        <v>6000</v>
      </c>
      <c r="AG1065">
        <f t="shared" si="389"/>
        <v>0.74802823253190809</v>
      </c>
      <c r="AH1065">
        <f t="shared" si="390"/>
        <v>6.7046140043292288</v>
      </c>
      <c r="AI1065" cm="1">
        <f t="array" ref="AI1065">_xlfn.LET(
    _xlpm.vals,   _xlfn.HSTACK(S1065,V1065,Y1065,AB1065,AE1065,AH1065),
    _xlpm.ints,   _xlfn.HSTACK(R1065,U1065,X1065,AA1065,AD1065,AG1065),
    _xlpm.slopes, _xlfn.HSTACK(Q1065,T1065,W1065,Z1065,AC1065,AF1065),
    _xlpm.limit,  -0.00001*_xlpm.slopes + 0.1086*_xlpm.slopes + 63.253,
    _xlpm.mask,   (_xlpm.vals&gt;=0) * (_xlpm.ints&lt;=_xlpm.limit),
    _xlpm.validVals, _xlfn._xlws.FILTER(_xlpm.vals, _xlpm.mask),
    _xlpm.minVal, MIN(_xlpm.validVals),
    IFERROR( _xlfn.XMATCH(_xlpm.minVal, _xlpm.vals), "" )
)</f>
        <v>2</v>
      </c>
      <c r="AJ1065" cm="1">
        <f t="array" ref="AJ1065">_xlfn.LET(
    _xlpm.vals, CHOOSE({1,2,3,4,5,6}, S1065, V1065, Y1065, AB1065, AE1065, AH1065),
    _xlpm.slopes, CHOOSE({1,2,3,4,5,6}, Q1065, T1065, W1065, Z1065, AC1065, AF1065),
    _xlpm.ints, CHOOSE({1,2,3,4,5,6}, R1065, U1065, X1065, AA1065, AD1065, AG1065),
    _xlpm.limit, -0.00001*_xlpm.slopes + 0.1086*_xlpm.slopes + 63.253,
    _xlpm.valid, (_xlpm.vals &gt;= 0) * (_xlpm.ints &lt;= _xlpm.limit),
    _xlpm.target, MIN(_xlfn._xlws.FILTER(_xlpm.vals, _xlpm.valid)),
    IFERROR(
        _xlfn.XLOOKUP(_xlpm.target, _xlpm.vals, _xlpm.vals),
        CHOOSE({1,2,3,4,5,6}, S$1, V$1, Y$1, AB$1, AE$1, AH$1)
    )
)</f>
        <v>0.36811735073529628</v>
      </c>
    </row>
    <row r="1066" spans="9:36" x14ac:dyDescent="0.45">
      <c r="I1066">
        <v>1064</v>
      </c>
      <c r="J1066">
        <v>9</v>
      </c>
      <c r="K1066">
        <f t="shared" si="369"/>
        <v>9</v>
      </c>
      <c r="L1066">
        <f t="shared" si="368"/>
        <v>2.5000000000000001E-3</v>
      </c>
      <c r="M1066">
        <v>1.06</v>
      </c>
      <c r="N1066">
        <f t="shared" si="370"/>
        <v>1.06</v>
      </c>
      <c r="O1066">
        <f t="shared" si="371"/>
        <v>116.95664508460422</v>
      </c>
      <c r="P1066">
        <f t="shared" si="372"/>
        <v>374.26126427073353</v>
      </c>
      <c r="Q1066">
        <f t="shared" si="373"/>
        <v>1714.1165903599597</v>
      </c>
      <c r="R1066">
        <f t="shared" si="374"/>
        <v>5.9052309729520198</v>
      </c>
      <c r="S1066">
        <f t="shared" si="375"/>
        <v>0.5146935413818392</v>
      </c>
      <c r="T1066">
        <f t="shared" si="376"/>
        <v>1107.8133422413712</v>
      </c>
      <c r="U1066">
        <f t="shared" si="377"/>
        <v>9.1371479243649514</v>
      </c>
      <c r="V1066">
        <f t="shared" si="378"/>
        <v>0.40280910834390937</v>
      </c>
      <c r="W1066">
        <f t="shared" si="379"/>
        <v>6000</v>
      </c>
      <c r="X1066">
        <f t="shared" si="380"/>
        <v>1.6870423967740906</v>
      </c>
      <c r="Y1066">
        <f t="shared" si="381"/>
        <v>6.7106185617930976</v>
      </c>
      <c r="Z1066">
        <f t="shared" si="382"/>
        <v>6000</v>
      </c>
      <c r="AA1066">
        <f t="shared" si="383"/>
        <v>1.6870423967740906</v>
      </c>
      <c r="AB1066">
        <f t="shared" si="384"/>
        <v>6.7106185617930976</v>
      </c>
      <c r="AC1066">
        <f t="shared" si="385"/>
        <v>6000</v>
      </c>
      <c r="AD1066">
        <f t="shared" si="386"/>
        <v>1.6870423967740906</v>
      </c>
      <c r="AE1066">
        <f t="shared" si="387"/>
        <v>6.7106185617930976</v>
      </c>
      <c r="AF1066">
        <f t="shared" si="388"/>
        <v>6000</v>
      </c>
      <c r="AG1066">
        <f t="shared" si="389"/>
        <v>1.6870423967740906</v>
      </c>
      <c r="AH1066">
        <f t="shared" si="390"/>
        <v>6.7106185617930976</v>
      </c>
      <c r="AI1066" cm="1">
        <f t="array" ref="AI1066">_xlfn.LET(
    _xlpm.vals,   _xlfn.HSTACK(S1066,V1066,Y1066,AB1066,AE1066,AH1066),
    _xlpm.ints,   _xlfn.HSTACK(R1066,U1066,X1066,AA1066,AD1066,AG1066),
    _xlpm.slopes, _xlfn.HSTACK(Q1066,T1066,W1066,Z1066,AC1066,AF1066),
    _xlpm.limit,  -0.00001*_xlpm.slopes + 0.1086*_xlpm.slopes + 63.253,
    _xlpm.mask,   (_xlpm.vals&gt;=0) * (_xlpm.ints&lt;=_xlpm.limit),
    _xlpm.validVals, _xlfn._xlws.FILTER(_xlpm.vals, _xlpm.mask),
    _xlpm.minVal, MIN(_xlpm.validVals),
    IFERROR( _xlfn.XMATCH(_xlpm.minVal, _xlpm.vals), "" )
)</f>
        <v>2</v>
      </c>
      <c r="AJ1066" cm="1">
        <f t="array" ref="AJ1066">_xlfn.LET(
    _xlpm.vals, CHOOSE({1,2,3,4,5,6}, S1066, V1066, Y1066, AB1066, AE1066, AH1066),
    _xlpm.slopes, CHOOSE({1,2,3,4,5,6}, Q1066, T1066, W1066, Z1066, AC1066, AF1066),
    _xlpm.ints, CHOOSE({1,2,3,4,5,6}, R1066, U1066, X1066, AA1066, AD1066, AG1066),
    _xlpm.limit, -0.00001*_xlpm.slopes + 0.1086*_xlpm.slopes + 63.253,
    _xlpm.valid, (_xlpm.vals &gt;= 0) * (_xlpm.ints &lt;= _xlpm.limit),
    _xlpm.target, MIN(_xlfn._xlws.FILTER(_xlpm.vals, _xlpm.valid)),
    IFERROR(
        _xlfn.XLOOKUP(_xlpm.target, _xlpm.vals, _xlpm.vals),
        CHOOSE({1,2,3,4,5,6}, S$1, V$1, Y$1, AB$1, AE$1, AH$1)
    )
)</f>
        <v>0.40280910834390937</v>
      </c>
    </row>
    <row r="1067" spans="9:36" x14ac:dyDescent="0.45">
      <c r="I1067">
        <v>1065</v>
      </c>
      <c r="J1067">
        <v>9.1999999999999993</v>
      </c>
      <c r="K1067">
        <f t="shared" si="369"/>
        <v>9.1999999999999993</v>
      </c>
      <c r="L1067">
        <f t="shared" si="368"/>
        <v>2.5555555555555553E-3</v>
      </c>
      <c r="M1067">
        <v>1.68</v>
      </c>
      <c r="N1067">
        <f t="shared" si="370"/>
        <v>1.68</v>
      </c>
      <c r="O1067">
        <f t="shared" si="371"/>
        <v>119.55568164203986</v>
      </c>
      <c r="P1067">
        <f t="shared" si="372"/>
        <v>382.57818125452758</v>
      </c>
      <c r="Q1067">
        <f t="shared" si="373"/>
        <v>1752.2080701457364</v>
      </c>
      <c r="R1067">
        <f t="shared" si="374"/>
        <v>9.1557723862832798</v>
      </c>
      <c r="S1067">
        <f t="shared" si="375"/>
        <v>0.56078419539517321</v>
      </c>
      <c r="T1067">
        <f t="shared" si="376"/>
        <v>1132.4314165134017</v>
      </c>
      <c r="U1067">
        <f t="shared" si="377"/>
        <v>14.166701867965346</v>
      </c>
      <c r="V1067">
        <f t="shared" si="378"/>
        <v>0.44890448806804717</v>
      </c>
      <c r="W1067">
        <f t="shared" si="379"/>
        <v>6000</v>
      </c>
      <c r="X1067">
        <f t="shared" si="380"/>
        <v>2.6738030439438418</v>
      </c>
      <c r="Y1067">
        <f t="shared" si="381"/>
        <v>6.7172430224009672</v>
      </c>
      <c r="Z1067">
        <f t="shared" si="382"/>
        <v>6000</v>
      </c>
      <c r="AA1067">
        <f t="shared" si="383"/>
        <v>2.6738030439438418</v>
      </c>
      <c r="AB1067">
        <f t="shared" si="384"/>
        <v>6.7172430224009672</v>
      </c>
      <c r="AC1067">
        <f t="shared" si="385"/>
        <v>6000</v>
      </c>
      <c r="AD1067">
        <f t="shared" si="386"/>
        <v>2.6738030439438418</v>
      </c>
      <c r="AE1067">
        <f t="shared" si="387"/>
        <v>6.7172430224009672</v>
      </c>
      <c r="AF1067">
        <f t="shared" si="388"/>
        <v>6000</v>
      </c>
      <c r="AG1067">
        <f t="shared" si="389"/>
        <v>2.6738030439438418</v>
      </c>
      <c r="AH1067">
        <f t="shared" si="390"/>
        <v>6.7172430224009672</v>
      </c>
      <c r="AI1067" cm="1">
        <f t="array" ref="AI1067">_xlfn.LET(
    _xlpm.vals,   _xlfn.HSTACK(S1067,V1067,Y1067,AB1067,AE1067,AH1067),
    _xlpm.ints,   _xlfn.HSTACK(R1067,U1067,X1067,AA1067,AD1067,AG1067),
    _xlpm.slopes, _xlfn.HSTACK(Q1067,T1067,W1067,Z1067,AC1067,AF1067),
    _xlpm.limit,  -0.00001*_xlpm.slopes + 0.1086*_xlpm.slopes + 63.253,
    _xlpm.mask,   (_xlpm.vals&gt;=0) * (_xlpm.ints&lt;=_xlpm.limit),
    _xlpm.validVals, _xlfn._xlws.FILTER(_xlpm.vals, _xlpm.mask),
    _xlpm.minVal, MIN(_xlpm.validVals),
    IFERROR( _xlfn.XMATCH(_xlpm.minVal, _xlpm.vals), "" )
)</f>
        <v>2</v>
      </c>
      <c r="AJ1067" cm="1">
        <f t="array" ref="AJ1067">_xlfn.LET(
    _xlpm.vals, CHOOSE({1,2,3,4,5,6}, S1067, V1067, Y1067, AB1067, AE1067, AH1067),
    _xlpm.slopes, CHOOSE({1,2,3,4,5,6}, Q1067, T1067, W1067, Z1067, AC1067, AF1067),
    _xlpm.ints, CHOOSE({1,2,3,4,5,6}, R1067, U1067, X1067, AA1067, AD1067, AG1067),
    _xlpm.limit, -0.00001*_xlpm.slopes + 0.1086*_xlpm.slopes + 63.253,
    _xlpm.valid, (_xlpm.vals &gt;= 0) * (_xlpm.ints &lt;= _xlpm.limit),
    _xlpm.target, MIN(_xlfn._xlws.FILTER(_xlpm.vals, _xlpm.valid)),
    IFERROR(
        _xlfn.XLOOKUP(_xlpm.target, _xlpm.vals, _xlpm.vals),
        CHOOSE({1,2,3,4,5,6}, S$1, V$1, Y$1, AB$1, AE$1, AH$1)
    )
)</f>
        <v>0.44890448806804717</v>
      </c>
    </row>
    <row r="1068" spans="9:36" x14ac:dyDescent="0.45">
      <c r="I1068">
        <v>1066</v>
      </c>
      <c r="J1068">
        <v>9.4</v>
      </c>
      <c r="K1068">
        <f t="shared" si="369"/>
        <v>9.4</v>
      </c>
      <c r="L1068">
        <f t="shared" si="368"/>
        <v>2.6111111111111114E-3</v>
      </c>
      <c r="M1068">
        <v>1.84</v>
      </c>
      <c r="N1068">
        <f t="shared" si="370"/>
        <v>1.84</v>
      </c>
      <c r="O1068">
        <f t="shared" si="371"/>
        <v>122.1547181994755</v>
      </c>
      <c r="P1068">
        <f t="shared" si="372"/>
        <v>390.89509823832162</v>
      </c>
      <c r="Q1068">
        <f t="shared" si="373"/>
        <v>1790.299549931513</v>
      </c>
      <c r="R1068">
        <f t="shared" si="374"/>
        <v>9.8143943107271667</v>
      </c>
      <c r="S1068">
        <f t="shared" si="375"/>
        <v>0.57900487851348525</v>
      </c>
      <c r="T1068">
        <f t="shared" si="376"/>
        <v>1157.049490785432</v>
      </c>
      <c r="U1068">
        <f t="shared" si="377"/>
        <v>15.185785791598114</v>
      </c>
      <c r="V1068">
        <f t="shared" si="378"/>
        <v>0.46422736134253223</v>
      </c>
      <c r="W1068">
        <f t="shared" si="379"/>
        <v>6000</v>
      </c>
      <c r="X1068">
        <f t="shared" si="380"/>
        <v>2.9284509528908744</v>
      </c>
      <c r="Y1068">
        <f t="shared" si="381"/>
        <v>6.7190046541697761</v>
      </c>
      <c r="Z1068">
        <f t="shared" si="382"/>
        <v>6000</v>
      </c>
      <c r="AA1068">
        <f t="shared" si="383"/>
        <v>2.9284509528908744</v>
      </c>
      <c r="AB1068">
        <f t="shared" si="384"/>
        <v>6.7190046541697761</v>
      </c>
      <c r="AC1068">
        <f t="shared" si="385"/>
        <v>6000</v>
      </c>
      <c r="AD1068">
        <f t="shared" si="386"/>
        <v>2.9284509528908744</v>
      </c>
      <c r="AE1068">
        <f t="shared" si="387"/>
        <v>6.7190046541697761</v>
      </c>
      <c r="AF1068">
        <f t="shared" si="388"/>
        <v>6000</v>
      </c>
      <c r="AG1068">
        <f t="shared" si="389"/>
        <v>2.9284509528908744</v>
      </c>
      <c r="AH1068">
        <f t="shared" si="390"/>
        <v>6.7190046541697761</v>
      </c>
      <c r="AI1068" cm="1">
        <f t="array" ref="AI1068">_xlfn.LET(
    _xlpm.vals,   _xlfn.HSTACK(S1068,V1068,Y1068,AB1068,AE1068,AH1068),
    _xlpm.ints,   _xlfn.HSTACK(R1068,U1068,X1068,AA1068,AD1068,AG1068),
    _xlpm.slopes, _xlfn.HSTACK(Q1068,T1068,W1068,Z1068,AC1068,AF1068),
    _xlpm.limit,  -0.00001*_xlpm.slopes + 0.1086*_xlpm.slopes + 63.253,
    _xlpm.mask,   (_xlpm.vals&gt;=0) * (_xlpm.ints&lt;=_xlpm.limit),
    _xlpm.validVals, _xlfn._xlws.FILTER(_xlpm.vals, _xlpm.mask),
    _xlpm.minVal, MIN(_xlpm.validVals),
    IFERROR( _xlfn.XMATCH(_xlpm.minVal, _xlpm.vals), "" )
)</f>
        <v>2</v>
      </c>
      <c r="AJ1068" cm="1">
        <f t="array" ref="AJ1068">_xlfn.LET(
    _xlpm.vals, CHOOSE({1,2,3,4,5,6}, S1068, V1068, Y1068, AB1068, AE1068, AH1068),
    _xlpm.slopes, CHOOSE({1,2,3,4,5,6}, Q1068, T1068, W1068, Z1068, AC1068, AF1068),
    _xlpm.ints, CHOOSE({1,2,3,4,5,6}, R1068, U1068, X1068, AA1068, AD1068, AG1068),
    _xlpm.limit, -0.00001*_xlpm.slopes + 0.1086*_xlpm.slopes + 63.253,
    _xlpm.valid, (_xlpm.vals &gt;= 0) * (_xlpm.ints &lt;= _xlpm.limit),
    _xlpm.target, MIN(_xlfn._xlws.FILTER(_xlpm.vals, _xlpm.valid)),
    IFERROR(
        _xlfn.XLOOKUP(_xlpm.target, _xlpm.vals, _xlpm.vals),
        CHOOSE({1,2,3,4,5,6}, S$1, V$1, Y$1, AB$1, AE$1, AH$1)
    )
)</f>
        <v>0.46422736134253223</v>
      </c>
    </row>
    <row r="1069" spans="9:36" x14ac:dyDescent="0.45">
      <c r="I1069">
        <v>1067</v>
      </c>
      <c r="J1069">
        <v>9.1</v>
      </c>
      <c r="K1069">
        <f t="shared" si="369"/>
        <v>9.1</v>
      </c>
      <c r="L1069">
        <f t="shared" si="368"/>
        <v>2.5277777777777777E-3</v>
      </c>
      <c r="M1069">
        <v>0.24</v>
      </c>
      <c r="N1069">
        <f t="shared" si="370"/>
        <v>0.24</v>
      </c>
      <c r="O1069">
        <f t="shared" si="371"/>
        <v>118.25616336332203</v>
      </c>
      <c r="P1069">
        <f t="shared" si="372"/>
        <v>378.4197227626305</v>
      </c>
      <c r="Q1069">
        <f t="shared" si="373"/>
        <v>1733.1623302528478</v>
      </c>
      <c r="R1069">
        <f t="shared" si="374"/>
        <v>1.3223407528070046</v>
      </c>
      <c r="S1069">
        <f t="shared" si="375"/>
        <v>0.47129186609935836</v>
      </c>
      <c r="T1069">
        <f t="shared" si="376"/>
        <v>1120.1223793773863</v>
      </c>
      <c r="U1069">
        <f t="shared" si="377"/>
        <v>2.0460542729243518</v>
      </c>
      <c r="V1069">
        <f t="shared" si="378"/>
        <v>0.35462186216736513</v>
      </c>
      <c r="W1069">
        <f t="shared" si="379"/>
        <v>6000</v>
      </c>
      <c r="X1069">
        <f t="shared" si="380"/>
        <v>0.38197186342054884</v>
      </c>
      <c r="Y1069">
        <f t="shared" si="381"/>
        <v>6.7023527123851929</v>
      </c>
      <c r="Z1069">
        <f t="shared" si="382"/>
        <v>6000</v>
      </c>
      <c r="AA1069">
        <f t="shared" si="383"/>
        <v>0.38197186342054884</v>
      </c>
      <c r="AB1069">
        <f t="shared" si="384"/>
        <v>6.7023527123851929</v>
      </c>
      <c r="AC1069">
        <f t="shared" si="385"/>
        <v>6000</v>
      </c>
      <c r="AD1069">
        <f t="shared" si="386"/>
        <v>0.38197186342054884</v>
      </c>
      <c r="AE1069">
        <f t="shared" si="387"/>
        <v>6.7023527123851929</v>
      </c>
      <c r="AF1069">
        <f t="shared" si="388"/>
        <v>6000</v>
      </c>
      <c r="AG1069">
        <f t="shared" si="389"/>
        <v>0.38197186342054884</v>
      </c>
      <c r="AH1069">
        <f t="shared" si="390"/>
        <v>6.7023527123851929</v>
      </c>
      <c r="AI1069" cm="1">
        <f t="array" ref="AI1069">_xlfn.LET(
    _xlpm.vals,   _xlfn.HSTACK(S1069,V1069,Y1069,AB1069,AE1069,AH1069),
    _xlpm.ints,   _xlfn.HSTACK(R1069,U1069,X1069,AA1069,AD1069,AG1069),
    _xlpm.slopes, _xlfn.HSTACK(Q1069,T1069,W1069,Z1069,AC1069,AF1069),
    _xlpm.limit,  -0.00001*_xlpm.slopes + 0.1086*_xlpm.slopes + 63.253,
    _xlpm.mask,   (_xlpm.vals&gt;=0) * (_xlpm.ints&lt;=_xlpm.limit),
    _xlpm.validVals, _xlfn._xlws.FILTER(_xlpm.vals, _xlpm.mask),
    _xlpm.minVal, MIN(_xlpm.validVals),
    IFERROR( _xlfn.XMATCH(_xlpm.minVal, _xlpm.vals), "" )
)</f>
        <v>2</v>
      </c>
      <c r="AJ1069" cm="1">
        <f t="array" ref="AJ1069">_xlfn.LET(
    _xlpm.vals, CHOOSE({1,2,3,4,5,6}, S1069, V1069, Y1069, AB1069, AE1069, AH1069),
    _xlpm.slopes, CHOOSE({1,2,3,4,5,6}, Q1069, T1069, W1069, Z1069, AC1069, AF1069),
    _xlpm.ints, CHOOSE({1,2,3,4,5,6}, R1069, U1069, X1069, AA1069, AD1069, AG1069),
    _xlpm.limit, -0.00001*_xlpm.slopes + 0.1086*_xlpm.slopes + 63.253,
    _xlpm.valid, (_xlpm.vals &gt;= 0) * (_xlpm.ints &lt;= _xlpm.limit),
    _xlpm.target, MIN(_xlfn._xlws.FILTER(_xlpm.vals, _xlpm.valid)),
    IFERROR(
        _xlfn.XLOOKUP(_xlpm.target, _xlpm.vals, _xlpm.vals),
        CHOOSE({1,2,3,4,5,6}, S$1, V$1, Y$1, AB$1, AE$1, AH$1)
    )
)</f>
        <v>0.35462186216736513</v>
      </c>
    </row>
    <row r="1070" spans="9:36" x14ac:dyDescent="0.45">
      <c r="I1070">
        <v>1068</v>
      </c>
      <c r="J1070">
        <v>8.4</v>
      </c>
      <c r="K1070">
        <f t="shared" si="369"/>
        <v>8.4</v>
      </c>
      <c r="L1070">
        <f t="shared" si="368"/>
        <v>2.3333333333333335E-3</v>
      </c>
      <c r="M1070">
        <v>0.12</v>
      </c>
      <c r="N1070">
        <f t="shared" si="370"/>
        <v>0.12</v>
      </c>
      <c r="O1070">
        <f t="shared" si="371"/>
        <v>109.15953541229727</v>
      </c>
      <c r="P1070">
        <f t="shared" si="372"/>
        <v>349.31051331935129</v>
      </c>
      <c r="Q1070">
        <f t="shared" si="373"/>
        <v>1599.842151002629</v>
      </c>
      <c r="R1070">
        <f t="shared" si="374"/>
        <v>0.71626790777046068</v>
      </c>
      <c r="S1070">
        <f t="shared" si="375"/>
        <v>0.43612718114512483</v>
      </c>
      <c r="T1070">
        <f t="shared" si="376"/>
        <v>1033.9591194252798</v>
      </c>
      <c r="U1070">
        <f t="shared" si="377"/>
        <v>1.1082793978340235</v>
      </c>
      <c r="V1070">
        <f t="shared" si="378"/>
        <v>0.33258721787619194</v>
      </c>
      <c r="W1070">
        <f t="shared" si="379"/>
        <v>6000</v>
      </c>
      <c r="X1070">
        <f t="shared" si="380"/>
        <v>0.19098593171027442</v>
      </c>
      <c r="Y1070">
        <f t="shared" si="381"/>
        <v>6.701190660198594</v>
      </c>
      <c r="Z1070">
        <f t="shared" si="382"/>
        <v>6000</v>
      </c>
      <c r="AA1070">
        <f t="shared" si="383"/>
        <v>0.19098593171027442</v>
      </c>
      <c r="AB1070">
        <f t="shared" si="384"/>
        <v>6.701190660198594</v>
      </c>
      <c r="AC1070">
        <f t="shared" si="385"/>
        <v>6000</v>
      </c>
      <c r="AD1070">
        <f t="shared" si="386"/>
        <v>0.19098593171027442</v>
      </c>
      <c r="AE1070">
        <f t="shared" si="387"/>
        <v>6.701190660198594</v>
      </c>
      <c r="AF1070">
        <f t="shared" si="388"/>
        <v>6000</v>
      </c>
      <c r="AG1070">
        <f t="shared" si="389"/>
        <v>0.19098593171027442</v>
      </c>
      <c r="AH1070">
        <f t="shared" si="390"/>
        <v>6.701190660198594</v>
      </c>
      <c r="AI1070" cm="1">
        <f t="array" ref="AI1070">_xlfn.LET(
    _xlpm.vals,   _xlfn.HSTACK(S1070,V1070,Y1070,AB1070,AE1070,AH1070),
    _xlpm.ints,   _xlfn.HSTACK(R1070,U1070,X1070,AA1070,AD1070,AG1070),
    _xlpm.slopes, _xlfn.HSTACK(Q1070,T1070,W1070,Z1070,AC1070,AF1070),
    _xlpm.limit,  -0.00001*_xlpm.slopes + 0.1086*_xlpm.slopes + 63.253,
    _xlpm.mask,   (_xlpm.vals&gt;=0) * (_xlpm.ints&lt;=_xlpm.limit),
    _xlpm.validVals, _xlfn._xlws.FILTER(_xlpm.vals, _xlpm.mask),
    _xlpm.minVal, MIN(_xlpm.validVals),
    IFERROR( _xlfn.XMATCH(_xlpm.minVal, _xlpm.vals), "" )
)</f>
        <v>2</v>
      </c>
      <c r="AJ1070" cm="1">
        <f t="array" ref="AJ1070">_xlfn.LET(
    _xlpm.vals, CHOOSE({1,2,3,4,5,6}, S1070, V1070, Y1070, AB1070, AE1070, AH1070),
    _xlpm.slopes, CHOOSE({1,2,3,4,5,6}, Q1070, T1070, W1070, Z1070, AC1070, AF1070),
    _xlpm.ints, CHOOSE({1,2,3,4,5,6}, R1070, U1070, X1070, AA1070, AD1070, AG1070),
    _xlpm.limit, -0.00001*_xlpm.slopes + 0.1086*_xlpm.slopes + 63.253,
    _xlpm.valid, (_xlpm.vals &gt;= 0) * (_xlpm.ints &lt;= _xlpm.limit),
    _xlpm.target, MIN(_xlfn._xlws.FILTER(_xlpm.vals, _xlpm.valid)),
    IFERROR(
        _xlfn.XLOOKUP(_xlpm.target, _xlpm.vals, _xlpm.vals),
        CHOOSE({1,2,3,4,5,6}, S$1, V$1, Y$1, AB$1, AE$1, AH$1)
    )
)</f>
        <v>0.33258721787619194</v>
      </c>
    </row>
    <row r="1071" spans="9:36" x14ac:dyDescent="0.45">
      <c r="I1071">
        <v>1069</v>
      </c>
      <c r="J1071">
        <v>7.8</v>
      </c>
      <c r="K1071">
        <f t="shared" si="369"/>
        <v>7.8</v>
      </c>
      <c r="L1071">
        <f t="shared" si="368"/>
        <v>2.1666666666666666E-3</v>
      </c>
      <c r="M1071">
        <v>0.12</v>
      </c>
      <c r="N1071">
        <f t="shared" si="370"/>
        <v>0.12</v>
      </c>
      <c r="O1071">
        <f t="shared" si="371"/>
        <v>101.36242573999031</v>
      </c>
      <c r="P1071">
        <f t="shared" si="372"/>
        <v>324.35976236796904</v>
      </c>
      <c r="Q1071">
        <f t="shared" si="373"/>
        <v>1485.5677116452982</v>
      </c>
      <c r="R1071">
        <f t="shared" si="374"/>
        <v>0.77136543913741917</v>
      </c>
      <c r="S1071">
        <f t="shared" si="375"/>
        <v>0.41357927996445715</v>
      </c>
      <c r="T1071">
        <f t="shared" si="376"/>
        <v>6000</v>
      </c>
      <c r="U1071">
        <f t="shared" si="377"/>
        <v>0.19098593171027442</v>
      </c>
      <c r="V1071">
        <f t="shared" si="378"/>
        <v>6.701190660198594</v>
      </c>
      <c r="W1071">
        <f t="shared" si="379"/>
        <v>6000</v>
      </c>
      <c r="X1071">
        <f t="shared" si="380"/>
        <v>0.19098593171027442</v>
      </c>
      <c r="Y1071">
        <f t="shared" si="381"/>
        <v>6.701190660198594</v>
      </c>
      <c r="Z1071">
        <f t="shared" si="382"/>
        <v>6000</v>
      </c>
      <c r="AA1071">
        <f t="shared" si="383"/>
        <v>0.19098593171027442</v>
      </c>
      <c r="AB1071">
        <f t="shared" si="384"/>
        <v>6.701190660198594</v>
      </c>
      <c r="AC1071">
        <f t="shared" si="385"/>
        <v>6000</v>
      </c>
      <c r="AD1071">
        <f t="shared" si="386"/>
        <v>0.19098593171027442</v>
      </c>
      <c r="AE1071">
        <f t="shared" si="387"/>
        <v>6.701190660198594</v>
      </c>
      <c r="AF1071">
        <f t="shared" si="388"/>
        <v>6000</v>
      </c>
      <c r="AG1071">
        <f t="shared" si="389"/>
        <v>0.19098593171027442</v>
      </c>
      <c r="AH1071">
        <f t="shared" si="390"/>
        <v>6.701190660198594</v>
      </c>
      <c r="AI1071" cm="1">
        <f t="array" ref="AI1071">_xlfn.LET(
    _xlpm.vals,   _xlfn.HSTACK(S1071,V1071,Y1071,AB1071,AE1071,AH1071),
    _xlpm.ints,   _xlfn.HSTACK(R1071,U1071,X1071,AA1071,AD1071,AG1071),
    _xlpm.slopes, _xlfn.HSTACK(Q1071,T1071,W1071,Z1071,AC1071,AF1071),
    _xlpm.limit,  -0.00001*_xlpm.slopes + 0.1086*_xlpm.slopes + 63.253,
    _xlpm.mask,   (_xlpm.vals&gt;=0) * (_xlpm.ints&lt;=_xlpm.limit),
    _xlpm.validVals, _xlfn._xlws.FILTER(_xlpm.vals, _xlpm.mask),
    _xlpm.minVal, MIN(_xlpm.validVals),
    IFERROR( _xlfn.XMATCH(_xlpm.minVal, _xlpm.vals), "" )
)</f>
        <v>1</v>
      </c>
      <c r="AJ1071" cm="1">
        <f t="array" ref="AJ1071">_xlfn.LET(
    _xlpm.vals, CHOOSE({1,2,3,4,5,6}, S1071, V1071, Y1071, AB1071, AE1071, AH1071),
    _xlpm.slopes, CHOOSE({1,2,3,4,5,6}, Q1071, T1071, W1071, Z1071, AC1071, AF1071),
    _xlpm.ints, CHOOSE({1,2,3,4,5,6}, R1071, U1071, X1071, AA1071, AD1071, AG1071),
    _xlpm.limit, -0.00001*_xlpm.slopes + 0.1086*_xlpm.slopes + 63.253,
    _xlpm.valid, (_xlpm.vals &gt;= 0) * (_xlpm.ints &lt;= _xlpm.limit),
    _xlpm.target, MIN(_xlfn._xlws.FILTER(_xlpm.vals, _xlpm.valid)),
    IFERROR(
        _xlfn.XLOOKUP(_xlpm.target, _xlpm.vals, _xlpm.vals),
        CHOOSE({1,2,3,4,5,6}, S$1, V$1, Y$1, AB$1, AE$1, AH$1)
    )
)</f>
        <v>0.41357927996445715</v>
      </c>
    </row>
    <row r="1072" spans="9:36" x14ac:dyDescent="0.45">
      <c r="I1072">
        <v>1070</v>
      </c>
      <c r="J1072">
        <v>6.5</v>
      </c>
      <c r="K1072">
        <f t="shared" si="369"/>
        <v>6.5</v>
      </c>
      <c r="L1072">
        <f t="shared" si="368"/>
        <v>1.8055555555555555E-3</v>
      </c>
      <c r="M1072">
        <v>0.63</v>
      </c>
      <c r="N1072">
        <f t="shared" si="370"/>
        <v>0.63</v>
      </c>
      <c r="O1072">
        <f t="shared" si="371"/>
        <v>84.468688116658598</v>
      </c>
      <c r="P1072">
        <f t="shared" si="372"/>
        <v>270.29980197330752</v>
      </c>
      <c r="Q1072">
        <f t="shared" si="373"/>
        <v>1237.9730930377484</v>
      </c>
      <c r="R1072">
        <f t="shared" si="374"/>
        <v>4.8596022665657417</v>
      </c>
      <c r="S1072">
        <f t="shared" si="375"/>
        <v>0.39846095338100018</v>
      </c>
      <c r="T1072">
        <f t="shared" si="376"/>
        <v>6000</v>
      </c>
      <c r="U1072">
        <f t="shared" si="377"/>
        <v>1.0026761414789407</v>
      </c>
      <c r="V1072">
        <f t="shared" si="378"/>
        <v>6.7062134072214974</v>
      </c>
      <c r="W1072">
        <f t="shared" si="379"/>
        <v>6000</v>
      </c>
      <c r="X1072">
        <f t="shared" si="380"/>
        <v>1.0026761414789407</v>
      </c>
      <c r="Y1072">
        <f t="shared" si="381"/>
        <v>6.7062134072214974</v>
      </c>
      <c r="Z1072">
        <f t="shared" si="382"/>
        <v>6000</v>
      </c>
      <c r="AA1072">
        <f t="shared" si="383"/>
        <v>1.0026761414789407</v>
      </c>
      <c r="AB1072">
        <f t="shared" si="384"/>
        <v>6.7062134072214974</v>
      </c>
      <c r="AC1072">
        <f t="shared" si="385"/>
        <v>6000</v>
      </c>
      <c r="AD1072">
        <f t="shared" si="386"/>
        <v>1.0026761414789407</v>
      </c>
      <c r="AE1072">
        <f t="shared" si="387"/>
        <v>6.7062134072214974</v>
      </c>
      <c r="AF1072">
        <f t="shared" si="388"/>
        <v>6000</v>
      </c>
      <c r="AG1072">
        <f t="shared" si="389"/>
        <v>1.0026761414789407</v>
      </c>
      <c r="AH1072">
        <f t="shared" si="390"/>
        <v>6.7062134072214974</v>
      </c>
      <c r="AI1072" cm="1">
        <f t="array" ref="AI1072">_xlfn.LET(
    _xlpm.vals,   _xlfn.HSTACK(S1072,V1072,Y1072,AB1072,AE1072,AH1072),
    _xlpm.ints,   _xlfn.HSTACK(R1072,U1072,X1072,AA1072,AD1072,AG1072),
    _xlpm.slopes, _xlfn.HSTACK(Q1072,T1072,W1072,Z1072,AC1072,AF1072),
    _xlpm.limit,  -0.00001*_xlpm.slopes + 0.1086*_xlpm.slopes + 63.253,
    _xlpm.mask,   (_xlpm.vals&gt;=0) * (_xlpm.ints&lt;=_xlpm.limit),
    _xlpm.validVals, _xlfn._xlws.FILTER(_xlpm.vals, _xlpm.mask),
    _xlpm.minVal, MIN(_xlpm.validVals),
    IFERROR( _xlfn.XMATCH(_xlpm.minVal, _xlpm.vals), "" )
)</f>
        <v>1</v>
      </c>
      <c r="AJ1072" cm="1">
        <f t="array" ref="AJ1072">_xlfn.LET(
    _xlpm.vals, CHOOSE({1,2,3,4,5,6}, S1072, V1072, Y1072, AB1072, AE1072, AH1072),
    _xlpm.slopes, CHOOSE({1,2,3,4,5,6}, Q1072, T1072, W1072, Z1072, AC1072, AF1072),
    _xlpm.ints, CHOOSE({1,2,3,4,5,6}, R1072, U1072, X1072, AA1072, AD1072, AG1072),
    _xlpm.limit, -0.00001*_xlpm.slopes + 0.1086*_xlpm.slopes + 63.253,
    _xlpm.valid, (_xlpm.vals &gt;= 0) * (_xlpm.ints &lt;= _xlpm.limit),
    _xlpm.target, MIN(_xlfn._xlws.FILTER(_xlpm.vals, _xlpm.valid)),
    IFERROR(
        _xlfn.XLOOKUP(_xlpm.target, _xlpm.vals, _xlpm.vals),
        CHOOSE({1,2,3,4,5,6}, S$1, V$1, Y$1, AB$1, AE$1, AH$1)
    )
)</f>
        <v>0.39846095338100018</v>
      </c>
    </row>
    <row r="1073" spans="9:36" x14ac:dyDescent="0.45">
      <c r="I1073">
        <v>1071</v>
      </c>
      <c r="J1073">
        <v>4.8</v>
      </c>
      <c r="K1073">
        <f t="shared" si="369"/>
        <v>4.8</v>
      </c>
      <c r="L1073">
        <f t="shared" si="368"/>
        <v>1.3333333333333333E-3</v>
      </c>
      <c r="M1073">
        <v>0.48</v>
      </c>
      <c r="N1073">
        <f t="shared" si="370"/>
        <v>0.48</v>
      </c>
      <c r="O1073">
        <f t="shared" si="371"/>
        <v>62.376877378455568</v>
      </c>
      <c r="P1073">
        <f t="shared" si="372"/>
        <v>199.60600761105783</v>
      </c>
      <c r="Q1073">
        <f t="shared" si="373"/>
        <v>1000</v>
      </c>
      <c r="R1073">
        <f t="shared" si="374"/>
        <v>4.5836623610465859</v>
      </c>
      <c r="S1073">
        <f t="shared" si="375"/>
        <v>0.34732388290899496</v>
      </c>
      <c r="T1073">
        <f t="shared" si="376"/>
        <v>6000</v>
      </c>
      <c r="U1073">
        <f t="shared" si="377"/>
        <v>0.76394372684109768</v>
      </c>
      <c r="V1073">
        <f t="shared" si="378"/>
        <v>6.7047133345763807</v>
      </c>
      <c r="W1073">
        <f t="shared" si="379"/>
        <v>6000</v>
      </c>
      <c r="X1073">
        <f t="shared" si="380"/>
        <v>0.76394372684109768</v>
      </c>
      <c r="Y1073">
        <f t="shared" si="381"/>
        <v>6.7047133345763807</v>
      </c>
      <c r="Z1073">
        <f t="shared" si="382"/>
        <v>6000</v>
      </c>
      <c r="AA1073">
        <f t="shared" si="383"/>
        <v>0.76394372684109768</v>
      </c>
      <c r="AB1073">
        <f t="shared" si="384"/>
        <v>6.7047133345763807</v>
      </c>
      <c r="AC1073">
        <f t="shared" si="385"/>
        <v>6000</v>
      </c>
      <c r="AD1073">
        <f t="shared" si="386"/>
        <v>0.76394372684109768</v>
      </c>
      <c r="AE1073">
        <f t="shared" si="387"/>
        <v>6.7047133345763807</v>
      </c>
      <c r="AF1073">
        <f t="shared" si="388"/>
        <v>6000</v>
      </c>
      <c r="AG1073">
        <f t="shared" si="389"/>
        <v>0.76394372684109768</v>
      </c>
      <c r="AH1073">
        <f t="shared" si="390"/>
        <v>6.7047133345763807</v>
      </c>
      <c r="AI1073" cm="1">
        <f t="array" ref="AI1073">_xlfn.LET(
    _xlpm.vals,   _xlfn.HSTACK(S1073,V1073,Y1073,AB1073,AE1073,AH1073),
    _xlpm.ints,   _xlfn.HSTACK(R1073,U1073,X1073,AA1073,AD1073,AG1073),
    _xlpm.slopes, _xlfn.HSTACK(Q1073,T1073,W1073,Z1073,AC1073,AF1073),
    _xlpm.limit,  -0.00001*_xlpm.slopes + 0.1086*_xlpm.slopes + 63.253,
    _xlpm.mask,   (_xlpm.vals&gt;=0) * (_xlpm.ints&lt;=_xlpm.limit),
    _xlpm.validVals, _xlfn._xlws.FILTER(_xlpm.vals, _xlpm.mask),
    _xlpm.minVal, MIN(_xlpm.validVals),
    IFERROR( _xlfn.XMATCH(_xlpm.minVal, _xlpm.vals), "" )
)</f>
        <v>1</v>
      </c>
      <c r="AJ1073" cm="1">
        <f t="array" ref="AJ1073">_xlfn.LET(
    _xlpm.vals, CHOOSE({1,2,3,4,5,6}, S1073, V1073, Y1073, AB1073, AE1073, AH1073),
    _xlpm.slopes, CHOOSE({1,2,3,4,5,6}, Q1073, T1073, W1073, Z1073, AC1073, AF1073),
    _xlpm.ints, CHOOSE({1,2,3,4,5,6}, R1073, U1073, X1073, AA1073, AD1073, AG1073),
    _xlpm.limit, -0.00001*_xlpm.slopes + 0.1086*_xlpm.slopes + 63.253,
    _xlpm.valid, (_xlpm.vals &gt;= 0) * (_xlpm.ints &lt;= _xlpm.limit),
    _xlpm.target, MIN(_xlfn._xlws.FILTER(_xlpm.vals, _xlpm.valid)),
    IFERROR(
        _xlfn.XLOOKUP(_xlpm.target, _xlpm.vals, _xlpm.vals),
        CHOOSE({1,2,3,4,5,6}, S$1, V$1, Y$1, AB$1, AE$1, AH$1)
    )
)</f>
        <v>0.34732388290899496</v>
      </c>
    </row>
    <row r="1074" spans="9:36" x14ac:dyDescent="0.45">
      <c r="I1074">
        <v>1072</v>
      </c>
      <c r="J1074">
        <v>3.4</v>
      </c>
      <c r="K1074">
        <f t="shared" si="369"/>
        <v>3.4</v>
      </c>
      <c r="L1074">
        <f t="shared" si="368"/>
        <v>9.4444444444444437E-4</v>
      </c>
      <c r="M1074">
        <v>0.46</v>
      </c>
      <c r="N1074">
        <f t="shared" si="370"/>
        <v>0.46</v>
      </c>
      <c r="O1074">
        <f t="shared" si="371"/>
        <v>44.183621476406032</v>
      </c>
      <c r="P1074">
        <f t="shared" si="372"/>
        <v>141.3875887244993</v>
      </c>
      <c r="Q1074">
        <f t="shared" si="373"/>
        <v>1000</v>
      </c>
      <c r="R1074">
        <f t="shared" si="374"/>
        <v>4.3926764293363121</v>
      </c>
      <c r="S1074">
        <f t="shared" si="375"/>
        <v>0.34613031128109145</v>
      </c>
      <c r="T1074">
        <f t="shared" si="376"/>
        <v>6000</v>
      </c>
      <c r="U1074">
        <f t="shared" si="377"/>
        <v>0.73211273822271861</v>
      </c>
      <c r="V1074">
        <f t="shared" si="378"/>
        <v>6.704514758454228</v>
      </c>
      <c r="W1074">
        <f t="shared" si="379"/>
        <v>6000</v>
      </c>
      <c r="X1074">
        <f t="shared" si="380"/>
        <v>0.73211273822271861</v>
      </c>
      <c r="Y1074">
        <f t="shared" si="381"/>
        <v>6.704514758454228</v>
      </c>
      <c r="Z1074">
        <f t="shared" si="382"/>
        <v>6000</v>
      </c>
      <c r="AA1074">
        <f t="shared" si="383"/>
        <v>0.73211273822271861</v>
      </c>
      <c r="AB1074">
        <f t="shared" si="384"/>
        <v>6.704514758454228</v>
      </c>
      <c r="AC1074">
        <f t="shared" si="385"/>
        <v>6000</v>
      </c>
      <c r="AD1074">
        <f t="shared" si="386"/>
        <v>0.73211273822271861</v>
      </c>
      <c r="AE1074">
        <f t="shared" si="387"/>
        <v>6.704514758454228</v>
      </c>
      <c r="AF1074">
        <f t="shared" si="388"/>
        <v>6000</v>
      </c>
      <c r="AG1074">
        <f t="shared" si="389"/>
        <v>0.73211273822271861</v>
      </c>
      <c r="AH1074">
        <f t="shared" si="390"/>
        <v>6.704514758454228</v>
      </c>
      <c r="AI1074" cm="1">
        <f t="array" ref="AI1074">_xlfn.LET(
    _xlpm.vals,   _xlfn.HSTACK(S1074,V1074,Y1074,AB1074,AE1074,AH1074),
    _xlpm.ints,   _xlfn.HSTACK(R1074,U1074,X1074,AA1074,AD1074,AG1074),
    _xlpm.slopes, _xlfn.HSTACK(Q1074,T1074,W1074,Z1074,AC1074,AF1074),
    _xlpm.limit,  -0.00001*_xlpm.slopes + 0.1086*_xlpm.slopes + 63.253,
    _xlpm.mask,   (_xlpm.vals&gt;=0) * (_xlpm.ints&lt;=_xlpm.limit),
    _xlpm.validVals, _xlfn._xlws.FILTER(_xlpm.vals, _xlpm.mask),
    _xlpm.minVal, MIN(_xlpm.validVals),
    IFERROR( _xlfn.XMATCH(_xlpm.minVal, _xlpm.vals), "" )
)</f>
        <v>1</v>
      </c>
      <c r="AJ1074" cm="1">
        <f t="array" ref="AJ1074">_xlfn.LET(
    _xlpm.vals, CHOOSE({1,2,3,4,5,6}, S1074, V1074, Y1074, AB1074, AE1074, AH1074),
    _xlpm.slopes, CHOOSE({1,2,3,4,5,6}, Q1074, T1074, W1074, Z1074, AC1074, AF1074),
    _xlpm.ints, CHOOSE({1,2,3,4,5,6}, R1074, U1074, X1074, AA1074, AD1074, AG1074),
    _xlpm.limit, -0.00001*_xlpm.slopes + 0.1086*_xlpm.slopes + 63.253,
    _xlpm.valid, (_xlpm.vals &gt;= 0) * (_xlpm.ints &lt;= _xlpm.limit),
    _xlpm.target, MIN(_xlfn._xlws.FILTER(_xlpm.vals, _xlpm.valid)),
    IFERROR(
        _xlfn.XLOOKUP(_xlpm.target, _xlpm.vals, _xlpm.vals),
        CHOOSE({1,2,3,4,5,6}, S$1, V$1, Y$1, AB$1, AE$1, AH$1)
    )
)</f>
        <v>0.34613031128109145</v>
      </c>
    </row>
    <row r="1075" spans="9:36" x14ac:dyDescent="0.45">
      <c r="I1075">
        <v>1073</v>
      </c>
      <c r="J1075">
        <v>2.2999999999999998</v>
      </c>
      <c r="K1075">
        <f t="shared" si="369"/>
        <v>2.2999999999999998</v>
      </c>
      <c r="L1075">
        <f t="shared" si="368"/>
        <v>6.3888888888888882E-4</v>
      </c>
      <c r="M1075">
        <v>1.07</v>
      </c>
      <c r="N1075">
        <f t="shared" si="370"/>
        <v>1.07</v>
      </c>
      <c r="O1075">
        <f t="shared" si="371"/>
        <v>29.888920410509964</v>
      </c>
      <c r="P1075">
        <f t="shared" si="372"/>
        <v>95.644545313631895</v>
      </c>
      <c r="Q1075">
        <f t="shared" si="373"/>
        <v>1000</v>
      </c>
      <c r="R1075">
        <f t="shared" si="374"/>
        <v>10.217747346499682</v>
      </c>
      <c r="S1075">
        <f t="shared" si="375"/>
        <v>0.38447243699226596</v>
      </c>
      <c r="T1075">
        <f t="shared" si="376"/>
        <v>6000</v>
      </c>
      <c r="U1075">
        <f t="shared" si="377"/>
        <v>1.7029578910832801</v>
      </c>
      <c r="V1075">
        <f t="shared" si="378"/>
        <v>6.7107228551073854</v>
      </c>
      <c r="W1075">
        <f t="shared" si="379"/>
        <v>6000</v>
      </c>
      <c r="X1075">
        <f t="shared" si="380"/>
        <v>1.7029578910832801</v>
      </c>
      <c r="Y1075">
        <f t="shared" si="381"/>
        <v>6.7107228551073854</v>
      </c>
      <c r="Z1075">
        <f t="shared" si="382"/>
        <v>6000</v>
      </c>
      <c r="AA1075">
        <f t="shared" si="383"/>
        <v>1.7029578910832801</v>
      </c>
      <c r="AB1075">
        <f t="shared" si="384"/>
        <v>6.7107228551073854</v>
      </c>
      <c r="AC1075">
        <f t="shared" si="385"/>
        <v>6000</v>
      </c>
      <c r="AD1075">
        <f t="shared" si="386"/>
        <v>1.7029578910832801</v>
      </c>
      <c r="AE1075">
        <f t="shared" si="387"/>
        <v>6.7107228551073854</v>
      </c>
      <c r="AF1075">
        <f t="shared" si="388"/>
        <v>6000</v>
      </c>
      <c r="AG1075">
        <f t="shared" si="389"/>
        <v>1.7029578910832801</v>
      </c>
      <c r="AH1075">
        <f t="shared" si="390"/>
        <v>6.7107228551073854</v>
      </c>
      <c r="AI1075" cm="1">
        <f t="array" ref="AI1075">_xlfn.LET(
    _xlpm.vals,   _xlfn.HSTACK(S1075,V1075,Y1075,AB1075,AE1075,AH1075),
    _xlpm.ints,   _xlfn.HSTACK(R1075,U1075,X1075,AA1075,AD1075,AG1075),
    _xlpm.slopes, _xlfn.HSTACK(Q1075,T1075,W1075,Z1075,AC1075,AF1075),
    _xlpm.limit,  -0.00001*_xlpm.slopes + 0.1086*_xlpm.slopes + 63.253,
    _xlpm.mask,   (_xlpm.vals&gt;=0) * (_xlpm.ints&lt;=_xlpm.limit),
    _xlpm.validVals, _xlfn._xlws.FILTER(_xlpm.vals, _xlpm.mask),
    _xlpm.minVal, MIN(_xlpm.validVals),
    IFERROR( _xlfn.XMATCH(_xlpm.minVal, _xlpm.vals), "" )
)</f>
        <v>1</v>
      </c>
      <c r="AJ1075" cm="1">
        <f t="array" ref="AJ1075">_xlfn.LET(
    _xlpm.vals, CHOOSE({1,2,3,4,5,6}, S1075, V1075, Y1075, AB1075, AE1075, AH1075),
    _xlpm.slopes, CHOOSE({1,2,3,4,5,6}, Q1075, T1075, W1075, Z1075, AC1075, AF1075),
    _xlpm.ints, CHOOSE({1,2,3,4,5,6}, R1075, U1075, X1075, AA1075, AD1075, AG1075),
    _xlpm.limit, -0.00001*_xlpm.slopes + 0.1086*_xlpm.slopes + 63.253,
    _xlpm.valid, (_xlpm.vals &gt;= 0) * (_xlpm.ints &lt;= _xlpm.limit),
    _xlpm.target, MIN(_xlfn._xlws.FILTER(_xlpm.vals, _xlpm.valid)),
    IFERROR(
        _xlfn.XLOOKUP(_xlpm.target, _xlpm.vals, _xlpm.vals),
        CHOOSE({1,2,3,4,5,6}, S$1, V$1, Y$1, AB$1, AE$1, AH$1)
    )
)</f>
        <v>0.38447243699226596</v>
      </c>
    </row>
    <row r="1076" spans="9:36" x14ac:dyDescent="0.45">
      <c r="I1076">
        <v>1074</v>
      </c>
      <c r="J1076">
        <v>1.1000000000000001</v>
      </c>
      <c r="K1076">
        <f t="shared" si="369"/>
        <v>1.1000000000000001</v>
      </c>
      <c r="L1076">
        <f t="shared" si="368"/>
        <v>3.055555555555556E-4</v>
      </c>
      <c r="M1076">
        <v>0.9</v>
      </c>
      <c r="N1076">
        <f t="shared" si="370"/>
        <v>0.9</v>
      </c>
      <c r="O1076">
        <f t="shared" si="371"/>
        <v>14.294701065896071</v>
      </c>
      <c r="P1076">
        <f t="shared" si="372"/>
        <v>45.743043410867429</v>
      </c>
      <c r="Q1076">
        <f t="shared" si="373"/>
        <v>1000</v>
      </c>
      <c r="R1076">
        <f t="shared" si="374"/>
        <v>8.5943669269623495</v>
      </c>
      <c r="S1076">
        <f t="shared" si="375"/>
        <v>0.37339361576315994</v>
      </c>
      <c r="T1076">
        <f t="shared" si="376"/>
        <v>6000</v>
      </c>
      <c r="U1076">
        <f t="shared" si="377"/>
        <v>1.432394487827058</v>
      </c>
      <c r="V1076">
        <f t="shared" si="378"/>
        <v>6.7089612815969923</v>
      </c>
      <c r="W1076">
        <f t="shared" si="379"/>
        <v>6000</v>
      </c>
      <c r="X1076">
        <f t="shared" si="380"/>
        <v>1.432394487827058</v>
      </c>
      <c r="Y1076">
        <f t="shared" si="381"/>
        <v>6.7089612815969923</v>
      </c>
      <c r="Z1076">
        <f t="shared" si="382"/>
        <v>6000</v>
      </c>
      <c r="AA1076">
        <f t="shared" si="383"/>
        <v>1.432394487827058</v>
      </c>
      <c r="AB1076">
        <f t="shared" si="384"/>
        <v>6.7089612815969923</v>
      </c>
      <c r="AC1076">
        <f t="shared" si="385"/>
        <v>6000</v>
      </c>
      <c r="AD1076">
        <f t="shared" si="386"/>
        <v>1.432394487827058</v>
      </c>
      <c r="AE1076">
        <f t="shared" si="387"/>
        <v>6.7089612815969923</v>
      </c>
      <c r="AF1076">
        <f t="shared" si="388"/>
        <v>6000</v>
      </c>
      <c r="AG1076">
        <f t="shared" si="389"/>
        <v>1.432394487827058</v>
      </c>
      <c r="AH1076">
        <f t="shared" si="390"/>
        <v>6.7089612815969923</v>
      </c>
      <c r="AI1076" cm="1">
        <f t="array" ref="AI1076">_xlfn.LET(
    _xlpm.vals,   _xlfn.HSTACK(S1076,V1076,Y1076,AB1076,AE1076,AH1076),
    _xlpm.ints,   _xlfn.HSTACK(R1076,U1076,X1076,AA1076,AD1076,AG1076),
    _xlpm.slopes, _xlfn.HSTACK(Q1076,T1076,W1076,Z1076,AC1076,AF1076),
    _xlpm.limit,  -0.00001*_xlpm.slopes + 0.1086*_xlpm.slopes + 63.253,
    _xlpm.mask,   (_xlpm.vals&gt;=0) * (_xlpm.ints&lt;=_xlpm.limit),
    _xlpm.validVals, _xlfn._xlws.FILTER(_xlpm.vals, _xlpm.mask),
    _xlpm.minVal, MIN(_xlpm.validVals),
    IFERROR( _xlfn.XMATCH(_xlpm.minVal, _xlpm.vals), "" )
)</f>
        <v>1</v>
      </c>
      <c r="AJ1076" cm="1">
        <f t="array" ref="AJ1076">_xlfn.LET(
    _xlpm.vals, CHOOSE({1,2,3,4,5,6}, S1076, V1076, Y1076, AB1076, AE1076, AH1076),
    _xlpm.slopes, CHOOSE({1,2,3,4,5,6}, Q1076, T1076, W1076, Z1076, AC1076, AF1076),
    _xlpm.ints, CHOOSE({1,2,3,4,5,6}, R1076, U1076, X1076, AA1076, AD1076, AG1076),
    _xlpm.limit, -0.00001*_xlpm.slopes + 0.1086*_xlpm.slopes + 63.253,
    _xlpm.valid, (_xlpm.vals &gt;= 0) * (_xlpm.ints &lt;= _xlpm.limit),
    _xlpm.target, MIN(_xlfn._xlws.FILTER(_xlpm.vals, _xlpm.valid)),
    IFERROR(
        _xlfn.XLOOKUP(_xlpm.target, _xlpm.vals, _xlpm.vals),
        CHOOSE({1,2,3,4,5,6}, S$1, V$1, Y$1, AB$1, AE$1, AH$1)
    )
)</f>
        <v>0.37339361576315994</v>
      </c>
    </row>
    <row r="1077" spans="9:36" x14ac:dyDescent="0.45">
      <c r="I1077">
        <v>1075</v>
      </c>
      <c r="J1077">
        <v>-0.1</v>
      </c>
      <c r="K1077">
        <f t="shared" si="369"/>
        <v>0</v>
      </c>
      <c r="L1077">
        <f t="shared" si="368"/>
        <v>0</v>
      </c>
      <c r="M1077">
        <v>1.24</v>
      </c>
      <c r="N1077">
        <f t="shared" si="370"/>
        <v>1.24</v>
      </c>
      <c r="O1077">
        <f t="shared" si="371"/>
        <v>0</v>
      </c>
      <c r="P1077">
        <f t="shared" si="372"/>
        <v>0</v>
      </c>
      <c r="Q1077">
        <f t="shared" si="373"/>
        <v>1000</v>
      </c>
      <c r="R1077">
        <f t="shared" si="374"/>
        <v>11.841127766037014</v>
      </c>
      <c r="S1077">
        <f t="shared" si="375"/>
        <v>0.39584152677976886</v>
      </c>
      <c r="T1077">
        <f t="shared" si="376"/>
        <v>6000</v>
      </c>
      <c r="U1077">
        <f t="shared" si="377"/>
        <v>1.9735212943395022</v>
      </c>
      <c r="V1077">
        <f t="shared" si="378"/>
        <v>6.7125086662998772</v>
      </c>
      <c r="W1077">
        <f t="shared" si="379"/>
        <v>6000</v>
      </c>
      <c r="X1077">
        <f t="shared" si="380"/>
        <v>1.9735212943395022</v>
      </c>
      <c r="Y1077">
        <f t="shared" si="381"/>
        <v>6.7125086662998772</v>
      </c>
      <c r="Z1077">
        <f t="shared" si="382"/>
        <v>6000</v>
      </c>
      <c r="AA1077">
        <f t="shared" si="383"/>
        <v>1.9735212943395022</v>
      </c>
      <c r="AB1077">
        <f t="shared" si="384"/>
        <v>6.7125086662998772</v>
      </c>
      <c r="AC1077">
        <f t="shared" si="385"/>
        <v>6000</v>
      </c>
      <c r="AD1077">
        <f t="shared" si="386"/>
        <v>1.9735212943395022</v>
      </c>
      <c r="AE1077">
        <f t="shared" si="387"/>
        <v>6.7125086662998772</v>
      </c>
      <c r="AF1077">
        <f t="shared" si="388"/>
        <v>6000</v>
      </c>
      <c r="AG1077">
        <f t="shared" si="389"/>
        <v>1.9735212943395022</v>
      </c>
      <c r="AH1077">
        <f t="shared" si="390"/>
        <v>6.7125086662998772</v>
      </c>
      <c r="AI1077" cm="1">
        <f t="array" ref="AI1077">_xlfn.LET(
    _xlpm.vals,   _xlfn.HSTACK(S1077,V1077,Y1077,AB1077,AE1077,AH1077),
    _xlpm.ints,   _xlfn.HSTACK(R1077,U1077,X1077,AA1077,AD1077,AG1077),
    _xlpm.slopes, _xlfn.HSTACK(Q1077,T1077,W1077,Z1077,AC1077,AF1077),
    _xlpm.limit,  -0.00001*_xlpm.slopes + 0.1086*_xlpm.slopes + 63.253,
    _xlpm.mask,   (_xlpm.vals&gt;=0) * (_xlpm.ints&lt;=_xlpm.limit),
    _xlpm.validVals, _xlfn._xlws.FILTER(_xlpm.vals, _xlpm.mask),
    _xlpm.minVal, MIN(_xlpm.validVals),
    IFERROR( _xlfn.XMATCH(_xlpm.minVal, _xlpm.vals), "" )
)</f>
        <v>1</v>
      </c>
      <c r="AJ1077" cm="1">
        <f t="array" ref="AJ1077">_xlfn.LET(
    _xlpm.vals, CHOOSE({1,2,3,4,5,6}, S1077, V1077, Y1077, AB1077, AE1077, AH1077),
    _xlpm.slopes, CHOOSE({1,2,3,4,5,6}, Q1077, T1077, W1077, Z1077, AC1077, AF1077),
    _xlpm.ints, CHOOSE({1,2,3,4,5,6}, R1077, U1077, X1077, AA1077, AD1077, AG1077),
    _xlpm.limit, -0.00001*_xlpm.slopes + 0.1086*_xlpm.slopes + 63.253,
    _xlpm.valid, (_xlpm.vals &gt;= 0) * (_xlpm.ints &lt;= _xlpm.limit),
    _xlpm.target, MIN(_xlfn._xlws.FILTER(_xlpm.vals, _xlpm.valid)),
    IFERROR(
        _xlfn.XLOOKUP(_xlpm.target, _xlpm.vals, _xlpm.vals),
        CHOOSE({1,2,3,4,5,6}, S$1, V$1, Y$1, AB$1, AE$1, AH$1)
    )
)</f>
        <v>0.39584152677976886</v>
      </c>
    </row>
    <row r="1078" spans="9:36" x14ac:dyDescent="0.45">
      <c r="I1078">
        <v>1076</v>
      </c>
      <c r="J1078">
        <v>0</v>
      </c>
      <c r="K1078">
        <f t="shared" si="369"/>
        <v>0</v>
      </c>
      <c r="L1078">
        <f t="shared" si="368"/>
        <v>0</v>
      </c>
      <c r="M1078">
        <v>0.73</v>
      </c>
      <c r="N1078">
        <f t="shared" si="370"/>
        <v>0.73</v>
      </c>
      <c r="O1078">
        <f t="shared" si="371"/>
        <v>0</v>
      </c>
      <c r="P1078">
        <f t="shared" si="372"/>
        <v>0</v>
      </c>
      <c r="Q1078">
        <f t="shared" si="373"/>
        <v>1000</v>
      </c>
      <c r="R1078">
        <f t="shared" si="374"/>
        <v>6.9709865074250166</v>
      </c>
      <c r="S1078">
        <f t="shared" si="375"/>
        <v>0.36261399032326708</v>
      </c>
      <c r="T1078">
        <f t="shared" si="376"/>
        <v>6000</v>
      </c>
      <c r="U1078">
        <f t="shared" si="377"/>
        <v>1.1618310845708359</v>
      </c>
      <c r="V1078">
        <f t="shared" si="378"/>
        <v>6.707223987098466</v>
      </c>
      <c r="W1078">
        <f t="shared" si="379"/>
        <v>6000</v>
      </c>
      <c r="X1078">
        <f t="shared" si="380"/>
        <v>1.1618310845708359</v>
      </c>
      <c r="Y1078">
        <f t="shared" si="381"/>
        <v>6.707223987098466</v>
      </c>
      <c r="Z1078">
        <f t="shared" si="382"/>
        <v>6000</v>
      </c>
      <c r="AA1078">
        <f t="shared" si="383"/>
        <v>1.1618310845708359</v>
      </c>
      <c r="AB1078">
        <f t="shared" si="384"/>
        <v>6.707223987098466</v>
      </c>
      <c r="AC1078">
        <f t="shared" si="385"/>
        <v>6000</v>
      </c>
      <c r="AD1078">
        <f t="shared" si="386"/>
        <v>1.1618310845708359</v>
      </c>
      <c r="AE1078">
        <f t="shared" si="387"/>
        <v>6.707223987098466</v>
      </c>
      <c r="AF1078">
        <f t="shared" si="388"/>
        <v>6000</v>
      </c>
      <c r="AG1078">
        <f t="shared" si="389"/>
        <v>1.1618310845708359</v>
      </c>
      <c r="AH1078">
        <f t="shared" si="390"/>
        <v>6.707223987098466</v>
      </c>
      <c r="AI1078" cm="1">
        <f t="array" ref="AI1078">_xlfn.LET(
    _xlpm.vals,   _xlfn.HSTACK(S1078,V1078,Y1078,AB1078,AE1078,AH1078),
    _xlpm.ints,   _xlfn.HSTACK(R1078,U1078,X1078,AA1078,AD1078,AG1078),
    _xlpm.slopes, _xlfn.HSTACK(Q1078,T1078,W1078,Z1078,AC1078,AF1078),
    _xlpm.limit,  -0.00001*_xlpm.slopes + 0.1086*_xlpm.slopes + 63.253,
    _xlpm.mask,   (_xlpm.vals&gt;=0) * (_xlpm.ints&lt;=_xlpm.limit),
    _xlpm.validVals, _xlfn._xlws.FILTER(_xlpm.vals, _xlpm.mask),
    _xlpm.minVal, MIN(_xlpm.validVals),
    IFERROR( _xlfn.XMATCH(_xlpm.minVal, _xlpm.vals), "" )
)</f>
        <v>1</v>
      </c>
      <c r="AJ1078" cm="1">
        <f t="array" ref="AJ1078">_xlfn.LET(
    _xlpm.vals, CHOOSE({1,2,3,4,5,6}, S1078, V1078, Y1078, AB1078, AE1078, AH1078),
    _xlpm.slopes, CHOOSE({1,2,3,4,5,6}, Q1078, T1078, W1078, Z1078, AC1078, AF1078),
    _xlpm.ints, CHOOSE({1,2,3,4,5,6}, R1078, U1078, X1078, AA1078, AD1078, AG1078),
    _xlpm.limit, -0.00001*_xlpm.slopes + 0.1086*_xlpm.slopes + 63.253,
    _xlpm.valid, (_xlpm.vals &gt;= 0) * (_xlpm.ints &lt;= _xlpm.limit),
    _xlpm.target, MIN(_xlfn._xlws.FILTER(_xlpm.vals, _xlpm.valid)),
    IFERROR(
        _xlfn.XLOOKUP(_xlpm.target, _xlpm.vals, _xlpm.vals),
        CHOOSE({1,2,3,4,5,6}, S$1, V$1, Y$1, AB$1, AE$1, AH$1)
    )
)</f>
        <v>0.36261399032326708</v>
      </c>
    </row>
    <row r="1079" spans="9:36" x14ac:dyDescent="0.45">
      <c r="I1079">
        <v>1077</v>
      </c>
      <c r="J1079">
        <v>0.9</v>
      </c>
      <c r="K1079">
        <f t="shared" si="369"/>
        <v>0.9</v>
      </c>
      <c r="L1079">
        <f t="shared" si="368"/>
        <v>2.5000000000000001E-4</v>
      </c>
      <c r="M1079">
        <v>0.91</v>
      </c>
      <c r="N1079">
        <f t="shared" si="370"/>
        <v>0.91</v>
      </c>
      <c r="O1079">
        <f t="shared" si="371"/>
        <v>11.695664508460421</v>
      </c>
      <c r="P1079">
        <f t="shared" si="372"/>
        <v>37.426126427073349</v>
      </c>
      <c r="Q1079">
        <f t="shared" si="373"/>
        <v>1000</v>
      </c>
      <c r="R1079">
        <f t="shared" si="374"/>
        <v>8.6898598928174859</v>
      </c>
      <c r="S1079">
        <f t="shared" si="375"/>
        <v>0.37403711611222523</v>
      </c>
      <c r="T1079">
        <f t="shared" si="376"/>
        <v>6000</v>
      </c>
      <c r="U1079">
        <f t="shared" si="377"/>
        <v>1.4483099821362477</v>
      </c>
      <c r="V1079">
        <f t="shared" si="378"/>
        <v>6.7090642318886093</v>
      </c>
      <c r="W1079">
        <f t="shared" si="379"/>
        <v>6000</v>
      </c>
      <c r="X1079">
        <f t="shared" si="380"/>
        <v>1.4483099821362477</v>
      </c>
      <c r="Y1079">
        <f t="shared" si="381"/>
        <v>6.7090642318886093</v>
      </c>
      <c r="Z1079">
        <f t="shared" si="382"/>
        <v>6000</v>
      </c>
      <c r="AA1079">
        <f t="shared" si="383"/>
        <v>1.4483099821362477</v>
      </c>
      <c r="AB1079">
        <f t="shared" si="384"/>
        <v>6.7090642318886093</v>
      </c>
      <c r="AC1079">
        <f t="shared" si="385"/>
        <v>6000</v>
      </c>
      <c r="AD1079">
        <f t="shared" si="386"/>
        <v>1.4483099821362477</v>
      </c>
      <c r="AE1079">
        <f t="shared" si="387"/>
        <v>6.7090642318886093</v>
      </c>
      <c r="AF1079">
        <f t="shared" si="388"/>
        <v>6000</v>
      </c>
      <c r="AG1079">
        <f t="shared" si="389"/>
        <v>1.4483099821362477</v>
      </c>
      <c r="AH1079">
        <f t="shared" si="390"/>
        <v>6.7090642318886093</v>
      </c>
      <c r="AI1079" cm="1">
        <f t="array" ref="AI1079">_xlfn.LET(
    _xlpm.vals,   _xlfn.HSTACK(S1079,V1079,Y1079,AB1079,AE1079,AH1079),
    _xlpm.ints,   _xlfn.HSTACK(R1079,U1079,X1079,AA1079,AD1079,AG1079),
    _xlpm.slopes, _xlfn.HSTACK(Q1079,T1079,W1079,Z1079,AC1079,AF1079),
    _xlpm.limit,  -0.00001*_xlpm.slopes + 0.1086*_xlpm.slopes + 63.253,
    _xlpm.mask,   (_xlpm.vals&gt;=0) * (_xlpm.ints&lt;=_xlpm.limit),
    _xlpm.validVals, _xlfn._xlws.FILTER(_xlpm.vals, _xlpm.mask),
    _xlpm.minVal, MIN(_xlpm.validVals),
    IFERROR( _xlfn.XMATCH(_xlpm.minVal, _xlpm.vals), "" )
)</f>
        <v>1</v>
      </c>
      <c r="AJ1079" cm="1">
        <f t="array" ref="AJ1079">_xlfn.LET(
    _xlpm.vals, CHOOSE({1,2,3,4,5,6}, S1079, V1079, Y1079, AB1079, AE1079, AH1079),
    _xlpm.slopes, CHOOSE({1,2,3,4,5,6}, Q1079, T1079, W1079, Z1079, AC1079, AF1079),
    _xlpm.ints, CHOOSE({1,2,3,4,5,6}, R1079, U1079, X1079, AA1079, AD1079, AG1079),
    _xlpm.limit, -0.00001*_xlpm.slopes + 0.1086*_xlpm.slopes + 63.253,
    _xlpm.valid, (_xlpm.vals &gt;= 0) * (_xlpm.ints &lt;= _xlpm.limit),
    _xlpm.target, MIN(_xlfn._xlws.FILTER(_xlpm.vals, _xlpm.valid)),
    IFERROR(
        _xlfn.XLOOKUP(_xlpm.target, _xlpm.vals, _xlpm.vals),
        CHOOSE({1,2,3,4,5,6}, S$1, V$1, Y$1, AB$1, AE$1, AH$1)
    )
)</f>
        <v>0.37403711611222523</v>
      </c>
    </row>
    <row r="1080" spans="9:36" x14ac:dyDescent="0.45">
      <c r="I1080">
        <v>1078</v>
      </c>
      <c r="J1080">
        <v>2.2999999999999998</v>
      </c>
      <c r="K1080">
        <f t="shared" si="369"/>
        <v>2.2999999999999998</v>
      </c>
      <c r="L1080">
        <f t="shared" si="368"/>
        <v>6.3888888888888882E-4</v>
      </c>
      <c r="M1080">
        <v>3.75</v>
      </c>
      <c r="N1080">
        <f t="shared" si="370"/>
        <v>3.75</v>
      </c>
      <c r="O1080">
        <f t="shared" si="371"/>
        <v>29.888920410509964</v>
      </c>
      <c r="P1080">
        <f t="shared" si="372"/>
        <v>95.644545313631895</v>
      </c>
      <c r="Q1080">
        <f t="shared" si="373"/>
        <v>1000</v>
      </c>
      <c r="R1080">
        <f t="shared" si="374"/>
        <v>35.809862195676452</v>
      </c>
      <c r="S1080">
        <f t="shared" si="375"/>
        <v>0.59167849485578627</v>
      </c>
      <c r="T1080">
        <f t="shared" si="376"/>
        <v>6000</v>
      </c>
      <c r="U1080">
        <f t="shared" si="377"/>
        <v>5.968310365946075</v>
      </c>
      <c r="V1080">
        <f t="shared" si="378"/>
        <v>6.7416695605310508</v>
      </c>
      <c r="W1080">
        <f t="shared" si="379"/>
        <v>6000</v>
      </c>
      <c r="X1080">
        <f t="shared" si="380"/>
        <v>5.968310365946075</v>
      </c>
      <c r="Y1080">
        <f t="shared" si="381"/>
        <v>6.7416695605310508</v>
      </c>
      <c r="Z1080">
        <f t="shared" si="382"/>
        <v>6000</v>
      </c>
      <c r="AA1080">
        <f t="shared" si="383"/>
        <v>5.968310365946075</v>
      </c>
      <c r="AB1080">
        <f t="shared" si="384"/>
        <v>6.7416695605310508</v>
      </c>
      <c r="AC1080">
        <f t="shared" si="385"/>
        <v>6000</v>
      </c>
      <c r="AD1080">
        <f t="shared" si="386"/>
        <v>5.968310365946075</v>
      </c>
      <c r="AE1080">
        <f t="shared" si="387"/>
        <v>6.7416695605310508</v>
      </c>
      <c r="AF1080">
        <f t="shared" si="388"/>
        <v>6000</v>
      </c>
      <c r="AG1080">
        <f t="shared" si="389"/>
        <v>5.968310365946075</v>
      </c>
      <c r="AH1080">
        <f t="shared" si="390"/>
        <v>6.7416695605310508</v>
      </c>
      <c r="AI1080" cm="1">
        <f t="array" ref="AI1080">_xlfn.LET(
    _xlpm.vals,   _xlfn.HSTACK(S1080,V1080,Y1080,AB1080,AE1080,AH1080),
    _xlpm.ints,   _xlfn.HSTACK(R1080,U1080,X1080,AA1080,AD1080,AG1080),
    _xlpm.slopes, _xlfn.HSTACK(Q1080,T1080,W1080,Z1080,AC1080,AF1080),
    _xlpm.limit,  -0.00001*_xlpm.slopes + 0.1086*_xlpm.slopes + 63.253,
    _xlpm.mask,   (_xlpm.vals&gt;=0) * (_xlpm.ints&lt;=_xlpm.limit),
    _xlpm.validVals, _xlfn._xlws.FILTER(_xlpm.vals, _xlpm.mask),
    _xlpm.minVal, MIN(_xlpm.validVals),
    IFERROR( _xlfn.XMATCH(_xlpm.minVal, _xlpm.vals), "" )
)</f>
        <v>1</v>
      </c>
      <c r="AJ1080" cm="1">
        <f t="array" ref="AJ1080">_xlfn.LET(
    _xlpm.vals, CHOOSE({1,2,3,4,5,6}, S1080, V1080, Y1080, AB1080, AE1080, AH1080),
    _xlpm.slopes, CHOOSE({1,2,3,4,5,6}, Q1080, T1080, W1080, Z1080, AC1080, AF1080),
    _xlpm.ints, CHOOSE({1,2,3,4,5,6}, R1080, U1080, X1080, AA1080, AD1080, AG1080),
    _xlpm.limit, -0.00001*_xlpm.slopes + 0.1086*_xlpm.slopes + 63.253,
    _xlpm.valid, (_xlpm.vals &gt;= 0) * (_xlpm.ints &lt;= _xlpm.limit),
    _xlpm.target, MIN(_xlfn._xlws.FILTER(_xlpm.vals, _xlpm.valid)),
    IFERROR(
        _xlfn.XLOOKUP(_xlpm.target, _xlpm.vals, _xlpm.vals),
        CHOOSE({1,2,3,4,5,6}, S$1, V$1, Y$1, AB$1, AE$1, AH$1)
    )
)</f>
        <v>0.59167849485578627</v>
      </c>
    </row>
    <row r="1081" spans="9:36" x14ac:dyDescent="0.45">
      <c r="I1081">
        <v>1079</v>
      </c>
      <c r="J1081">
        <v>4.9000000000000004</v>
      </c>
      <c r="K1081">
        <f t="shared" si="369"/>
        <v>4.9000000000000004</v>
      </c>
      <c r="L1081">
        <f t="shared" si="368"/>
        <v>1.3611111111111111E-3</v>
      </c>
      <c r="M1081">
        <v>7.23</v>
      </c>
      <c r="N1081">
        <f t="shared" si="370"/>
        <v>7.23</v>
      </c>
      <c r="O1081">
        <f t="shared" si="371"/>
        <v>63.676395657173394</v>
      </c>
      <c r="P1081">
        <f t="shared" si="372"/>
        <v>203.76446610295488</v>
      </c>
      <c r="Q1081">
        <f t="shared" si="373"/>
        <v>1000</v>
      </c>
      <c r="R1081">
        <f t="shared" si="374"/>
        <v>69.041414313264198</v>
      </c>
      <c r="S1081">
        <f t="shared" si="375"/>
        <v>0.91100228317986276</v>
      </c>
      <c r="T1081">
        <f t="shared" si="376"/>
        <v>6000</v>
      </c>
      <c r="U1081">
        <f t="shared" si="377"/>
        <v>11.506902385544034</v>
      </c>
      <c r="V1081">
        <f t="shared" si="378"/>
        <v>6.7905776419378592</v>
      </c>
      <c r="W1081">
        <f t="shared" si="379"/>
        <v>6000</v>
      </c>
      <c r="X1081">
        <f t="shared" si="380"/>
        <v>11.506902385544034</v>
      </c>
      <c r="Y1081">
        <f t="shared" si="381"/>
        <v>6.7905776419378592</v>
      </c>
      <c r="Z1081">
        <f t="shared" si="382"/>
        <v>6000</v>
      </c>
      <c r="AA1081">
        <f t="shared" si="383"/>
        <v>11.506902385544034</v>
      </c>
      <c r="AB1081">
        <f t="shared" si="384"/>
        <v>6.7905776419378592</v>
      </c>
      <c r="AC1081">
        <f t="shared" si="385"/>
        <v>6000</v>
      </c>
      <c r="AD1081">
        <f t="shared" si="386"/>
        <v>11.506902385544034</v>
      </c>
      <c r="AE1081">
        <f t="shared" si="387"/>
        <v>6.7905776419378592</v>
      </c>
      <c r="AF1081">
        <f t="shared" si="388"/>
        <v>6000</v>
      </c>
      <c r="AG1081">
        <f t="shared" si="389"/>
        <v>11.506902385544034</v>
      </c>
      <c r="AH1081">
        <f t="shared" si="390"/>
        <v>6.7905776419378592</v>
      </c>
      <c r="AI1081" cm="1">
        <f t="array" ref="AI1081">_xlfn.LET(
    _xlpm.vals,   _xlfn.HSTACK(S1081,V1081,Y1081,AB1081,AE1081,AH1081),
    _xlpm.ints,   _xlfn.HSTACK(R1081,U1081,X1081,AA1081,AD1081,AG1081),
    _xlpm.slopes, _xlfn.HSTACK(Q1081,T1081,W1081,Z1081,AC1081,AF1081),
    _xlpm.limit,  -0.00001*_xlpm.slopes + 0.1086*_xlpm.slopes + 63.253,
    _xlpm.mask,   (_xlpm.vals&gt;=0) * (_xlpm.ints&lt;=_xlpm.limit),
    _xlpm.validVals, _xlfn._xlws.FILTER(_xlpm.vals, _xlpm.mask),
    _xlpm.minVal, MIN(_xlpm.validVals),
    IFERROR( _xlfn.XMATCH(_xlpm.minVal, _xlpm.vals), "" )
)</f>
        <v>1</v>
      </c>
      <c r="AJ1081" cm="1">
        <f t="array" ref="AJ1081">_xlfn.LET(
    _xlpm.vals, CHOOSE({1,2,3,4,5,6}, S1081, V1081, Y1081, AB1081, AE1081, AH1081),
    _xlpm.slopes, CHOOSE({1,2,3,4,5,6}, Q1081, T1081, W1081, Z1081, AC1081, AF1081),
    _xlpm.ints, CHOOSE({1,2,3,4,5,6}, R1081, U1081, X1081, AA1081, AD1081, AG1081),
    _xlpm.limit, -0.00001*_xlpm.slopes + 0.1086*_xlpm.slopes + 63.253,
    _xlpm.valid, (_xlpm.vals &gt;= 0) * (_xlpm.ints &lt;= _xlpm.limit),
    _xlpm.target, MIN(_xlfn._xlws.FILTER(_xlpm.vals, _xlpm.valid)),
    IFERROR(
        _xlfn.XLOOKUP(_xlpm.target, _xlpm.vals, _xlpm.vals),
        CHOOSE({1,2,3,4,5,6}, S$1, V$1, Y$1, AB$1, AE$1, AH$1)
    )
)</f>
        <v>0.91100228317986276</v>
      </c>
    </row>
    <row r="1082" spans="9:36" x14ac:dyDescent="0.45">
      <c r="I1082">
        <v>1080</v>
      </c>
      <c r="J1082">
        <v>7.5</v>
      </c>
      <c r="K1082">
        <f t="shared" si="369"/>
        <v>7.5</v>
      </c>
      <c r="L1082">
        <f t="shared" si="368"/>
        <v>2.0833333333333333E-3</v>
      </c>
      <c r="M1082">
        <v>15.41</v>
      </c>
      <c r="N1082">
        <f t="shared" si="370"/>
        <v>15.41</v>
      </c>
      <c r="O1082">
        <f t="shared" si="371"/>
        <v>97.463870903836835</v>
      </c>
      <c r="P1082">
        <f t="shared" si="372"/>
        <v>311.88438689227792</v>
      </c>
      <c r="Q1082">
        <f t="shared" si="373"/>
        <v>1428.4304919666329</v>
      </c>
      <c r="R1082">
        <f t="shared" si="374"/>
        <v>103.0184256149328</v>
      </c>
      <c r="S1082">
        <f t="shared" si="375"/>
        <v>1.6663367477766697</v>
      </c>
      <c r="T1082">
        <f t="shared" si="376"/>
        <v>6000</v>
      </c>
      <c r="U1082">
        <f t="shared" si="377"/>
        <v>24.525776730461072</v>
      </c>
      <c r="V1082">
        <f t="shared" si="378"/>
        <v>6.9424358311598313</v>
      </c>
      <c r="W1082">
        <f t="shared" si="379"/>
        <v>6000</v>
      </c>
      <c r="X1082">
        <f t="shared" si="380"/>
        <v>24.525776730461072</v>
      </c>
      <c r="Y1082">
        <f t="shared" si="381"/>
        <v>6.9424358311598313</v>
      </c>
      <c r="Z1082">
        <f t="shared" si="382"/>
        <v>6000</v>
      </c>
      <c r="AA1082">
        <f t="shared" si="383"/>
        <v>24.525776730461072</v>
      </c>
      <c r="AB1082">
        <f t="shared" si="384"/>
        <v>6.9424358311598313</v>
      </c>
      <c r="AC1082">
        <f t="shared" si="385"/>
        <v>6000</v>
      </c>
      <c r="AD1082">
        <f t="shared" si="386"/>
        <v>24.525776730461072</v>
      </c>
      <c r="AE1082">
        <f t="shared" si="387"/>
        <v>6.9424358311598313</v>
      </c>
      <c r="AF1082">
        <f t="shared" si="388"/>
        <v>6000</v>
      </c>
      <c r="AG1082">
        <f t="shared" si="389"/>
        <v>24.525776730461072</v>
      </c>
      <c r="AH1082">
        <f t="shared" si="390"/>
        <v>6.9424358311598313</v>
      </c>
      <c r="AI1082" cm="1">
        <f t="array" ref="AI1082">_xlfn.LET(
    _xlpm.vals,   _xlfn.HSTACK(S1082,V1082,Y1082,AB1082,AE1082,AH1082),
    _xlpm.ints,   _xlfn.HSTACK(R1082,U1082,X1082,AA1082,AD1082,AG1082),
    _xlpm.slopes, _xlfn.HSTACK(Q1082,T1082,W1082,Z1082,AC1082,AF1082),
    _xlpm.limit,  -0.00001*_xlpm.slopes + 0.1086*_xlpm.slopes + 63.253,
    _xlpm.mask,   (_xlpm.vals&gt;=0) * (_xlpm.ints&lt;=_xlpm.limit),
    _xlpm.validVals, _xlfn._xlws.FILTER(_xlpm.vals, _xlpm.mask),
    _xlpm.minVal, MIN(_xlpm.validVals),
    IFERROR( _xlfn.XMATCH(_xlpm.minVal, _xlpm.vals), "" )
)</f>
        <v>1</v>
      </c>
      <c r="AJ1082" cm="1">
        <f t="array" ref="AJ1082">_xlfn.LET(
    _xlpm.vals, CHOOSE({1,2,3,4,5,6}, S1082, V1082, Y1082, AB1082, AE1082, AH1082),
    _xlpm.slopes, CHOOSE({1,2,3,4,5,6}, Q1082, T1082, W1082, Z1082, AC1082, AF1082),
    _xlpm.ints, CHOOSE({1,2,3,4,5,6}, R1082, U1082, X1082, AA1082, AD1082, AG1082),
    _xlpm.limit, -0.00001*_xlpm.slopes + 0.1086*_xlpm.slopes + 63.253,
    _xlpm.valid, (_xlpm.vals &gt;= 0) * (_xlpm.ints &lt;= _xlpm.limit),
    _xlpm.target, MIN(_xlfn._xlws.FILTER(_xlpm.vals, _xlpm.valid)),
    IFERROR(
        _xlfn.XLOOKUP(_xlpm.target, _xlpm.vals, _xlpm.vals),
        CHOOSE({1,2,3,4,5,6}, S$1, V$1, Y$1, AB$1, AE$1, AH$1)
    )
)</f>
        <v>1.6663367477766697</v>
      </c>
    </row>
    <row r="1083" spans="9:36" x14ac:dyDescent="0.45">
      <c r="I1083">
        <v>1081</v>
      </c>
      <c r="J1083">
        <v>10.8</v>
      </c>
      <c r="K1083">
        <f t="shared" si="369"/>
        <v>10.8</v>
      </c>
      <c r="L1083">
        <f t="shared" si="368"/>
        <v>3.0000000000000001E-3</v>
      </c>
      <c r="M1083">
        <v>21.54</v>
      </c>
      <c r="N1083">
        <f t="shared" si="370"/>
        <v>21.54</v>
      </c>
      <c r="O1083">
        <f t="shared" si="371"/>
        <v>140.34797410152504</v>
      </c>
      <c r="P1083">
        <f t="shared" si="372"/>
        <v>449.11351712488016</v>
      </c>
      <c r="Q1083">
        <f t="shared" si="373"/>
        <v>2056.9399084319512</v>
      </c>
      <c r="R1083">
        <f t="shared" si="374"/>
        <v>99.998958457064887</v>
      </c>
      <c r="S1083">
        <f t="shared" si="375"/>
        <v>2.2031580354476574</v>
      </c>
      <c r="T1083">
        <f t="shared" si="376"/>
        <v>1329.3760106896452</v>
      </c>
      <c r="U1083">
        <f t="shared" si="377"/>
        <v>154.7281181531612</v>
      </c>
      <c r="V1083">
        <f t="shared" si="378"/>
        <v>2.0272464945612558</v>
      </c>
      <c r="W1083">
        <f t="shared" si="379"/>
        <v>6000</v>
      </c>
      <c r="X1083">
        <f t="shared" si="380"/>
        <v>34.281974741994254</v>
      </c>
      <c r="Y1083">
        <f t="shared" si="381"/>
        <v>7.0879821771457321</v>
      </c>
      <c r="Z1083">
        <f t="shared" si="382"/>
        <v>6000</v>
      </c>
      <c r="AA1083">
        <f t="shared" si="383"/>
        <v>34.281974741994254</v>
      </c>
      <c r="AB1083">
        <f t="shared" si="384"/>
        <v>7.0879821771457321</v>
      </c>
      <c r="AC1083">
        <f t="shared" si="385"/>
        <v>6000</v>
      </c>
      <c r="AD1083">
        <f t="shared" si="386"/>
        <v>34.281974741994254</v>
      </c>
      <c r="AE1083">
        <f t="shared" si="387"/>
        <v>7.0879821771457321</v>
      </c>
      <c r="AF1083">
        <f t="shared" si="388"/>
        <v>6000</v>
      </c>
      <c r="AG1083">
        <f t="shared" si="389"/>
        <v>34.281974741994254</v>
      </c>
      <c r="AH1083">
        <f t="shared" si="390"/>
        <v>7.0879821771457321</v>
      </c>
      <c r="AI1083" cm="1">
        <f t="array" ref="AI1083">_xlfn.LET(
    _xlpm.vals,   _xlfn.HSTACK(S1083,V1083,Y1083,AB1083,AE1083,AH1083),
    _xlpm.ints,   _xlfn.HSTACK(R1083,U1083,X1083,AA1083,AD1083,AG1083),
    _xlpm.slopes, _xlfn.HSTACK(Q1083,T1083,W1083,Z1083,AC1083,AF1083),
    _xlpm.limit,  -0.00001*_xlpm.slopes + 0.1086*_xlpm.slopes + 63.253,
    _xlpm.mask,   (_xlpm.vals&gt;=0) * (_xlpm.ints&lt;=_xlpm.limit),
    _xlpm.validVals, _xlfn._xlws.FILTER(_xlpm.vals, _xlpm.mask),
    _xlpm.minVal, MIN(_xlpm.validVals),
    IFERROR( _xlfn.XMATCH(_xlpm.minVal, _xlpm.vals), "" )
)</f>
        <v>2</v>
      </c>
      <c r="AJ1083" cm="1">
        <f t="array" ref="AJ1083">_xlfn.LET(
    _xlpm.vals, CHOOSE({1,2,3,4,5,6}, S1083, V1083, Y1083, AB1083, AE1083, AH1083),
    _xlpm.slopes, CHOOSE({1,2,3,4,5,6}, Q1083, T1083, W1083, Z1083, AC1083, AF1083),
    _xlpm.ints, CHOOSE({1,2,3,4,5,6}, R1083, U1083, X1083, AA1083, AD1083, AG1083),
    _xlpm.limit, -0.00001*_xlpm.slopes + 0.1086*_xlpm.slopes + 63.253,
    _xlpm.valid, (_xlpm.vals &gt;= 0) * (_xlpm.ints &lt;= _xlpm.limit),
    _xlpm.target, MIN(_xlfn._xlws.FILTER(_xlpm.vals, _xlpm.valid)),
    IFERROR(
        _xlfn.XLOOKUP(_xlpm.target, _xlpm.vals, _xlpm.vals),
        CHOOSE({1,2,3,4,5,6}, S$1, V$1, Y$1, AB$1, AE$1, AH$1)
    )
)</f>
        <v>2.0272464945612558</v>
      </c>
    </row>
    <row r="1084" spans="9:36" x14ac:dyDescent="0.45">
      <c r="I1084">
        <v>1082</v>
      </c>
      <c r="J1084">
        <v>13.5</v>
      </c>
      <c r="K1084">
        <f t="shared" si="369"/>
        <v>13.5</v>
      </c>
      <c r="L1084">
        <f t="shared" si="368"/>
        <v>3.7499999999999999E-3</v>
      </c>
      <c r="M1084">
        <v>11.45</v>
      </c>
      <c r="N1084">
        <f t="shared" si="370"/>
        <v>11.45</v>
      </c>
      <c r="O1084">
        <f t="shared" si="371"/>
        <v>175.43496762690631</v>
      </c>
      <c r="P1084">
        <f t="shared" si="372"/>
        <v>561.39189640610027</v>
      </c>
      <c r="Q1084">
        <f t="shared" si="373"/>
        <v>2571.1748855399392</v>
      </c>
      <c r="R1084">
        <f t="shared" si="374"/>
        <v>42.525090968742539</v>
      </c>
      <c r="S1084">
        <f t="shared" si="375"/>
        <v>1.4391995222651792</v>
      </c>
      <c r="T1084">
        <f t="shared" si="376"/>
        <v>1661.7200133620568</v>
      </c>
      <c r="U1084">
        <f t="shared" si="377"/>
        <v>65.79895832325704</v>
      </c>
      <c r="V1084">
        <f t="shared" si="378"/>
        <v>1.3177420108082853</v>
      </c>
      <c r="W1084">
        <f t="shared" si="379"/>
        <v>1072.2585221356514</v>
      </c>
      <c r="X1084">
        <f t="shared" si="380"/>
        <v>101.97116054284861</v>
      </c>
      <c r="Y1084">
        <f t="shared" si="381"/>
        <v>1.2914611071992865</v>
      </c>
      <c r="Z1084">
        <f t="shared" si="382"/>
        <v>6000</v>
      </c>
      <c r="AA1084">
        <f t="shared" si="383"/>
        <v>18.223240984022016</v>
      </c>
      <c r="AB1084">
        <f t="shared" si="384"/>
        <v>6.8626360242456821</v>
      </c>
      <c r="AC1084">
        <f t="shared" si="385"/>
        <v>6000</v>
      </c>
      <c r="AD1084">
        <f t="shared" si="386"/>
        <v>18.223240984022016</v>
      </c>
      <c r="AE1084">
        <f t="shared" si="387"/>
        <v>6.8626360242456821</v>
      </c>
      <c r="AF1084">
        <f t="shared" si="388"/>
        <v>6000</v>
      </c>
      <c r="AG1084">
        <f t="shared" si="389"/>
        <v>18.223240984022016</v>
      </c>
      <c r="AH1084">
        <f t="shared" si="390"/>
        <v>6.8626360242456821</v>
      </c>
      <c r="AI1084" cm="1">
        <f t="array" ref="AI1084">_xlfn.LET(
    _xlpm.vals,   _xlfn.HSTACK(S1084,V1084,Y1084,AB1084,AE1084,AH1084),
    _xlpm.ints,   _xlfn.HSTACK(R1084,U1084,X1084,AA1084,AD1084,AG1084),
    _xlpm.slopes, _xlfn.HSTACK(Q1084,T1084,W1084,Z1084,AC1084,AF1084),
    _xlpm.limit,  -0.00001*_xlpm.slopes + 0.1086*_xlpm.slopes + 63.253,
    _xlpm.mask,   (_xlpm.vals&gt;=0) * (_xlpm.ints&lt;=_xlpm.limit),
    _xlpm.validVals, _xlfn._xlws.FILTER(_xlpm.vals, _xlpm.mask),
    _xlpm.minVal, MIN(_xlpm.validVals),
    IFERROR( _xlfn.XMATCH(_xlpm.minVal, _xlpm.vals), "" )
)</f>
        <v>3</v>
      </c>
      <c r="AJ1084" cm="1">
        <f t="array" ref="AJ1084">_xlfn.LET(
    _xlpm.vals, CHOOSE({1,2,3,4,5,6}, S1084, V1084, Y1084, AB1084, AE1084, AH1084),
    _xlpm.slopes, CHOOSE({1,2,3,4,5,6}, Q1084, T1084, W1084, Z1084, AC1084, AF1084),
    _xlpm.ints, CHOOSE({1,2,3,4,5,6}, R1084, U1084, X1084, AA1084, AD1084, AG1084),
    _xlpm.limit, -0.00001*_xlpm.slopes + 0.1086*_xlpm.slopes + 63.253,
    _xlpm.valid, (_xlpm.vals &gt;= 0) * (_xlpm.ints &lt;= _xlpm.limit),
    _xlpm.target, MIN(_xlfn._xlws.FILTER(_xlpm.vals, _xlpm.valid)),
    IFERROR(
        _xlfn.XLOOKUP(_xlpm.target, _xlpm.vals, _xlpm.vals),
        CHOOSE({1,2,3,4,5,6}, S$1, V$1, Y$1, AB$1, AE$1, AH$1)
    )
)</f>
        <v>1.2914611071992865</v>
      </c>
    </row>
    <row r="1085" spans="9:36" x14ac:dyDescent="0.45">
      <c r="I1085">
        <v>1083</v>
      </c>
      <c r="J1085">
        <v>14.2</v>
      </c>
      <c r="K1085">
        <f t="shared" si="369"/>
        <v>14.2</v>
      </c>
      <c r="L1085">
        <f t="shared" si="368"/>
        <v>3.944444444444444E-3</v>
      </c>
      <c r="M1085">
        <v>3.74</v>
      </c>
      <c r="N1085">
        <f t="shared" si="370"/>
        <v>3.74</v>
      </c>
      <c r="O1085">
        <f t="shared" si="371"/>
        <v>184.53159557793109</v>
      </c>
      <c r="P1085">
        <f t="shared" si="372"/>
        <v>590.50110584937954</v>
      </c>
      <c r="Q1085">
        <f t="shared" si="373"/>
        <v>2704.4950647901583</v>
      </c>
      <c r="R1085">
        <f t="shared" si="374"/>
        <v>13.205559031993422</v>
      </c>
      <c r="S1085">
        <f t="shared" si="375"/>
        <v>0.993660722272106</v>
      </c>
      <c r="T1085">
        <f t="shared" si="376"/>
        <v>1747.8832733141635</v>
      </c>
      <c r="U1085">
        <f t="shared" si="377"/>
        <v>20.432925799503337</v>
      </c>
      <c r="V1085">
        <f t="shared" si="378"/>
        <v>0.6969390091864992</v>
      </c>
      <c r="W1085">
        <f t="shared" si="379"/>
        <v>1127.8571121723148</v>
      </c>
      <c r="X1085">
        <f t="shared" si="380"/>
        <v>31.66568605577481</v>
      </c>
      <c r="Y1085">
        <f t="shared" si="381"/>
        <v>0.60668435239526208</v>
      </c>
      <c r="Z1085">
        <f t="shared" si="382"/>
        <v>6000</v>
      </c>
      <c r="AA1085">
        <f t="shared" si="383"/>
        <v>5.9523948716368862</v>
      </c>
      <c r="AB1085">
        <f t="shared" si="384"/>
        <v>6.7415430917266264</v>
      </c>
      <c r="AC1085">
        <f t="shared" si="385"/>
        <v>6000</v>
      </c>
      <c r="AD1085">
        <f t="shared" si="386"/>
        <v>5.9523948716368862</v>
      </c>
      <c r="AE1085">
        <f t="shared" si="387"/>
        <v>6.7415430917266264</v>
      </c>
      <c r="AF1085">
        <f t="shared" si="388"/>
        <v>6000</v>
      </c>
      <c r="AG1085">
        <f t="shared" si="389"/>
        <v>5.9523948716368862</v>
      </c>
      <c r="AH1085">
        <f t="shared" si="390"/>
        <v>6.7415430917266264</v>
      </c>
      <c r="AI1085" cm="1">
        <f t="array" ref="AI1085">_xlfn.LET(
    _xlpm.vals,   _xlfn.HSTACK(S1085,V1085,Y1085,AB1085,AE1085,AH1085),
    _xlpm.ints,   _xlfn.HSTACK(R1085,U1085,X1085,AA1085,AD1085,AG1085),
    _xlpm.slopes, _xlfn.HSTACK(Q1085,T1085,W1085,Z1085,AC1085,AF1085),
    _xlpm.limit,  -0.00001*_xlpm.slopes + 0.1086*_xlpm.slopes + 63.253,
    _xlpm.mask,   (_xlpm.vals&gt;=0) * (_xlpm.ints&lt;=_xlpm.limit),
    _xlpm.validVals, _xlfn._xlws.FILTER(_xlpm.vals, _xlpm.mask),
    _xlpm.minVal, MIN(_xlpm.validVals),
    IFERROR( _xlfn.XMATCH(_xlpm.minVal, _xlpm.vals), "" )
)</f>
        <v>3</v>
      </c>
      <c r="AJ1085" cm="1">
        <f t="array" ref="AJ1085">_xlfn.LET(
    _xlpm.vals, CHOOSE({1,2,3,4,5,6}, S1085, V1085, Y1085, AB1085, AE1085, AH1085),
    _xlpm.slopes, CHOOSE({1,2,3,4,5,6}, Q1085, T1085, W1085, Z1085, AC1085, AF1085),
    _xlpm.ints, CHOOSE({1,2,3,4,5,6}, R1085, U1085, X1085, AA1085, AD1085, AG1085),
    _xlpm.limit, -0.00001*_xlpm.slopes + 0.1086*_xlpm.slopes + 63.253,
    _xlpm.valid, (_xlpm.vals &gt;= 0) * (_xlpm.ints &lt;= _xlpm.limit),
    _xlpm.target, MIN(_xlfn._xlws.FILTER(_xlpm.vals, _xlpm.valid)),
    IFERROR(
        _xlfn.XLOOKUP(_xlpm.target, _xlpm.vals, _xlpm.vals),
        CHOOSE({1,2,3,4,5,6}, S$1, V$1, Y$1, AB$1, AE$1, AH$1)
    )
)</f>
        <v>0.60668435239526208</v>
      </c>
    </row>
    <row r="1086" spans="9:36" x14ac:dyDescent="0.45">
      <c r="I1086">
        <v>1084</v>
      </c>
      <c r="J1086">
        <v>14.6</v>
      </c>
      <c r="K1086">
        <f t="shared" si="369"/>
        <v>14.6</v>
      </c>
      <c r="L1086">
        <f t="shared" si="368"/>
        <v>4.0555555555555553E-3</v>
      </c>
      <c r="M1086">
        <v>5.56</v>
      </c>
      <c r="N1086">
        <f t="shared" si="370"/>
        <v>5.56</v>
      </c>
      <c r="O1086">
        <f t="shared" si="371"/>
        <v>189.72966869280239</v>
      </c>
      <c r="P1086">
        <f t="shared" si="372"/>
        <v>607.13493981696763</v>
      </c>
      <c r="Q1086">
        <f t="shared" si="373"/>
        <v>2780.6780243617118</v>
      </c>
      <c r="R1086">
        <f t="shared" si="374"/>
        <v>19.093936281113926</v>
      </c>
      <c r="S1086">
        <f t="shared" si="375"/>
        <v>1.134891609331925</v>
      </c>
      <c r="T1086">
        <f t="shared" si="376"/>
        <v>1797.1194218582241</v>
      </c>
      <c r="U1086">
        <f t="shared" si="377"/>
        <v>29.543996002534392</v>
      </c>
      <c r="V1086">
        <f t="shared" si="378"/>
        <v>0.83826268694076844</v>
      </c>
      <c r="W1086">
        <f t="shared" si="379"/>
        <v>1159.6277350504081</v>
      </c>
      <c r="X1086">
        <f t="shared" si="380"/>
        <v>45.785459773561151</v>
      </c>
      <c r="Y1086">
        <f t="shared" si="381"/>
        <v>0.76753228505110094</v>
      </c>
      <c r="Z1086">
        <f t="shared" si="382"/>
        <v>6000</v>
      </c>
      <c r="AA1086">
        <f t="shared" si="383"/>
        <v>8.8490148359093812</v>
      </c>
      <c r="AB1086">
        <f t="shared" si="384"/>
        <v>6.7658963467702229</v>
      </c>
      <c r="AC1086">
        <f t="shared" si="385"/>
        <v>6000</v>
      </c>
      <c r="AD1086">
        <f t="shared" si="386"/>
        <v>8.8490148359093812</v>
      </c>
      <c r="AE1086">
        <f t="shared" si="387"/>
        <v>6.7658963467702229</v>
      </c>
      <c r="AF1086">
        <f t="shared" si="388"/>
        <v>6000</v>
      </c>
      <c r="AG1086">
        <f t="shared" si="389"/>
        <v>8.8490148359093812</v>
      </c>
      <c r="AH1086">
        <f t="shared" si="390"/>
        <v>6.7658963467702229</v>
      </c>
      <c r="AI1086" cm="1">
        <f t="array" ref="AI1086">_xlfn.LET(
    _xlpm.vals,   _xlfn.HSTACK(S1086,V1086,Y1086,AB1086,AE1086,AH1086),
    _xlpm.ints,   _xlfn.HSTACK(R1086,U1086,X1086,AA1086,AD1086,AG1086),
    _xlpm.slopes, _xlfn.HSTACK(Q1086,T1086,W1086,Z1086,AC1086,AF1086),
    _xlpm.limit,  -0.00001*_xlpm.slopes + 0.1086*_xlpm.slopes + 63.253,
    _xlpm.mask,   (_xlpm.vals&gt;=0) * (_xlpm.ints&lt;=_xlpm.limit),
    _xlpm.validVals, _xlfn._xlws.FILTER(_xlpm.vals, _xlpm.mask),
    _xlpm.minVal, MIN(_xlpm.validVals),
    IFERROR( _xlfn.XMATCH(_xlpm.minVal, _xlpm.vals), "" )
)</f>
        <v>3</v>
      </c>
      <c r="AJ1086" cm="1">
        <f t="array" ref="AJ1086">_xlfn.LET(
    _xlpm.vals, CHOOSE({1,2,3,4,5,6}, S1086, V1086, Y1086, AB1086, AE1086, AH1086),
    _xlpm.slopes, CHOOSE({1,2,3,4,5,6}, Q1086, T1086, W1086, Z1086, AC1086, AF1086),
    _xlpm.ints, CHOOSE({1,2,3,4,5,6}, R1086, U1086, X1086, AA1086, AD1086, AG1086),
    _xlpm.limit, -0.00001*_xlpm.slopes + 0.1086*_xlpm.slopes + 63.253,
    _xlpm.valid, (_xlpm.vals &gt;= 0) * (_xlpm.ints &lt;= _xlpm.limit),
    _xlpm.target, MIN(_xlfn._xlws.FILTER(_xlpm.vals, _xlpm.valid)),
    IFERROR(
        _xlfn.XLOOKUP(_xlpm.target, _xlpm.vals, _xlpm.vals),
        CHOOSE({1,2,3,4,5,6}, S$1, V$1, Y$1, AB$1, AE$1, AH$1)
    )
)</f>
        <v>0.76753228505110094</v>
      </c>
    </row>
    <row r="1087" spans="9:36" x14ac:dyDescent="0.45">
      <c r="I1087">
        <v>1085</v>
      </c>
      <c r="J1087">
        <v>16.100000000000001</v>
      </c>
      <c r="K1087">
        <f t="shared" si="369"/>
        <v>16.100000000000001</v>
      </c>
      <c r="L1087">
        <f t="shared" si="368"/>
        <v>4.4722222222222229E-3</v>
      </c>
      <c r="M1087">
        <v>15.15</v>
      </c>
      <c r="N1087">
        <f t="shared" si="370"/>
        <v>15.15</v>
      </c>
      <c r="O1087">
        <f t="shared" si="371"/>
        <v>209.22244287356975</v>
      </c>
      <c r="P1087">
        <f t="shared" si="372"/>
        <v>669.51181719542319</v>
      </c>
      <c r="Q1087">
        <f t="shared" si="373"/>
        <v>3066.3641227550384</v>
      </c>
      <c r="R1087">
        <f t="shared" si="374"/>
        <v>47.180255664010787</v>
      </c>
      <c r="S1087">
        <f t="shared" si="375"/>
        <v>1.8860044152938824</v>
      </c>
      <c r="T1087">
        <f t="shared" si="376"/>
        <v>1981.7549788984527</v>
      </c>
      <c r="U1087">
        <f t="shared" si="377"/>
        <v>73.00188207471939</v>
      </c>
      <c r="V1087">
        <f t="shared" si="378"/>
        <v>1.6493190793385462</v>
      </c>
      <c r="W1087">
        <f t="shared" si="379"/>
        <v>1278.7675708432582</v>
      </c>
      <c r="X1087">
        <f t="shared" si="380"/>
        <v>113.13380677548137</v>
      </c>
      <c r="Y1087">
        <f t="shared" si="381"/>
        <v>1.6249227038753364</v>
      </c>
      <c r="Z1087">
        <f t="shared" si="382"/>
        <v>6000</v>
      </c>
      <c r="AA1087">
        <f t="shared" si="383"/>
        <v>24.111973878422145</v>
      </c>
      <c r="AB1087">
        <f t="shared" si="384"/>
        <v>6.9368453801833763</v>
      </c>
      <c r="AC1087">
        <f t="shared" si="385"/>
        <v>6000</v>
      </c>
      <c r="AD1087">
        <f t="shared" si="386"/>
        <v>24.111973878422145</v>
      </c>
      <c r="AE1087">
        <f t="shared" si="387"/>
        <v>6.9368453801833763</v>
      </c>
      <c r="AF1087">
        <f t="shared" si="388"/>
        <v>6000</v>
      </c>
      <c r="AG1087">
        <f t="shared" si="389"/>
        <v>24.111973878422145</v>
      </c>
      <c r="AH1087">
        <f t="shared" si="390"/>
        <v>6.9368453801833763</v>
      </c>
      <c r="AI1087" cm="1">
        <f t="array" ref="AI1087">_xlfn.LET(
    _xlpm.vals,   _xlfn.HSTACK(S1087,V1087,Y1087,AB1087,AE1087,AH1087),
    _xlpm.ints,   _xlfn.HSTACK(R1087,U1087,X1087,AA1087,AD1087,AG1087),
    _xlpm.slopes, _xlfn.HSTACK(Q1087,T1087,W1087,Z1087,AC1087,AF1087),
    _xlpm.limit,  -0.00001*_xlpm.slopes + 0.1086*_xlpm.slopes + 63.253,
    _xlpm.mask,   (_xlpm.vals&gt;=0) * (_xlpm.ints&lt;=_xlpm.limit),
    _xlpm.validVals, _xlfn._xlws.FILTER(_xlpm.vals, _xlpm.mask),
    _xlpm.minVal, MIN(_xlpm.validVals),
    IFERROR( _xlfn.XMATCH(_xlpm.minVal, _xlpm.vals), "" )
)</f>
        <v>3</v>
      </c>
      <c r="AJ1087" cm="1">
        <f t="array" ref="AJ1087">_xlfn.LET(
    _xlpm.vals, CHOOSE({1,2,3,4,5,6}, S1087, V1087, Y1087, AB1087, AE1087, AH1087),
    _xlpm.slopes, CHOOSE({1,2,3,4,5,6}, Q1087, T1087, W1087, Z1087, AC1087, AF1087),
    _xlpm.ints, CHOOSE({1,2,3,4,5,6}, R1087, U1087, X1087, AA1087, AD1087, AG1087),
    _xlpm.limit, -0.00001*_xlpm.slopes + 0.1086*_xlpm.slopes + 63.253,
    _xlpm.valid, (_xlpm.vals &gt;= 0) * (_xlpm.ints &lt;= _xlpm.limit),
    _xlpm.target, MIN(_xlfn._xlws.FILTER(_xlpm.vals, _xlpm.valid)),
    IFERROR(
        _xlfn.XLOOKUP(_xlpm.target, _xlpm.vals, _xlpm.vals),
        CHOOSE({1,2,3,4,5,6}, S$1, V$1, Y$1, AB$1, AE$1, AH$1)
    )
)</f>
        <v>1.6249227038753364</v>
      </c>
    </row>
    <row r="1088" spans="9:36" x14ac:dyDescent="0.45">
      <c r="I1088">
        <v>1086</v>
      </c>
      <c r="J1088">
        <v>18.5</v>
      </c>
      <c r="K1088">
        <f t="shared" si="369"/>
        <v>18.5</v>
      </c>
      <c r="L1088">
        <f t="shared" si="368"/>
        <v>5.138888888888889E-3</v>
      </c>
      <c r="M1088">
        <v>19.47</v>
      </c>
      <c r="N1088">
        <f t="shared" si="370"/>
        <v>19.47</v>
      </c>
      <c r="O1088">
        <f t="shared" si="371"/>
        <v>240.41088156279753</v>
      </c>
      <c r="P1088">
        <f t="shared" si="372"/>
        <v>769.31482100095218</v>
      </c>
      <c r="Q1088">
        <f t="shared" si="373"/>
        <v>3523.4618801843612</v>
      </c>
      <c r="R1088">
        <f t="shared" si="374"/>
        <v>52.767650351370861</v>
      </c>
      <c r="S1088">
        <f t="shared" si="375"/>
        <v>2.4364564670564892</v>
      </c>
      <c r="T1088">
        <f t="shared" si="376"/>
        <v>2277.1718701628183</v>
      </c>
      <c r="U1088">
        <f t="shared" si="377"/>
        <v>81.647242773404926</v>
      </c>
      <c r="V1088">
        <f t="shared" si="378"/>
        <v>2.0296566855976694</v>
      </c>
      <c r="W1088">
        <f t="shared" si="379"/>
        <v>1469.3913081118185</v>
      </c>
      <c r="X1088">
        <f t="shared" si="380"/>
        <v>126.53185267501495</v>
      </c>
      <c r="Y1088">
        <f t="shared" si="381"/>
        <v>1.9902918451064959</v>
      </c>
      <c r="Z1088">
        <f t="shared" si="382"/>
        <v>1107.8133422413712</v>
      </c>
      <c r="AA1088">
        <f t="shared" si="383"/>
        <v>167.83044347866564</v>
      </c>
      <c r="AB1088">
        <f t="shared" si="384"/>
        <v>1.6821371972635089</v>
      </c>
      <c r="AC1088">
        <f t="shared" si="385"/>
        <v>6000</v>
      </c>
      <c r="AD1088">
        <f t="shared" si="386"/>
        <v>30.987467419992022</v>
      </c>
      <c r="AE1088">
        <f t="shared" si="387"/>
        <v>7.0359363630237182</v>
      </c>
      <c r="AF1088">
        <f t="shared" si="388"/>
        <v>6000</v>
      </c>
      <c r="AG1088">
        <f t="shared" si="389"/>
        <v>30.987467419992022</v>
      </c>
      <c r="AH1088">
        <f t="shared" si="390"/>
        <v>7.0359363630237182</v>
      </c>
      <c r="AI1088" cm="1">
        <f t="array" ref="AI1088">_xlfn.LET(
    _xlpm.vals,   _xlfn.HSTACK(S1088,V1088,Y1088,AB1088,AE1088,AH1088),
    _xlpm.ints,   _xlfn.HSTACK(R1088,U1088,X1088,AA1088,AD1088,AG1088),
    _xlpm.slopes, _xlfn.HSTACK(Q1088,T1088,W1088,Z1088,AC1088,AF1088),
    _xlpm.limit,  -0.00001*_xlpm.slopes + 0.1086*_xlpm.slopes + 63.253,
    _xlpm.mask,   (_xlpm.vals&gt;=0) * (_xlpm.ints&lt;=_xlpm.limit),
    _xlpm.validVals, _xlfn._xlws.FILTER(_xlpm.vals, _xlpm.mask),
    _xlpm.minVal, MIN(_xlpm.validVals),
    IFERROR( _xlfn.XMATCH(_xlpm.minVal, _xlpm.vals), "" )
)</f>
        <v>4</v>
      </c>
      <c r="AJ1088" cm="1">
        <f t="array" ref="AJ1088">_xlfn.LET(
    _xlpm.vals, CHOOSE({1,2,3,4,5,6}, S1088, V1088, Y1088, AB1088, AE1088, AH1088),
    _xlpm.slopes, CHOOSE({1,2,3,4,5,6}, Q1088, T1088, W1088, Z1088, AC1088, AF1088),
    _xlpm.ints, CHOOSE({1,2,3,4,5,6}, R1088, U1088, X1088, AA1088, AD1088, AG1088),
    _xlpm.limit, -0.00001*_xlpm.slopes + 0.1086*_xlpm.slopes + 63.253,
    _xlpm.valid, (_xlpm.vals &gt;= 0) * (_xlpm.ints &lt;= _xlpm.limit),
    _xlpm.target, MIN(_xlfn._xlws.FILTER(_xlpm.vals, _xlpm.valid)),
    IFERROR(
        _xlfn.XLOOKUP(_xlpm.target, _xlpm.vals, _xlpm.vals),
        CHOOSE({1,2,3,4,5,6}, S$1, V$1, Y$1, AB$1, AE$1, AH$1)
    )
)</f>
        <v>1.6821371972635089</v>
      </c>
    </row>
    <row r="1089" spans="9:36" x14ac:dyDescent="0.45">
      <c r="I1089">
        <v>1087</v>
      </c>
      <c r="J1089">
        <v>20.2</v>
      </c>
      <c r="K1089">
        <f t="shared" si="369"/>
        <v>20.2</v>
      </c>
      <c r="L1089">
        <f t="shared" si="368"/>
        <v>5.611111111111111E-3</v>
      </c>
      <c r="M1089">
        <v>14.1</v>
      </c>
      <c r="N1089">
        <f t="shared" si="370"/>
        <v>14.1</v>
      </c>
      <c r="O1089">
        <f t="shared" si="371"/>
        <v>262.50269230100059</v>
      </c>
      <c r="P1089">
        <f t="shared" si="372"/>
        <v>840.0086153632019</v>
      </c>
      <c r="Q1089">
        <f t="shared" si="373"/>
        <v>3847.2394583634646</v>
      </c>
      <c r="R1089">
        <f t="shared" si="374"/>
        <v>34.99784282026954</v>
      </c>
      <c r="S1089">
        <f t="shared" si="375"/>
        <v>2.3980721892720127</v>
      </c>
      <c r="T1089">
        <f t="shared" si="376"/>
        <v>2486.4255014750775</v>
      </c>
      <c r="U1089">
        <f t="shared" si="377"/>
        <v>54.152067607038681</v>
      </c>
      <c r="V1089">
        <f t="shared" si="378"/>
        <v>1.6166805206988164</v>
      </c>
      <c r="W1089">
        <f t="shared" si="379"/>
        <v>1604.4164553437156</v>
      </c>
      <c r="X1089">
        <f t="shared" si="380"/>
        <v>83.921528856981425</v>
      </c>
      <c r="Y1089">
        <f t="shared" si="381"/>
        <v>1.5553300749426791</v>
      </c>
      <c r="Z1089">
        <f t="shared" si="382"/>
        <v>1209.6124061230107</v>
      </c>
      <c r="AA1089">
        <f t="shared" si="383"/>
        <v>111.31258341446839</v>
      </c>
      <c r="AB1089">
        <f t="shared" si="384"/>
        <v>1.5290596836995554</v>
      </c>
      <c r="AC1089">
        <f t="shared" si="385"/>
        <v>6000</v>
      </c>
      <c r="AD1089">
        <f t="shared" si="386"/>
        <v>22.440846975957243</v>
      </c>
      <c r="AE1089">
        <f t="shared" si="387"/>
        <v>6.9147654196389388</v>
      </c>
      <c r="AF1089">
        <f t="shared" si="388"/>
        <v>6000</v>
      </c>
      <c r="AG1089">
        <f t="shared" si="389"/>
        <v>22.440846975957243</v>
      </c>
      <c r="AH1089">
        <f t="shared" si="390"/>
        <v>6.9147654196389388</v>
      </c>
      <c r="AI1089" cm="1">
        <f t="array" ref="AI1089">_xlfn.LET(
    _xlpm.vals,   _xlfn.HSTACK(S1089,V1089,Y1089,AB1089,AE1089,AH1089),
    _xlpm.ints,   _xlfn.HSTACK(R1089,U1089,X1089,AA1089,AD1089,AG1089),
    _xlpm.slopes, _xlfn.HSTACK(Q1089,T1089,W1089,Z1089,AC1089,AF1089),
    _xlpm.limit,  -0.00001*_xlpm.slopes + 0.1086*_xlpm.slopes + 63.253,
    _xlpm.mask,   (_xlpm.vals&gt;=0) * (_xlpm.ints&lt;=_xlpm.limit),
    _xlpm.validVals, _xlfn._xlws.FILTER(_xlpm.vals, _xlpm.mask),
    _xlpm.minVal, MIN(_xlpm.validVals),
    IFERROR( _xlfn.XMATCH(_xlpm.minVal, _xlpm.vals), "" )
)</f>
        <v>4</v>
      </c>
      <c r="AJ1089" cm="1">
        <f t="array" ref="AJ1089">_xlfn.LET(
    _xlpm.vals, CHOOSE({1,2,3,4,5,6}, S1089, V1089, Y1089, AB1089, AE1089, AH1089),
    _xlpm.slopes, CHOOSE({1,2,3,4,5,6}, Q1089, T1089, W1089, Z1089, AC1089, AF1089),
    _xlpm.ints, CHOOSE({1,2,3,4,5,6}, R1089, U1089, X1089, AA1089, AD1089, AG1089),
    _xlpm.limit, -0.00001*_xlpm.slopes + 0.1086*_xlpm.slopes + 63.253,
    _xlpm.valid, (_xlpm.vals &gt;= 0) * (_xlpm.ints &lt;= _xlpm.limit),
    _xlpm.target, MIN(_xlfn._xlws.FILTER(_xlpm.vals, _xlpm.valid)),
    IFERROR(
        _xlfn.XLOOKUP(_xlpm.target, _xlpm.vals, _xlpm.vals),
        CHOOSE({1,2,3,4,5,6}, S$1, V$1, Y$1, AB$1, AE$1, AH$1)
    )
)</f>
        <v>1.5290596836995554</v>
      </c>
    </row>
    <row r="1090" spans="9:36" x14ac:dyDescent="0.45">
      <c r="I1090">
        <v>1088</v>
      </c>
      <c r="J1090">
        <v>20.9</v>
      </c>
      <c r="K1090">
        <f t="shared" si="369"/>
        <v>20.9</v>
      </c>
      <c r="L1090">
        <f t="shared" ref="L1090:L1153" si="391">K1090*(1/3600)</f>
        <v>5.8055555555555551E-3</v>
      </c>
      <c r="M1090">
        <v>9.83</v>
      </c>
      <c r="N1090">
        <f t="shared" si="370"/>
        <v>9.83</v>
      </c>
      <c r="O1090">
        <f t="shared" si="371"/>
        <v>271.59932025202534</v>
      </c>
      <c r="P1090">
        <f t="shared" si="372"/>
        <v>869.11782480648117</v>
      </c>
      <c r="Q1090">
        <f t="shared" si="373"/>
        <v>3980.5596376136837</v>
      </c>
      <c r="R1090">
        <f t="shared" si="374"/>
        <v>23.58200704961024</v>
      </c>
      <c r="S1090">
        <f t="shared" si="375"/>
        <v>2.3334293888214215</v>
      </c>
      <c r="T1090">
        <f t="shared" si="376"/>
        <v>2572.5887614271842</v>
      </c>
      <c r="U1090">
        <f t="shared" si="377"/>
        <v>36.488375772707734</v>
      </c>
      <c r="V1090">
        <f t="shared" si="378"/>
        <v>1.3244872708430286</v>
      </c>
      <c r="W1090">
        <f t="shared" si="379"/>
        <v>1660.015045380379</v>
      </c>
      <c r="X1090">
        <f t="shared" si="380"/>
        <v>56.547430516866449</v>
      </c>
      <c r="Y1090">
        <f t="shared" si="381"/>
        <v>1.1745395030899504</v>
      </c>
      <c r="Z1090">
        <f t="shared" si="382"/>
        <v>1251.5296677213328</v>
      </c>
      <c r="AA1090">
        <f t="shared" si="383"/>
        <v>75.003883532788137</v>
      </c>
      <c r="AB1090">
        <f t="shared" si="384"/>
        <v>1.1641529635647345</v>
      </c>
      <c r="AC1090">
        <f t="shared" si="385"/>
        <v>6000</v>
      </c>
      <c r="AD1090">
        <f t="shared" si="386"/>
        <v>15.644930905933313</v>
      </c>
      <c r="AE1090">
        <f t="shared" si="387"/>
        <v>6.8333569619649053</v>
      </c>
      <c r="AF1090">
        <f t="shared" si="388"/>
        <v>6000</v>
      </c>
      <c r="AG1090">
        <f t="shared" si="389"/>
        <v>15.644930905933313</v>
      </c>
      <c r="AH1090">
        <f t="shared" si="390"/>
        <v>6.8333569619649053</v>
      </c>
      <c r="AI1090" cm="1">
        <f t="array" ref="AI1090">_xlfn.LET(
    _xlpm.vals,   _xlfn.HSTACK(S1090,V1090,Y1090,AB1090,AE1090,AH1090),
    _xlpm.ints,   _xlfn.HSTACK(R1090,U1090,X1090,AA1090,AD1090,AG1090),
    _xlpm.slopes, _xlfn.HSTACK(Q1090,T1090,W1090,Z1090,AC1090,AF1090),
    _xlpm.limit,  -0.00001*_xlpm.slopes + 0.1086*_xlpm.slopes + 63.253,
    _xlpm.mask,   (_xlpm.vals&gt;=0) * (_xlpm.ints&lt;=_xlpm.limit),
    _xlpm.validVals, _xlfn._xlws.FILTER(_xlpm.vals, _xlpm.mask),
    _xlpm.minVal, MIN(_xlpm.validVals),
    IFERROR( _xlfn.XMATCH(_xlpm.minVal, _xlpm.vals), "" )
)</f>
        <v>4</v>
      </c>
      <c r="AJ1090" cm="1">
        <f t="array" ref="AJ1090">_xlfn.LET(
    _xlpm.vals, CHOOSE({1,2,3,4,5,6}, S1090, V1090, Y1090, AB1090, AE1090, AH1090),
    _xlpm.slopes, CHOOSE({1,2,3,4,5,6}, Q1090, T1090, W1090, Z1090, AC1090, AF1090),
    _xlpm.ints, CHOOSE({1,2,3,4,5,6}, R1090, U1090, X1090, AA1090, AD1090, AG1090),
    _xlpm.limit, -0.00001*_xlpm.slopes + 0.1086*_xlpm.slopes + 63.253,
    _xlpm.valid, (_xlpm.vals &gt;= 0) * (_xlpm.ints &lt;= _xlpm.limit),
    _xlpm.target, MIN(_xlfn._xlws.FILTER(_xlpm.vals, _xlpm.valid)),
    IFERROR(
        _xlfn.XLOOKUP(_xlpm.target, _xlpm.vals, _xlpm.vals),
        CHOOSE({1,2,3,4,5,6}, S$1, V$1, Y$1, AB$1, AE$1, AH$1)
    )
)</f>
        <v>1.1641529635647345</v>
      </c>
    </row>
    <row r="1091" spans="9:36" x14ac:dyDescent="0.45">
      <c r="I1091">
        <v>1089</v>
      </c>
      <c r="J1091">
        <v>21.1</v>
      </c>
      <c r="K1091">
        <f t="shared" ref="K1091:K1154" si="392">IF(J1091&lt;0,0,J1091)</f>
        <v>21.1</v>
      </c>
      <c r="L1091">
        <f t="shared" si="391"/>
        <v>5.8611111111111112E-3</v>
      </c>
      <c r="M1091">
        <v>6.63</v>
      </c>
      <c r="N1091">
        <f t="shared" ref="N1091:N1154" si="393">IF(M1091&lt;0,0,M1091)</f>
        <v>6.63</v>
      </c>
      <c r="O1091">
        <f t="shared" ref="O1091:O1154" si="394">(K1091*0.44704*60)/(PI()*$B$2)</f>
        <v>274.19835680946096</v>
      </c>
      <c r="P1091">
        <f t="shared" ref="P1091:P1154" si="395">O1091*3.2</f>
        <v>877.4347417902751</v>
      </c>
      <c r="Q1091">
        <f t="shared" ref="Q1091:Q1154" si="396">IF(4.58*P1091&lt;1000,1000,4.58*P1091)</f>
        <v>4018.65111739946</v>
      </c>
      <c r="R1091">
        <f t="shared" ref="R1091:R1154" si="397">(1000*N1091*60)/(Q1091*2*PI())</f>
        <v>15.754499336316155</v>
      </c>
      <c r="S1091">
        <f t="shared" ref="S1091:S1154" si="398">(0.072946 + (0.000364279 * Q1091) + (-0.00248749 * R1091) + (0.00000951906 * Q1091 * R1091) + (-0.000000165418 * Q1091^2) + (0.000045414 * R1091^2) + (-0.00000000135106 * Q1091^2 * R1091) + (0.0000000203184 * Q1091 * R1091^2) + (0.0000000000481318 * Q1091^3) + (-0.00000034778 * R1091^3))</f>
        <v>2.2390662187437091</v>
      </c>
      <c r="T1091">
        <f t="shared" ref="T1091:T1154" si="399">IF(2.96*P1091&lt;1000,6000,2.96*P1091)</f>
        <v>2597.2068356992145</v>
      </c>
      <c r="U1091">
        <f t="shared" ref="U1091:U1154" si="400">(1000*N1091*60)/(T1091*2*PI())</f>
        <v>24.376894243354048</v>
      </c>
      <c r="V1091">
        <f t="shared" ref="V1091:V1154" si="401">(0.072946 + (0.000364279 * T1091) + (-0.00248749 * U1091) + (0.00000951906 * T1091 * U1091) + (-0.000000165418 * T1091^2) + (0.000045414 * U1091^2) + (-0.00000000135106 * T1091^2 * U1091) + (0.0000000203184 * T1091 * U1091^2) + (0.0000000000481318 * T1091^3) + (-0.00000034778 * U1091^3))</f>
        <v>1.1196493531224196</v>
      </c>
      <c r="W1091">
        <f t="shared" ref="W1091:W1154" si="402">IF(1.91*P1091&lt;1000,6000,1.91*P1091)</f>
        <v>1675.9003568194253</v>
      </c>
      <c r="X1091">
        <f t="shared" ref="X1091:X1154" si="403">(1000*N1091*60)/(W1091*2*PI())</f>
        <v>37.7778046912712</v>
      </c>
      <c r="Y1091">
        <f t="shared" ref="Y1091:Y1154" si="404">(0.072946 + (0.000364279 * W1091) + (-0.00248749 * X1091) + (0.00000951906 * W1091 * X1091) + (-0.000000165418 * W1091^2) + (0.000045414 * X1091^2) + (-0.00000000135106 * W1091^2 * X1091) + (0.0000000203184 * W1091 * X1091^2) + (0.0000000000481318 * W1091^3) + (-0.00000034778 * X1091^3))</f>
        <v>0.90540165146907614</v>
      </c>
      <c r="Z1091">
        <f t="shared" ref="Z1091:Z1154" si="405">IF(1.44*P1091&lt;1000,6000,1.44*P1091)</f>
        <v>1263.5060281779961</v>
      </c>
      <c r="AA1091">
        <f t="shared" ref="AA1091:AA1154" si="406">(1000*N1091*60)/(Z1091*2*PI())</f>
        <v>50.108060389116666</v>
      </c>
      <c r="AB1091">
        <f t="shared" ref="AB1091:AB1154" si="407">(0.072946 + (0.000364279 * Z1091) + (-0.00248749 * AA1091) + (0.00000951906 * Z1091 * AA1091) + (-0.000000165418 * Z1091^2) + (0.000045414 * AA1091^2) + (-0.00000000135106 * Z1091^2 * AA1091) + (0.0000000203184 * Z1091 * AA1091^2) + (0.0000000000481318 * Z1091^3) + (-0.00000034778 * AA1091^3))</f>
        <v>0.87089928212088785</v>
      </c>
      <c r="AC1091">
        <f t="shared" ref="AC1091:AC1154" si="408">IF(0.74*P1091&lt;1000,6000,0.74*P1091)</f>
        <v>6000</v>
      </c>
      <c r="AD1091">
        <f t="shared" ref="AD1091:AD1154" si="409">(1000*N1091*60)/(AC1091*2*PI())</f>
        <v>10.551972726992661</v>
      </c>
      <c r="AE1091">
        <f t="shared" ref="AE1091:AE1154" si="410">(0.072946 + (0.000364279 * AC1091) + (-0.00248749 * AD1091) + (0.00000951906 * AC1091 * AD1091) + (-0.000000165418 * AC1091^2) + (0.000045414 * AD1091^2) + (-0.00000000135106 * AC1091^2 * AD1091) + (0.0000000203184 * AC1091 * AD1091^2) + (0.0000000000481318 * AC1091^3) + (-0.00000034778 * AD1091^3))</f>
        <v>6.7814554872793176</v>
      </c>
      <c r="AF1091">
        <f t="shared" ref="AF1091:AF1154" si="411">IF(0.68*P1091&lt;1000,6000,0.68*P1091)</f>
        <v>6000</v>
      </c>
      <c r="AG1091">
        <f t="shared" ref="AG1091:AG1154" si="412">(1000*N1091*60)/(AF1091*2*PI())</f>
        <v>10.551972726992661</v>
      </c>
      <c r="AH1091">
        <f t="shared" ref="AH1091:AH1154" si="413">(0.072946 + (0.000364279 * AF1091) + (-0.00248749 * AG1091) + (0.00000951906 * AF1091 * AG1091) + (-0.000000165418 * AF1091^2) + (0.000045414 * AG1091^2) + (-0.00000000135106 * AF1091^2 * AG1091) + (0.0000000203184 * AF1091 * AG1091^2) + (0.0000000000481318 * AF1091^3) + (-0.00000034778 * AG1091^3))</f>
        <v>6.7814554872793176</v>
      </c>
      <c r="AI1091" cm="1">
        <f t="array" ref="AI1091">_xlfn.LET(
    _xlpm.vals,   _xlfn.HSTACK(S1091,V1091,Y1091,AB1091,AE1091,AH1091),
    _xlpm.ints,   _xlfn.HSTACK(R1091,U1091,X1091,AA1091,AD1091,AG1091),
    _xlpm.slopes, _xlfn.HSTACK(Q1091,T1091,W1091,Z1091,AC1091,AF1091),
    _xlpm.limit,  -0.00001*_xlpm.slopes + 0.1086*_xlpm.slopes + 63.253,
    _xlpm.mask,   (_xlpm.vals&gt;=0) * (_xlpm.ints&lt;=_xlpm.limit),
    _xlpm.validVals, _xlfn._xlws.FILTER(_xlpm.vals, _xlpm.mask),
    _xlpm.minVal, MIN(_xlpm.validVals),
    IFERROR( _xlfn.XMATCH(_xlpm.minVal, _xlpm.vals), "" )
)</f>
        <v>4</v>
      </c>
      <c r="AJ1091" cm="1">
        <f t="array" ref="AJ1091">_xlfn.LET(
    _xlpm.vals, CHOOSE({1,2,3,4,5,6}, S1091, V1091, Y1091, AB1091, AE1091, AH1091),
    _xlpm.slopes, CHOOSE({1,2,3,4,5,6}, Q1091, T1091, W1091, Z1091, AC1091, AF1091),
    _xlpm.ints, CHOOSE({1,2,3,4,5,6}, R1091, U1091, X1091, AA1091, AD1091, AG1091),
    _xlpm.limit, -0.00001*_xlpm.slopes + 0.1086*_xlpm.slopes + 63.253,
    _xlpm.valid, (_xlpm.vals &gt;= 0) * (_xlpm.ints &lt;= _xlpm.limit),
    _xlpm.target, MIN(_xlfn._xlws.FILTER(_xlpm.vals, _xlpm.valid)),
    IFERROR(
        _xlfn.XLOOKUP(_xlpm.target, _xlpm.vals, _xlpm.vals),
        CHOOSE({1,2,3,4,5,6}, S$1, V$1, Y$1, AB$1, AE$1, AH$1)
    )
)</f>
        <v>0.87089928212088785</v>
      </c>
    </row>
    <row r="1092" spans="9:36" x14ac:dyDescent="0.45">
      <c r="I1092">
        <v>1090</v>
      </c>
      <c r="J1092">
        <v>21.3</v>
      </c>
      <c r="K1092">
        <f t="shared" si="392"/>
        <v>21.3</v>
      </c>
      <c r="L1092">
        <f t="shared" si="391"/>
        <v>5.9166666666666664E-3</v>
      </c>
      <c r="M1092">
        <v>4.2</v>
      </c>
      <c r="N1092">
        <f t="shared" si="393"/>
        <v>4.2</v>
      </c>
      <c r="O1092">
        <f t="shared" si="394"/>
        <v>276.79739336689664</v>
      </c>
      <c r="P1092">
        <f t="shared" si="395"/>
        <v>885.75165877406926</v>
      </c>
      <c r="Q1092">
        <f t="shared" si="396"/>
        <v>4056.7425971852372</v>
      </c>
      <c r="R1092">
        <f t="shared" si="397"/>
        <v>9.8865147833105844</v>
      </c>
      <c r="S1092">
        <f t="shared" si="398"/>
        <v>2.1913445461901242</v>
      </c>
      <c r="T1092">
        <f t="shared" si="399"/>
        <v>2621.8249099712448</v>
      </c>
      <c r="U1092">
        <f t="shared" si="400"/>
        <v>15.297377603906243</v>
      </c>
      <c r="V1092">
        <f t="shared" si="401"/>
        <v>0.98190025987983298</v>
      </c>
      <c r="W1092">
        <f t="shared" si="402"/>
        <v>1691.7856682584722</v>
      </c>
      <c r="X1092">
        <f t="shared" si="403"/>
        <v>23.706930736943708</v>
      </c>
      <c r="Y1092">
        <f t="shared" si="404"/>
        <v>0.72018554076195207</v>
      </c>
      <c r="Z1092">
        <f t="shared" si="405"/>
        <v>1275.4823886346596</v>
      </c>
      <c r="AA1092">
        <f t="shared" si="406"/>
        <v>31.444609519140613</v>
      </c>
      <c r="AB1092">
        <f t="shared" si="407"/>
        <v>0.66250496107954693</v>
      </c>
      <c r="AC1092">
        <f t="shared" si="408"/>
        <v>6000</v>
      </c>
      <c r="AD1092">
        <f t="shared" si="409"/>
        <v>6.6845076098596046</v>
      </c>
      <c r="AE1092">
        <f t="shared" si="410"/>
        <v>6.7474449983907157</v>
      </c>
      <c r="AF1092">
        <f t="shared" si="411"/>
        <v>6000</v>
      </c>
      <c r="AG1092">
        <f t="shared" si="412"/>
        <v>6.6845076098596046</v>
      </c>
      <c r="AH1092">
        <f t="shared" si="413"/>
        <v>6.7474449983907157</v>
      </c>
      <c r="AI1092" cm="1">
        <f t="array" ref="AI1092">_xlfn.LET(
    _xlpm.vals,   _xlfn.HSTACK(S1092,V1092,Y1092,AB1092,AE1092,AH1092),
    _xlpm.ints,   _xlfn.HSTACK(R1092,U1092,X1092,AA1092,AD1092,AG1092),
    _xlpm.slopes, _xlfn.HSTACK(Q1092,T1092,W1092,Z1092,AC1092,AF1092),
    _xlpm.limit,  -0.00001*_xlpm.slopes + 0.1086*_xlpm.slopes + 63.253,
    _xlpm.mask,   (_xlpm.vals&gt;=0) * (_xlpm.ints&lt;=_xlpm.limit),
    _xlpm.validVals, _xlfn._xlws.FILTER(_xlpm.vals, _xlpm.mask),
    _xlpm.minVal, MIN(_xlpm.validVals),
    IFERROR( _xlfn.XMATCH(_xlpm.minVal, _xlpm.vals), "" )
)</f>
        <v>4</v>
      </c>
      <c r="AJ1092" cm="1">
        <f t="array" ref="AJ1092">_xlfn.LET(
    _xlpm.vals, CHOOSE({1,2,3,4,5,6}, S1092, V1092, Y1092, AB1092, AE1092, AH1092),
    _xlpm.slopes, CHOOSE({1,2,3,4,5,6}, Q1092, T1092, W1092, Z1092, AC1092, AF1092),
    _xlpm.ints, CHOOSE({1,2,3,4,5,6}, R1092, U1092, X1092, AA1092, AD1092, AG1092),
    _xlpm.limit, -0.00001*_xlpm.slopes + 0.1086*_xlpm.slopes + 63.253,
    _xlpm.valid, (_xlpm.vals &gt;= 0) * (_xlpm.ints &lt;= _xlpm.limit),
    _xlpm.target, MIN(_xlfn._xlws.FILTER(_xlpm.vals, _xlpm.valid)),
    IFERROR(
        _xlfn.XLOOKUP(_xlpm.target, _xlpm.vals, _xlpm.vals),
        CHOOSE({1,2,3,4,5,6}, S$1, V$1, Y$1, AB$1, AE$1, AH$1)
    )
)</f>
        <v>0.66250496107954693</v>
      </c>
    </row>
    <row r="1093" spans="9:36" x14ac:dyDescent="0.45">
      <c r="I1093">
        <v>1091</v>
      </c>
      <c r="J1093">
        <v>21.5</v>
      </c>
      <c r="K1093">
        <f t="shared" si="392"/>
        <v>21.5</v>
      </c>
      <c r="L1093">
        <f t="shared" si="391"/>
        <v>5.9722222222222225E-3</v>
      </c>
      <c r="M1093">
        <v>6.66</v>
      </c>
      <c r="N1093">
        <f t="shared" si="393"/>
        <v>6.66</v>
      </c>
      <c r="O1093">
        <f t="shared" si="394"/>
        <v>279.39642992433227</v>
      </c>
      <c r="P1093">
        <f t="shared" si="395"/>
        <v>894.0685757578633</v>
      </c>
      <c r="Q1093">
        <f t="shared" si="396"/>
        <v>4094.8340769710139</v>
      </c>
      <c r="R1093">
        <f t="shared" si="397"/>
        <v>15.531353423376224</v>
      </c>
      <c r="S1093">
        <f t="shared" si="398"/>
        <v>2.3403373727498096</v>
      </c>
      <c r="T1093">
        <f t="shared" si="399"/>
        <v>2646.4429842432755</v>
      </c>
      <c r="U1093">
        <f t="shared" si="400"/>
        <v>24.031621175359156</v>
      </c>
      <c r="V1093">
        <f t="shared" si="401"/>
        <v>1.1412473350975081</v>
      </c>
      <c r="W1093">
        <f t="shared" si="402"/>
        <v>1707.6709796975188</v>
      </c>
      <c r="X1093">
        <f t="shared" si="403"/>
        <v>37.242721821499011</v>
      </c>
      <c r="Y1093">
        <f t="shared" si="404"/>
        <v>0.91149385018153894</v>
      </c>
      <c r="Z1093">
        <f t="shared" si="405"/>
        <v>1287.4587490913232</v>
      </c>
      <c r="AA1093">
        <f t="shared" si="406"/>
        <v>49.398332416016046</v>
      </c>
      <c r="AB1093">
        <f t="shared" si="407"/>
        <v>0.87508979086291716</v>
      </c>
      <c r="AC1093">
        <f t="shared" si="408"/>
        <v>6000</v>
      </c>
      <c r="AD1093">
        <f t="shared" si="409"/>
        <v>10.599719209920229</v>
      </c>
      <c r="AE1093">
        <f t="shared" si="410"/>
        <v>6.7819048393581429</v>
      </c>
      <c r="AF1093">
        <f t="shared" si="411"/>
        <v>6000</v>
      </c>
      <c r="AG1093">
        <f t="shared" si="412"/>
        <v>10.599719209920229</v>
      </c>
      <c r="AH1093">
        <f t="shared" si="413"/>
        <v>6.7819048393581429</v>
      </c>
      <c r="AI1093" cm="1">
        <f t="array" ref="AI1093">_xlfn.LET(
    _xlpm.vals,   _xlfn.HSTACK(S1093,V1093,Y1093,AB1093,AE1093,AH1093),
    _xlpm.ints,   _xlfn.HSTACK(R1093,U1093,X1093,AA1093,AD1093,AG1093),
    _xlpm.slopes, _xlfn.HSTACK(Q1093,T1093,W1093,Z1093,AC1093,AF1093),
    _xlpm.limit,  -0.00001*_xlpm.slopes + 0.1086*_xlpm.slopes + 63.253,
    _xlpm.mask,   (_xlpm.vals&gt;=0) * (_xlpm.ints&lt;=_xlpm.limit),
    _xlpm.validVals, _xlfn._xlws.FILTER(_xlpm.vals, _xlpm.mask),
    _xlpm.minVal, MIN(_xlpm.validVals),
    IFERROR( _xlfn.XMATCH(_xlpm.minVal, _xlpm.vals), "" )
)</f>
        <v>4</v>
      </c>
      <c r="AJ1093" cm="1">
        <f t="array" ref="AJ1093">_xlfn.LET(
    _xlpm.vals, CHOOSE({1,2,3,4,5,6}, S1093, V1093, Y1093, AB1093, AE1093, AH1093),
    _xlpm.slopes, CHOOSE({1,2,3,4,5,6}, Q1093, T1093, W1093, Z1093, AC1093, AF1093),
    _xlpm.ints, CHOOSE({1,2,3,4,5,6}, R1093, U1093, X1093, AA1093, AD1093, AG1093),
    _xlpm.limit, -0.00001*_xlpm.slopes + 0.1086*_xlpm.slopes + 63.253,
    _xlpm.valid, (_xlpm.vals &gt;= 0) * (_xlpm.ints &lt;= _xlpm.limit),
    _xlpm.target, MIN(_xlfn._xlws.FILTER(_xlpm.vals, _xlpm.valid)),
    IFERROR(
        _xlfn.XLOOKUP(_xlpm.target, _xlpm.vals, _xlpm.vals),
        CHOOSE({1,2,3,4,5,6}, S$1, V$1, Y$1, AB$1, AE$1, AH$1)
    )
)</f>
        <v>0.87508979086291716</v>
      </c>
    </row>
    <row r="1094" spans="9:36" x14ac:dyDescent="0.45">
      <c r="I1094">
        <v>1092</v>
      </c>
      <c r="J1094">
        <v>22</v>
      </c>
      <c r="K1094">
        <f t="shared" si="392"/>
        <v>22</v>
      </c>
      <c r="L1094">
        <f t="shared" si="391"/>
        <v>6.1111111111111114E-3</v>
      </c>
      <c r="M1094">
        <v>8.26</v>
      </c>
      <c r="N1094">
        <f t="shared" si="393"/>
        <v>8.26</v>
      </c>
      <c r="O1094">
        <f t="shared" si="394"/>
        <v>285.89402131792139</v>
      </c>
      <c r="P1094">
        <f t="shared" si="395"/>
        <v>914.86086821734852</v>
      </c>
      <c r="Q1094">
        <f t="shared" si="396"/>
        <v>4190.0627764354567</v>
      </c>
      <c r="R1094">
        <f t="shared" si="397"/>
        <v>18.824822921494562</v>
      </c>
      <c r="S1094">
        <f t="shared" si="398"/>
        <v>2.5372806485789381</v>
      </c>
      <c r="T1094">
        <f t="shared" si="399"/>
        <v>2707.9881699233515</v>
      </c>
      <c r="U1094">
        <f t="shared" si="400"/>
        <v>29.127597628528754</v>
      </c>
      <c r="V1094">
        <f t="shared" si="401"/>
        <v>1.268592607537538</v>
      </c>
      <c r="W1094">
        <f t="shared" si="402"/>
        <v>1747.3842582951356</v>
      </c>
      <c r="X1094">
        <f t="shared" si="403"/>
        <v>45.14015129866236</v>
      </c>
      <c r="Y1094">
        <f t="shared" si="404"/>
        <v>1.0464323708637215</v>
      </c>
      <c r="Z1094">
        <f t="shared" si="405"/>
        <v>1317.3996502329819</v>
      </c>
      <c r="AA1094">
        <f t="shared" si="406"/>
        <v>59.873395125309095</v>
      </c>
      <c r="AB1094">
        <f t="shared" si="407"/>
        <v>1.0214274617296406</v>
      </c>
      <c r="AC1094">
        <f t="shared" si="408"/>
        <v>6000</v>
      </c>
      <c r="AD1094">
        <f t="shared" si="409"/>
        <v>13.146198299390555</v>
      </c>
      <c r="AE1094">
        <f t="shared" si="410"/>
        <v>6.8068968533238667</v>
      </c>
      <c r="AF1094">
        <f t="shared" si="411"/>
        <v>6000</v>
      </c>
      <c r="AG1094">
        <f t="shared" si="412"/>
        <v>13.146198299390555</v>
      </c>
      <c r="AH1094">
        <f t="shared" si="413"/>
        <v>6.8068968533238667</v>
      </c>
      <c r="AI1094" cm="1">
        <f t="array" ref="AI1094">_xlfn.LET(
    _xlpm.vals,   _xlfn.HSTACK(S1094,V1094,Y1094,AB1094,AE1094,AH1094),
    _xlpm.ints,   _xlfn.HSTACK(R1094,U1094,X1094,AA1094,AD1094,AG1094),
    _xlpm.slopes, _xlfn.HSTACK(Q1094,T1094,W1094,Z1094,AC1094,AF1094),
    _xlpm.limit,  -0.00001*_xlpm.slopes + 0.1086*_xlpm.slopes + 63.253,
    _xlpm.mask,   (_xlpm.vals&gt;=0) * (_xlpm.ints&lt;=_xlpm.limit),
    _xlpm.validVals, _xlfn._xlws.FILTER(_xlpm.vals, _xlpm.mask),
    _xlpm.minVal, MIN(_xlpm.validVals),
    IFERROR( _xlfn.XMATCH(_xlpm.minVal, _xlpm.vals), "" )
)</f>
        <v>4</v>
      </c>
      <c r="AJ1094" cm="1">
        <f t="array" ref="AJ1094">_xlfn.LET(
    _xlpm.vals, CHOOSE({1,2,3,4,5,6}, S1094, V1094, Y1094, AB1094, AE1094, AH1094),
    _xlpm.slopes, CHOOSE({1,2,3,4,5,6}, Q1094, T1094, W1094, Z1094, AC1094, AF1094),
    _xlpm.ints, CHOOSE({1,2,3,4,5,6}, R1094, U1094, X1094, AA1094, AD1094, AG1094),
    _xlpm.limit, -0.00001*_xlpm.slopes + 0.1086*_xlpm.slopes + 63.253,
    _xlpm.valid, (_xlpm.vals &gt;= 0) * (_xlpm.ints &lt;= _xlpm.limit),
    _xlpm.target, MIN(_xlfn._xlws.FILTER(_xlpm.vals, _xlpm.valid)),
    IFERROR(
        _xlfn.XLOOKUP(_xlpm.target, _xlpm.vals, _xlpm.vals),
        CHOOSE({1,2,3,4,5,6}, S$1, V$1, Y$1, AB$1, AE$1, AH$1)
    )
)</f>
        <v>1.0214274617296406</v>
      </c>
    </row>
    <row r="1095" spans="9:36" x14ac:dyDescent="0.45">
      <c r="I1095">
        <v>1093</v>
      </c>
      <c r="J1095">
        <v>22.8</v>
      </c>
      <c r="K1095">
        <f t="shared" si="392"/>
        <v>22.8</v>
      </c>
      <c r="L1095">
        <f t="shared" si="391"/>
        <v>6.3333333333333332E-3</v>
      </c>
      <c r="M1095">
        <v>9.4700000000000006</v>
      </c>
      <c r="N1095">
        <f t="shared" si="393"/>
        <v>9.4700000000000006</v>
      </c>
      <c r="O1095">
        <f t="shared" si="394"/>
        <v>296.29016754766405</v>
      </c>
      <c r="P1095">
        <f t="shared" si="395"/>
        <v>948.12853615252504</v>
      </c>
      <c r="Q1095">
        <f t="shared" si="396"/>
        <v>4342.4286955785647</v>
      </c>
      <c r="R1095">
        <f t="shared" si="397"/>
        <v>20.825175265835014</v>
      </c>
      <c r="S1095">
        <f t="shared" si="398"/>
        <v>2.8100717920084151</v>
      </c>
      <c r="T1095">
        <f t="shared" si="399"/>
        <v>2806.4604670114741</v>
      </c>
      <c r="U1095">
        <f t="shared" si="400"/>
        <v>32.222737404569045</v>
      </c>
      <c r="V1095">
        <f t="shared" si="401"/>
        <v>1.3888389923485567</v>
      </c>
      <c r="W1095">
        <f t="shared" si="402"/>
        <v>1810.9255040513228</v>
      </c>
      <c r="X1095">
        <f t="shared" si="403"/>
        <v>49.936807705510141</v>
      </c>
      <c r="Y1095">
        <f t="shared" si="404"/>
        <v>1.1530427535482108</v>
      </c>
      <c r="Z1095">
        <f t="shared" si="405"/>
        <v>1365.3050920596361</v>
      </c>
      <c r="AA1095">
        <f t="shared" si="406"/>
        <v>66.235626887169701</v>
      </c>
      <c r="AB1095">
        <f t="shared" si="407"/>
        <v>1.1335809749231578</v>
      </c>
      <c r="AC1095">
        <f t="shared" si="408"/>
        <v>6000</v>
      </c>
      <c r="AD1095">
        <f t="shared" si="409"/>
        <v>15.071973110802489</v>
      </c>
      <c r="AE1095">
        <f t="shared" si="410"/>
        <v>6.8271218840828363</v>
      </c>
      <c r="AF1095">
        <f t="shared" si="411"/>
        <v>6000</v>
      </c>
      <c r="AG1095">
        <f t="shared" si="412"/>
        <v>15.071973110802489</v>
      </c>
      <c r="AH1095">
        <f t="shared" si="413"/>
        <v>6.8271218840828363</v>
      </c>
      <c r="AI1095" cm="1">
        <f t="array" ref="AI1095">_xlfn.LET(
    _xlpm.vals,   _xlfn.HSTACK(S1095,V1095,Y1095,AB1095,AE1095,AH1095),
    _xlpm.ints,   _xlfn.HSTACK(R1095,U1095,X1095,AA1095,AD1095,AG1095),
    _xlpm.slopes, _xlfn.HSTACK(Q1095,T1095,W1095,Z1095,AC1095,AF1095),
    _xlpm.limit,  -0.00001*_xlpm.slopes + 0.1086*_xlpm.slopes + 63.253,
    _xlpm.mask,   (_xlpm.vals&gt;=0) * (_xlpm.ints&lt;=_xlpm.limit),
    _xlpm.validVals, _xlfn._xlws.FILTER(_xlpm.vals, _xlpm.mask),
    _xlpm.minVal, MIN(_xlpm.validVals),
    IFERROR( _xlfn.XMATCH(_xlpm.minVal, _xlpm.vals), "" )
)</f>
        <v>4</v>
      </c>
      <c r="AJ1095" cm="1">
        <f t="array" ref="AJ1095">_xlfn.LET(
    _xlpm.vals, CHOOSE({1,2,3,4,5,6}, S1095, V1095, Y1095, AB1095, AE1095, AH1095),
    _xlpm.slopes, CHOOSE({1,2,3,4,5,6}, Q1095, T1095, W1095, Z1095, AC1095, AF1095),
    _xlpm.ints, CHOOSE({1,2,3,4,5,6}, R1095, U1095, X1095, AA1095, AD1095, AG1095),
    _xlpm.limit, -0.00001*_xlpm.slopes + 0.1086*_xlpm.slopes + 63.253,
    _xlpm.valid, (_xlpm.vals &gt;= 0) * (_xlpm.ints &lt;= _xlpm.limit),
    _xlpm.target, MIN(_xlfn._xlws.FILTER(_xlpm.vals, _xlpm.valid)),
    IFERROR(
        _xlfn.XLOOKUP(_xlpm.target, _xlpm.vals, _xlpm.vals),
        CHOOSE({1,2,3,4,5,6}, S$1, V$1, Y$1, AB$1, AE$1, AH$1)
    )
)</f>
        <v>1.1335809749231578</v>
      </c>
    </row>
    <row r="1096" spans="9:36" x14ac:dyDescent="0.45">
      <c r="I1096">
        <v>1094</v>
      </c>
      <c r="J1096">
        <v>23.3</v>
      </c>
      <c r="K1096">
        <f t="shared" si="392"/>
        <v>23.3</v>
      </c>
      <c r="L1096">
        <f t="shared" si="391"/>
        <v>6.4722222222222221E-3</v>
      </c>
      <c r="M1096">
        <v>5.21</v>
      </c>
      <c r="N1096">
        <f t="shared" si="393"/>
        <v>5.21</v>
      </c>
      <c r="O1096">
        <f t="shared" si="394"/>
        <v>302.78775894125312</v>
      </c>
      <c r="P1096">
        <f t="shared" si="395"/>
        <v>968.92082861201004</v>
      </c>
      <c r="Q1096">
        <f t="shared" si="396"/>
        <v>4437.6573950430056</v>
      </c>
      <c r="R1096">
        <f t="shared" si="397"/>
        <v>11.211283517763393</v>
      </c>
      <c r="S1096">
        <f t="shared" si="398"/>
        <v>2.8021460566963921</v>
      </c>
      <c r="T1096">
        <f t="shared" si="399"/>
        <v>2868.0056526915496</v>
      </c>
      <c r="U1096">
        <f t="shared" si="400"/>
        <v>17.347188686269032</v>
      </c>
      <c r="V1096">
        <f t="shared" si="401"/>
        <v>1.1595679648561983</v>
      </c>
      <c r="W1096">
        <f t="shared" si="402"/>
        <v>1850.638782648939</v>
      </c>
      <c r="X1096">
        <f t="shared" si="403"/>
        <v>26.883601314846253</v>
      </c>
      <c r="Y1096">
        <f t="shared" si="404"/>
        <v>0.82119211329582353</v>
      </c>
      <c r="Z1096">
        <f t="shared" si="405"/>
        <v>1395.2459932012944</v>
      </c>
      <c r="AA1096">
        <f t="shared" si="406"/>
        <v>35.65811007733079</v>
      </c>
      <c r="AB1096">
        <f t="shared" si="407"/>
        <v>0.75904456350108507</v>
      </c>
      <c r="AC1096">
        <f t="shared" si="408"/>
        <v>6000</v>
      </c>
      <c r="AD1096">
        <f t="shared" si="409"/>
        <v>8.2919725350877478</v>
      </c>
      <c r="AE1096">
        <f t="shared" si="410"/>
        <v>6.7610054309114576</v>
      </c>
      <c r="AF1096">
        <f t="shared" si="411"/>
        <v>6000</v>
      </c>
      <c r="AG1096">
        <f t="shared" si="412"/>
        <v>8.2919725350877478</v>
      </c>
      <c r="AH1096">
        <f t="shared" si="413"/>
        <v>6.7610054309114576</v>
      </c>
      <c r="AI1096" cm="1">
        <f t="array" ref="AI1096">_xlfn.LET(
    _xlpm.vals,   _xlfn.HSTACK(S1096,V1096,Y1096,AB1096,AE1096,AH1096),
    _xlpm.ints,   _xlfn.HSTACK(R1096,U1096,X1096,AA1096,AD1096,AG1096),
    _xlpm.slopes, _xlfn.HSTACK(Q1096,T1096,W1096,Z1096,AC1096,AF1096),
    _xlpm.limit,  -0.00001*_xlpm.slopes + 0.1086*_xlpm.slopes + 63.253,
    _xlpm.mask,   (_xlpm.vals&gt;=0) * (_xlpm.ints&lt;=_xlpm.limit),
    _xlpm.validVals, _xlfn._xlws.FILTER(_xlpm.vals, _xlpm.mask),
    _xlpm.minVal, MIN(_xlpm.validVals),
    IFERROR( _xlfn.XMATCH(_xlpm.minVal, _xlpm.vals), "" )
)</f>
        <v>4</v>
      </c>
      <c r="AJ1096" cm="1">
        <f t="array" ref="AJ1096">_xlfn.LET(
    _xlpm.vals, CHOOSE({1,2,3,4,5,6}, S1096, V1096, Y1096, AB1096, AE1096, AH1096),
    _xlpm.slopes, CHOOSE({1,2,3,4,5,6}, Q1096, T1096, W1096, Z1096, AC1096, AF1096),
    _xlpm.ints, CHOOSE({1,2,3,4,5,6}, R1096, U1096, X1096, AA1096, AD1096, AG1096),
    _xlpm.limit, -0.00001*_xlpm.slopes + 0.1086*_xlpm.slopes + 63.253,
    _xlpm.valid, (_xlpm.vals &gt;= 0) * (_xlpm.ints &lt;= _xlpm.limit),
    _xlpm.target, MIN(_xlfn._xlws.FILTER(_xlpm.vals, _xlpm.valid)),
    IFERROR(
        _xlfn.XLOOKUP(_xlpm.target, _xlpm.vals, _xlpm.vals),
        CHOOSE({1,2,3,4,5,6}, S$1, V$1, Y$1, AB$1, AE$1, AH$1)
    )
)</f>
        <v>0.75904456350108507</v>
      </c>
    </row>
    <row r="1097" spans="9:36" x14ac:dyDescent="0.45">
      <c r="I1097">
        <v>1095</v>
      </c>
      <c r="J1097">
        <v>23.8</v>
      </c>
      <c r="K1097">
        <f t="shared" si="392"/>
        <v>23.8</v>
      </c>
      <c r="L1097">
        <f t="shared" si="391"/>
        <v>6.611111111111111E-3</v>
      </c>
      <c r="M1097">
        <v>12.55</v>
      </c>
      <c r="N1097">
        <f t="shared" si="393"/>
        <v>12.55</v>
      </c>
      <c r="O1097">
        <f t="shared" si="394"/>
        <v>309.28535033484224</v>
      </c>
      <c r="P1097">
        <f t="shared" si="395"/>
        <v>989.71312107149515</v>
      </c>
      <c r="Q1097">
        <f t="shared" si="396"/>
        <v>4532.8860945074475</v>
      </c>
      <c r="R1097">
        <f t="shared" si="397"/>
        <v>26.438712477997893</v>
      </c>
      <c r="S1097">
        <f t="shared" si="398"/>
        <v>3.2389849424110713</v>
      </c>
      <c r="T1097">
        <f t="shared" si="399"/>
        <v>2929.5508383716256</v>
      </c>
      <c r="U1097">
        <f t="shared" si="400"/>
        <v>40.908548361226472</v>
      </c>
      <c r="V1097">
        <f t="shared" si="401"/>
        <v>1.6471005446746938</v>
      </c>
      <c r="W1097">
        <f t="shared" si="402"/>
        <v>1890.3520612465556</v>
      </c>
      <c r="X1097">
        <f t="shared" si="403"/>
        <v>63.397540915827406</v>
      </c>
      <c r="Y1097">
        <f t="shared" si="404"/>
        <v>1.4208914242559836</v>
      </c>
      <c r="Z1097">
        <f t="shared" si="405"/>
        <v>1425.1868943429529</v>
      </c>
      <c r="AA1097">
        <f t="shared" si="406"/>
        <v>84.089793853632187</v>
      </c>
      <c r="AB1097">
        <f t="shared" si="407"/>
        <v>1.4154141879554534</v>
      </c>
      <c r="AC1097">
        <f t="shared" si="408"/>
        <v>6000</v>
      </c>
      <c r="AD1097">
        <f t="shared" si="409"/>
        <v>19.973945358032864</v>
      </c>
      <c r="AE1097">
        <f t="shared" si="410"/>
        <v>6.8836430761798573</v>
      </c>
      <c r="AF1097">
        <f t="shared" si="411"/>
        <v>6000</v>
      </c>
      <c r="AG1097">
        <f t="shared" si="412"/>
        <v>19.973945358032864</v>
      </c>
      <c r="AH1097">
        <f t="shared" si="413"/>
        <v>6.8836430761798573</v>
      </c>
      <c r="AI1097" cm="1">
        <f t="array" ref="AI1097">_xlfn.LET(
    _xlpm.vals,   _xlfn.HSTACK(S1097,V1097,Y1097,AB1097,AE1097,AH1097),
    _xlpm.ints,   _xlfn.HSTACK(R1097,U1097,X1097,AA1097,AD1097,AG1097),
    _xlpm.slopes, _xlfn.HSTACK(Q1097,T1097,W1097,Z1097,AC1097,AF1097),
    _xlpm.limit,  -0.00001*_xlpm.slopes + 0.1086*_xlpm.slopes + 63.253,
    _xlpm.mask,   (_xlpm.vals&gt;=0) * (_xlpm.ints&lt;=_xlpm.limit),
    _xlpm.validVals, _xlfn._xlws.FILTER(_xlpm.vals, _xlpm.mask),
    _xlpm.minVal, MIN(_xlpm.validVals),
    IFERROR( _xlfn.XMATCH(_xlpm.minVal, _xlpm.vals), "" )
)</f>
        <v>4</v>
      </c>
      <c r="AJ1097" cm="1">
        <f t="array" ref="AJ1097">_xlfn.LET(
    _xlpm.vals, CHOOSE({1,2,3,4,5,6}, S1097, V1097, Y1097, AB1097, AE1097, AH1097),
    _xlpm.slopes, CHOOSE({1,2,3,4,5,6}, Q1097, T1097, W1097, Z1097, AC1097, AF1097),
    _xlpm.ints, CHOOSE({1,2,3,4,5,6}, R1097, U1097, X1097, AA1097, AD1097, AG1097),
    _xlpm.limit, -0.00001*_xlpm.slopes + 0.1086*_xlpm.slopes + 63.253,
    _xlpm.valid, (_xlpm.vals &gt;= 0) * (_xlpm.ints &lt;= _xlpm.limit),
    _xlpm.target, MIN(_xlfn._xlws.FILTER(_xlpm.vals, _xlpm.valid)),
    IFERROR(
        _xlfn.XLOOKUP(_xlpm.target, _xlpm.vals, _xlpm.vals),
        CHOOSE({1,2,3,4,5,6}, S$1, V$1, Y$1, AB$1, AE$1, AH$1)
    )
)</f>
        <v>1.4154141879554534</v>
      </c>
    </row>
    <row r="1098" spans="9:36" x14ac:dyDescent="0.45">
      <c r="I1098">
        <v>1096</v>
      </c>
      <c r="J1098">
        <v>24.5</v>
      </c>
      <c r="K1098">
        <f t="shared" si="392"/>
        <v>24.5</v>
      </c>
      <c r="L1098">
        <f t="shared" si="391"/>
        <v>6.8055555555555551E-3</v>
      </c>
      <c r="M1098">
        <v>15.26</v>
      </c>
      <c r="N1098">
        <f t="shared" si="393"/>
        <v>15.26</v>
      </c>
      <c r="O1098">
        <f t="shared" si="394"/>
        <v>318.38197828586698</v>
      </c>
      <c r="P1098">
        <f t="shared" si="395"/>
        <v>1018.8223305147744</v>
      </c>
      <c r="Q1098">
        <f t="shared" si="396"/>
        <v>4666.2062737576671</v>
      </c>
      <c r="R1098">
        <f t="shared" si="397"/>
        <v>31.229280778792091</v>
      </c>
      <c r="S1098">
        <f t="shared" si="398"/>
        <v>3.5781301861829027</v>
      </c>
      <c r="T1098">
        <f t="shared" si="399"/>
        <v>3015.7140983237323</v>
      </c>
      <c r="U1098">
        <f t="shared" si="400"/>
        <v>48.320981745563437</v>
      </c>
      <c r="V1098">
        <f t="shared" si="401"/>
        <v>1.8702742594652386</v>
      </c>
      <c r="W1098">
        <f t="shared" si="402"/>
        <v>1945.950651283219</v>
      </c>
      <c r="X1098">
        <f t="shared" si="403"/>
        <v>74.884872233962199</v>
      </c>
      <c r="Y1098">
        <f t="shared" si="404"/>
        <v>1.6581883818844145</v>
      </c>
      <c r="Z1098">
        <f t="shared" si="405"/>
        <v>1467.1041559412752</v>
      </c>
      <c r="AA1098">
        <f t="shared" si="406"/>
        <v>99.326462476991509</v>
      </c>
      <c r="AB1098">
        <f t="shared" si="407"/>
        <v>1.6558821878617447</v>
      </c>
      <c r="AC1098">
        <f t="shared" si="408"/>
        <v>6000</v>
      </c>
      <c r="AD1098">
        <f t="shared" si="409"/>
        <v>24.287044315823231</v>
      </c>
      <c r="AE1098">
        <f t="shared" si="410"/>
        <v>6.9392046376552887</v>
      </c>
      <c r="AF1098">
        <f t="shared" si="411"/>
        <v>6000</v>
      </c>
      <c r="AG1098">
        <f t="shared" si="412"/>
        <v>24.287044315823231</v>
      </c>
      <c r="AH1098">
        <f t="shared" si="413"/>
        <v>6.9392046376552887</v>
      </c>
      <c r="AI1098" cm="1">
        <f t="array" ref="AI1098">_xlfn.LET(
    _xlpm.vals,   _xlfn.HSTACK(S1098,V1098,Y1098,AB1098,AE1098,AH1098),
    _xlpm.ints,   _xlfn.HSTACK(R1098,U1098,X1098,AA1098,AD1098,AG1098),
    _xlpm.slopes, _xlfn.HSTACK(Q1098,T1098,W1098,Z1098,AC1098,AF1098),
    _xlpm.limit,  -0.00001*_xlpm.slopes + 0.1086*_xlpm.slopes + 63.253,
    _xlpm.mask,   (_xlpm.vals&gt;=0) * (_xlpm.ints&lt;=_xlpm.limit),
    _xlpm.validVals, _xlfn._xlws.FILTER(_xlpm.vals, _xlpm.mask),
    _xlpm.minVal, MIN(_xlpm.validVals),
    IFERROR( _xlfn.XMATCH(_xlpm.minVal, _xlpm.vals), "" )
)</f>
        <v>4</v>
      </c>
      <c r="AJ1098" cm="1">
        <f t="array" ref="AJ1098">_xlfn.LET(
    _xlpm.vals, CHOOSE({1,2,3,4,5,6}, S1098, V1098, Y1098, AB1098, AE1098, AH1098),
    _xlpm.slopes, CHOOSE({1,2,3,4,5,6}, Q1098, T1098, W1098, Z1098, AC1098, AF1098),
    _xlpm.ints, CHOOSE({1,2,3,4,5,6}, R1098, U1098, X1098, AA1098, AD1098, AG1098),
    _xlpm.limit, -0.00001*_xlpm.slopes + 0.1086*_xlpm.slopes + 63.253,
    _xlpm.valid, (_xlpm.vals &gt;= 0) * (_xlpm.ints &lt;= _xlpm.limit),
    _xlpm.target, MIN(_xlfn._xlws.FILTER(_xlpm.vals, _xlpm.valid)),
    IFERROR(
        _xlfn.XLOOKUP(_xlpm.target, _xlpm.vals, _xlpm.vals),
        CHOOSE({1,2,3,4,5,6}, S$1, V$1, Y$1, AB$1, AE$1, AH$1)
    )
)</f>
        <v>1.6558821878617447</v>
      </c>
    </row>
    <row r="1099" spans="9:36" x14ac:dyDescent="0.45">
      <c r="I1099">
        <v>1097</v>
      </c>
      <c r="J1099">
        <v>24.9</v>
      </c>
      <c r="K1099">
        <f t="shared" si="392"/>
        <v>24.9</v>
      </c>
      <c r="L1099">
        <f t="shared" si="391"/>
        <v>6.9166666666666664E-3</v>
      </c>
      <c r="M1099">
        <v>8.4499999999999993</v>
      </c>
      <c r="N1099">
        <f t="shared" si="393"/>
        <v>8.4499999999999993</v>
      </c>
      <c r="O1099">
        <f t="shared" si="394"/>
        <v>323.58005140073828</v>
      </c>
      <c r="P1099">
        <f t="shared" si="395"/>
        <v>1035.4561644823625</v>
      </c>
      <c r="Q1099">
        <f t="shared" si="396"/>
        <v>4742.3892333292206</v>
      </c>
      <c r="R1099">
        <f t="shared" si="397"/>
        <v>17.014958531977012</v>
      </c>
      <c r="S1099">
        <f t="shared" si="398"/>
        <v>3.4619284580450982</v>
      </c>
      <c r="T1099">
        <f t="shared" si="399"/>
        <v>3064.9502468677929</v>
      </c>
      <c r="U1099">
        <f t="shared" si="400"/>
        <v>26.327199350153624</v>
      </c>
      <c r="V1099">
        <f t="shared" si="401"/>
        <v>1.4581015015914414</v>
      </c>
      <c r="W1099">
        <f t="shared" si="402"/>
        <v>1977.7212741613123</v>
      </c>
      <c r="X1099">
        <f t="shared" si="403"/>
        <v>40.800267055735453</v>
      </c>
      <c r="Y1099">
        <f t="shared" si="404"/>
        <v>1.0885840987768995</v>
      </c>
      <c r="Z1099">
        <f t="shared" si="405"/>
        <v>1491.056876854602</v>
      </c>
      <c r="AA1099">
        <f t="shared" si="406"/>
        <v>54.117020886426886</v>
      </c>
      <c r="AB1099">
        <f t="shared" si="407"/>
        <v>1.045444404157551</v>
      </c>
      <c r="AC1099">
        <f t="shared" si="408"/>
        <v>6000</v>
      </c>
      <c r="AD1099">
        <f t="shared" si="409"/>
        <v>13.448592691265157</v>
      </c>
      <c r="AE1099">
        <f t="shared" si="410"/>
        <v>6.8099976584453987</v>
      </c>
      <c r="AF1099">
        <f t="shared" si="411"/>
        <v>6000</v>
      </c>
      <c r="AG1099">
        <f t="shared" si="412"/>
        <v>13.448592691265157</v>
      </c>
      <c r="AH1099">
        <f t="shared" si="413"/>
        <v>6.8099976584453987</v>
      </c>
      <c r="AI1099" cm="1">
        <f t="array" ref="AI1099">_xlfn.LET(
    _xlpm.vals,   _xlfn.HSTACK(S1099,V1099,Y1099,AB1099,AE1099,AH1099),
    _xlpm.ints,   _xlfn.HSTACK(R1099,U1099,X1099,AA1099,AD1099,AG1099),
    _xlpm.slopes, _xlfn.HSTACK(Q1099,T1099,W1099,Z1099,AC1099,AF1099),
    _xlpm.limit,  -0.00001*_xlpm.slopes + 0.1086*_xlpm.slopes + 63.253,
    _xlpm.mask,   (_xlpm.vals&gt;=0) * (_xlpm.ints&lt;=_xlpm.limit),
    _xlpm.validVals, _xlfn._xlws.FILTER(_xlpm.vals, _xlpm.mask),
    _xlpm.minVal, MIN(_xlpm.validVals),
    IFERROR( _xlfn.XMATCH(_xlpm.minVal, _xlpm.vals), "" )
)</f>
        <v>4</v>
      </c>
      <c r="AJ1099" cm="1">
        <f t="array" ref="AJ1099">_xlfn.LET(
    _xlpm.vals, CHOOSE({1,2,3,4,5,6}, S1099, V1099, Y1099, AB1099, AE1099, AH1099),
    _xlpm.slopes, CHOOSE({1,2,3,4,5,6}, Q1099, T1099, W1099, Z1099, AC1099, AF1099),
    _xlpm.ints, CHOOSE({1,2,3,4,5,6}, R1099, U1099, X1099, AA1099, AD1099, AG1099),
    _xlpm.limit, -0.00001*_xlpm.slopes + 0.1086*_xlpm.slopes + 63.253,
    _xlpm.valid, (_xlpm.vals &gt;= 0) * (_xlpm.ints &lt;= _xlpm.limit),
    _xlpm.target, MIN(_xlfn._xlws.FILTER(_xlpm.vals, _xlpm.valid)),
    IFERROR(
        _xlfn.XLOOKUP(_xlpm.target, _xlpm.vals, _xlpm.vals),
        CHOOSE({1,2,3,4,5,6}, S$1, V$1, Y$1, AB$1, AE$1, AH$1)
    )
)</f>
        <v>1.045444404157551</v>
      </c>
    </row>
    <row r="1100" spans="9:36" x14ac:dyDescent="0.45">
      <c r="I1100">
        <v>1098</v>
      </c>
      <c r="J1100">
        <v>25.1</v>
      </c>
      <c r="K1100">
        <f t="shared" si="392"/>
        <v>25.1</v>
      </c>
      <c r="L1100">
        <f t="shared" si="391"/>
        <v>6.9722222222222225E-3</v>
      </c>
      <c r="M1100">
        <v>4.8</v>
      </c>
      <c r="N1100">
        <f t="shared" si="393"/>
        <v>4.8</v>
      </c>
      <c r="O1100">
        <f t="shared" si="394"/>
        <v>326.17908795817397</v>
      </c>
      <c r="P1100">
        <f t="shared" si="395"/>
        <v>1043.7730814661568</v>
      </c>
      <c r="Q1100">
        <f t="shared" si="396"/>
        <v>4780.4807131149983</v>
      </c>
      <c r="R1100">
        <f t="shared" si="397"/>
        <v>9.5882875303137372</v>
      </c>
      <c r="S1100">
        <f t="shared" si="398"/>
        <v>3.4216189389019731</v>
      </c>
      <c r="T1100">
        <f t="shared" si="399"/>
        <v>3089.5683211398241</v>
      </c>
      <c r="U1100">
        <f t="shared" si="400"/>
        <v>14.835931381363823</v>
      </c>
      <c r="V1100">
        <f t="shared" si="401"/>
        <v>1.2696559622079659</v>
      </c>
      <c r="W1100">
        <f t="shared" si="402"/>
        <v>1993.6065856003593</v>
      </c>
      <c r="X1100">
        <f t="shared" si="403"/>
        <v>22.991809889443413</v>
      </c>
      <c r="Y1100">
        <f t="shared" si="404"/>
        <v>0.81996248484111733</v>
      </c>
      <c r="Z1100">
        <f t="shared" si="405"/>
        <v>1503.0332373112658</v>
      </c>
      <c r="AA1100">
        <f t="shared" si="406"/>
        <v>30.496081172803414</v>
      </c>
      <c r="AB1100">
        <f t="shared" si="407"/>
        <v>0.73836114987101542</v>
      </c>
      <c r="AC1100">
        <f t="shared" si="408"/>
        <v>6000</v>
      </c>
      <c r="AD1100">
        <f t="shared" si="409"/>
        <v>7.6394372684109761</v>
      </c>
      <c r="AE1100">
        <f t="shared" si="410"/>
        <v>6.7554013379217732</v>
      </c>
      <c r="AF1100">
        <f t="shared" si="411"/>
        <v>6000</v>
      </c>
      <c r="AG1100">
        <f t="shared" si="412"/>
        <v>7.6394372684109761</v>
      </c>
      <c r="AH1100">
        <f t="shared" si="413"/>
        <v>6.7554013379217732</v>
      </c>
      <c r="AI1100" cm="1">
        <f t="array" ref="AI1100">_xlfn.LET(
    _xlpm.vals,   _xlfn.HSTACK(S1100,V1100,Y1100,AB1100,AE1100,AH1100),
    _xlpm.ints,   _xlfn.HSTACK(R1100,U1100,X1100,AA1100,AD1100,AG1100),
    _xlpm.slopes, _xlfn.HSTACK(Q1100,T1100,W1100,Z1100,AC1100,AF1100),
    _xlpm.limit,  -0.00001*_xlpm.slopes + 0.1086*_xlpm.slopes + 63.253,
    _xlpm.mask,   (_xlpm.vals&gt;=0) * (_xlpm.ints&lt;=_xlpm.limit),
    _xlpm.validVals, _xlfn._xlws.FILTER(_xlpm.vals, _xlpm.mask),
    _xlpm.minVal, MIN(_xlpm.validVals),
    IFERROR( _xlfn.XMATCH(_xlpm.minVal, _xlpm.vals), "" )
)</f>
        <v>4</v>
      </c>
      <c r="AJ1100" cm="1">
        <f t="array" ref="AJ1100">_xlfn.LET(
    _xlpm.vals, CHOOSE({1,2,3,4,5,6}, S1100, V1100, Y1100, AB1100, AE1100, AH1100),
    _xlpm.slopes, CHOOSE({1,2,3,4,5,6}, Q1100, T1100, W1100, Z1100, AC1100, AF1100),
    _xlpm.ints, CHOOSE({1,2,3,4,5,6}, R1100, U1100, X1100, AA1100, AD1100, AG1100),
    _xlpm.limit, -0.00001*_xlpm.slopes + 0.1086*_xlpm.slopes + 63.253,
    _xlpm.valid, (_xlpm.vals &gt;= 0) * (_xlpm.ints &lt;= _xlpm.limit),
    _xlpm.target, MIN(_xlfn._xlws.FILTER(_xlpm.vals, _xlpm.valid)),
    IFERROR(
        _xlfn.XLOOKUP(_xlpm.target, _xlpm.vals, _xlpm.vals),
        CHOOSE({1,2,3,4,5,6}, S$1, V$1, Y$1, AB$1, AE$1, AH$1)
    )
)</f>
        <v>0.73836114987101542</v>
      </c>
    </row>
    <row r="1101" spans="9:36" x14ac:dyDescent="0.45">
      <c r="I1101">
        <v>1099</v>
      </c>
      <c r="J1101">
        <v>24.9</v>
      </c>
      <c r="K1101">
        <f t="shared" si="392"/>
        <v>24.9</v>
      </c>
      <c r="L1101">
        <f t="shared" si="391"/>
        <v>6.9166666666666664E-3</v>
      </c>
      <c r="M1101">
        <v>3.3</v>
      </c>
      <c r="N1101">
        <f t="shared" si="393"/>
        <v>3.3</v>
      </c>
      <c r="O1101">
        <f t="shared" si="394"/>
        <v>323.58005140073828</v>
      </c>
      <c r="P1101">
        <f t="shared" si="395"/>
        <v>1035.4561644823625</v>
      </c>
      <c r="Q1101">
        <f t="shared" si="396"/>
        <v>4742.3892333292206</v>
      </c>
      <c r="R1101">
        <f t="shared" si="397"/>
        <v>6.6448950479910218</v>
      </c>
      <c r="S1101">
        <f t="shared" si="398"/>
        <v>3.3015155056895718</v>
      </c>
      <c r="T1101">
        <f t="shared" si="399"/>
        <v>3064.9502468677929</v>
      </c>
      <c r="U1101">
        <f t="shared" si="400"/>
        <v>10.281628148580705</v>
      </c>
      <c r="V1101">
        <f t="shared" si="401"/>
        <v>1.1762351787704461</v>
      </c>
      <c r="W1101">
        <f t="shared" si="402"/>
        <v>1977.7212741613123</v>
      </c>
      <c r="X1101">
        <f t="shared" si="403"/>
        <v>15.933832104606747</v>
      </c>
      <c r="Y1101">
        <f t="shared" si="404"/>
        <v>0.71516352493252255</v>
      </c>
      <c r="Z1101">
        <f t="shared" si="405"/>
        <v>1491.056876854602</v>
      </c>
      <c r="AA1101">
        <f t="shared" si="406"/>
        <v>21.134457860971448</v>
      </c>
      <c r="AB1101">
        <f t="shared" si="407"/>
        <v>0.62234835770900943</v>
      </c>
      <c r="AC1101">
        <f t="shared" si="408"/>
        <v>6000</v>
      </c>
      <c r="AD1101">
        <f t="shared" si="409"/>
        <v>5.2521131220325463</v>
      </c>
      <c r="AE1101">
        <f t="shared" si="410"/>
        <v>6.7360593888099496</v>
      </c>
      <c r="AF1101">
        <f t="shared" si="411"/>
        <v>6000</v>
      </c>
      <c r="AG1101">
        <f t="shared" si="412"/>
        <v>5.2521131220325463</v>
      </c>
      <c r="AH1101">
        <f t="shared" si="413"/>
        <v>6.7360593888099496</v>
      </c>
      <c r="AI1101" cm="1">
        <f t="array" ref="AI1101">_xlfn.LET(
    _xlpm.vals,   _xlfn.HSTACK(S1101,V1101,Y1101,AB1101,AE1101,AH1101),
    _xlpm.ints,   _xlfn.HSTACK(R1101,U1101,X1101,AA1101,AD1101,AG1101),
    _xlpm.slopes, _xlfn.HSTACK(Q1101,T1101,W1101,Z1101,AC1101,AF1101),
    _xlpm.limit,  -0.00001*_xlpm.slopes + 0.1086*_xlpm.slopes + 63.253,
    _xlpm.mask,   (_xlpm.vals&gt;=0) * (_xlpm.ints&lt;=_xlpm.limit),
    _xlpm.validVals, _xlfn._xlws.FILTER(_xlpm.vals, _xlpm.mask),
    _xlpm.minVal, MIN(_xlpm.validVals),
    IFERROR( _xlfn.XMATCH(_xlpm.minVal, _xlpm.vals), "" )
)</f>
        <v>4</v>
      </c>
      <c r="AJ1101" cm="1">
        <f t="array" ref="AJ1101">_xlfn.LET(
    _xlpm.vals, CHOOSE({1,2,3,4,5,6}, S1101, V1101, Y1101, AB1101, AE1101, AH1101),
    _xlpm.slopes, CHOOSE({1,2,3,4,5,6}, Q1101, T1101, W1101, Z1101, AC1101, AF1101),
    _xlpm.ints, CHOOSE({1,2,3,4,5,6}, R1101, U1101, X1101, AA1101, AD1101, AG1101),
    _xlpm.limit, -0.00001*_xlpm.slopes + 0.1086*_xlpm.slopes + 63.253,
    _xlpm.valid, (_xlpm.vals &gt;= 0) * (_xlpm.ints &lt;= _xlpm.limit),
    _xlpm.target, MIN(_xlfn._xlws.FILTER(_xlpm.vals, _xlpm.valid)),
    IFERROR(
        _xlfn.XLOOKUP(_xlpm.target, _xlpm.vals, _xlpm.vals),
        CHOOSE({1,2,3,4,5,6}, S$1, V$1, Y$1, AB$1, AE$1, AH$1)
    )
)</f>
        <v>0.62234835770900943</v>
      </c>
    </row>
    <row r="1102" spans="9:36" x14ac:dyDescent="0.45">
      <c r="I1102">
        <v>1100</v>
      </c>
      <c r="J1102">
        <v>25</v>
      </c>
      <c r="K1102">
        <f t="shared" si="392"/>
        <v>25</v>
      </c>
      <c r="L1102">
        <f t="shared" si="391"/>
        <v>6.9444444444444441E-3</v>
      </c>
      <c r="M1102">
        <v>7.72</v>
      </c>
      <c r="N1102">
        <f t="shared" si="393"/>
        <v>7.72</v>
      </c>
      <c r="O1102">
        <f t="shared" si="394"/>
        <v>324.87956967945615</v>
      </c>
      <c r="P1102">
        <f t="shared" si="395"/>
        <v>1039.6146229742596</v>
      </c>
      <c r="Q1102">
        <f t="shared" si="396"/>
        <v>4761.434973222109</v>
      </c>
      <c r="R1102">
        <f t="shared" si="397"/>
        <v>15.482847094366281</v>
      </c>
      <c r="S1102">
        <f t="shared" si="398"/>
        <v>3.4747021603177917</v>
      </c>
      <c r="T1102">
        <f t="shared" si="399"/>
        <v>3077.2592840038087</v>
      </c>
      <c r="U1102">
        <f t="shared" si="400"/>
        <v>23.956567463580257</v>
      </c>
      <c r="V1102">
        <f t="shared" si="401"/>
        <v>1.4228938936407949</v>
      </c>
      <c r="W1102">
        <f t="shared" si="402"/>
        <v>1985.6639298808359</v>
      </c>
      <c r="X1102">
        <f t="shared" si="403"/>
        <v>37.126408215810244</v>
      </c>
      <c r="Y1102">
        <f t="shared" si="404"/>
        <v>1.0329309136969782</v>
      </c>
      <c r="Z1102">
        <f t="shared" si="405"/>
        <v>1497.0450570829339</v>
      </c>
      <c r="AA1102">
        <f t="shared" si="406"/>
        <v>49.244055341803865</v>
      </c>
      <c r="AB1102">
        <f t="shared" si="407"/>
        <v>0.98155799110682562</v>
      </c>
      <c r="AC1102">
        <f t="shared" si="408"/>
        <v>6000</v>
      </c>
      <c r="AD1102">
        <f t="shared" si="409"/>
        <v>12.28676160669432</v>
      </c>
      <c r="AE1102">
        <f t="shared" si="410"/>
        <v>6.7982376133550808</v>
      </c>
      <c r="AF1102">
        <f t="shared" si="411"/>
        <v>6000</v>
      </c>
      <c r="AG1102">
        <f t="shared" si="412"/>
        <v>12.28676160669432</v>
      </c>
      <c r="AH1102">
        <f t="shared" si="413"/>
        <v>6.7982376133550808</v>
      </c>
      <c r="AI1102" cm="1">
        <f t="array" ref="AI1102">_xlfn.LET(
    _xlpm.vals,   _xlfn.HSTACK(S1102,V1102,Y1102,AB1102,AE1102,AH1102),
    _xlpm.ints,   _xlfn.HSTACK(R1102,U1102,X1102,AA1102,AD1102,AG1102),
    _xlpm.slopes, _xlfn.HSTACK(Q1102,T1102,W1102,Z1102,AC1102,AF1102),
    _xlpm.limit,  -0.00001*_xlpm.slopes + 0.1086*_xlpm.slopes + 63.253,
    _xlpm.mask,   (_xlpm.vals&gt;=0) * (_xlpm.ints&lt;=_xlpm.limit),
    _xlpm.validVals, _xlfn._xlws.FILTER(_xlpm.vals, _xlpm.mask),
    _xlpm.minVal, MIN(_xlpm.validVals),
    IFERROR( _xlfn.XMATCH(_xlpm.minVal, _xlpm.vals), "" )
)</f>
        <v>4</v>
      </c>
      <c r="AJ1102" cm="1">
        <f t="array" ref="AJ1102">_xlfn.LET(
    _xlpm.vals, CHOOSE({1,2,3,4,5,6}, S1102, V1102, Y1102, AB1102, AE1102, AH1102),
    _xlpm.slopes, CHOOSE({1,2,3,4,5,6}, Q1102, T1102, W1102, Z1102, AC1102, AF1102),
    _xlpm.ints, CHOOSE({1,2,3,4,5,6}, R1102, U1102, X1102, AA1102, AD1102, AG1102),
    _xlpm.limit, -0.00001*_xlpm.slopes + 0.1086*_xlpm.slopes + 63.253,
    _xlpm.valid, (_xlpm.vals &gt;= 0) * (_xlpm.ints &lt;= _xlpm.limit),
    _xlpm.target, MIN(_xlfn._xlws.FILTER(_xlpm.vals, _xlpm.valid)),
    IFERROR(
        _xlfn.XLOOKUP(_xlpm.target, _xlpm.vals, _xlpm.vals),
        CHOOSE({1,2,3,4,5,6}, S$1, V$1, Y$1, AB$1, AE$1, AH$1)
    )
)</f>
        <v>0.98155799110682562</v>
      </c>
    </row>
    <row r="1103" spans="9:36" x14ac:dyDescent="0.45">
      <c r="I1103">
        <v>1101</v>
      </c>
      <c r="J1103">
        <v>25.6</v>
      </c>
      <c r="K1103">
        <f t="shared" si="392"/>
        <v>25.6</v>
      </c>
      <c r="L1103">
        <f t="shared" si="391"/>
        <v>7.1111111111111115E-3</v>
      </c>
      <c r="M1103">
        <v>8.4600000000000009</v>
      </c>
      <c r="N1103">
        <f t="shared" si="393"/>
        <v>8.4600000000000009</v>
      </c>
      <c r="O1103">
        <f t="shared" si="394"/>
        <v>332.67667935176308</v>
      </c>
      <c r="P1103">
        <f t="shared" si="395"/>
        <v>1064.565373925642</v>
      </c>
      <c r="Q1103">
        <f t="shared" si="396"/>
        <v>4875.7094125794401</v>
      </c>
      <c r="R1103">
        <f t="shared" si="397"/>
        <v>16.569291210221362</v>
      </c>
      <c r="S1103">
        <f t="shared" si="398"/>
        <v>3.7292292488777896</v>
      </c>
      <c r="T1103">
        <f t="shared" si="399"/>
        <v>3151.1135068199005</v>
      </c>
      <c r="U1103">
        <f t="shared" si="400"/>
        <v>25.637619507707377</v>
      </c>
      <c r="V1103">
        <f t="shared" si="401"/>
        <v>1.5116851924848695</v>
      </c>
      <c r="W1103">
        <f t="shared" si="402"/>
        <v>2033.3198641979761</v>
      </c>
      <c r="X1103">
        <f t="shared" si="403"/>
        <v>39.731598818227141</v>
      </c>
      <c r="Y1103">
        <f t="shared" si="404"/>
        <v>1.0977083514573041</v>
      </c>
      <c r="Z1103">
        <f t="shared" si="405"/>
        <v>1532.9741384529245</v>
      </c>
      <c r="AA1103">
        <f t="shared" si="406"/>
        <v>52.699551210287382</v>
      </c>
      <c r="AB1103">
        <f t="shared" si="407"/>
        <v>1.0483724628454016</v>
      </c>
      <c r="AC1103">
        <f t="shared" si="408"/>
        <v>6000</v>
      </c>
      <c r="AD1103">
        <f t="shared" si="409"/>
        <v>13.464508185574346</v>
      </c>
      <c r="AE1103">
        <f t="shared" si="410"/>
        <v>6.8101616358108261</v>
      </c>
      <c r="AF1103">
        <f t="shared" si="411"/>
        <v>6000</v>
      </c>
      <c r="AG1103">
        <f t="shared" si="412"/>
        <v>13.464508185574346</v>
      </c>
      <c r="AH1103">
        <f t="shared" si="413"/>
        <v>6.8101616358108261</v>
      </c>
      <c r="AI1103" cm="1">
        <f t="array" ref="AI1103">_xlfn.LET(
    _xlpm.vals,   _xlfn.HSTACK(S1103,V1103,Y1103,AB1103,AE1103,AH1103),
    _xlpm.ints,   _xlfn.HSTACK(R1103,U1103,X1103,AA1103,AD1103,AG1103),
    _xlpm.slopes, _xlfn.HSTACK(Q1103,T1103,W1103,Z1103,AC1103,AF1103),
    _xlpm.limit,  -0.00001*_xlpm.slopes + 0.1086*_xlpm.slopes + 63.253,
    _xlpm.mask,   (_xlpm.vals&gt;=0) * (_xlpm.ints&lt;=_xlpm.limit),
    _xlpm.validVals, _xlfn._xlws.FILTER(_xlpm.vals, _xlpm.mask),
    _xlpm.minVal, MIN(_xlpm.validVals),
    IFERROR( _xlfn.XMATCH(_xlpm.minVal, _xlpm.vals), "" )
)</f>
        <v>4</v>
      </c>
      <c r="AJ1103" cm="1">
        <f t="array" ref="AJ1103">_xlfn.LET(
    _xlpm.vals, CHOOSE({1,2,3,4,5,6}, S1103, V1103, Y1103, AB1103, AE1103, AH1103),
    _xlpm.slopes, CHOOSE({1,2,3,4,5,6}, Q1103, T1103, W1103, Z1103, AC1103, AF1103),
    _xlpm.ints, CHOOSE({1,2,3,4,5,6}, R1103, U1103, X1103, AA1103, AD1103, AG1103),
    _xlpm.limit, -0.00001*_xlpm.slopes + 0.1086*_xlpm.slopes + 63.253,
    _xlpm.valid, (_xlpm.vals &gt;= 0) * (_xlpm.ints &lt;= _xlpm.limit),
    _xlpm.target, MIN(_xlfn._xlws.FILTER(_xlpm.vals, _xlpm.valid)),
    IFERROR(
        _xlfn.XLOOKUP(_xlpm.target, _xlpm.vals, _xlpm.vals),
        CHOOSE({1,2,3,4,5,6}, S$1, V$1, Y$1, AB$1, AE$1, AH$1)
    )
)</f>
        <v>1.0483724628454016</v>
      </c>
    </row>
    <row r="1104" spans="9:36" x14ac:dyDescent="0.45">
      <c r="I1104">
        <v>1102</v>
      </c>
      <c r="J1104">
        <v>25.8</v>
      </c>
      <c r="K1104">
        <f t="shared" si="392"/>
        <v>25.8</v>
      </c>
      <c r="L1104">
        <f t="shared" si="391"/>
        <v>7.1666666666666667E-3</v>
      </c>
      <c r="M1104">
        <v>6.57</v>
      </c>
      <c r="N1104">
        <f t="shared" si="393"/>
        <v>6.57</v>
      </c>
      <c r="O1104">
        <f t="shared" si="394"/>
        <v>335.27571590919877</v>
      </c>
      <c r="P1104">
        <f t="shared" si="395"/>
        <v>1072.8822909094361</v>
      </c>
      <c r="Q1104">
        <f t="shared" si="396"/>
        <v>4913.8008923652169</v>
      </c>
      <c r="R1104">
        <f t="shared" si="397"/>
        <v>12.767891890838563</v>
      </c>
      <c r="S1104">
        <f t="shared" si="398"/>
        <v>3.7513871859092016</v>
      </c>
      <c r="T1104">
        <f t="shared" si="399"/>
        <v>3175.7315810919308</v>
      </c>
      <c r="U1104">
        <f t="shared" si="400"/>
        <v>19.755724614878584</v>
      </c>
      <c r="V1104">
        <f t="shared" si="401"/>
        <v>1.4221957442781796</v>
      </c>
      <c r="W1104">
        <f t="shared" si="402"/>
        <v>2049.2051756370229</v>
      </c>
      <c r="X1104">
        <f t="shared" si="403"/>
        <v>30.616201497403463</v>
      </c>
      <c r="Y1104">
        <f t="shared" si="404"/>
        <v>0.95795278143558538</v>
      </c>
      <c r="Z1104">
        <f t="shared" si="405"/>
        <v>1544.9504989095878</v>
      </c>
      <c r="AA1104">
        <f t="shared" si="406"/>
        <v>40.608989486139315</v>
      </c>
      <c r="AB1104">
        <f t="shared" si="407"/>
        <v>0.88701087676225243</v>
      </c>
      <c r="AC1104">
        <f t="shared" si="408"/>
        <v>6000</v>
      </c>
      <c r="AD1104">
        <f t="shared" si="409"/>
        <v>10.456479761137524</v>
      </c>
      <c r="AE1104">
        <f t="shared" si="410"/>
        <v>6.7805589214830455</v>
      </c>
      <c r="AF1104">
        <f t="shared" si="411"/>
        <v>6000</v>
      </c>
      <c r="AG1104">
        <f t="shared" si="412"/>
        <v>10.456479761137524</v>
      </c>
      <c r="AH1104">
        <f t="shared" si="413"/>
        <v>6.7805589214830455</v>
      </c>
      <c r="AI1104" cm="1">
        <f t="array" ref="AI1104">_xlfn.LET(
    _xlpm.vals,   _xlfn.HSTACK(S1104,V1104,Y1104,AB1104,AE1104,AH1104),
    _xlpm.ints,   _xlfn.HSTACK(R1104,U1104,X1104,AA1104,AD1104,AG1104),
    _xlpm.slopes, _xlfn.HSTACK(Q1104,T1104,W1104,Z1104,AC1104,AF1104),
    _xlpm.limit,  -0.00001*_xlpm.slopes + 0.1086*_xlpm.slopes + 63.253,
    _xlpm.mask,   (_xlpm.vals&gt;=0) * (_xlpm.ints&lt;=_xlpm.limit),
    _xlpm.validVals, _xlfn._xlws.FILTER(_xlpm.vals, _xlpm.mask),
    _xlpm.minVal, MIN(_xlpm.validVals),
    IFERROR( _xlfn.XMATCH(_xlpm.minVal, _xlpm.vals), "" )
)</f>
        <v>4</v>
      </c>
      <c r="AJ1104" cm="1">
        <f t="array" ref="AJ1104">_xlfn.LET(
    _xlpm.vals, CHOOSE({1,2,3,4,5,6}, S1104, V1104, Y1104, AB1104, AE1104, AH1104),
    _xlpm.slopes, CHOOSE({1,2,3,4,5,6}, Q1104, T1104, W1104, Z1104, AC1104, AF1104),
    _xlpm.ints, CHOOSE({1,2,3,4,5,6}, R1104, U1104, X1104, AA1104, AD1104, AG1104),
    _xlpm.limit, -0.00001*_xlpm.slopes + 0.1086*_xlpm.slopes + 63.253,
    _xlpm.valid, (_xlpm.vals &gt;= 0) * (_xlpm.ints &lt;= _xlpm.limit),
    _xlpm.target, MIN(_xlfn._xlws.FILTER(_xlpm.vals, _xlpm.valid)),
    IFERROR(
        _xlfn.XLOOKUP(_xlpm.target, _xlpm.vals, _xlpm.vals),
        CHOOSE({1,2,3,4,5,6}, S$1, V$1, Y$1, AB$1, AE$1, AH$1)
    )
)</f>
        <v>0.88701087676225243</v>
      </c>
    </row>
    <row r="1105" spans="9:36" x14ac:dyDescent="0.45">
      <c r="I1105">
        <v>1103</v>
      </c>
      <c r="J1105">
        <v>26</v>
      </c>
      <c r="K1105">
        <f t="shared" si="392"/>
        <v>26</v>
      </c>
      <c r="L1105">
        <f t="shared" si="391"/>
        <v>7.2222222222222219E-3</v>
      </c>
      <c r="M1105">
        <v>8.2899999999999991</v>
      </c>
      <c r="N1105">
        <f t="shared" si="393"/>
        <v>8.2899999999999991</v>
      </c>
      <c r="O1105">
        <f t="shared" si="394"/>
        <v>337.87475246663439</v>
      </c>
      <c r="P1105">
        <f t="shared" si="395"/>
        <v>1081.1992078932301</v>
      </c>
      <c r="Q1105">
        <f t="shared" si="396"/>
        <v>4951.8923721509937</v>
      </c>
      <c r="R1105">
        <f t="shared" si="397"/>
        <v>15.986548726123015</v>
      </c>
      <c r="S1105">
        <f t="shared" si="398"/>
        <v>3.8851076852684594</v>
      </c>
      <c r="T1105">
        <f t="shared" si="399"/>
        <v>3200.3496553639611</v>
      </c>
      <c r="U1105">
        <f t="shared" si="400"/>
        <v>24.735943637041689</v>
      </c>
      <c r="V1105">
        <f t="shared" si="401"/>
        <v>1.534266758080272</v>
      </c>
      <c r="W1105">
        <f t="shared" si="402"/>
        <v>2065.0904870760696</v>
      </c>
      <c r="X1105">
        <f t="shared" si="403"/>
        <v>38.334237259499162</v>
      </c>
      <c r="Y1105">
        <f t="shared" si="404"/>
        <v>1.0898011255139082</v>
      </c>
      <c r="Z1105">
        <f t="shared" si="405"/>
        <v>1556.9268593662514</v>
      </c>
      <c r="AA1105">
        <f t="shared" si="406"/>
        <v>50.846106365030145</v>
      </c>
      <c r="AB1105">
        <f t="shared" si="407"/>
        <v>1.0348171175532226</v>
      </c>
      <c r="AC1105">
        <f t="shared" si="408"/>
        <v>6000</v>
      </c>
      <c r="AD1105">
        <f t="shared" si="409"/>
        <v>13.193944782318123</v>
      </c>
      <c r="AE1105">
        <f t="shared" si="410"/>
        <v>6.8073845879583583</v>
      </c>
      <c r="AF1105">
        <f t="shared" si="411"/>
        <v>6000</v>
      </c>
      <c r="AG1105">
        <f t="shared" si="412"/>
        <v>13.193944782318123</v>
      </c>
      <c r="AH1105">
        <f t="shared" si="413"/>
        <v>6.8073845879583583</v>
      </c>
      <c r="AI1105" cm="1">
        <f t="array" ref="AI1105">_xlfn.LET(
    _xlpm.vals,   _xlfn.HSTACK(S1105,V1105,Y1105,AB1105,AE1105,AH1105),
    _xlpm.ints,   _xlfn.HSTACK(R1105,U1105,X1105,AA1105,AD1105,AG1105),
    _xlpm.slopes, _xlfn.HSTACK(Q1105,T1105,W1105,Z1105,AC1105,AF1105),
    _xlpm.limit,  -0.00001*_xlpm.slopes + 0.1086*_xlpm.slopes + 63.253,
    _xlpm.mask,   (_xlpm.vals&gt;=0) * (_xlpm.ints&lt;=_xlpm.limit),
    _xlpm.validVals, _xlfn._xlws.FILTER(_xlpm.vals, _xlpm.mask),
    _xlpm.minVal, MIN(_xlpm.validVals),
    IFERROR( _xlfn.XMATCH(_xlpm.minVal, _xlpm.vals), "" )
)</f>
        <v>4</v>
      </c>
      <c r="AJ1105" cm="1">
        <f t="array" ref="AJ1105">_xlfn.LET(
    _xlpm.vals, CHOOSE({1,2,3,4,5,6}, S1105, V1105, Y1105, AB1105, AE1105, AH1105),
    _xlpm.slopes, CHOOSE({1,2,3,4,5,6}, Q1105, T1105, W1105, Z1105, AC1105, AF1105),
    _xlpm.ints, CHOOSE({1,2,3,4,5,6}, R1105, U1105, X1105, AA1105, AD1105, AG1105),
    _xlpm.limit, -0.00001*_xlpm.slopes + 0.1086*_xlpm.slopes + 63.253,
    _xlpm.valid, (_xlpm.vals &gt;= 0) * (_xlpm.ints &lt;= _xlpm.limit),
    _xlpm.target, MIN(_xlfn._xlws.FILTER(_xlpm.vals, _xlpm.valid)),
    IFERROR(
        _xlfn.XLOOKUP(_xlpm.target, _xlpm.vals, _xlpm.vals),
        CHOOSE({1,2,3,4,5,6}, S$1, V$1, Y$1, AB$1, AE$1, AH$1)
    )
)</f>
        <v>1.0348171175532226</v>
      </c>
    </row>
    <row r="1106" spans="9:36" x14ac:dyDescent="0.45">
      <c r="I1106">
        <v>1104</v>
      </c>
      <c r="J1106">
        <v>26.3</v>
      </c>
      <c r="K1106">
        <f t="shared" si="392"/>
        <v>26.3</v>
      </c>
      <c r="L1106">
        <f t="shared" si="391"/>
        <v>7.3055555555555556E-3</v>
      </c>
      <c r="M1106">
        <v>8.6300000000000008</v>
      </c>
      <c r="N1106">
        <f t="shared" si="393"/>
        <v>8.6300000000000008</v>
      </c>
      <c r="O1106">
        <f t="shared" si="394"/>
        <v>341.77330730278788</v>
      </c>
      <c r="P1106">
        <f t="shared" si="395"/>
        <v>1093.6745833689213</v>
      </c>
      <c r="Q1106">
        <f t="shared" si="396"/>
        <v>5009.0295918296597</v>
      </c>
      <c r="R1106">
        <f t="shared" si="397"/>
        <v>16.452374261754194</v>
      </c>
      <c r="S1106">
        <f t="shared" si="398"/>
        <v>4.0204846405816435</v>
      </c>
      <c r="T1106">
        <f t="shared" si="399"/>
        <v>3237.2767667720068</v>
      </c>
      <c r="U1106">
        <f t="shared" si="400"/>
        <v>25.456714229335883</v>
      </c>
      <c r="V1106">
        <f t="shared" si="401"/>
        <v>1.5786112544090565</v>
      </c>
      <c r="W1106">
        <f t="shared" si="402"/>
        <v>2088.9184542346397</v>
      </c>
      <c r="X1106">
        <f t="shared" si="403"/>
        <v>39.451242994154036</v>
      </c>
      <c r="Y1106">
        <f t="shared" si="404"/>
        <v>1.119948761898151</v>
      </c>
      <c r="Z1106">
        <f t="shared" si="405"/>
        <v>1574.8914000512466</v>
      </c>
      <c r="AA1106">
        <f t="shared" si="406"/>
        <v>52.327690360301531</v>
      </c>
      <c r="AB1106">
        <f t="shared" si="407"/>
        <v>1.0654693333986043</v>
      </c>
      <c r="AC1106">
        <f t="shared" si="408"/>
        <v>6000</v>
      </c>
      <c r="AD1106">
        <f t="shared" si="409"/>
        <v>13.735071588830568</v>
      </c>
      <c r="AE1106">
        <f t="shared" si="410"/>
        <v>6.8129611247158772</v>
      </c>
      <c r="AF1106">
        <f t="shared" si="411"/>
        <v>6000</v>
      </c>
      <c r="AG1106">
        <f t="shared" si="412"/>
        <v>13.735071588830568</v>
      </c>
      <c r="AH1106">
        <f t="shared" si="413"/>
        <v>6.8129611247158772</v>
      </c>
      <c r="AI1106" cm="1">
        <f t="array" ref="AI1106">_xlfn.LET(
    _xlpm.vals,   _xlfn.HSTACK(S1106,V1106,Y1106,AB1106,AE1106,AH1106),
    _xlpm.ints,   _xlfn.HSTACK(R1106,U1106,X1106,AA1106,AD1106,AG1106),
    _xlpm.slopes, _xlfn.HSTACK(Q1106,T1106,W1106,Z1106,AC1106,AF1106),
    _xlpm.limit,  -0.00001*_xlpm.slopes + 0.1086*_xlpm.slopes + 63.253,
    _xlpm.mask,   (_xlpm.vals&gt;=0) * (_xlpm.ints&lt;=_xlpm.limit),
    _xlpm.validVals, _xlfn._xlws.FILTER(_xlpm.vals, _xlpm.mask),
    _xlpm.minVal, MIN(_xlpm.validVals),
    IFERROR( _xlfn.XMATCH(_xlpm.minVal, _xlpm.vals), "" )
)</f>
        <v>4</v>
      </c>
      <c r="AJ1106" cm="1">
        <f t="array" ref="AJ1106">_xlfn.LET(
    _xlpm.vals, CHOOSE({1,2,3,4,5,6}, S1106, V1106, Y1106, AB1106, AE1106, AH1106),
    _xlpm.slopes, CHOOSE({1,2,3,4,5,6}, Q1106, T1106, W1106, Z1106, AC1106, AF1106),
    _xlpm.ints, CHOOSE({1,2,3,4,5,6}, R1106, U1106, X1106, AA1106, AD1106, AG1106),
    _xlpm.limit, -0.00001*_xlpm.slopes + 0.1086*_xlpm.slopes + 63.253,
    _xlpm.valid, (_xlpm.vals &gt;= 0) * (_xlpm.ints &lt;= _xlpm.limit),
    _xlpm.target, MIN(_xlfn._xlws.FILTER(_xlpm.vals, _xlpm.valid)),
    IFERROR(
        _xlfn.XLOOKUP(_xlpm.target, _xlpm.vals, _xlpm.vals),
        CHOOSE({1,2,3,4,5,6}, S$1, V$1, Y$1, AB$1, AE$1, AH$1)
    )
)</f>
        <v>1.0654693333986043</v>
      </c>
    </row>
    <row r="1107" spans="9:36" x14ac:dyDescent="0.45">
      <c r="I1107">
        <v>1105</v>
      </c>
      <c r="J1107">
        <v>26.6</v>
      </c>
      <c r="K1107">
        <f t="shared" si="392"/>
        <v>26.6</v>
      </c>
      <c r="L1107">
        <f t="shared" si="391"/>
        <v>7.3888888888888893E-3</v>
      </c>
      <c r="M1107">
        <v>8.76</v>
      </c>
      <c r="N1107">
        <f t="shared" si="393"/>
        <v>8.76</v>
      </c>
      <c r="O1107">
        <f t="shared" si="394"/>
        <v>345.67186213894132</v>
      </c>
      <c r="P1107">
        <f t="shared" si="395"/>
        <v>1106.1499588446122</v>
      </c>
      <c r="Q1107">
        <f t="shared" si="396"/>
        <v>5066.1668115083239</v>
      </c>
      <c r="R1107">
        <f t="shared" si="397"/>
        <v>16.511860189655888</v>
      </c>
      <c r="S1107">
        <f t="shared" si="398"/>
        <v>4.1528457994761032</v>
      </c>
      <c r="T1107">
        <f t="shared" si="399"/>
        <v>3274.203878180052</v>
      </c>
      <c r="U1107">
        <f t="shared" si="400"/>
        <v>25.548756644805394</v>
      </c>
      <c r="V1107">
        <f t="shared" si="401"/>
        <v>1.6117426439302629</v>
      </c>
      <c r="W1107">
        <f t="shared" si="402"/>
        <v>2112.7464213932094</v>
      </c>
      <c r="X1107">
        <f t="shared" si="403"/>
        <v>39.593884643258619</v>
      </c>
      <c r="Y1107">
        <f t="shared" si="404"/>
        <v>1.1340358382907652</v>
      </c>
      <c r="Z1107">
        <f t="shared" si="405"/>
        <v>1592.8559407362416</v>
      </c>
      <c r="AA1107">
        <f t="shared" si="406"/>
        <v>52.516888658766639</v>
      </c>
      <c r="AB1107">
        <f t="shared" si="407"/>
        <v>1.0777819813136862</v>
      </c>
      <c r="AC1107">
        <f t="shared" si="408"/>
        <v>6000</v>
      </c>
      <c r="AD1107">
        <f t="shared" si="409"/>
        <v>13.941973014850031</v>
      </c>
      <c r="AE1107">
        <f t="shared" si="410"/>
        <v>6.8151170265361785</v>
      </c>
      <c r="AF1107">
        <f t="shared" si="411"/>
        <v>6000</v>
      </c>
      <c r="AG1107">
        <f t="shared" si="412"/>
        <v>13.941973014850031</v>
      </c>
      <c r="AH1107">
        <f t="shared" si="413"/>
        <v>6.8151170265361785</v>
      </c>
      <c r="AI1107" cm="1">
        <f t="array" ref="AI1107">_xlfn.LET(
    _xlpm.vals,   _xlfn.HSTACK(S1107,V1107,Y1107,AB1107,AE1107,AH1107),
    _xlpm.ints,   _xlfn.HSTACK(R1107,U1107,X1107,AA1107,AD1107,AG1107),
    _xlpm.slopes, _xlfn.HSTACK(Q1107,T1107,W1107,Z1107,AC1107,AF1107),
    _xlpm.limit,  -0.00001*_xlpm.slopes + 0.1086*_xlpm.slopes + 63.253,
    _xlpm.mask,   (_xlpm.vals&gt;=0) * (_xlpm.ints&lt;=_xlpm.limit),
    _xlpm.validVals, _xlfn._xlws.FILTER(_xlpm.vals, _xlpm.mask),
    _xlpm.minVal, MIN(_xlpm.validVals),
    IFERROR( _xlfn.XMATCH(_xlpm.minVal, _xlpm.vals), "" )
)</f>
        <v>4</v>
      </c>
      <c r="AJ1107" cm="1">
        <f t="array" ref="AJ1107">_xlfn.LET(
    _xlpm.vals, CHOOSE({1,2,3,4,5,6}, S1107, V1107, Y1107, AB1107, AE1107, AH1107),
    _xlpm.slopes, CHOOSE({1,2,3,4,5,6}, Q1107, T1107, W1107, Z1107, AC1107, AF1107),
    _xlpm.ints, CHOOSE({1,2,3,4,5,6}, R1107, U1107, X1107, AA1107, AD1107, AG1107),
    _xlpm.limit, -0.00001*_xlpm.slopes + 0.1086*_xlpm.slopes + 63.253,
    _xlpm.valid, (_xlpm.vals &gt;= 0) * (_xlpm.ints &lt;= _xlpm.limit),
    _xlpm.target, MIN(_xlfn._xlws.FILTER(_xlpm.vals, _xlpm.valid)),
    IFERROR(
        _xlfn.XLOOKUP(_xlpm.target, _xlpm.vals, _xlpm.vals),
        CHOOSE({1,2,3,4,5,6}, S$1, V$1, Y$1, AB$1, AE$1, AH$1)
    )
)</f>
        <v>1.0777819813136862</v>
      </c>
    </row>
    <row r="1108" spans="9:36" x14ac:dyDescent="0.45">
      <c r="I1108">
        <v>1106</v>
      </c>
      <c r="J1108">
        <v>26.8</v>
      </c>
      <c r="K1108">
        <f t="shared" si="392"/>
        <v>26.8</v>
      </c>
      <c r="L1108">
        <f t="shared" si="391"/>
        <v>7.4444444444444445E-3</v>
      </c>
      <c r="M1108">
        <v>6.04</v>
      </c>
      <c r="N1108">
        <f t="shared" si="393"/>
        <v>6.04</v>
      </c>
      <c r="O1108">
        <f t="shared" si="394"/>
        <v>348.270898696377</v>
      </c>
      <c r="P1108">
        <f t="shared" si="395"/>
        <v>1114.4668758284065</v>
      </c>
      <c r="Q1108">
        <f t="shared" si="396"/>
        <v>5104.2582912941016</v>
      </c>
      <c r="R1108">
        <f t="shared" si="397"/>
        <v>11.299928037513089</v>
      </c>
      <c r="S1108">
        <f t="shared" si="398"/>
        <v>4.1650620018832338</v>
      </c>
      <c r="T1108">
        <f t="shared" si="399"/>
        <v>3298.8219524520832</v>
      </c>
      <c r="U1108">
        <f t="shared" si="400"/>
        <v>17.484348112097955</v>
      </c>
      <c r="V1108">
        <f t="shared" si="401"/>
        <v>1.4833782048577047</v>
      </c>
      <c r="W1108">
        <f t="shared" si="402"/>
        <v>2128.6317328322561</v>
      </c>
      <c r="X1108">
        <f t="shared" si="403"/>
        <v>27.096162519272227</v>
      </c>
      <c r="Y1108">
        <f t="shared" si="404"/>
        <v>0.93701071578158068</v>
      </c>
      <c r="Z1108">
        <f t="shared" si="405"/>
        <v>1604.8323011929053</v>
      </c>
      <c r="AA1108">
        <f t="shared" si="406"/>
        <v>35.940048897090243</v>
      </c>
      <c r="AB1108">
        <f t="shared" si="407"/>
        <v>0.84967393797111135</v>
      </c>
      <c r="AC1108">
        <f t="shared" si="408"/>
        <v>6000</v>
      </c>
      <c r="AD1108">
        <f t="shared" si="409"/>
        <v>9.6129585627504781</v>
      </c>
      <c r="AE1108">
        <f t="shared" si="410"/>
        <v>6.772763355734722</v>
      </c>
      <c r="AF1108">
        <f t="shared" si="411"/>
        <v>6000</v>
      </c>
      <c r="AG1108">
        <f t="shared" si="412"/>
        <v>9.6129585627504781</v>
      </c>
      <c r="AH1108">
        <f t="shared" si="413"/>
        <v>6.772763355734722</v>
      </c>
      <c r="AI1108" cm="1">
        <f t="array" ref="AI1108">_xlfn.LET(
    _xlpm.vals,   _xlfn.HSTACK(S1108,V1108,Y1108,AB1108,AE1108,AH1108),
    _xlpm.ints,   _xlfn.HSTACK(R1108,U1108,X1108,AA1108,AD1108,AG1108),
    _xlpm.slopes, _xlfn.HSTACK(Q1108,T1108,W1108,Z1108,AC1108,AF1108),
    _xlpm.limit,  -0.00001*_xlpm.slopes + 0.1086*_xlpm.slopes + 63.253,
    _xlpm.mask,   (_xlpm.vals&gt;=0) * (_xlpm.ints&lt;=_xlpm.limit),
    _xlpm.validVals, _xlfn._xlws.FILTER(_xlpm.vals, _xlpm.mask),
    _xlpm.minVal, MIN(_xlpm.validVals),
    IFERROR( _xlfn.XMATCH(_xlpm.minVal, _xlpm.vals), "" )
)</f>
        <v>4</v>
      </c>
      <c r="AJ1108" cm="1">
        <f t="array" ref="AJ1108">_xlfn.LET(
    _xlpm.vals, CHOOSE({1,2,3,4,5,6}, S1108, V1108, Y1108, AB1108, AE1108, AH1108),
    _xlpm.slopes, CHOOSE({1,2,3,4,5,6}, Q1108, T1108, W1108, Z1108, AC1108, AF1108),
    _xlpm.ints, CHOOSE({1,2,3,4,5,6}, R1108, U1108, X1108, AA1108, AD1108, AG1108),
    _xlpm.limit, -0.00001*_xlpm.slopes + 0.1086*_xlpm.slopes + 63.253,
    _xlpm.valid, (_xlpm.vals &gt;= 0) * (_xlpm.ints &lt;= _xlpm.limit),
    _xlpm.target, MIN(_xlfn._xlws.FILTER(_xlpm.vals, _xlpm.valid)),
    IFERROR(
        _xlfn.XLOOKUP(_xlpm.target, _xlpm.vals, _xlpm.vals),
        CHOOSE({1,2,3,4,5,6}, S$1, V$1, Y$1, AB$1, AE$1, AH$1)
    )
)</f>
        <v>0.84967393797111135</v>
      </c>
    </row>
    <row r="1109" spans="9:36" x14ac:dyDescent="0.45">
      <c r="I1109">
        <v>1107</v>
      </c>
      <c r="J1109">
        <v>27</v>
      </c>
      <c r="K1109">
        <f t="shared" si="392"/>
        <v>27</v>
      </c>
      <c r="L1109">
        <f t="shared" si="391"/>
        <v>7.4999999999999997E-3</v>
      </c>
      <c r="M1109">
        <v>7.46</v>
      </c>
      <c r="N1109">
        <f t="shared" si="393"/>
        <v>7.46</v>
      </c>
      <c r="O1109">
        <f t="shared" si="394"/>
        <v>350.86993525381263</v>
      </c>
      <c r="P1109">
        <f t="shared" si="395"/>
        <v>1122.7837928122005</v>
      </c>
      <c r="Q1109">
        <f t="shared" si="396"/>
        <v>5142.3497710798783</v>
      </c>
      <c r="R1109">
        <f t="shared" si="397"/>
        <v>13.853151905101281</v>
      </c>
      <c r="S1109">
        <f t="shared" si="398"/>
        <v>4.2935980135849778</v>
      </c>
      <c r="T1109">
        <f t="shared" si="399"/>
        <v>3323.4400267241135</v>
      </c>
      <c r="U1109">
        <f t="shared" si="400"/>
        <v>21.434944501812119</v>
      </c>
      <c r="V1109">
        <f t="shared" si="401"/>
        <v>1.5767494691382704</v>
      </c>
      <c r="W1109">
        <f t="shared" si="402"/>
        <v>2144.5170442713029</v>
      </c>
      <c r="X1109">
        <f t="shared" si="403"/>
        <v>33.218552735792599</v>
      </c>
      <c r="Y1109">
        <f t="shared" si="404"/>
        <v>1.0426304947234633</v>
      </c>
      <c r="Z1109">
        <f t="shared" si="405"/>
        <v>1616.8086616495686</v>
      </c>
      <c r="AA1109">
        <f t="shared" si="406"/>
        <v>44.060719253724905</v>
      </c>
      <c r="AB1109">
        <f t="shared" si="407"/>
        <v>0.96802293312557075</v>
      </c>
      <c r="AC1109">
        <f t="shared" si="408"/>
        <v>6000</v>
      </c>
      <c r="AD1109">
        <f t="shared" si="409"/>
        <v>11.872958754655393</v>
      </c>
      <c r="AE1109">
        <f t="shared" si="410"/>
        <v>6.7941496721525905</v>
      </c>
      <c r="AF1109">
        <f t="shared" si="411"/>
        <v>6000</v>
      </c>
      <c r="AG1109">
        <f t="shared" si="412"/>
        <v>11.872958754655393</v>
      </c>
      <c r="AH1109">
        <f t="shared" si="413"/>
        <v>6.7941496721525905</v>
      </c>
      <c r="AI1109" cm="1">
        <f t="array" ref="AI1109">_xlfn.LET(
    _xlpm.vals,   _xlfn.HSTACK(S1109,V1109,Y1109,AB1109,AE1109,AH1109),
    _xlpm.ints,   _xlfn.HSTACK(R1109,U1109,X1109,AA1109,AD1109,AG1109),
    _xlpm.slopes, _xlfn.HSTACK(Q1109,T1109,W1109,Z1109,AC1109,AF1109),
    _xlpm.limit,  -0.00001*_xlpm.slopes + 0.1086*_xlpm.slopes + 63.253,
    _xlpm.mask,   (_xlpm.vals&gt;=0) * (_xlpm.ints&lt;=_xlpm.limit),
    _xlpm.validVals, _xlfn._xlws.FILTER(_xlpm.vals, _xlpm.mask),
    _xlpm.minVal, MIN(_xlpm.validVals),
    IFERROR( _xlfn.XMATCH(_xlpm.minVal, _xlpm.vals), "" )
)</f>
        <v>4</v>
      </c>
      <c r="AJ1109" cm="1">
        <f t="array" ref="AJ1109">_xlfn.LET(
    _xlpm.vals, CHOOSE({1,2,3,4,5,6}, S1109, V1109, Y1109, AB1109, AE1109, AH1109),
    _xlpm.slopes, CHOOSE({1,2,3,4,5,6}, Q1109, T1109, W1109, Z1109, AC1109, AF1109),
    _xlpm.ints, CHOOSE({1,2,3,4,5,6}, R1109, U1109, X1109, AA1109, AD1109, AG1109),
    _xlpm.limit, -0.00001*_xlpm.slopes + 0.1086*_xlpm.slopes + 63.253,
    _xlpm.valid, (_xlpm.vals &gt;= 0) * (_xlpm.ints &lt;= _xlpm.limit),
    _xlpm.target, MIN(_xlfn._xlws.FILTER(_xlpm.vals, _xlpm.valid)),
    IFERROR(
        _xlfn.XLOOKUP(_xlpm.target, _xlpm.vals, _xlpm.vals),
        CHOOSE({1,2,3,4,5,6}, S$1, V$1, Y$1, AB$1, AE$1, AH$1)
    )
)</f>
        <v>0.96802293312557075</v>
      </c>
    </row>
    <row r="1110" spans="9:36" x14ac:dyDescent="0.45">
      <c r="I1110">
        <v>1108</v>
      </c>
      <c r="J1110">
        <v>27.2</v>
      </c>
      <c r="K1110">
        <f t="shared" si="392"/>
        <v>27.2</v>
      </c>
      <c r="L1110">
        <f t="shared" si="391"/>
        <v>7.5555555555555549E-3</v>
      </c>
      <c r="M1110">
        <v>6.63</v>
      </c>
      <c r="N1110">
        <f t="shared" si="393"/>
        <v>6.63</v>
      </c>
      <c r="O1110">
        <f t="shared" si="394"/>
        <v>353.46897181124825</v>
      </c>
      <c r="P1110">
        <f t="shared" si="395"/>
        <v>1131.1007097959944</v>
      </c>
      <c r="Q1110">
        <f t="shared" si="396"/>
        <v>5180.4412508656542</v>
      </c>
      <c r="R1110">
        <f t="shared" si="397"/>
        <v>12.22132117633349</v>
      </c>
      <c r="S1110">
        <f t="shared" si="398"/>
        <v>4.3634040084577528</v>
      </c>
      <c r="T1110">
        <f t="shared" si="399"/>
        <v>3348.0581009961434</v>
      </c>
      <c r="U1110">
        <f t="shared" si="400"/>
        <v>18.910017225543033</v>
      </c>
      <c r="V1110">
        <f t="shared" si="401"/>
        <v>1.5521672227478316</v>
      </c>
      <c r="W1110">
        <f t="shared" si="402"/>
        <v>2160.4023557103492</v>
      </c>
      <c r="X1110">
        <f t="shared" si="403"/>
        <v>29.305576433302296</v>
      </c>
      <c r="Y1110">
        <f t="shared" si="404"/>
        <v>0.98612523971884991</v>
      </c>
      <c r="Z1110">
        <f t="shared" si="405"/>
        <v>1628.7850221062317</v>
      </c>
      <c r="AA1110">
        <f t="shared" si="406"/>
        <v>38.870590963616237</v>
      </c>
      <c r="AB1110">
        <f t="shared" si="407"/>
        <v>0.90026543459219599</v>
      </c>
      <c r="AC1110">
        <f t="shared" si="408"/>
        <v>6000</v>
      </c>
      <c r="AD1110">
        <f t="shared" si="409"/>
        <v>10.551972726992661</v>
      </c>
      <c r="AE1110">
        <f t="shared" si="410"/>
        <v>6.7814554872793176</v>
      </c>
      <c r="AF1110">
        <f t="shared" si="411"/>
        <v>6000</v>
      </c>
      <c r="AG1110">
        <f t="shared" si="412"/>
        <v>10.551972726992661</v>
      </c>
      <c r="AH1110">
        <f t="shared" si="413"/>
        <v>6.7814554872793176</v>
      </c>
      <c r="AI1110" cm="1">
        <f t="array" ref="AI1110">_xlfn.LET(
    _xlpm.vals,   _xlfn.HSTACK(S1110,V1110,Y1110,AB1110,AE1110,AH1110),
    _xlpm.ints,   _xlfn.HSTACK(R1110,U1110,X1110,AA1110,AD1110,AG1110),
    _xlpm.slopes, _xlfn.HSTACK(Q1110,T1110,W1110,Z1110,AC1110,AF1110),
    _xlpm.limit,  -0.00001*_xlpm.slopes + 0.1086*_xlpm.slopes + 63.253,
    _xlpm.mask,   (_xlpm.vals&gt;=0) * (_xlpm.ints&lt;=_xlpm.limit),
    _xlpm.validVals, _xlfn._xlws.FILTER(_xlpm.vals, _xlpm.mask),
    _xlpm.minVal, MIN(_xlpm.validVals),
    IFERROR( _xlfn.XMATCH(_xlpm.minVal, _xlpm.vals), "" )
)</f>
        <v>4</v>
      </c>
      <c r="AJ1110" cm="1">
        <f t="array" ref="AJ1110">_xlfn.LET(
    _xlpm.vals, CHOOSE({1,2,3,4,5,6}, S1110, V1110, Y1110, AB1110, AE1110, AH1110),
    _xlpm.slopes, CHOOSE({1,2,3,4,5,6}, Q1110, T1110, W1110, Z1110, AC1110, AF1110),
    _xlpm.ints, CHOOSE({1,2,3,4,5,6}, R1110, U1110, X1110, AA1110, AD1110, AG1110),
    _xlpm.limit, -0.00001*_xlpm.slopes + 0.1086*_xlpm.slopes + 63.253,
    _xlpm.valid, (_xlpm.vals &gt;= 0) * (_xlpm.ints &lt;= _xlpm.limit),
    _xlpm.target, MIN(_xlfn._xlws.FILTER(_xlpm.vals, _xlpm.valid)),
    IFERROR(
        _xlfn.XLOOKUP(_xlpm.target, _xlpm.vals, _xlpm.vals),
        CHOOSE({1,2,3,4,5,6}, S$1, V$1, Y$1, AB$1, AE$1, AH$1)
    )
)</f>
        <v>0.90026543459219599</v>
      </c>
    </row>
    <row r="1111" spans="9:36" x14ac:dyDescent="0.45">
      <c r="I1111">
        <v>1109</v>
      </c>
      <c r="J1111">
        <v>27.1</v>
      </c>
      <c r="K1111">
        <f t="shared" si="392"/>
        <v>27.1</v>
      </c>
      <c r="L1111">
        <f t="shared" si="391"/>
        <v>7.5277777777777782E-3</v>
      </c>
      <c r="M1111">
        <v>4.5599999999999996</v>
      </c>
      <c r="N1111">
        <f t="shared" si="393"/>
        <v>4.5599999999999996</v>
      </c>
      <c r="O1111">
        <f t="shared" si="394"/>
        <v>352.1694535325305</v>
      </c>
      <c r="P1111">
        <f t="shared" si="395"/>
        <v>1126.9422513040977</v>
      </c>
      <c r="Q1111">
        <f t="shared" si="396"/>
        <v>5161.3955109727676</v>
      </c>
      <c r="R1111">
        <f t="shared" si="397"/>
        <v>8.4366315926321409</v>
      </c>
      <c r="S1111">
        <f t="shared" si="398"/>
        <v>4.2648550265145948</v>
      </c>
      <c r="T1111">
        <f t="shared" si="399"/>
        <v>3335.7490638601289</v>
      </c>
      <c r="U1111">
        <f t="shared" si="400"/>
        <v>13.053977261572708</v>
      </c>
      <c r="V1111">
        <f t="shared" si="401"/>
        <v>1.438285560381557</v>
      </c>
      <c r="W1111">
        <f t="shared" si="402"/>
        <v>2152.4596999908263</v>
      </c>
      <c r="X1111">
        <f t="shared" si="403"/>
        <v>20.230247483903252</v>
      </c>
      <c r="Y1111">
        <f t="shared" si="404"/>
        <v>0.84179810597990046</v>
      </c>
      <c r="Z1111">
        <f t="shared" si="405"/>
        <v>1622.7968418779005</v>
      </c>
      <c r="AA1111">
        <f t="shared" si="406"/>
        <v>26.833175482121675</v>
      </c>
      <c r="AB1111">
        <f t="shared" si="407"/>
        <v>0.73617602900592705</v>
      </c>
      <c r="AC1111">
        <f t="shared" si="408"/>
        <v>6000</v>
      </c>
      <c r="AD1111">
        <f t="shared" si="409"/>
        <v>7.2574654049904277</v>
      </c>
      <c r="AE1111">
        <f t="shared" si="410"/>
        <v>6.7521838251608344</v>
      </c>
      <c r="AF1111">
        <f t="shared" si="411"/>
        <v>6000</v>
      </c>
      <c r="AG1111">
        <f t="shared" si="412"/>
        <v>7.2574654049904277</v>
      </c>
      <c r="AH1111">
        <f t="shared" si="413"/>
        <v>6.7521838251608344</v>
      </c>
      <c r="AI1111" cm="1">
        <f t="array" ref="AI1111">_xlfn.LET(
    _xlpm.vals,   _xlfn.HSTACK(S1111,V1111,Y1111,AB1111,AE1111,AH1111),
    _xlpm.ints,   _xlfn.HSTACK(R1111,U1111,X1111,AA1111,AD1111,AG1111),
    _xlpm.slopes, _xlfn.HSTACK(Q1111,T1111,W1111,Z1111,AC1111,AF1111),
    _xlpm.limit,  -0.00001*_xlpm.slopes + 0.1086*_xlpm.slopes + 63.253,
    _xlpm.mask,   (_xlpm.vals&gt;=0) * (_xlpm.ints&lt;=_xlpm.limit),
    _xlpm.validVals, _xlfn._xlws.FILTER(_xlpm.vals, _xlpm.mask),
    _xlpm.minVal, MIN(_xlpm.validVals),
    IFERROR( _xlfn.XMATCH(_xlpm.minVal, _xlpm.vals), "" )
)</f>
        <v>4</v>
      </c>
      <c r="AJ1111" cm="1">
        <f t="array" ref="AJ1111">_xlfn.LET(
    _xlpm.vals, CHOOSE({1,2,3,4,5,6}, S1111, V1111, Y1111, AB1111, AE1111, AH1111),
    _xlpm.slopes, CHOOSE({1,2,3,4,5,6}, Q1111, T1111, W1111, Z1111, AC1111, AF1111),
    _xlpm.ints, CHOOSE({1,2,3,4,5,6}, R1111, U1111, X1111, AA1111, AD1111, AG1111),
    _xlpm.limit, -0.00001*_xlpm.slopes + 0.1086*_xlpm.slopes + 63.253,
    _xlpm.valid, (_xlpm.vals &gt;= 0) * (_xlpm.ints &lt;= _xlpm.limit),
    _xlpm.target, MIN(_xlfn._xlws.FILTER(_xlpm.vals, _xlpm.valid)),
    IFERROR(
        _xlfn.XLOOKUP(_xlpm.target, _xlpm.vals, _xlpm.vals),
        CHOOSE({1,2,3,4,5,6}, S$1, V$1, Y$1, AB$1, AE$1, AH$1)
    )
)</f>
        <v>0.73617602900592705</v>
      </c>
    </row>
    <row r="1112" spans="9:36" x14ac:dyDescent="0.45">
      <c r="I1112">
        <v>1110</v>
      </c>
      <c r="J1112">
        <v>27</v>
      </c>
      <c r="K1112">
        <f t="shared" si="392"/>
        <v>27</v>
      </c>
      <c r="L1112">
        <f t="shared" si="391"/>
        <v>7.4999999999999997E-3</v>
      </c>
      <c r="M1112">
        <v>3.5</v>
      </c>
      <c r="N1112">
        <f t="shared" si="393"/>
        <v>3.5</v>
      </c>
      <c r="O1112">
        <f t="shared" si="394"/>
        <v>350.86993525381263</v>
      </c>
      <c r="P1112">
        <f t="shared" si="395"/>
        <v>1122.7837928122005</v>
      </c>
      <c r="Q1112">
        <f t="shared" si="396"/>
        <v>5142.3497710798783</v>
      </c>
      <c r="R1112">
        <f t="shared" si="397"/>
        <v>6.4994680519912178</v>
      </c>
      <c r="S1112">
        <f t="shared" si="398"/>
        <v>4.1930451052327369</v>
      </c>
      <c r="T1112">
        <f t="shared" si="399"/>
        <v>3323.4400267241135</v>
      </c>
      <c r="U1112">
        <f t="shared" si="400"/>
        <v>10.056609350716142</v>
      </c>
      <c r="V1112">
        <f t="shared" si="401"/>
        <v>1.3774864825508693</v>
      </c>
      <c r="W1112">
        <f t="shared" si="402"/>
        <v>2144.5170442713029</v>
      </c>
      <c r="X1112">
        <f t="shared" si="403"/>
        <v>15.585111873361141</v>
      </c>
      <c r="Y1112">
        <f t="shared" si="404"/>
        <v>0.77094425889403118</v>
      </c>
      <c r="Z1112">
        <f t="shared" si="405"/>
        <v>1616.8086616495686</v>
      </c>
      <c r="AA1112">
        <f t="shared" si="406"/>
        <v>20.671919220916511</v>
      </c>
      <c r="AB1112">
        <f t="shared" si="407"/>
        <v>0.65702210866943667</v>
      </c>
      <c r="AC1112">
        <f t="shared" si="408"/>
        <v>6000</v>
      </c>
      <c r="AD1112">
        <f t="shared" si="409"/>
        <v>5.5704230082163368</v>
      </c>
      <c r="AE1112">
        <f t="shared" si="410"/>
        <v>6.7385323461648694</v>
      </c>
      <c r="AF1112">
        <f t="shared" si="411"/>
        <v>6000</v>
      </c>
      <c r="AG1112">
        <f t="shared" si="412"/>
        <v>5.5704230082163368</v>
      </c>
      <c r="AH1112">
        <f t="shared" si="413"/>
        <v>6.7385323461648694</v>
      </c>
      <c r="AI1112" cm="1">
        <f t="array" ref="AI1112">_xlfn.LET(
    _xlpm.vals,   _xlfn.HSTACK(S1112,V1112,Y1112,AB1112,AE1112,AH1112),
    _xlpm.ints,   _xlfn.HSTACK(R1112,U1112,X1112,AA1112,AD1112,AG1112),
    _xlpm.slopes, _xlfn.HSTACK(Q1112,T1112,W1112,Z1112,AC1112,AF1112),
    _xlpm.limit,  -0.00001*_xlpm.slopes + 0.1086*_xlpm.slopes + 63.253,
    _xlpm.mask,   (_xlpm.vals&gt;=0) * (_xlpm.ints&lt;=_xlpm.limit),
    _xlpm.validVals, _xlfn._xlws.FILTER(_xlpm.vals, _xlpm.mask),
    _xlpm.minVal, MIN(_xlpm.validVals),
    IFERROR( _xlfn.XMATCH(_xlpm.minVal, _xlpm.vals), "" )
)</f>
        <v>4</v>
      </c>
      <c r="AJ1112" cm="1">
        <f t="array" ref="AJ1112">_xlfn.LET(
    _xlpm.vals, CHOOSE({1,2,3,4,5,6}, S1112, V1112, Y1112, AB1112, AE1112, AH1112),
    _xlpm.slopes, CHOOSE({1,2,3,4,5,6}, Q1112, T1112, W1112, Z1112, AC1112, AF1112),
    _xlpm.ints, CHOOSE({1,2,3,4,5,6}, R1112, U1112, X1112, AA1112, AD1112, AG1112),
    _xlpm.limit, -0.00001*_xlpm.slopes + 0.1086*_xlpm.slopes + 63.253,
    _xlpm.valid, (_xlpm.vals &gt;= 0) * (_xlpm.ints &lt;= _xlpm.limit),
    _xlpm.target, MIN(_xlfn._xlws.FILTER(_xlpm.vals, _xlpm.valid)),
    IFERROR(
        _xlfn.XLOOKUP(_xlpm.target, _xlpm.vals, _xlpm.vals),
        CHOOSE({1,2,3,4,5,6}, S$1, V$1, Y$1, AB$1, AE$1, AH$1)
    )
)</f>
        <v>0.65702210866943667</v>
      </c>
    </row>
    <row r="1113" spans="9:36" x14ac:dyDescent="0.45">
      <c r="I1113">
        <v>1111</v>
      </c>
      <c r="J1113">
        <v>27</v>
      </c>
      <c r="K1113">
        <f t="shared" si="392"/>
        <v>27</v>
      </c>
      <c r="L1113">
        <f t="shared" si="391"/>
        <v>7.4999999999999997E-3</v>
      </c>
      <c r="M1113">
        <v>5.87</v>
      </c>
      <c r="N1113">
        <f t="shared" si="393"/>
        <v>5.87</v>
      </c>
      <c r="O1113">
        <f t="shared" si="394"/>
        <v>350.86993525381263</v>
      </c>
      <c r="P1113">
        <f t="shared" si="395"/>
        <v>1122.7837928122005</v>
      </c>
      <c r="Q1113">
        <f t="shared" si="396"/>
        <v>5142.3497710798783</v>
      </c>
      <c r="R1113">
        <f t="shared" si="397"/>
        <v>10.90053641862527</v>
      </c>
      <c r="S1113">
        <f t="shared" si="398"/>
        <v>4.2514178611450282</v>
      </c>
      <c r="T1113">
        <f t="shared" si="399"/>
        <v>3323.4400267241135</v>
      </c>
      <c r="U1113">
        <f t="shared" si="400"/>
        <v>16.866370539629642</v>
      </c>
      <c r="V1113">
        <f t="shared" si="401"/>
        <v>1.4937518860529397</v>
      </c>
      <c r="W1113">
        <f t="shared" si="402"/>
        <v>2144.5170442713029</v>
      </c>
      <c r="X1113">
        <f t="shared" si="403"/>
        <v>26.138459056179972</v>
      </c>
      <c r="Y1113">
        <f t="shared" si="404"/>
        <v>0.92884277212693478</v>
      </c>
      <c r="Z1113">
        <f t="shared" si="405"/>
        <v>1616.8086616495686</v>
      </c>
      <c r="AA1113">
        <f t="shared" si="406"/>
        <v>34.669761664794265</v>
      </c>
      <c r="AB1113">
        <f t="shared" si="407"/>
        <v>0.83740757131610344</v>
      </c>
      <c r="AC1113">
        <f t="shared" si="408"/>
        <v>6000</v>
      </c>
      <c r="AD1113">
        <f t="shared" si="409"/>
        <v>9.3423951594942576</v>
      </c>
      <c r="AE1113">
        <f t="shared" si="410"/>
        <v>6.7703102446437162</v>
      </c>
      <c r="AF1113">
        <f t="shared" si="411"/>
        <v>6000</v>
      </c>
      <c r="AG1113">
        <f t="shared" si="412"/>
        <v>9.3423951594942576</v>
      </c>
      <c r="AH1113">
        <f t="shared" si="413"/>
        <v>6.7703102446437162</v>
      </c>
      <c r="AI1113" cm="1">
        <f t="array" ref="AI1113">_xlfn.LET(
    _xlpm.vals,   _xlfn.HSTACK(S1113,V1113,Y1113,AB1113,AE1113,AH1113),
    _xlpm.ints,   _xlfn.HSTACK(R1113,U1113,X1113,AA1113,AD1113,AG1113),
    _xlpm.slopes, _xlfn.HSTACK(Q1113,T1113,W1113,Z1113,AC1113,AF1113),
    _xlpm.limit,  -0.00001*_xlpm.slopes + 0.1086*_xlpm.slopes + 63.253,
    _xlpm.mask,   (_xlpm.vals&gt;=0) * (_xlpm.ints&lt;=_xlpm.limit),
    _xlpm.validVals, _xlfn._xlws.FILTER(_xlpm.vals, _xlpm.mask),
    _xlpm.minVal, MIN(_xlpm.validVals),
    IFERROR( _xlfn.XMATCH(_xlpm.minVal, _xlpm.vals), "" )
)</f>
        <v>4</v>
      </c>
      <c r="AJ1113" cm="1">
        <f t="array" ref="AJ1113">_xlfn.LET(
    _xlpm.vals, CHOOSE({1,2,3,4,5,6}, S1113, V1113, Y1113, AB1113, AE1113, AH1113),
    _xlpm.slopes, CHOOSE({1,2,3,4,5,6}, Q1113, T1113, W1113, Z1113, AC1113, AF1113),
    _xlpm.ints, CHOOSE({1,2,3,4,5,6}, R1113, U1113, X1113, AA1113, AD1113, AG1113),
    _xlpm.limit, -0.00001*_xlpm.slopes + 0.1086*_xlpm.slopes + 63.253,
    _xlpm.valid, (_xlpm.vals &gt;= 0) * (_xlpm.ints &lt;= _xlpm.limit),
    _xlpm.target, MIN(_xlfn._xlws.FILTER(_xlpm.vals, _xlpm.valid)),
    IFERROR(
        _xlfn.XLOOKUP(_xlpm.target, _xlpm.vals, _xlpm.vals),
        CHOOSE({1,2,3,4,5,6}, S$1, V$1, Y$1, AB$1, AE$1, AH$1)
    )
)</f>
        <v>0.83740757131610344</v>
      </c>
    </row>
    <row r="1114" spans="9:36" x14ac:dyDescent="0.45">
      <c r="I1114">
        <v>1112</v>
      </c>
      <c r="J1114">
        <v>26.9</v>
      </c>
      <c r="K1114">
        <f t="shared" si="392"/>
        <v>26.9</v>
      </c>
      <c r="L1114">
        <f t="shared" si="391"/>
        <v>7.4722222222222221E-3</v>
      </c>
      <c r="M1114">
        <v>4.33</v>
      </c>
      <c r="N1114">
        <f t="shared" si="393"/>
        <v>4.33</v>
      </c>
      <c r="O1114">
        <f t="shared" si="394"/>
        <v>349.57041697509482</v>
      </c>
      <c r="P1114">
        <f t="shared" si="395"/>
        <v>1118.6253343203034</v>
      </c>
      <c r="Q1114">
        <f t="shared" si="396"/>
        <v>5123.30403118699</v>
      </c>
      <c r="R1114">
        <f t="shared" si="397"/>
        <v>8.0706618158076822</v>
      </c>
      <c r="S1114">
        <f t="shared" si="398"/>
        <v>4.1668503823702974</v>
      </c>
      <c r="T1114">
        <f t="shared" si="399"/>
        <v>3311.1309895880981</v>
      </c>
      <c r="U1114">
        <f t="shared" si="400"/>
        <v>12.487713214999726</v>
      </c>
      <c r="V1114">
        <f t="shared" si="401"/>
        <v>1.4072789436035229</v>
      </c>
      <c r="W1114">
        <f t="shared" si="402"/>
        <v>2136.5743885517795</v>
      </c>
      <c r="X1114">
        <f t="shared" si="403"/>
        <v>19.352686448376538</v>
      </c>
      <c r="Y1114">
        <f t="shared" si="404"/>
        <v>0.82242437392733725</v>
      </c>
      <c r="Z1114">
        <f t="shared" si="405"/>
        <v>1610.8204814212368</v>
      </c>
      <c r="AA1114">
        <f t="shared" si="406"/>
        <v>25.669188275277214</v>
      </c>
      <c r="AB1114">
        <f t="shared" si="407"/>
        <v>0.71705798414035837</v>
      </c>
      <c r="AC1114">
        <f t="shared" si="408"/>
        <v>6000</v>
      </c>
      <c r="AD1114">
        <f t="shared" si="409"/>
        <v>6.8914090358790681</v>
      </c>
      <c r="AE1114">
        <f t="shared" si="410"/>
        <v>6.7491441173967495</v>
      </c>
      <c r="AF1114">
        <f t="shared" si="411"/>
        <v>6000</v>
      </c>
      <c r="AG1114">
        <f t="shared" si="412"/>
        <v>6.8914090358790681</v>
      </c>
      <c r="AH1114">
        <f t="shared" si="413"/>
        <v>6.7491441173967495</v>
      </c>
      <c r="AI1114" cm="1">
        <f t="array" ref="AI1114">_xlfn.LET(
    _xlpm.vals,   _xlfn.HSTACK(S1114,V1114,Y1114,AB1114,AE1114,AH1114),
    _xlpm.ints,   _xlfn.HSTACK(R1114,U1114,X1114,AA1114,AD1114,AG1114),
    _xlpm.slopes, _xlfn.HSTACK(Q1114,T1114,W1114,Z1114,AC1114,AF1114),
    _xlpm.limit,  -0.00001*_xlpm.slopes + 0.1086*_xlpm.slopes + 63.253,
    _xlpm.mask,   (_xlpm.vals&gt;=0) * (_xlpm.ints&lt;=_xlpm.limit),
    _xlpm.validVals, _xlfn._xlws.FILTER(_xlpm.vals, _xlpm.mask),
    _xlpm.minVal, MIN(_xlpm.validVals),
    IFERROR( _xlfn.XMATCH(_xlpm.minVal, _xlpm.vals), "" )
)</f>
        <v>4</v>
      </c>
      <c r="AJ1114" cm="1">
        <f t="array" ref="AJ1114">_xlfn.LET(
    _xlpm.vals, CHOOSE({1,2,3,4,5,6}, S1114, V1114, Y1114, AB1114, AE1114, AH1114),
    _xlpm.slopes, CHOOSE({1,2,3,4,5,6}, Q1114, T1114, W1114, Z1114, AC1114, AF1114),
    _xlpm.ints, CHOOSE({1,2,3,4,5,6}, R1114, U1114, X1114, AA1114, AD1114, AG1114),
    _xlpm.limit, -0.00001*_xlpm.slopes + 0.1086*_xlpm.slopes + 63.253,
    _xlpm.valid, (_xlpm.vals &gt;= 0) * (_xlpm.ints &lt;= _xlpm.limit),
    _xlpm.target, MIN(_xlfn._xlws.FILTER(_xlpm.vals, _xlpm.valid)),
    IFERROR(
        _xlfn.XLOOKUP(_xlpm.target, _xlpm.vals, _xlpm.vals),
        CHOOSE({1,2,3,4,5,6}, S$1, V$1, Y$1, AB$1, AE$1, AH$1)
    )
)</f>
        <v>0.71705798414035837</v>
      </c>
    </row>
    <row r="1115" spans="9:36" x14ac:dyDescent="0.45">
      <c r="I1115">
        <v>1113</v>
      </c>
      <c r="J1115">
        <v>26.7</v>
      </c>
      <c r="K1115">
        <f t="shared" si="392"/>
        <v>26.7</v>
      </c>
      <c r="L1115">
        <f t="shared" si="391"/>
        <v>7.4166666666666669E-3</v>
      </c>
      <c r="M1115">
        <v>2.92</v>
      </c>
      <c r="N1115">
        <f t="shared" si="393"/>
        <v>2.92</v>
      </c>
      <c r="O1115">
        <f t="shared" si="394"/>
        <v>346.97138041765913</v>
      </c>
      <c r="P1115">
        <f t="shared" si="395"/>
        <v>1110.3084173365094</v>
      </c>
      <c r="Q1115">
        <f t="shared" si="396"/>
        <v>5085.2125514012132</v>
      </c>
      <c r="R1115">
        <f t="shared" si="397"/>
        <v>5.4833393388869727</v>
      </c>
      <c r="S1115">
        <f t="shared" si="398"/>
        <v>4.0417581426585398</v>
      </c>
      <c r="T1115">
        <f t="shared" si="399"/>
        <v>3286.5129153160678</v>
      </c>
      <c r="U1115">
        <f t="shared" si="400"/>
        <v>8.4843561392237614</v>
      </c>
      <c r="V1115">
        <f t="shared" si="401"/>
        <v>1.3204125949547816</v>
      </c>
      <c r="W1115">
        <f t="shared" si="402"/>
        <v>2120.6890771127328</v>
      </c>
      <c r="X1115">
        <f t="shared" si="403"/>
        <v>13.148530980158291</v>
      </c>
      <c r="Y1115">
        <f t="shared" si="404"/>
        <v>0.72792356830066884</v>
      </c>
      <c r="Z1115">
        <f t="shared" si="405"/>
        <v>1598.8441209645734</v>
      </c>
      <c r="AA1115">
        <f t="shared" si="406"/>
        <v>17.440065397293289</v>
      </c>
      <c r="AB1115">
        <f t="shared" si="407"/>
        <v>0.61289660341658148</v>
      </c>
      <c r="AC1115">
        <f t="shared" si="408"/>
        <v>6000</v>
      </c>
      <c r="AD1115">
        <f t="shared" si="409"/>
        <v>4.6473243382833438</v>
      </c>
      <c r="AE1115">
        <f t="shared" si="410"/>
        <v>6.731451180049854</v>
      </c>
      <c r="AF1115">
        <f t="shared" si="411"/>
        <v>6000</v>
      </c>
      <c r="AG1115">
        <f t="shared" si="412"/>
        <v>4.6473243382833438</v>
      </c>
      <c r="AH1115">
        <f t="shared" si="413"/>
        <v>6.731451180049854</v>
      </c>
      <c r="AI1115" cm="1">
        <f t="array" ref="AI1115">_xlfn.LET(
    _xlpm.vals,   _xlfn.HSTACK(S1115,V1115,Y1115,AB1115,AE1115,AH1115),
    _xlpm.ints,   _xlfn.HSTACK(R1115,U1115,X1115,AA1115,AD1115,AG1115),
    _xlpm.slopes, _xlfn.HSTACK(Q1115,T1115,W1115,Z1115,AC1115,AF1115),
    _xlpm.limit,  -0.00001*_xlpm.slopes + 0.1086*_xlpm.slopes + 63.253,
    _xlpm.mask,   (_xlpm.vals&gt;=0) * (_xlpm.ints&lt;=_xlpm.limit),
    _xlpm.validVals, _xlfn._xlws.FILTER(_xlpm.vals, _xlpm.mask),
    _xlpm.minVal, MIN(_xlpm.validVals),
    IFERROR( _xlfn.XMATCH(_xlpm.minVal, _xlpm.vals), "" )
)</f>
        <v>4</v>
      </c>
      <c r="AJ1115" cm="1">
        <f t="array" ref="AJ1115">_xlfn.LET(
    _xlpm.vals, CHOOSE({1,2,3,4,5,6}, S1115, V1115, Y1115, AB1115, AE1115, AH1115),
    _xlpm.slopes, CHOOSE({1,2,3,4,5,6}, Q1115, T1115, W1115, Z1115, AC1115, AF1115),
    _xlpm.ints, CHOOSE({1,2,3,4,5,6}, R1115, U1115, X1115, AA1115, AD1115, AG1115),
    _xlpm.limit, -0.00001*_xlpm.slopes + 0.1086*_xlpm.slopes + 63.253,
    _xlpm.valid, (_xlpm.vals &gt;= 0) * (_xlpm.ints &lt;= _xlpm.limit),
    _xlpm.target, MIN(_xlfn._xlws.FILTER(_xlpm.vals, _xlpm.valid)),
    IFERROR(
        _xlfn.XLOOKUP(_xlpm.target, _xlpm.vals, _xlpm.vals),
        CHOOSE({1,2,3,4,5,6}, S$1, V$1, Y$1, AB$1, AE$1, AH$1)
    )
)</f>
        <v>0.61289660341658148</v>
      </c>
    </row>
    <row r="1116" spans="9:36" x14ac:dyDescent="0.45">
      <c r="I1116">
        <v>1114</v>
      </c>
      <c r="J1116">
        <v>26.4</v>
      </c>
      <c r="K1116">
        <f t="shared" si="392"/>
        <v>26.4</v>
      </c>
      <c r="L1116">
        <f t="shared" si="391"/>
        <v>7.3333333333333332E-3</v>
      </c>
      <c r="M1116">
        <v>3.81</v>
      </c>
      <c r="N1116">
        <f t="shared" si="393"/>
        <v>3.81</v>
      </c>
      <c r="O1116">
        <f t="shared" si="394"/>
        <v>343.0728255815057</v>
      </c>
      <c r="P1116">
        <f t="shared" si="395"/>
        <v>1097.8330418608182</v>
      </c>
      <c r="Q1116">
        <f t="shared" si="396"/>
        <v>5028.0753317225472</v>
      </c>
      <c r="R1116">
        <f t="shared" si="397"/>
        <v>7.2359337500902239</v>
      </c>
      <c r="S1116">
        <f t="shared" si="398"/>
        <v>3.9297092500733455</v>
      </c>
      <c r="T1116">
        <f t="shared" si="399"/>
        <v>3249.5858039080217</v>
      </c>
      <c r="U1116">
        <f t="shared" si="400"/>
        <v>11.1961407349369</v>
      </c>
      <c r="V1116">
        <f t="shared" si="401"/>
        <v>1.3337890751781702</v>
      </c>
      <c r="W1116">
        <f t="shared" si="402"/>
        <v>2096.8611099541627</v>
      </c>
      <c r="X1116">
        <f t="shared" si="403"/>
        <v>17.351087212258232</v>
      </c>
      <c r="Y1116">
        <f t="shared" si="404"/>
        <v>0.778006885504266</v>
      </c>
      <c r="Z1116">
        <f t="shared" si="405"/>
        <v>1580.879580279578</v>
      </c>
      <c r="AA1116">
        <f t="shared" si="406"/>
        <v>23.014289288481407</v>
      </c>
      <c r="AB1116">
        <f t="shared" si="407"/>
        <v>0.67378324989432592</v>
      </c>
      <c r="AC1116">
        <f t="shared" si="408"/>
        <v>6000</v>
      </c>
      <c r="AD1116">
        <f t="shared" si="409"/>
        <v>6.0638033318012123</v>
      </c>
      <c r="AE1116">
        <f t="shared" si="410"/>
        <v>6.7424300869342328</v>
      </c>
      <c r="AF1116">
        <f t="shared" si="411"/>
        <v>6000</v>
      </c>
      <c r="AG1116">
        <f t="shared" si="412"/>
        <v>6.0638033318012123</v>
      </c>
      <c r="AH1116">
        <f t="shared" si="413"/>
        <v>6.7424300869342328</v>
      </c>
      <c r="AI1116" cm="1">
        <f t="array" ref="AI1116">_xlfn.LET(
    _xlpm.vals,   _xlfn.HSTACK(S1116,V1116,Y1116,AB1116,AE1116,AH1116),
    _xlpm.ints,   _xlfn.HSTACK(R1116,U1116,X1116,AA1116,AD1116,AG1116),
    _xlpm.slopes, _xlfn.HSTACK(Q1116,T1116,W1116,Z1116,AC1116,AF1116),
    _xlpm.limit,  -0.00001*_xlpm.slopes + 0.1086*_xlpm.slopes + 63.253,
    _xlpm.mask,   (_xlpm.vals&gt;=0) * (_xlpm.ints&lt;=_xlpm.limit),
    _xlpm.validVals, _xlfn._xlws.FILTER(_xlpm.vals, _xlpm.mask),
    _xlpm.minVal, MIN(_xlpm.validVals),
    IFERROR( _xlfn.XMATCH(_xlpm.minVal, _xlpm.vals), "" )
)</f>
        <v>4</v>
      </c>
      <c r="AJ1116" cm="1">
        <f t="array" ref="AJ1116">_xlfn.LET(
    _xlpm.vals, CHOOSE({1,2,3,4,5,6}, S1116, V1116, Y1116, AB1116, AE1116, AH1116),
    _xlpm.slopes, CHOOSE({1,2,3,4,5,6}, Q1116, T1116, W1116, Z1116, AC1116, AF1116),
    _xlpm.ints, CHOOSE({1,2,3,4,5,6}, R1116, U1116, X1116, AA1116, AD1116, AG1116),
    _xlpm.limit, -0.00001*_xlpm.slopes + 0.1086*_xlpm.slopes + 63.253,
    _xlpm.valid, (_xlpm.vals &gt;= 0) * (_xlpm.ints &lt;= _xlpm.limit),
    _xlpm.target, MIN(_xlfn._xlws.FILTER(_xlpm.vals, _xlpm.valid)),
    IFERROR(
        _xlfn.XLOOKUP(_xlpm.target, _xlpm.vals, _xlpm.vals),
        CHOOSE({1,2,3,4,5,6}, S$1, V$1, Y$1, AB$1, AE$1, AH$1)
    )
)</f>
        <v>0.67378324989432592</v>
      </c>
    </row>
    <row r="1117" spans="9:36" x14ac:dyDescent="0.45">
      <c r="I1117">
        <v>1115</v>
      </c>
      <c r="J1117">
        <v>26.2</v>
      </c>
      <c r="K1117">
        <f t="shared" si="392"/>
        <v>26.2</v>
      </c>
      <c r="L1117">
        <f t="shared" si="391"/>
        <v>7.277777777777778E-3</v>
      </c>
      <c r="M1117">
        <v>3.98</v>
      </c>
      <c r="N1117">
        <f t="shared" si="393"/>
        <v>3.98</v>
      </c>
      <c r="O1117">
        <f t="shared" si="394"/>
        <v>340.47378902407007</v>
      </c>
      <c r="P1117">
        <f t="shared" si="395"/>
        <v>1089.5161248770244</v>
      </c>
      <c r="Q1117">
        <f t="shared" si="396"/>
        <v>4989.9838519367713</v>
      </c>
      <c r="R1117">
        <f t="shared" si="397"/>
        <v>7.6164976757576461</v>
      </c>
      <c r="S1117">
        <f t="shared" si="398"/>
        <v>3.8471553556703277</v>
      </c>
      <c r="T1117">
        <f t="shared" si="399"/>
        <v>3224.9677296359919</v>
      </c>
      <c r="U1117">
        <f t="shared" si="400"/>
        <v>11.784986268570954</v>
      </c>
      <c r="V1117">
        <f t="shared" si="401"/>
        <v>1.3234162848936957</v>
      </c>
      <c r="W1117">
        <f t="shared" si="402"/>
        <v>2080.9757985151164</v>
      </c>
      <c r="X1117">
        <f t="shared" si="403"/>
        <v>18.26364364134556</v>
      </c>
      <c r="Y1117">
        <f t="shared" si="404"/>
        <v>0.78504005846780367</v>
      </c>
      <c r="Z1117">
        <f t="shared" si="405"/>
        <v>1568.9032198229149</v>
      </c>
      <c r="AA1117">
        <f t="shared" si="406"/>
        <v>24.224693996506964</v>
      </c>
      <c r="AB1117">
        <f t="shared" si="407"/>
        <v>0.68454698486994614</v>
      </c>
      <c r="AC1117">
        <f t="shared" si="408"/>
        <v>6000</v>
      </c>
      <c r="AD1117">
        <f t="shared" si="409"/>
        <v>6.3343667350574346</v>
      </c>
      <c r="AE1117">
        <f t="shared" si="410"/>
        <v>6.7446008511688529</v>
      </c>
      <c r="AF1117">
        <f t="shared" si="411"/>
        <v>6000</v>
      </c>
      <c r="AG1117">
        <f t="shared" si="412"/>
        <v>6.3343667350574346</v>
      </c>
      <c r="AH1117">
        <f t="shared" si="413"/>
        <v>6.7446008511688529</v>
      </c>
      <c r="AI1117" cm="1">
        <f t="array" ref="AI1117">_xlfn.LET(
    _xlpm.vals,   _xlfn.HSTACK(S1117,V1117,Y1117,AB1117,AE1117,AH1117),
    _xlpm.ints,   _xlfn.HSTACK(R1117,U1117,X1117,AA1117,AD1117,AG1117),
    _xlpm.slopes, _xlfn.HSTACK(Q1117,T1117,W1117,Z1117,AC1117,AF1117),
    _xlpm.limit,  -0.00001*_xlpm.slopes + 0.1086*_xlpm.slopes + 63.253,
    _xlpm.mask,   (_xlpm.vals&gt;=0) * (_xlpm.ints&lt;=_xlpm.limit),
    _xlpm.validVals, _xlfn._xlws.FILTER(_xlpm.vals, _xlpm.mask),
    _xlpm.minVal, MIN(_xlpm.validVals),
    IFERROR( _xlfn.XMATCH(_xlpm.minVal, _xlpm.vals), "" )
)</f>
        <v>4</v>
      </c>
      <c r="AJ1117" cm="1">
        <f t="array" ref="AJ1117">_xlfn.LET(
    _xlpm.vals, CHOOSE({1,2,3,4,5,6}, S1117, V1117, Y1117, AB1117, AE1117, AH1117),
    _xlpm.slopes, CHOOSE({1,2,3,4,5,6}, Q1117, T1117, W1117, Z1117, AC1117, AF1117),
    _xlpm.ints, CHOOSE({1,2,3,4,5,6}, R1117, U1117, X1117, AA1117, AD1117, AG1117),
    _xlpm.limit, -0.00001*_xlpm.slopes + 0.1086*_xlpm.slopes + 63.253,
    _xlpm.valid, (_xlpm.vals &gt;= 0) * (_xlpm.ints &lt;= _xlpm.limit),
    _xlpm.target, MIN(_xlfn._xlws.FILTER(_xlpm.vals, _xlpm.valid)),
    IFERROR(
        _xlfn.XLOOKUP(_xlpm.target, _xlpm.vals, _xlpm.vals),
        CHOOSE({1,2,3,4,5,6}, S$1, V$1, Y$1, AB$1, AE$1, AH$1)
    )
)</f>
        <v>0.68454698486994614</v>
      </c>
    </row>
    <row r="1118" spans="9:36" x14ac:dyDescent="0.45">
      <c r="I1118">
        <v>1116</v>
      </c>
      <c r="J1118">
        <v>25.5</v>
      </c>
      <c r="K1118">
        <f t="shared" si="392"/>
        <v>25.5</v>
      </c>
      <c r="L1118">
        <f t="shared" si="391"/>
        <v>7.083333333333333E-3</v>
      </c>
      <c r="M1118">
        <v>-1.38</v>
      </c>
      <c r="N1118">
        <f t="shared" si="393"/>
        <v>0</v>
      </c>
      <c r="O1118">
        <f t="shared" si="394"/>
        <v>331.37716107304522</v>
      </c>
      <c r="P1118">
        <f t="shared" si="395"/>
        <v>1060.4069154337446</v>
      </c>
      <c r="Q1118">
        <f t="shared" si="396"/>
        <v>4856.6636726865509</v>
      </c>
      <c r="R1118">
        <f t="shared" si="397"/>
        <v>0</v>
      </c>
      <c r="S1118">
        <f t="shared" si="398"/>
        <v>3.4541209443832424</v>
      </c>
      <c r="T1118">
        <f t="shared" si="399"/>
        <v>3138.8044696838842</v>
      </c>
      <c r="U1118">
        <f t="shared" si="400"/>
        <v>0</v>
      </c>
      <c r="V1118">
        <f t="shared" si="401"/>
        <v>1.0750508724906984</v>
      </c>
      <c r="W1118">
        <f t="shared" si="402"/>
        <v>2025.3772084784521</v>
      </c>
      <c r="X1118">
        <f t="shared" si="403"/>
        <v>0</v>
      </c>
      <c r="Y1118">
        <f t="shared" si="404"/>
        <v>0.53207704355062135</v>
      </c>
      <c r="Z1118">
        <f t="shared" si="405"/>
        <v>1526.9859582245922</v>
      </c>
      <c r="AA1118">
        <f t="shared" si="406"/>
        <v>0</v>
      </c>
      <c r="AB1118">
        <f t="shared" si="407"/>
        <v>0.414863025440873</v>
      </c>
      <c r="AC1118">
        <f t="shared" si="408"/>
        <v>6000</v>
      </c>
      <c r="AD1118">
        <f t="shared" si="409"/>
        <v>0</v>
      </c>
      <c r="AE1118">
        <f t="shared" si="410"/>
        <v>6.7000407999999982</v>
      </c>
      <c r="AF1118">
        <f t="shared" si="411"/>
        <v>6000</v>
      </c>
      <c r="AG1118">
        <f t="shared" si="412"/>
        <v>0</v>
      </c>
      <c r="AH1118">
        <f t="shared" si="413"/>
        <v>6.7000407999999982</v>
      </c>
      <c r="AI1118" cm="1">
        <f t="array" ref="AI1118">_xlfn.LET(
    _xlpm.vals,   _xlfn.HSTACK(S1118,V1118,Y1118,AB1118,AE1118,AH1118),
    _xlpm.ints,   _xlfn.HSTACK(R1118,U1118,X1118,AA1118,AD1118,AG1118),
    _xlpm.slopes, _xlfn.HSTACK(Q1118,T1118,W1118,Z1118,AC1118,AF1118),
    _xlpm.limit,  -0.00001*_xlpm.slopes + 0.1086*_xlpm.slopes + 63.253,
    _xlpm.mask,   (_xlpm.vals&gt;=0) * (_xlpm.ints&lt;=_xlpm.limit),
    _xlpm.validVals, _xlfn._xlws.FILTER(_xlpm.vals, _xlpm.mask),
    _xlpm.minVal, MIN(_xlpm.validVals),
    IFERROR( _xlfn.XMATCH(_xlpm.minVal, _xlpm.vals), "" )
)</f>
        <v>4</v>
      </c>
      <c r="AJ1118" cm="1">
        <f t="array" ref="AJ1118">_xlfn.LET(
    _xlpm.vals, CHOOSE({1,2,3,4,5,6}, S1118, V1118, Y1118, AB1118, AE1118, AH1118),
    _xlpm.slopes, CHOOSE({1,2,3,4,5,6}, Q1118, T1118, W1118, Z1118, AC1118, AF1118),
    _xlpm.ints, CHOOSE({1,2,3,4,5,6}, R1118, U1118, X1118, AA1118, AD1118, AG1118),
    _xlpm.limit, -0.00001*_xlpm.slopes + 0.1086*_xlpm.slopes + 63.253,
    _xlpm.valid, (_xlpm.vals &gt;= 0) * (_xlpm.ints &lt;= _xlpm.limit),
    _xlpm.target, MIN(_xlfn._xlws.FILTER(_xlpm.vals, _xlpm.valid)),
    IFERROR(
        _xlfn.XLOOKUP(_xlpm.target, _xlpm.vals, _xlpm.vals),
        CHOOSE({1,2,3,4,5,6}, S$1, V$1, Y$1, AB$1, AE$1, AH$1)
    )
)</f>
        <v>0.414863025440873</v>
      </c>
    </row>
    <row r="1119" spans="9:36" x14ac:dyDescent="0.45">
      <c r="I1119">
        <v>1117</v>
      </c>
      <c r="J1119">
        <v>24.6</v>
      </c>
      <c r="K1119">
        <f t="shared" si="392"/>
        <v>24.6</v>
      </c>
      <c r="L1119">
        <f t="shared" si="391"/>
        <v>6.8333333333333336E-3</v>
      </c>
      <c r="M1119">
        <v>-0.67</v>
      </c>
      <c r="N1119">
        <f t="shared" si="393"/>
        <v>0</v>
      </c>
      <c r="O1119">
        <f t="shared" si="394"/>
        <v>319.68149656458485</v>
      </c>
      <c r="P1119">
        <f t="shared" si="395"/>
        <v>1022.9807890066716</v>
      </c>
      <c r="Q1119">
        <f t="shared" si="396"/>
        <v>4685.2520136505555</v>
      </c>
      <c r="R1119">
        <f t="shared" si="397"/>
        <v>0</v>
      </c>
      <c r="S1119">
        <f t="shared" si="398"/>
        <v>3.0987911520133786</v>
      </c>
      <c r="T1119">
        <f t="shared" si="399"/>
        <v>3028.0231354597477</v>
      </c>
      <c r="U1119">
        <f t="shared" si="400"/>
        <v>0</v>
      </c>
      <c r="V1119">
        <f t="shared" si="401"/>
        <v>0.99560369685823491</v>
      </c>
      <c r="W1119">
        <f t="shared" si="402"/>
        <v>1953.8933070027426</v>
      </c>
      <c r="X1119">
        <f t="shared" si="403"/>
        <v>0</v>
      </c>
      <c r="Y1119">
        <f t="shared" si="404"/>
        <v>0.51222538185333732</v>
      </c>
      <c r="Z1119">
        <f t="shared" si="405"/>
        <v>1473.0923361696071</v>
      </c>
      <c r="AA1119">
        <f t="shared" si="406"/>
        <v>0</v>
      </c>
      <c r="AB1119">
        <f t="shared" si="407"/>
        <v>0.4044640566754486</v>
      </c>
      <c r="AC1119">
        <f t="shared" si="408"/>
        <v>6000</v>
      </c>
      <c r="AD1119">
        <f t="shared" si="409"/>
        <v>0</v>
      </c>
      <c r="AE1119">
        <f t="shared" si="410"/>
        <v>6.7000407999999982</v>
      </c>
      <c r="AF1119">
        <f t="shared" si="411"/>
        <v>6000</v>
      </c>
      <c r="AG1119">
        <f t="shared" si="412"/>
        <v>0</v>
      </c>
      <c r="AH1119">
        <f t="shared" si="413"/>
        <v>6.7000407999999982</v>
      </c>
      <c r="AI1119" cm="1">
        <f t="array" ref="AI1119">_xlfn.LET(
    _xlpm.vals,   _xlfn.HSTACK(S1119,V1119,Y1119,AB1119,AE1119,AH1119),
    _xlpm.ints,   _xlfn.HSTACK(R1119,U1119,X1119,AA1119,AD1119,AG1119),
    _xlpm.slopes, _xlfn.HSTACK(Q1119,T1119,W1119,Z1119,AC1119,AF1119),
    _xlpm.limit,  -0.00001*_xlpm.slopes + 0.1086*_xlpm.slopes + 63.253,
    _xlpm.mask,   (_xlpm.vals&gt;=0) * (_xlpm.ints&lt;=_xlpm.limit),
    _xlpm.validVals, _xlfn._xlws.FILTER(_xlpm.vals, _xlpm.mask),
    _xlpm.minVal, MIN(_xlpm.validVals),
    IFERROR( _xlfn.XMATCH(_xlpm.minVal, _xlpm.vals), "" )
)</f>
        <v>4</v>
      </c>
      <c r="AJ1119" cm="1">
        <f t="array" ref="AJ1119">_xlfn.LET(
    _xlpm.vals, CHOOSE({1,2,3,4,5,6}, S1119, V1119, Y1119, AB1119, AE1119, AH1119),
    _xlpm.slopes, CHOOSE({1,2,3,4,5,6}, Q1119, T1119, W1119, Z1119, AC1119, AF1119),
    _xlpm.ints, CHOOSE({1,2,3,4,5,6}, R1119, U1119, X1119, AA1119, AD1119, AG1119),
    _xlpm.limit, -0.00001*_xlpm.slopes + 0.1086*_xlpm.slopes + 63.253,
    _xlpm.valid, (_xlpm.vals &gt;= 0) * (_xlpm.ints &lt;= _xlpm.limit),
    _xlpm.target, MIN(_xlfn._xlws.FILTER(_xlpm.vals, _xlpm.valid)),
    IFERROR(
        _xlfn.XLOOKUP(_xlpm.target, _xlpm.vals, _xlpm.vals),
        CHOOSE({1,2,3,4,5,6}, S$1, V$1, Y$1, AB$1, AE$1, AH$1)
    )
)</f>
        <v>0.4044640566754486</v>
      </c>
    </row>
    <row r="1120" spans="9:36" x14ac:dyDescent="0.45">
      <c r="I1120">
        <v>1118</v>
      </c>
      <c r="J1120">
        <v>23.2</v>
      </c>
      <c r="K1120">
        <f t="shared" si="392"/>
        <v>23.2</v>
      </c>
      <c r="L1120">
        <f t="shared" si="391"/>
        <v>6.4444444444444445E-3</v>
      </c>
      <c r="M1120">
        <v>-0.68</v>
      </c>
      <c r="N1120">
        <f t="shared" si="393"/>
        <v>0</v>
      </c>
      <c r="O1120">
        <f t="shared" si="394"/>
        <v>301.4882406625353</v>
      </c>
      <c r="P1120">
        <f t="shared" si="395"/>
        <v>964.76237012011302</v>
      </c>
      <c r="Q1120">
        <f t="shared" si="396"/>
        <v>4418.6116551501173</v>
      </c>
      <c r="R1120">
        <f t="shared" si="397"/>
        <v>0</v>
      </c>
      <c r="S1120">
        <f t="shared" si="398"/>
        <v>2.6052194980522261</v>
      </c>
      <c r="T1120">
        <f t="shared" si="399"/>
        <v>2855.6966155555347</v>
      </c>
      <c r="U1120">
        <f t="shared" si="400"/>
        <v>0</v>
      </c>
      <c r="V1120">
        <f t="shared" si="401"/>
        <v>0.8851356977664937</v>
      </c>
      <c r="W1120">
        <f t="shared" si="402"/>
        <v>1842.6961269294159</v>
      </c>
      <c r="X1120">
        <f t="shared" si="403"/>
        <v>0</v>
      </c>
      <c r="Y1120">
        <f t="shared" si="404"/>
        <v>0.48367709876966503</v>
      </c>
      <c r="Z1120">
        <f t="shared" si="405"/>
        <v>1389.2578129729627</v>
      </c>
      <c r="AA1120">
        <f t="shared" si="406"/>
        <v>0</v>
      </c>
      <c r="AB1120">
        <f t="shared" si="407"/>
        <v>0.388817268645472</v>
      </c>
      <c r="AC1120">
        <f t="shared" si="408"/>
        <v>6000</v>
      </c>
      <c r="AD1120">
        <f t="shared" si="409"/>
        <v>0</v>
      </c>
      <c r="AE1120">
        <f t="shared" si="410"/>
        <v>6.7000407999999982</v>
      </c>
      <c r="AF1120">
        <f t="shared" si="411"/>
        <v>6000</v>
      </c>
      <c r="AG1120">
        <f t="shared" si="412"/>
        <v>0</v>
      </c>
      <c r="AH1120">
        <f t="shared" si="413"/>
        <v>6.7000407999999982</v>
      </c>
      <c r="AI1120" cm="1">
        <f t="array" ref="AI1120">_xlfn.LET(
    _xlpm.vals,   _xlfn.HSTACK(S1120,V1120,Y1120,AB1120,AE1120,AH1120),
    _xlpm.ints,   _xlfn.HSTACK(R1120,U1120,X1120,AA1120,AD1120,AG1120),
    _xlpm.slopes, _xlfn.HSTACK(Q1120,T1120,W1120,Z1120,AC1120,AF1120),
    _xlpm.limit,  -0.00001*_xlpm.slopes + 0.1086*_xlpm.slopes + 63.253,
    _xlpm.mask,   (_xlpm.vals&gt;=0) * (_xlpm.ints&lt;=_xlpm.limit),
    _xlpm.validVals, _xlfn._xlws.FILTER(_xlpm.vals, _xlpm.mask),
    _xlpm.minVal, MIN(_xlpm.validVals),
    IFERROR( _xlfn.XMATCH(_xlpm.minVal, _xlpm.vals), "" )
)</f>
        <v>4</v>
      </c>
      <c r="AJ1120" cm="1">
        <f t="array" ref="AJ1120">_xlfn.LET(
    _xlpm.vals, CHOOSE({1,2,3,4,5,6}, S1120, V1120, Y1120, AB1120, AE1120, AH1120),
    _xlpm.slopes, CHOOSE({1,2,3,4,5,6}, Q1120, T1120, W1120, Z1120, AC1120, AF1120),
    _xlpm.ints, CHOOSE({1,2,3,4,5,6}, R1120, U1120, X1120, AA1120, AD1120, AG1120),
    _xlpm.limit, -0.00001*_xlpm.slopes + 0.1086*_xlpm.slopes + 63.253,
    _xlpm.valid, (_xlpm.vals &gt;= 0) * (_xlpm.ints &lt;= _xlpm.limit),
    _xlpm.target, MIN(_xlfn._xlws.FILTER(_xlpm.vals, _xlpm.valid)),
    IFERROR(
        _xlfn.XLOOKUP(_xlpm.target, _xlpm.vals, _xlpm.vals),
        CHOOSE({1,2,3,4,5,6}, S$1, V$1, Y$1, AB$1, AE$1, AH$1)
    )
)</f>
        <v>0.388817268645472</v>
      </c>
    </row>
    <row r="1121" spans="9:36" x14ac:dyDescent="0.45">
      <c r="I1121">
        <v>1119</v>
      </c>
      <c r="J1121">
        <v>21.6</v>
      </c>
      <c r="K1121">
        <f t="shared" si="392"/>
        <v>21.6</v>
      </c>
      <c r="L1121">
        <f t="shared" si="391"/>
        <v>6.0000000000000001E-3</v>
      </c>
      <c r="M1121">
        <v>-0.04</v>
      </c>
      <c r="N1121">
        <f t="shared" si="393"/>
        <v>0</v>
      </c>
      <c r="O1121">
        <f t="shared" si="394"/>
        <v>280.69594820305008</v>
      </c>
      <c r="P1121">
        <f t="shared" si="395"/>
        <v>898.22703424976032</v>
      </c>
      <c r="Q1121">
        <f t="shared" si="396"/>
        <v>4113.8798168639023</v>
      </c>
      <c r="R1121">
        <f t="shared" si="397"/>
        <v>0</v>
      </c>
      <c r="S1121">
        <f t="shared" si="398"/>
        <v>2.1231068749461448</v>
      </c>
      <c r="T1121">
        <f t="shared" si="399"/>
        <v>2658.7520213792905</v>
      </c>
      <c r="U1121">
        <f t="shared" si="400"/>
        <v>0</v>
      </c>
      <c r="V1121">
        <f t="shared" si="401"/>
        <v>0.77675870666282942</v>
      </c>
      <c r="W1121">
        <f t="shared" si="402"/>
        <v>1715.6136354170421</v>
      </c>
      <c r="X1121">
        <f t="shared" si="403"/>
        <v>0</v>
      </c>
      <c r="Y1121">
        <f t="shared" si="404"/>
        <v>0.45407540490358178</v>
      </c>
      <c r="Z1121">
        <f t="shared" si="405"/>
        <v>1293.4469293196548</v>
      </c>
      <c r="AA1121">
        <f t="shared" si="406"/>
        <v>0</v>
      </c>
      <c r="AB1121">
        <f t="shared" si="407"/>
        <v>0.37153089745921197</v>
      </c>
      <c r="AC1121">
        <f t="shared" si="408"/>
        <v>6000</v>
      </c>
      <c r="AD1121">
        <f t="shared" si="409"/>
        <v>0</v>
      </c>
      <c r="AE1121">
        <f t="shared" si="410"/>
        <v>6.7000407999999982</v>
      </c>
      <c r="AF1121">
        <f t="shared" si="411"/>
        <v>6000</v>
      </c>
      <c r="AG1121">
        <f t="shared" si="412"/>
        <v>0</v>
      </c>
      <c r="AH1121">
        <f t="shared" si="413"/>
        <v>6.7000407999999982</v>
      </c>
      <c r="AI1121" cm="1">
        <f t="array" ref="AI1121">_xlfn.LET(
    _xlpm.vals,   _xlfn.HSTACK(S1121,V1121,Y1121,AB1121,AE1121,AH1121),
    _xlpm.ints,   _xlfn.HSTACK(R1121,U1121,X1121,AA1121,AD1121,AG1121),
    _xlpm.slopes, _xlfn.HSTACK(Q1121,T1121,W1121,Z1121,AC1121,AF1121),
    _xlpm.limit,  -0.00001*_xlpm.slopes + 0.1086*_xlpm.slopes + 63.253,
    _xlpm.mask,   (_xlpm.vals&gt;=0) * (_xlpm.ints&lt;=_xlpm.limit),
    _xlpm.validVals, _xlfn._xlws.FILTER(_xlpm.vals, _xlpm.mask),
    _xlpm.minVal, MIN(_xlpm.validVals),
    IFERROR( _xlfn.XMATCH(_xlpm.minVal, _xlpm.vals), "" )
)</f>
        <v>4</v>
      </c>
      <c r="AJ1121" cm="1">
        <f t="array" ref="AJ1121">_xlfn.LET(
    _xlpm.vals, CHOOSE({1,2,3,4,5,6}, S1121, V1121, Y1121, AB1121, AE1121, AH1121),
    _xlpm.slopes, CHOOSE({1,2,3,4,5,6}, Q1121, T1121, W1121, Z1121, AC1121, AF1121),
    _xlpm.ints, CHOOSE({1,2,3,4,5,6}, R1121, U1121, X1121, AA1121, AD1121, AG1121),
    _xlpm.limit, -0.00001*_xlpm.slopes + 0.1086*_xlpm.slopes + 63.253,
    _xlpm.valid, (_xlpm.vals &gt;= 0) * (_xlpm.ints &lt;= _xlpm.limit),
    _xlpm.target, MIN(_xlfn._xlws.FILTER(_xlpm.vals, _xlpm.valid)),
    IFERROR(
        _xlfn.XLOOKUP(_xlpm.target, _xlpm.vals, _xlpm.vals),
        CHOOSE({1,2,3,4,5,6}, S$1, V$1, Y$1, AB$1, AE$1, AH$1)
    )
)</f>
        <v>0.37153089745921197</v>
      </c>
    </row>
    <row r="1122" spans="9:36" x14ac:dyDescent="0.45">
      <c r="I1122">
        <v>1120</v>
      </c>
      <c r="J1122">
        <v>19.8</v>
      </c>
      <c r="K1122">
        <f t="shared" si="392"/>
        <v>19.8</v>
      </c>
      <c r="L1122">
        <f t="shared" si="391"/>
        <v>5.5000000000000005E-3</v>
      </c>
      <c r="M1122">
        <v>-0.3</v>
      </c>
      <c r="N1122">
        <f t="shared" si="393"/>
        <v>0</v>
      </c>
      <c r="O1122">
        <f t="shared" si="394"/>
        <v>257.30461918612929</v>
      </c>
      <c r="P1122">
        <f t="shared" si="395"/>
        <v>823.37478139561381</v>
      </c>
      <c r="Q1122">
        <f t="shared" si="396"/>
        <v>3771.0564987919115</v>
      </c>
      <c r="R1122">
        <f t="shared" si="397"/>
        <v>0</v>
      </c>
      <c r="S1122">
        <f t="shared" si="398"/>
        <v>1.6754727048305758</v>
      </c>
      <c r="T1122">
        <f t="shared" si="399"/>
        <v>2437.1893529310169</v>
      </c>
      <c r="U1122">
        <f t="shared" si="400"/>
        <v>0</v>
      </c>
      <c r="V1122">
        <f t="shared" si="401"/>
        <v>0.67498466350194919</v>
      </c>
      <c r="W1122">
        <f t="shared" si="402"/>
        <v>1572.6458324656223</v>
      </c>
      <c r="X1122">
        <f t="shared" si="403"/>
        <v>0</v>
      </c>
      <c r="Y1122">
        <f t="shared" si="404"/>
        <v>0.42392179556804654</v>
      </c>
      <c r="Z1122">
        <f t="shared" si="405"/>
        <v>1185.6596852096839</v>
      </c>
      <c r="AA1122">
        <f t="shared" si="406"/>
        <v>0</v>
      </c>
      <c r="AB1122">
        <f t="shared" si="407"/>
        <v>0.35253960672507922</v>
      </c>
      <c r="AC1122">
        <f t="shared" si="408"/>
        <v>6000</v>
      </c>
      <c r="AD1122">
        <f t="shared" si="409"/>
        <v>0</v>
      </c>
      <c r="AE1122">
        <f t="shared" si="410"/>
        <v>6.7000407999999982</v>
      </c>
      <c r="AF1122">
        <f t="shared" si="411"/>
        <v>6000</v>
      </c>
      <c r="AG1122">
        <f t="shared" si="412"/>
        <v>0</v>
      </c>
      <c r="AH1122">
        <f t="shared" si="413"/>
        <v>6.7000407999999982</v>
      </c>
      <c r="AI1122" cm="1">
        <f t="array" ref="AI1122">_xlfn.LET(
    _xlpm.vals,   _xlfn.HSTACK(S1122,V1122,Y1122,AB1122,AE1122,AH1122),
    _xlpm.ints,   _xlfn.HSTACK(R1122,U1122,X1122,AA1122,AD1122,AG1122),
    _xlpm.slopes, _xlfn.HSTACK(Q1122,T1122,W1122,Z1122,AC1122,AF1122),
    _xlpm.limit,  -0.00001*_xlpm.slopes + 0.1086*_xlpm.slopes + 63.253,
    _xlpm.mask,   (_xlpm.vals&gt;=0) * (_xlpm.ints&lt;=_xlpm.limit),
    _xlpm.validVals, _xlfn._xlws.FILTER(_xlpm.vals, _xlpm.mask),
    _xlpm.minVal, MIN(_xlpm.validVals),
    IFERROR( _xlfn.XMATCH(_xlpm.minVal, _xlpm.vals), "" )
)</f>
        <v>4</v>
      </c>
      <c r="AJ1122" cm="1">
        <f t="array" ref="AJ1122">_xlfn.LET(
    _xlpm.vals, CHOOSE({1,2,3,4,5,6}, S1122, V1122, Y1122, AB1122, AE1122, AH1122),
    _xlpm.slopes, CHOOSE({1,2,3,4,5,6}, Q1122, T1122, W1122, Z1122, AC1122, AF1122),
    _xlpm.ints, CHOOSE({1,2,3,4,5,6}, R1122, U1122, X1122, AA1122, AD1122, AG1122),
    _xlpm.limit, -0.00001*_xlpm.slopes + 0.1086*_xlpm.slopes + 63.253,
    _xlpm.valid, (_xlpm.vals &gt;= 0) * (_xlpm.ints &lt;= _xlpm.limit),
    _xlpm.target, MIN(_xlfn._xlws.FILTER(_xlpm.vals, _xlpm.valid)),
    IFERROR(
        _xlfn.XLOOKUP(_xlpm.target, _xlpm.vals, _xlpm.vals),
        CHOOSE({1,2,3,4,5,6}, S$1, V$1, Y$1, AB$1, AE$1, AH$1)
    )
)</f>
        <v>0.35253960672507922</v>
      </c>
    </row>
    <row r="1123" spans="9:36" x14ac:dyDescent="0.45">
      <c r="I1123">
        <v>1121</v>
      </c>
      <c r="J1123">
        <v>17.3</v>
      </c>
      <c r="K1123">
        <f t="shared" si="392"/>
        <v>17.3</v>
      </c>
      <c r="L1123">
        <f t="shared" si="391"/>
        <v>4.805555555555556E-3</v>
      </c>
      <c r="M1123">
        <v>-0.19</v>
      </c>
      <c r="N1123">
        <f t="shared" si="393"/>
        <v>0</v>
      </c>
      <c r="O1123">
        <f t="shared" si="394"/>
        <v>224.81666221818367</v>
      </c>
      <c r="P1123">
        <f t="shared" si="395"/>
        <v>719.4133190981878</v>
      </c>
      <c r="Q1123">
        <f t="shared" si="396"/>
        <v>3294.9130014697002</v>
      </c>
      <c r="R1123">
        <f t="shared" si="397"/>
        <v>0</v>
      </c>
      <c r="S1123">
        <f t="shared" si="398"/>
        <v>1.1990867773506262</v>
      </c>
      <c r="T1123">
        <f t="shared" si="399"/>
        <v>2129.4634245306361</v>
      </c>
      <c r="U1123">
        <f t="shared" si="400"/>
        <v>0</v>
      </c>
      <c r="V1123">
        <f t="shared" si="401"/>
        <v>0.56333284138450934</v>
      </c>
      <c r="W1123">
        <f t="shared" si="402"/>
        <v>1374.0794394775387</v>
      </c>
      <c r="X1123">
        <f t="shared" si="403"/>
        <v>0</v>
      </c>
      <c r="Y1123">
        <f t="shared" si="404"/>
        <v>0.38604223618451328</v>
      </c>
      <c r="Z1123">
        <f t="shared" si="405"/>
        <v>1035.9551795013904</v>
      </c>
      <c r="AA1123">
        <f t="shared" si="406"/>
        <v>0</v>
      </c>
      <c r="AB1123">
        <f t="shared" si="407"/>
        <v>0.32630807136408468</v>
      </c>
      <c r="AC1123">
        <f t="shared" si="408"/>
        <v>6000</v>
      </c>
      <c r="AD1123">
        <f t="shared" si="409"/>
        <v>0</v>
      </c>
      <c r="AE1123">
        <f t="shared" si="410"/>
        <v>6.7000407999999982</v>
      </c>
      <c r="AF1123">
        <f t="shared" si="411"/>
        <v>6000</v>
      </c>
      <c r="AG1123">
        <f t="shared" si="412"/>
        <v>0</v>
      </c>
      <c r="AH1123">
        <f t="shared" si="413"/>
        <v>6.7000407999999982</v>
      </c>
      <c r="AI1123" cm="1">
        <f t="array" ref="AI1123">_xlfn.LET(
    _xlpm.vals,   _xlfn.HSTACK(S1123,V1123,Y1123,AB1123,AE1123,AH1123),
    _xlpm.ints,   _xlfn.HSTACK(R1123,U1123,X1123,AA1123,AD1123,AG1123),
    _xlpm.slopes, _xlfn.HSTACK(Q1123,T1123,W1123,Z1123,AC1123,AF1123),
    _xlpm.limit,  -0.00001*_xlpm.slopes + 0.1086*_xlpm.slopes + 63.253,
    _xlpm.mask,   (_xlpm.vals&gt;=0) * (_xlpm.ints&lt;=_xlpm.limit),
    _xlpm.validVals, _xlfn._xlws.FILTER(_xlpm.vals, _xlpm.mask),
    _xlpm.minVal, MIN(_xlpm.validVals),
    IFERROR( _xlfn.XMATCH(_xlpm.minVal, _xlpm.vals), "" )
)</f>
        <v>4</v>
      </c>
      <c r="AJ1123" cm="1">
        <f t="array" ref="AJ1123">_xlfn.LET(
    _xlpm.vals, CHOOSE({1,2,3,4,5,6}, S1123, V1123, Y1123, AB1123, AE1123, AH1123),
    _xlpm.slopes, CHOOSE({1,2,3,4,5,6}, Q1123, T1123, W1123, Z1123, AC1123, AF1123),
    _xlpm.ints, CHOOSE({1,2,3,4,5,6}, R1123, U1123, X1123, AA1123, AD1123, AG1123),
    _xlpm.limit, -0.00001*_xlpm.slopes + 0.1086*_xlpm.slopes + 63.253,
    _xlpm.valid, (_xlpm.vals &gt;= 0) * (_xlpm.ints &lt;= _xlpm.limit),
    _xlpm.target, MIN(_xlfn._xlws.FILTER(_xlpm.vals, _xlpm.valid)),
    IFERROR(
        _xlfn.XLOOKUP(_xlpm.target, _xlpm.vals, _xlpm.vals),
        CHOOSE({1,2,3,4,5,6}, S$1, V$1, Y$1, AB$1, AE$1, AH$1)
    )
)</f>
        <v>0.32630807136408468</v>
      </c>
    </row>
    <row r="1124" spans="9:36" x14ac:dyDescent="0.45">
      <c r="I1124">
        <v>1122</v>
      </c>
      <c r="J1124">
        <v>15.8</v>
      </c>
      <c r="K1124">
        <f t="shared" si="392"/>
        <v>15.8</v>
      </c>
      <c r="L1124">
        <f t="shared" si="391"/>
        <v>4.3888888888888892E-3</v>
      </c>
      <c r="M1124">
        <v>0.28000000000000003</v>
      </c>
      <c r="N1124">
        <f t="shared" si="393"/>
        <v>0.28000000000000003</v>
      </c>
      <c r="O1124">
        <f t="shared" si="394"/>
        <v>205.32388803741628</v>
      </c>
      <c r="P1124">
        <f t="shared" si="395"/>
        <v>657.03644171973212</v>
      </c>
      <c r="Q1124">
        <f t="shared" si="396"/>
        <v>3009.2269030763732</v>
      </c>
      <c r="R1124">
        <f t="shared" si="397"/>
        <v>0.88853487293044497</v>
      </c>
      <c r="S1124">
        <f t="shared" si="398"/>
        <v>0.99525174259488469</v>
      </c>
      <c r="T1124">
        <f t="shared" si="399"/>
        <v>1944.827867490407</v>
      </c>
      <c r="U1124">
        <f t="shared" si="400"/>
        <v>1.374827607439675</v>
      </c>
      <c r="V1124">
        <f t="shared" si="401"/>
        <v>0.52496147542096794</v>
      </c>
      <c r="W1124">
        <f t="shared" si="402"/>
        <v>1254.9396036846883</v>
      </c>
      <c r="X1124">
        <f t="shared" si="403"/>
        <v>2.1306228890164598</v>
      </c>
      <c r="Y1124">
        <f t="shared" si="404"/>
        <v>0.3806453342272681</v>
      </c>
      <c r="Z1124">
        <f t="shared" si="405"/>
        <v>6000</v>
      </c>
      <c r="AA1124">
        <f t="shared" si="406"/>
        <v>0.44563384065730699</v>
      </c>
      <c r="AB1124">
        <f t="shared" si="407"/>
        <v>6.7027427699322439</v>
      </c>
      <c r="AC1124">
        <f t="shared" si="408"/>
        <v>6000</v>
      </c>
      <c r="AD1124">
        <f t="shared" si="409"/>
        <v>0.44563384065730699</v>
      </c>
      <c r="AE1124">
        <f t="shared" si="410"/>
        <v>6.7027427699322439</v>
      </c>
      <c r="AF1124">
        <f t="shared" si="411"/>
        <v>6000</v>
      </c>
      <c r="AG1124">
        <f t="shared" si="412"/>
        <v>0.44563384065730699</v>
      </c>
      <c r="AH1124">
        <f t="shared" si="413"/>
        <v>6.7027427699322439</v>
      </c>
      <c r="AI1124" cm="1">
        <f t="array" ref="AI1124">_xlfn.LET(
    _xlpm.vals,   _xlfn.HSTACK(S1124,V1124,Y1124,AB1124,AE1124,AH1124),
    _xlpm.ints,   _xlfn.HSTACK(R1124,U1124,X1124,AA1124,AD1124,AG1124),
    _xlpm.slopes, _xlfn.HSTACK(Q1124,T1124,W1124,Z1124,AC1124,AF1124),
    _xlpm.limit,  -0.00001*_xlpm.slopes + 0.1086*_xlpm.slopes + 63.253,
    _xlpm.mask,   (_xlpm.vals&gt;=0) * (_xlpm.ints&lt;=_xlpm.limit),
    _xlpm.validVals, _xlfn._xlws.FILTER(_xlpm.vals, _xlpm.mask),
    _xlpm.minVal, MIN(_xlpm.validVals),
    IFERROR( _xlfn.XMATCH(_xlpm.minVal, _xlpm.vals), "" )
)</f>
        <v>3</v>
      </c>
      <c r="AJ1124" cm="1">
        <f t="array" ref="AJ1124">_xlfn.LET(
    _xlpm.vals, CHOOSE({1,2,3,4,5,6}, S1124, V1124, Y1124, AB1124, AE1124, AH1124),
    _xlpm.slopes, CHOOSE({1,2,3,4,5,6}, Q1124, T1124, W1124, Z1124, AC1124, AF1124),
    _xlpm.ints, CHOOSE({1,2,3,4,5,6}, R1124, U1124, X1124, AA1124, AD1124, AG1124),
    _xlpm.limit, -0.00001*_xlpm.slopes + 0.1086*_xlpm.slopes + 63.253,
    _xlpm.valid, (_xlpm.vals &gt;= 0) * (_xlpm.ints &lt;= _xlpm.limit),
    _xlpm.target, MIN(_xlfn._xlws.FILTER(_xlpm.vals, _xlpm.valid)),
    IFERROR(
        _xlfn.XLOOKUP(_xlpm.target, _xlpm.vals, _xlpm.vals),
        CHOOSE({1,2,3,4,5,6}, S$1, V$1, Y$1, AB$1, AE$1, AH$1)
    )
)</f>
        <v>0.3806453342272681</v>
      </c>
    </row>
    <row r="1125" spans="9:36" x14ac:dyDescent="0.45">
      <c r="I1125">
        <v>1123</v>
      </c>
      <c r="J1125">
        <v>13.4</v>
      </c>
      <c r="K1125">
        <f t="shared" si="392"/>
        <v>13.4</v>
      </c>
      <c r="L1125">
        <f t="shared" si="391"/>
        <v>3.7222222222222223E-3</v>
      </c>
      <c r="M1125">
        <v>-0.16</v>
      </c>
      <c r="N1125">
        <f t="shared" si="393"/>
        <v>0</v>
      </c>
      <c r="O1125">
        <f t="shared" si="394"/>
        <v>174.1354493481885</v>
      </c>
      <c r="P1125">
        <f t="shared" si="395"/>
        <v>557.23343791420325</v>
      </c>
      <c r="Q1125">
        <f t="shared" si="396"/>
        <v>2552.1291456470508</v>
      </c>
      <c r="R1125">
        <f t="shared" si="397"/>
        <v>0</v>
      </c>
      <c r="S1125">
        <f t="shared" si="398"/>
        <v>0.72529775910326577</v>
      </c>
      <c r="T1125">
        <f t="shared" si="399"/>
        <v>1649.4109762260416</v>
      </c>
      <c r="U1125">
        <f t="shared" si="400"/>
        <v>0</v>
      </c>
      <c r="V1125">
        <f t="shared" si="401"/>
        <v>0.43974534433735701</v>
      </c>
      <c r="W1125">
        <f t="shared" si="402"/>
        <v>1064.3158664161281</v>
      </c>
      <c r="X1125">
        <f t="shared" si="403"/>
        <v>0</v>
      </c>
      <c r="Y1125">
        <f t="shared" si="404"/>
        <v>0.33130247535160773</v>
      </c>
      <c r="Z1125">
        <f t="shared" si="405"/>
        <v>6000</v>
      </c>
      <c r="AA1125">
        <f t="shared" si="406"/>
        <v>0</v>
      </c>
      <c r="AB1125">
        <f t="shared" si="407"/>
        <v>6.7000407999999982</v>
      </c>
      <c r="AC1125">
        <f t="shared" si="408"/>
        <v>6000</v>
      </c>
      <c r="AD1125">
        <f t="shared" si="409"/>
        <v>0</v>
      </c>
      <c r="AE1125">
        <f t="shared" si="410"/>
        <v>6.7000407999999982</v>
      </c>
      <c r="AF1125">
        <f t="shared" si="411"/>
        <v>6000</v>
      </c>
      <c r="AG1125">
        <f t="shared" si="412"/>
        <v>0</v>
      </c>
      <c r="AH1125">
        <f t="shared" si="413"/>
        <v>6.7000407999999982</v>
      </c>
      <c r="AI1125" cm="1">
        <f t="array" ref="AI1125">_xlfn.LET(
    _xlpm.vals,   _xlfn.HSTACK(S1125,V1125,Y1125,AB1125,AE1125,AH1125),
    _xlpm.ints,   _xlfn.HSTACK(R1125,U1125,X1125,AA1125,AD1125,AG1125),
    _xlpm.slopes, _xlfn.HSTACK(Q1125,T1125,W1125,Z1125,AC1125,AF1125),
    _xlpm.limit,  -0.00001*_xlpm.slopes + 0.1086*_xlpm.slopes + 63.253,
    _xlpm.mask,   (_xlpm.vals&gt;=0) * (_xlpm.ints&lt;=_xlpm.limit),
    _xlpm.validVals, _xlfn._xlws.FILTER(_xlpm.vals, _xlpm.mask),
    _xlpm.minVal, MIN(_xlpm.validVals),
    IFERROR( _xlfn.XMATCH(_xlpm.minVal, _xlpm.vals), "" )
)</f>
        <v>3</v>
      </c>
      <c r="AJ1125" cm="1">
        <f t="array" ref="AJ1125">_xlfn.LET(
    _xlpm.vals, CHOOSE({1,2,3,4,5,6}, S1125, V1125, Y1125, AB1125, AE1125, AH1125),
    _xlpm.slopes, CHOOSE({1,2,3,4,5,6}, Q1125, T1125, W1125, Z1125, AC1125, AF1125),
    _xlpm.ints, CHOOSE({1,2,3,4,5,6}, R1125, U1125, X1125, AA1125, AD1125, AG1125),
    _xlpm.limit, -0.00001*_xlpm.slopes + 0.1086*_xlpm.slopes + 63.253,
    _xlpm.valid, (_xlpm.vals &gt;= 0) * (_xlpm.ints &lt;= _xlpm.limit),
    _xlpm.target, MIN(_xlfn._xlws.FILTER(_xlpm.vals, _xlpm.valid)),
    IFERROR(
        _xlfn.XLOOKUP(_xlpm.target, _xlpm.vals, _xlpm.vals),
        CHOOSE({1,2,3,4,5,6}, S$1, V$1, Y$1, AB$1, AE$1, AH$1)
    )
)</f>
        <v>0.33130247535160773</v>
      </c>
    </row>
    <row r="1126" spans="9:36" x14ac:dyDescent="0.45">
      <c r="I1126">
        <v>1124</v>
      </c>
      <c r="J1126">
        <v>10.4</v>
      </c>
      <c r="K1126">
        <f t="shared" si="392"/>
        <v>10.4</v>
      </c>
      <c r="L1126">
        <f t="shared" si="391"/>
        <v>2.8888888888888892E-3</v>
      </c>
      <c r="M1126">
        <v>-0.02</v>
      </c>
      <c r="N1126">
        <f t="shared" si="393"/>
        <v>0</v>
      </c>
      <c r="O1126">
        <f t="shared" si="394"/>
        <v>135.14990098665376</v>
      </c>
      <c r="P1126">
        <f t="shared" si="395"/>
        <v>432.47968315729207</v>
      </c>
      <c r="Q1126">
        <f t="shared" si="396"/>
        <v>1980.7569488603976</v>
      </c>
      <c r="R1126">
        <f t="shared" si="397"/>
        <v>0</v>
      </c>
      <c r="S1126">
        <f t="shared" si="398"/>
        <v>0.51954005780631896</v>
      </c>
      <c r="T1126">
        <f t="shared" si="399"/>
        <v>1280.1398621455846</v>
      </c>
      <c r="U1126">
        <f t="shared" si="400"/>
        <v>0</v>
      </c>
      <c r="V1126">
        <f t="shared" si="401"/>
        <v>0.36916677944796156</v>
      </c>
      <c r="W1126">
        <f t="shared" si="402"/>
        <v>6000</v>
      </c>
      <c r="X1126">
        <f t="shared" si="403"/>
        <v>0</v>
      </c>
      <c r="Y1126">
        <f t="shared" si="404"/>
        <v>6.7000407999999982</v>
      </c>
      <c r="Z1126">
        <f t="shared" si="405"/>
        <v>6000</v>
      </c>
      <c r="AA1126">
        <f t="shared" si="406"/>
        <v>0</v>
      </c>
      <c r="AB1126">
        <f t="shared" si="407"/>
        <v>6.7000407999999982</v>
      </c>
      <c r="AC1126">
        <f t="shared" si="408"/>
        <v>6000</v>
      </c>
      <c r="AD1126">
        <f t="shared" si="409"/>
        <v>0</v>
      </c>
      <c r="AE1126">
        <f t="shared" si="410"/>
        <v>6.7000407999999982</v>
      </c>
      <c r="AF1126">
        <f t="shared" si="411"/>
        <v>6000</v>
      </c>
      <c r="AG1126">
        <f t="shared" si="412"/>
        <v>0</v>
      </c>
      <c r="AH1126">
        <f t="shared" si="413"/>
        <v>6.7000407999999982</v>
      </c>
      <c r="AI1126" cm="1">
        <f t="array" ref="AI1126">_xlfn.LET(
    _xlpm.vals,   _xlfn.HSTACK(S1126,V1126,Y1126,AB1126,AE1126,AH1126),
    _xlpm.ints,   _xlfn.HSTACK(R1126,U1126,X1126,AA1126,AD1126,AG1126),
    _xlpm.slopes, _xlfn.HSTACK(Q1126,T1126,W1126,Z1126,AC1126,AF1126),
    _xlpm.limit,  -0.00001*_xlpm.slopes + 0.1086*_xlpm.slopes + 63.253,
    _xlpm.mask,   (_xlpm.vals&gt;=0) * (_xlpm.ints&lt;=_xlpm.limit),
    _xlpm.validVals, _xlfn._xlws.FILTER(_xlpm.vals, _xlpm.mask),
    _xlpm.minVal, MIN(_xlpm.validVals),
    IFERROR( _xlfn.XMATCH(_xlpm.minVal, _xlpm.vals), "" )
)</f>
        <v>2</v>
      </c>
      <c r="AJ1126" cm="1">
        <f t="array" ref="AJ1126">_xlfn.LET(
    _xlpm.vals, CHOOSE({1,2,3,4,5,6}, S1126, V1126, Y1126, AB1126, AE1126, AH1126),
    _xlpm.slopes, CHOOSE({1,2,3,4,5,6}, Q1126, T1126, W1126, Z1126, AC1126, AF1126),
    _xlpm.ints, CHOOSE({1,2,3,4,5,6}, R1126, U1126, X1126, AA1126, AD1126, AG1126),
    _xlpm.limit, -0.00001*_xlpm.slopes + 0.1086*_xlpm.slopes + 63.253,
    _xlpm.valid, (_xlpm.vals &gt;= 0) * (_xlpm.ints &lt;= _xlpm.limit),
    _xlpm.target, MIN(_xlfn._xlws.FILTER(_xlpm.vals, _xlpm.valid)),
    IFERROR(
        _xlfn.XLOOKUP(_xlpm.target, _xlpm.vals, _xlpm.vals),
        CHOOSE({1,2,3,4,5,6}, S$1, V$1, Y$1, AB$1, AE$1, AH$1)
    )
)</f>
        <v>0.36916677944796156</v>
      </c>
    </row>
    <row r="1127" spans="9:36" x14ac:dyDescent="0.45">
      <c r="I1127">
        <v>1125</v>
      </c>
      <c r="J1127">
        <v>7.3</v>
      </c>
      <c r="K1127">
        <f t="shared" si="392"/>
        <v>7.3</v>
      </c>
      <c r="L1127">
        <f t="shared" si="391"/>
        <v>2.0277777777777777E-3</v>
      </c>
      <c r="M1127">
        <v>0.79</v>
      </c>
      <c r="N1127">
        <f t="shared" si="393"/>
        <v>0.79</v>
      </c>
      <c r="O1127">
        <f t="shared" si="394"/>
        <v>94.864834346401196</v>
      </c>
      <c r="P1127">
        <f t="shared" si="395"/>
        <v>303.56746990848382</v>
      </c>
      <c r="Q1127">
        <f t="shared" si="396"/>
        <v>1390.3390121808559</v>
      </c>
      <c r="R1127">
        <f t="shared" si="397"/>
        <v>5.4259746985899291</v>
      </c>
      <c r="S1127">
        <f t="shared" si="398"/>
        <v>0.43527215139729608</v>
      </c>
      <c r="T1127">
        <f t="shared" si="399"/>
        <v>6000</v>
      </c>
      <c r="U1127">
        <f t="shared" si="400"/>
        <v>1.2573240504259733</v>
      </c>
      <c r="V1127">
        <f t="shared" si="401"/>
        <v>6.7078343749277387</v>
      </c>
      <c r="W1127">
        <f t="shared" si="402"/>
        <v>6000</v>
      </c>
      <c r="X1127">
        <f t="shared" si="403"/>
        <v>1.2573240504259733</v>
      </c>
      <c r="Y1127">
        <f t="shared" si="404"/>
        <v>6.7078343749277387</v>
      </c>
      <c r="Z1127">
        <f t="shared" si="405"/>
        <v>6000</v>
      </c>
      <c r="AA1127">
        <f t="shared" si="406"/>
        <v>1.2573240504259733</v>
      </c>
      <c r="AB1127">
        <f t="shared" si="407"/>
        <v>6.7078343749277387</v>
      </c>
      <c r="AC1127">
        <f t="shared" si="408"/>
        <v>6000</v>
      </c>
      <c r="AD1127">
        <f t="shared" si="409"/>
        <v>1.2573240504259733</v>
      </c>
      <c r="AE1127">
        <f t="shared" si="410"/>
        <v>6.7078343749277387</v>
      </c>
      <c r="AF1127">
        <f t="shared" si="411"/>
        <v>6000</v>
      </c>
      <c r="AG1127">
        <f t="shared" si="412"/>
        <v>1.2573240504259733</v>
      </c>
      <c r="AH1127">
        <f t="shared" si="413"/>
        <v>6.7078343749277387</v>
      </c>
      <c r="AI1127" cm="1">
        <f t="array" ref="AI1127">_xlfn.LET(
    _xlpm.vals,   _xlfn.HSTACK(S1127,V1127,Y1127,AB1127,AE1127,AH1127),
    _xlpm.ints,   _xlfn.HSTACK(R1127,U1127,X1127,AA1127,AD1127,AG1127),
    _xlpm.slopes, _xlfn.HSTACK(Q1127,T1127,W1127,Z1127,AC1127,AF1127),
    _xlpm.limit,  -0.00001*_xlpm.slopes + 0.1086*_xlpm.slopes + 63.253,
    _xlpm.mask,   (_xlpm.vals&gt;=0) * (_xlpm.ints&lt;=_xlpm.limit),
    _xlpm.validVals, _xlfn._xlws.FILTER(_xlpm.vals, _xlpm.mask),
    _xlpm.minVal, MIN(_xlpm.validVals),
    IFERROR( _xlfn.XMATCH(_xlpm.minVal, _xlpm.vals), "" )
)</f>
        <v>1</v>
      </c>
      <c r="AJ1127" cm="1">
        <f t="array" ref="AJ1127">_xlfn.LET(
    _xlpm.vals, CHOOSE({1,2,3,4,5,6}, S1127, V1127, Y1127, AB1127, AE1127, AH1127),
    _xlpm.slopes, CHOOSE({1,2,3,4,5,6}, Q1127, T1127, W1127, Z1127, AC1127, AF1127),
    _xlpm.ints, CHOOSE({1,2,3,4,5,6}, R1127, U1127, X1127, AA1127, AD1127, AG1127),
    _xlpm.limit, -0.00001*_xlpm.slopes + 0.1086*_xlpm.slopes + 63.253,
    _xlpm.valid, (_xlpm.vals &gt;= 0) * (_xlpm.ints &lt;= _xlpm.limit),
    _xlpm.target, MIN(_xlfn._xlws.FILTER(_xlpm.vals, _xlpm.valid)),
    IFERROR(
        _xlfn.XLOOKUP(_xlpm.target, _xlpm.vals, _xlpm.vals),
        CHOOSE({1,2,3,4,5,6}, S$1, V$1, Y$1, AB$1, AE$1, AH$1)
    )
)</f>
        <v>0.43527215139729608</v>
      </c>
    </row>
    <row r="1128" spans="9:36" x14ac:dyDescent="0.45">
      <c r="I1128">
        <v>1126</v>
      </c>
      <c r="J1128">
        <v>3.5</v>
      </c>
      <c r="K1128">
        <f t="shared" si="392"/>
        <v>3.5</v>
      </c>
      <c r="L1128">
        <f t="shared" si="391"/>
        <v>9.7222222222222219E-4</v>
      </c>
      <c r="M1128">
        <v>0.71</v>
      </c>
      <c r="N1128">
        <f t="shared" si="393"/>
        <v>0.71</v>
      </c>
      <c r="O1128">
        <f t="shared" si="394"/>
        <v>45.483139755123858</v>
      </c>
      <c r="P1128">
        <f t="shared" si="395"/>
        <v>145.54604721639635</v>
      </c>
      <c r="Q1128">
        <f t="shared" si="396"/>
        <v>1000</v>
      </c>
      <c r="R1128">
        <f t="shared" si="397"/>
        <v>6.7800005757147419</v>
      </c>
      <c r="S1128">
        <f t="shared" si="398"/>
        <v>0.36136588369682382</v>
      </c>
      <c r="T1128">
        <f t="shared" si="399"/>
        <v>6000</v>
      </c>
      <c r="U1128">
        <f t="shared" si="400"/>
        <v>1.130000095952457</v>
      </c>
      <c r="V1128">
        <f t="shared" si="401"/>
        <v>6.7070211976264291</v>
      </c>
      <c r="W1128">
        <f t="shared" si="402"/>
        <v>6000</v>
      </c>
      <c r="X1128">
        <f t="shared" si="403"/>
        <v>1.130000095952457</v>
      </c>
      <c r="Y1128">
        <f t="shared" si="404"/>
        <v>6.7070211976264291</v>
      </c>
      <c r="Z1128">
        <f t="shared" si="405"/>
        <v>6000</v>
      </c>
      <c r="AA1128">
        <f t="shared" si="406"/>
        <v>1.130000095952457</v>
      </c>
      <c r="AB1128">
        <f t="shared" si="407"/>
        <v>6.7070211976264291</v>
      </c>
      <c r="AC1128">
        <f t="shared" si="408"/>
        <v>6000</v>
      </c>
      <c r="AD1128">
        <f t="shared" si="409"/>
        <v>1.130000095952457</v>
      </c>
      <c r="AE1128">
        <f t="shared" si="410"/>
        <v>6.7070211976264291</v>
      </c>
      <c r="AF1128">
        <f t="shared" si="411"/>
        <v>6000</v>
      </c>
      <c r="AG1128">
        <f t="shared" si="412"/>
        <v>1.130000095952457</v>
      </c>
      <c r="AH1128">
        <f t="shared" si="413"/>
        <v>6.7070211976264291</v>
      </c>
      <c r="AI1128" cm="1">
        <f t="array" ref="AI1128">_xlfn.LET(
    _xlpm.vals,   _xlfn.HSTACK(S1128,V1128,Y1128,AB1128,AE1128,AH1128),
    _xlpm.ints,   _xlfn.HSTACK(R1128,U1128,X1128,AA1128,AD1128,AG1128),
    _xlpm.slopes, _xlfn.HSTACK(Q1128,T1128,W1128,Z1128,AC1128,AF1128),
    _xlpm.limit,  -0.00001*_xlpm.slopes + 0.1086*_xlpm.slopes + 63.253,
    _xlpm.mask,   (_xlpm.vals&gt;=0) * (_xlpm.ints&lt;=_xlpm.limit),
    _xlpm.validVals, _xlfn._xlws.FILTER(_xlpm.vals, _xlpm.mask),
    _xlpm.minVal, MIN(_xlpm.validVals),
    IFERROR( _xlfn.XMATCH(_xlpm.minVal, _xlpm.vals), "" )
)</f>
        <v>1</v>
      </c>
      <c r="AJ1128" cm="1">
        <f t="array" ref="AJ1128">_xlfn.LET(
    _xlpm.vals, CHOOSE({1,2,3,4,5,6}, S1128, V1128, Y1128, AB1128, AE1128, AH1128),
    _xlpm.slopes, CHOOSE({1,2,3,4,5,6}, Q1128, T1128, W1128, Z1128, AC1128, AF1128),
    _xlpm.ints, CHOOSE({1,2,3,4,5,6}, R1128, U1128, X1128, AA1128, AD1128, AG1128),
    _xlpm.limit, -0.00001*_xlpm.slopes + 0.1086*_xlpm.slopes + 63.253,
    _xlpm.valid, (_xlpm.vals &gt;= 0) * (_xlpm.ints &lt;= _xlpm.limit),
    _xlpm.target, MIN(_xlfn._xlws.FILTER(_xlpm.vals, _xlpm.valid)),
    IFERROR(
        _xlfn.XLOOKUP(_xlpm.target, _xlpm.vals, _xlpm.vals),
        CHOOSE({1,2,3,4,5,6}, S$1, V$1, Y$1, AB$1, AE$1, AH$1)
    )
)</f>
        <v>0.36136588369682382</v>
      </c>
    </row>
    <row r="1129" spans="9:36" x14ac:dyDescent="0.45">
      <c r="I1129">
        <v>1127</v>
      </c>
      <c r="J1129">
        <v>0.9</v>
      </c>
      <c r="K1129">
        <f t="shared" si="392"/>
        <v>0.9</v>
      </c>
      <c r="L1129">
        <f t="shared" si="391"/>
        <v>2.5000000000000001E-4</v>
      </c>
      <c r="M1129">
        <v>1.45</v>
      </c>
      <c r="N1129">
        <f t="shared" si="393"/>
        <v>1.45</v>
      </c>
      <c r="O1129">
        <f t="shared" si="394"/>
        <v>11.695664508460421</v>
      </c>
      <c r="P1129">
        <f t="shared" si="395"/>
        <v>37.426126427073349</v>
      </c>
      <c r="Q1129">
        <f t="shared" si="396"/>
        <v>1000</v>
      </c>
      <c r="R1129">
        <f t="shared" si="397"/>
        <v>13.846480048994895</v>
      </c>
      <c r="S1129">
        <f t="shared" si="398"/>
        <v>0.41027315610167808</v>
      </c>
      <c r="T1129">
        <f t="shared" si="399"/>
        <v>6000</v>
      </c>
      <c r="U1129">
        <f t="shared" si="400"/>
        <v>2.3077466748324826</v>
      </c>
      <c r="V1129">
        <f t="shared" si="401"/>
        <v>6.7147480699224316</v>
      </c>
      <c r="W1129">
        <f t="shared" si="402"/>
        <v>6000</v>
      </c>
      <c r="X1129">
        <f t="shared" si="403"/>
        <v>2.3077466748324826</v>
      </c>
      <c r="Y1129">
        <f t="shared" si="404"/>
        <v>6.7147480699224316</v>
      </c>
      <c r="Z1129">
        <f t="shared" si="405"/>
        <v>6000</v>
      </c>
      <c r="AA1129">
        <f t="shared" si="406"/>
        <v>2.3077466748324826</v>
      </c>
      <c r="AB1129">
        <f t="shared" si="407"/>
        <v>6.7147480699224316</v>
      </c>
      <c r="AC1129">
        <f t="shared" si="408"/>
        <v>6000</v>
      </c>
      <c r="AD1129">
        <f t="shared" si="409"/>
        <v>2.3077466748324826</v>
      </c>
      <c r="AE1129">
        <f t="shared" si="410"/>
        <v>6.7147480699224316</v>
      </c>
      <c r="AF1129">
        <f t="shared" si="411"/>
        <v>6000</v>
      </c>
      <c r="AG1129">
        <f t="shared" si="412"/>
        <v>2.3077466748324826</v>
      </c>
      <c r="AH1129">
        <f t="shared" si="413"/>
        <v>6.7147480699224316</v>
      </c>
      <c r="AI1129" cm="1">
        <f t="array" ref="AI1129">_xlfn.LET(
    _xlpm.vals,   _xlfn.HSTACK(S1129,V1129,Y1129,AB1129,AE1129,AH1129),
    _xlpm.ints,   _xlfn.HSTACK(R1129,U1129,X1129,AA1129,AD1129,AG1129),
    _xlpm.slopes, _xlfn.HSTACK(Q1129,T1129,W1129,Z1129,AC1129,AF1129),
    _xlpm.limit,  -0.00001*_xlpm.slopes + 0.1086*_xlpm.slopes + 63.253,
    _xlpm.mask,   (_xlpm.vals&gt;=0) * (_xlpm.ints&lt;=_xlpm.limit),
    _xlpm.validVals, _xlfn._xlws.FILTER(_xlpm.vals, _xlpm.mask),
    _xlpm.minVal, MIN(_xlpm.validVals),
    IFERROR( _xlfn.XMATCH(_xlpm.minVal, _xlpm.vals), "" )
)</f>
        <v>1</v>
      </c>
      <c r="AJ1129" cm="1">
        <f t="array" ref="AJ1129">_xlfn.LET(
    _xlpm.vals, CHOOSE({1,2,3,4,5,6}, S1129, V1129, Y1129, AB1129, AE1129, AH1129),
    _xlpm.slopes, CHOOSE({1,2,3,4,5,6}, Q1129, T1129, W1129, Z1129, AC1129, AF1129),
    _xlpm.ints, CHOOSE({1,2,3,4,5,6}, R1129, U1129, X1129, AA1129, AD1129, AG1129),
    _xlpm.limit, -0.00001*_xlpm.slopes + 0.1086*_xlpm.slopes + 63.253,
    _xlpm.valid, (_xlpm.vals &gt;= 0) * (_xlpm.ints &lt;= _xlpm.limit),
    _xlpm.target, MIN(_xlfn._xlws.FILTER(_xlpm.vals, _xlpm.valid)),
    IFERROR(
        _xlfn.XLOOKUP(_xlpm.target, _xlpm.vals, _xlpm.vals),
        CHOOSE({1,2,3,4,5,6}, S$1, V$1, Y$1, AB$1, AE$1, AH$1)
    )
)</f>
        <v>0.41027315610167808</v>
      </c>
    </row>
    <row r="1130" spans="9:36" x14ac:dyDescent="0.45">
      <c r="I1130">
        <v>1128</v>
      </c>
      <c r="J1130">
        <v>-0.1</v>
      </c>
      <c r="K1130">
        <f t="shared" si="392"/>
        <v>0</v>
      </c>
      <c r="L1130">
        <f t="shared" si="391"/>
        <v>0</v>
      </c>
      <c r="M1130">
        <v>1.63</v>
      </c>
      <c r="N1130">
        <f t="shared" si="393"/>
        <v>1.63</v>
      </c>
      <c r="O1130">
        <f t="shared" si="394"/>
        <v>0</v>
      </c>
      <c r="P1130">
        <f t="shared" si="395"/>
        <v>0</v>
      </c>
      <c r="Q1130">
        <f t="shared" si="396"/>
        <v>1000</v>
      </c>
      <c r="R1130">
        <f t="shared" si="397"/>
        <v>15.565353434387365</v>
      </c>
      <c r="S1130">
        <f t="shared" si="398"/>
        <v>0.42297206659979214</v>
      </c>
      <c r="T1130">
        <f t="shared" si="399"/>
        <v>6000</v>
      </c>
      <c r="U1130">
        <f t="shared" si="400"/>
        <v>2.5942255723978942</v>
      </c>
      <c r="V1130">
        <f t="shared" si="401"/>
        <v>6.7166968869524935</v>
      </c>
      <c r="W1130">
        <f t="shared" si="402"/>
        <v>6000</v>
      </c>
      <c r="X1130">
        <f t="shared" si="403"/>
        <v>2.5942255723978942</v>
      </c>
      <c r="Y1130">
        <f t="shared" si="404"/>
        <v>6.7166968869524935</v>
      </c>
      <c r="Z1130">
        <f t="shared" si="405"/>
        <v>6000</v>
      </c>
      <c r="AA1130">
        <f t="shared" si="406"/>
        <v>2.5942255723978942</v>
      </c>
      <c r="AB1130">
        <f t="shared" si="407"/>
        <v>6.7166968869524935</v>
      </c>
      <c r="AC1130">
        <f t="shared" si="408"/>
        <v>6000</v>
      </c>
      <c r="AD1130">
        <f t="shared" si="409"/>
        <v>2.5942255723978942</v>
      </c>
      <c r="AE1130">
        <f t="shared" si="410"/>
        <v>6.7166968869524935</v>
      </c>
      <c r="AF1130">
        <f t="shared" si="411"/>
        <v>6000</v>
      </c>
      <c r="AG1130">
        <f t="shared" si="412"/>
        <v>2.5942255723978942</v>
      </c>
      <c r="AH1130">
        <f t="shared" si="413"/>
        <v>6.7166968869524935</v>
      </c>
      <c r="AI1130" cm="1">
        <f t="array" ref="AI1130">_xlfn.LET(
    _xlpm.vals,   _xlfn.HSTACK(S1130,V1130,Y1130,AB1130,AE1130,AH1130),
    _xlpm.ints,   _xlfn.HSTACK(R1130,U1130,X1130,AA1130,AD1130,AG1130),
    _xlpm.slopes, _xlfn.HSTACK(Q1130,T1130,W1130,Z1130,AC1130,AF1130),
    _xlpm.limit,  -0.00001*_xlpm.slopes + 0.1086*_xlpm.slopes + 63.253,
    _xlpm.mask,   (_xlpm.vals&gt;=0) * (_xlpm.ints&lt;=_xlpm.limit),
    _xlpm.validVals, _xlfn._xlws.FILTER(_xlpm.vals, _xlpm.mask),
    _xlpm.minVal, MIN(_xlpm.validVals),
    IFERROR( _xlfn.XMATCH(_xlpm.minVal, _xlpm.vals), "" )
)</f>
        <v>1</v>
      </c>
      <c r="AJ1130" cm="1">
        <f t="array" ref="AJ1130">_xlfn.LET(
    _xlpm.vals, CHOOSE({1,2,3,4,5,6}, S1130, V1130, Y1130, AB1130, AE1130, AH1130),
    _xlpm.slopes, CHOOSE({1,2,3,4,5,6}, Q1130, T1130, W1130, Z1130, AC1130, AF1130),
    _xlpm.ints, CHOOSE({1,2,3,4,5,6}, R1130, U1130, X1130, AA1130, AD1130, AG1130),
    _xlpm.limit, -0.00001*_xlpm.slopes + 0.1086*_xlpm.slopes + 63.253,
    _xlpm.valid, (_xlpm.vals &gt;= 0) * (_xlpm.ints &lt;= _xlpm.limit),
    _xlpm.target, MIN(_xlfn._xlws.FILTER(_xlpm.vals, _xlpm.valid)),
    IFERROR(
        _xlfn.XLOOKUP(_xlpm.target, _xlpm.vals, _xlpm.vals),
        CHOOSE({1,2,3,4,5,6}, S$1, V$1, Y$1, AB$1, AE$1, AH$1)
    )
)</f>
        <v>0.42297206659979214</v>
      </c>
    </row>
    <row r="1131" spans="9:36" x14ac:dyDescent="0.45">
      <c r="I1131">
        <v>1129</v>
      </c>
      <c r="J1131">
        <v>0</v>
      </c>
      <c r="K1131">
        <f t="shared" si="392"/>
        <v>0</v>
      </c>
      <c r="L1131">
        <f t="shared" si="391"/>
        <v>0</v>
      </c>
      <c r="M1131">
        <v>1.27</v>
      </c>
      <c r="N1131">
        <f t="shared" si="393"/>
        <v>1.27</v>
      </c>
      <c r="O1131">
        <f t="shared" si="394"/>
        <v>0</v>
      </c>
      <c r="P1131">
        <f t="shared" si="395"/>
        <v>0</v>
      </c>
      <c r="Q1131">
        <f t="shared" si="396"/>
        <v>1000</v>
      </c>
      <c r="R1131">
        <f t="shared" si="397"/>
        <v>12.127606663602426</v>
      </c>
      <c r="S1131">
        <f t="shared" si="398"/>
        <v>0.39787729611319966</v>
      </c>
      <c r="T1131">
        <f t="shared" si="399"/>
        <v>6000</v>
      </c>
      <c r="U1131">
        <f t="shared" si="400"/>
        <v>2.0212677772670711</v>
      </c>
      <c r="V1131">
        <f t="shared" si="401"/>
        <v>6.7128263223612938</v>
      </c>
      <c r="W1131">
        <f t="shared" si="402"/>
        <v>6000</v>
      </c>
      <c r="X1131">
        <f t="shared" si="403"/>
        <v>2.0212677772670711</v>
      </c>
      <c r="Y1131">
        <f t="shared" si="404"/>
        <v>6.7128263223612938</v>
      </c>
      <c r="Z1131">
        <f t="shared" si="405"/>
        <v>6000</v>
      </c>
      <c r="AA1131">
        <f t="shared" si="406"/>
        <v>2.0212677772670711</v>
      </c>
      <c r="AB1131">
        <f t="shared" si="407"/>
        <v>6.7128263223612938</v>
      </c>
      <c r="AC1131">
        <f t="shared" si="408"/>
        <v>6000</v>
      </c>
      <c r="AD1131">
        <f t="shared" si="409"/>
        <v>2.0212677772670711</v>
      </c>
      <c r="AE1131">
        <f t="shared" si="410"/>
        <v>6.7128263223612938</v>
      </c>
      <c r="AF1131">
        <f t="shared" si="411"/>
        <v>6000</v>
      </c>
      <c r="AG1131">
        <f t="shared" si="412"/>
        <v>2.0212677772670711</v>
      </c>
      <c r="AH1131">
        <f t="shared" si="413"/>
        <v>6.7128263223612938</v>
      </c>
      <c r="AI1131" cm="1">
        <f t="array" ref="AI1131">_xlfn.LET(
    _xlpm.vals,   _xlfn.HSTACK(S1131,V1131,Y1131,AB1131,AE1131,AH1131),
    _xlpm.ints,   _xlfn.HSTACK(R1131,U1131,X1131,AA1131,AD1131,AG1131),
    _xlpm.slopes, _xlfn.HSTACK(Q1131,T1131,W1131,Z1131,AC1131,AF1131),
    _xlpm.limit,  -0.00001*_xlpm.slopes + 0.1086*_xlpm.slopes + 63.253,
    _xlpm.mask,   (_xlpm.vals&gt;=0) * (_xlpm.ints&lt;=_xlpm.limit),
    _xlpm.validVals, _xlfn._xlws.FILTER(_xlpm.vals, _xlpm.mask),
    _xlpm.minVal, MIN(_xlpm.validVals),
    IFERROR( _xlfn.XMATCH(_xlpm.minVal, _xlpm.vals), "" )
)</f>
        <v>1</v>
      </c>
      <c r="AJ1131" cm="1">
        <f t="array" ref="AJ1131">_xlfn.LET(
    _xlpm.vals, CHOOSE({1,2,3,4,5,6}, S1131, V1131, Y1131, AB1131, AE1131, AH1131),
    _xlpm.slopes, CHOOSE({1,2,3,4,5,6}, Q1131, T1131, W1131, Z1131, AC1131, AF1131),
    _xlpm.ints, CHOOSE({1,2,3,4,5,6}, R1131, U1131, X1131, AA1131, AD1131, AG1131),
    _xlpm.limit, -0.00001*_xlpm.slopes + 0.1086*_xlpm.slopes + 63.253,
    _xlpm.valid, (_xlpm.vals &gt;= 0) * (_xlpm.ints &lt;= _xlpm.limit),
    _xlpm.target, MIN(_xlfn._xlws.FILTER(_xlpm.vals, _xlpm.valid)),
    IFERROR(
        _xlfn.XLOOKUP(_xlpm.target, _xlpm.vals, _xlpm.vals),
        CHOOSE({1,2,3,4,5,6}, S$1, V$1, Y$1, AB$1, AE$1, AH$1)
    )
)</f>
        <v>0.39787729611319966</v>
      </c>
    </row>
    <row r="1132" spans="9:36" x14ac:dyDescent="0.45">
      <c r="I1132">
        <v>1130</v>
      </c>
      <c r="J1132">
        <v>0</v>
      </c>
      <c r="K1132">
        <f t="shared" si="392"/>
        <v>0</v>
      </c>
      <c r="L1132">
        <f t="shared" si="391"/>
        <v>0</v>
      </c>
      <c r="M1132">
        <v>1.53</v>
      </c>
      <c r="N1132">
        <f t="shared" si="393"/>
        <v>1.53</v>
      </c>
      <c r="O1132">
        <f t="shared" si="394"/>
        <v>0</v>
      </c>
      <c r="P1132">
        <f t="shared" si="395"/>
        <v>0</v>
      </c>
      <c r="Q1132">
        <f t="shared" si="396"/>
        <v>1000</v>
      </c>
      <c r="R1132">
        <f t="shared" si="397"/>
        <v>14.610423775835994</v>
      </c>
      <c r="S1132">
        <f t="shared" si="398"/>
        <v>0.4158803325950915</v>
      </c>
      <c r="T1132">
        <f t="shared" si="399"/>
        <v>6000</v>
      </c>
      <c r="U1132">
        <f t="shared" si="400"/>
        <v>2.4350706293059989</v>
      </c>
      <c r="V1132">
        <f t="shared" si="401"/>
        <v>6.7156108718312106</v>
      </c>
      <c r="W1132">
        <f t="shared" si="402"/>
        <v>6000</v>
      </c>
      <c r="X1132">
        <f t="shared" si="403"/>
        <v>2.4350706293059989</v>
      </c>
      <c r="Y1132">
        <f t="shared" si="404"/>
        <v>6.7156108718312106</v>
      </c>
      <c r="Z1132">
        <f t="shared" si="405"/>
        <v>6000</v>
      </c>
      <c r="AA1132">
        <f t="shared" si="406"/>
        <v>2.4350706293059989</v>
      </c>
      <c r="AB1132">
        <f t="shared" si="407"/>
        <v>6.7156108718312106</v>
      </c>
      <c r="AC1132">
        <f t="shared" si="408"/>
        <v>6000</v>
      </c>
      <c r="AD1132">
        <f t="shared" si="409"/>
        <v>2.4350706293059989</v>
      </c>
      <c r="AE1132">
        <f t="shared" si="410"/>
        <v>6.7156108718312106</v>
      </c>
      <c r="AF1132">
        <f t="shared" si="411"/>
        <v>6000</v>
      </c>
      <c r="AG1132">
        <f t="shared" si="412"/>
        <v>2.4350706293059989</v>
      </c>
      <c r="AH1132">
        <f t="shared" si="413"/>
        <v>6.7156108718312106</v>
      </c>
      <c r="AI1132" cm="1">
        <f t="array" ref="AI1132">_xlfn.LET(
    _xlpm.vals,   _xlfn.HSTACK(S1132,V1132,Y1132,AB1132,AE1132,AH1132),
    _xlpm.ints,   _xlfn.HSTACK(R1132,U1132,X1132,AA1132,AD1132,AG1132),
    _xlpm.slopes, _xlfn.HSTACK(Q1132,T1132,W1132,Z1132,AC1132,AF1132),
    _xlpm.limit,  -0.00001*_xlpm.slopes + 0.1086*_xlpm.slopes + 63.253,
    _xlpm.mask,   (_xlpm.vals&gt;=0) * (_xlpm.ints&lt;=_xlpm.limit),
    _xlpm.validVals, _xlfn._xlws.FILTER(_xlpm.vals, _xlpm.mask),
    _xlpm.minVal, MIN(_xlpm.validVals),
    IFERROR( _xlfn.XMATCH(_xlpm.minVal, _xlpm.vals), "" )
)</f>
        <v>1</v>
      </c>
      <c r="AJ1132" cm="1">
        <f t="array" ref="AJ1132">_xlfn.LET(
    _xlpm.vals, CHOOSE({1,2,3,4,5,6}, S1132, V1132, Y1132, AB1132, AE1132, AH1132),
    _xlpm.slopes, CHOOSE({1,2,3,4,5,6}, Q1132, T1132, W1132, Z1132, AC1132, AF1132),
    _xlpm.ints, CHOOSE({1,2,3,4,5,6}, R1132, U1132, X1132, AA1132, AD1132, AG1132),
    _xlpm.limit, -0.00001*_xlpm.slopes + 0.1086*_xlpm.slopes + 63.253,
    _xlpm.valid, (_xlpm.vals &gt;= 0) * (_xlpm.ints &lt;= _xlpm.limit),
    _xlpm.target, MIN(_xlfn._xlws.FILTER(_xlpm.vals, _xlpm.valid)),
    IFERROR(
        _xlfn.XLOOKUP(_xlpm.target, _xlpm.vals, _xlpm.vals),
        CHOOSE({1,2,3,4,5,6}, S$1, V$1, Y$1, AB$1, AE$1, AH$1)
    )
)</f>
        <v>0.4158803325950915</v>
      </c>
    </row>
    <row r="1133" spans="9:36" x14ac:dyDescent="0.45">
      <c r="I1133">
        <v>1131</v>
      </c>
      <c r="J1133">
        <v>0</v>
      </c>
      <c r="K1133">
        <f t="shared" si="392"/>
        <v>0</v>
      </c>
      <c r="L1133">
        <f t="shared" si="391"/>
        <v>0</v>
      </c>
      <c r="M1133">
        <v>1.65</v>
      </c>
      <c r="N1133">
        <f t="shared" si="393"/>
        <v>1.65</v>
      </c>
      <c r="O1133">
        <f t="shared" si="394"/>
        <v>0</v>
      </c>
      <c r="P1133">
        <f t="shared" si="395"/>
        <v>0</v>
      </c>
      <c r="Q1133">
        <f t="shared" si="396"/>
        <v>1000</v>
      </c>
      <c r="R1133">
        <f t="shared" si="397"/>
        <v>15.75633936609764</v>
      </c>
      <c r="S1133">
        <f t="shared" si="398"/>
        <v>0.42440130315407848</v>
      </c>
      <c r="T1133">
        <f t="shared" si="399"/>
        <v>6000</v>
      </c>
      <c r="U1133">
        <f t="shared" si="400"/>
        <v>2.6260565610162732</v>
      </c>
      <c r="V1133">
        <f t="shared" si="401"/>
        <v>6.7169150910018045</v>
      </c>
      <c r="W1133">
        <f t="shared" si="402"/>
        <v>6000</v>
      </c>
      <c r="X1133">
        <f t="shared" si="403"/>
        <v>2.6260565610162732</v>
      </c>
      <c r="Y1133">
        <f t="shared" si="404"/>
        <v>6.7169150910018045</v>
      </c>
      <c r="Z1133">
        <f t="shared" si="405"/>
        <v>6000</v>
      </c>
      <c r="AA1133">
        <f t="shared" si="406"/>
        <v>2.6260565610162732</v>
      </c>
      <c r="AB1133">
        <f t="shared" si="407"/>
        <v>6.7169150910018045</v>
      </c>
      <c r="AC1133">
        <f t="shared" si="408"/>
        <v>6000</v>
      </c>
      <c r="AD1133">
        <f t="shared" si="409"/>
        <v>2.6260565610162732</v>
      </c>
      <c r="AE1133">
        <f t="shared" si="410"/>
        <v>6.7169150910018045</v>
      </c>
      <c r="AF1133">
        <f t="shared" si="411"/>
        <v>6000</v>
      </c>
      <c r="AG1133">
        <f t="shared" si="412"/>
        <v>2.6260565610162732</v>
      </c>
      <c r="AH1133">
        <f t="shared" si="413"/>
        <v>6.7169150910018045</v>
      </c>
      <c r="AI1133" cm="1">
        <f t="array" ref="AI1133">_xlfn.LET(
    _xlpm.vals,   _xlfn.HSTACK(S1133,V1133,Y1133,AB1133,AE1133,AH1133),
    _xlpm.ints,   _xlfn.HSTACK(R1133,U1133,X1133,AA1133,AD1133,AG1133),
    _xlpm.slopes, _xlfn.HSTACK(Q1133,T1133,W1133,Z1133,AC1133,AF1133),
    _xlpm.limit,  -0.00001*_xlpm.slopes + 0.1086*_xlpm.slopes + 63.253,
    _xlpm.mask,   (_xlpm.vals&gt;=0) * (_xlpm.ints&lt;=_xlpm.limit),
    _xlpm.validVals, _xlfn._xlws.FILTER(_xlpm.vals, _xlpm.mask),
    _xlpm.minVal, MIN(_xlpm.validVals),
    IFERROR( _xlfn.XMATCH(_xlpm.minVal, _xlpm.vals), "" )
)</f>
        <v>1</v>
      </c>
      <c r="AJ1133" cm="1">
        <f t="array" ref="AJ1133">_xlfn.LET(
    _xlpm.vals, CHOOSE({1,2,3,4,5,6}, S1133, V1133, Y1133, AB1133, AE1133, AH1133),
    _xlpm.slopes, CHOOSE({1,2,3,4,5,6}, Q1133, T1133, W1133, Z1133, AC1133, AF1133),
    _xlpm.ints, CHOOSE({1,2,3,4,5,6}, R1133, U1133, X1133, AA1133, AD1133, AG1133),
    _xlpm.limit, -0.00001*_xlpm.slopes + 0.1086*_xlpm.slopes + 63.253,
    _xlpm.valid, (_xlpm.vals &gt;= 0) * (_xlpm.ints &lt;= _xlpm.limit),
    _xlpm.target, MIN(_xlfn._xlws.FILTER(_xlpm.vals, _xlpm.valid)),
    IFERROR(
        _xlfn.XLOOKUP(_xlpm.target, _xlpm.vals, _xlpm.vals),
        CHOOSE({1,2,3,4,5,6}, S$1, V$1, Y$1, AB$1, AE$1, AH$1)
    )
)</f>
        <v>0.42440130315407848</v>
      </c>
    </row>
    <row r="1134" spans="9:36" x14ac:dyDescent="0.45">
      <c r="I1134">
        <v>1132</v>
      </c>
      <c r="J1134">
        <v>0</v>
      </c>
      <c r="K1134">
        <f t="shared" si="392"/>
        <v>0</v>
      </c>
      <c r="L1134">
        <f t="shared" si="391"/>
        <v>0</v>
      </c>
      <c r="M1134">
        <v>1.08</v>
      </c>
      <c r="N1134">
        <f t="shared" si="393"/>
        <v>1.08</v>
      </c>
      <c r="O1134">
        <f t="shared" si="394"/>
        <v>0</v>
      </c>
      <c r="P1134">
        <f t="shared" si="395"/>
        <v>0</v>
      </c>
      <c r="Q1134">
        <f t="shared" si="396"/>
        <v>1000</v>
      </c>
      <c r="R1134">
        <f t="shared" si="397"/>
        <v>10.313240312354818</v>
      </c>
      <c r="S1134">
        <f t="shared" si="398"/>
        <v>0.38513325908298962</v>
      </c>
      <c r="T1134">
        <f t="shared" si="399"/>
        <v>6000</v>
      </c>
      <c r="U1134">
        <f t="shared" si="400"/>
        <v>1.7188733853924698</v>
      </c>
      <c r="V1134">
        <f t="shared" si="401"/>
        <v>6.7108272322890867</v>
      </c>
      <c r="W1134">
        <f t="shared" si="402"/>
        <v>6000</v>
      </c>
      <c r="X1134">
        <f t="shared" si="403"/>
        <v>1.7188733853924698</v>
      </c>
      <c r="Y1134">
        <f t="shared" si="404"/>
        <v>6.7108272322890867</v>
      </c>
      <c r="Z1134">
        <f t="shared" si="405"/>
        <v>6000</v>
      </c>
      <c r="AA1134">
        <f t="shared" si="406"/>
        <v>1.7188733853924698</v>
      </c>
      <c r="AB1134">
        <f t="shared" si="407"/>
        <v>6.7108272322890867</v>
      </c>
      <c r="AC1134">
        <f t="shared" si="408"/>
        <v>6000</v>
      </c>
      <c r="AD1134">
        <f t="shared" si="409"/>
        <v>1.7188733853924698</v>
      </c>
      <c r="AE1134">
        <f t="shared" si="410"/>
        <v>6.7108272322890867</v>
      </c>
      <c r="AF1134">
        <f t="shared" si="411"/>
        <v>6000</v>
      </c>
      <c r="AG1134">
        <f t="shared" si="412"/>
        <v>1.7188733853924698</v>
      </c>
      <c r="AH1134">
        <f t="shared" si="413"/>
        <v>6.7108272322890867</v>
      </c>
      <c r="AI1134" cm="1">
        <f t="array" ref="AI1134">_xlfn.LET(
    _xlpm.vals,   _xlfn.HSTACK(S1134,V1134,Y1134,AB1134,AE1134,AH1134),
    _xlpm.ints,   _xlfn.HSTACK(R1134,U1134,X1134,AA1134,AD1134,AG1134),
    _xlpm.slopes, _xlfn.HSTACK(Q1134,T1134,W1134,Z1134,AC1134,AF1134),
    _xlpm.limit,  -0.00001*_xlpm.slopes + 0.1086*_xlpm.slopes + 63.253,
    _xlpm.mask,   (_xlpm.vals&gt;=0) * (_xlpm.ints&lt;=_xlpm.limit),
    _xlpm.validVals, _xlfn._xlws.FILTER(_xlpm.vals, _xlpm.mask),
    _xlpm.minVal, MIN(_xlpm.validVals),
    IFERROR( _xlfn.XMATCH(_xlpm.minVal, _xlpm.vals), "" )
)</f>
        <v>1</v>
      </c>
      <c r="AJ1134" cm="1">
        <f t="array" ref="AJ1134">_xlfn.LET(
    _xlpm.vals, CHOOSE({1,2,3,4,5,6}, S1134, V1134, Y1134, AB1134, AE1134, AH1134),
    _xlpm.slopes, CHOOSE({1,2,3,4,5,6}, Q1134, T1134, W1134, Z1134, AC1134, AF1134),
    _xlpm.ints, CHOOSE({1,2,3,4,5,6}, R1134, U1134, X1134, AA1134, AD1134, AG1134),
    _xlpm.limit, -0.00001*_xlpm.slopes + 0.1086*_xlpm.slopes + 63.253,
    _xlpm.valid, (_xlpm.vals &gt;= 0) * (_xlpm.ints &lt;= _xlpm.limit),
    _xlpm.target, MIN(_xlfn._xlws.FILTER(_xlpm.vals, _xlpm.valid)),
    IFERROR(
        _xlfn.XLOOKUP(_xlpm.target, _xlpm.vals, _xlpm.vals),
        CHOOSE({1,2,3,4,5,6}, S$1, V$1, Y$1, AB$1, AE$1, AH$1)
    )
)</f>
        <v>0.38513325908298962</v>
      </c>
    </row>
    <row r="1135" spans="9:36" x14ac:dyDescent="0.45">
      <c r="I1135">
        <v>1133</v>
      </c>
      <c r="J1135">
        <v>0</v>
      </c>
      <c r="K1135">
        <f t="shared" si="392"/>
        <v>0</v>
      </c>
      <c r="L1135">
        <f t="shared" si="391"/>
        <v>0</v>
      </c>
      <c r="M1135">
        <v>1.18</v>
      </c>
      <c r="N1135">
        <f t="shared" si="393"/>
        <v>1.18</v>
      </c>
      <c r="O1135">
        <f t="shared" si="394"/>
        <v>0</v>
      </c>
      <c r="P1135">
        <f t="shared" si="395"/>
        <v>0</v>
      </c>
      <c r="Q1135">
        <f t="shared" si="396"/>
        <v>1000</v>
      </c>
      <c r="R1135">
        <f t="shared" si="397"/>
        <v>11.268169970906191</v>
      </c>
      <c r="S1135">
        <f t="shared" si="398"/>
        <v>0.3917963216575015</v>
      </c>
      <c r="T1135">
        <f t="shared" si="399"/>
        <v>6000</v>
      </c>
      <c r="U1135">
        <f t="shared" si="400"/>
        <v>1.8780283284843651</v>
      </c>
      <c r="V1135">
        <f t="shared" si="401"/>
        <v>6.7118756149630432</v>
      </c>
      <c r="W1135">
        <f t="shared" si="402"/>
        <v>6000</v>
      </c>
      <c r="X1135">
        <f t="shared" si="403"/>
        <v>1.8780283284843651</v>
      </c>
      <c r="Y1135">
        <f t="shared" si="404"/>
        <v>6.7118756149630432</v>
      </c>
      <c r="Z1135">
        <f t="shared" si="405"/>
        <v>6000</v>
      </c>
      <c r="AA1135">
        <f t="shared" si="406"/>
        <v>1.8780283284843651</v>
      </c>
      <c r="AB1135">
        <f t="shared" si="407"/>
        <v>6.7118756149630432</v>
      </c>
      <c r="AC1135">
        <f t="shared" si="408"/>
        <v>6000</v>
      </c>
      <c r="AD1135">
        <f t="shared" si="409"/>
        <v>1.8780283284843651</v>
      </c>
      <c r="AE1135">
        <f t="shared" si="410"/>
        <v>6.7118756149630432</v>
      </c>
      <c r="AF1135">
        <f t="shared" si="411"/>
        <v>6000</v>
      </c>
      <c r="AG1135">
        <f t="shared" si="412"/>
        <v>1.8780283284843651</v>
      </c>
      <c r="AH1135">
        <f t="shared" si="413"/>
        <v>6.7118756149630432</v>
      </c>
      <c r="AI1135" cm="1">
        <f t="array" ref="AI1135">_xlfn.LET(
    _xlpm.vals,   _xlfn.HSTACK(S1135,V1135,Y1135,AB1135,AE1135,AH1135),
    _xlpm.ints,   _xlfn.HSTACK(R1135,U1135,X1135,AA1135,AD1135,AG1135),
    _xlpm.slopes, _xlfn.HSTACK(Q1135,T1135,W1135,Z1135,AC1135,AF1135),
    _xlpm.limit,  -0.00001*_xlpm.slopes + 0.1086*_xlpm.slopes + 63.253,
    _xlpm.mask,   (_xlpm.vals&gt;=0) * (_xlpm.ints&lt;=_xlpm.limit),
    _xlpm.validVals, _xlfn._xlws.FILTER(_xlpm.vals, _xlpm.mask),
    _xlpm.minVal, MIN(_xlpm.validVals),
    IFERROR( _xlfn.XMATCH(_xlpm.minVal, _xlpm.vals), "" )
)</f>
        <v>1</v>
      </c>
      <c r="AJ1135" cm="1">
        <f t="array" ref="AJ1135">_xlfn.LET(
    _xlpm.vals, CHOOSE({1,2,3,4,5,6}, S1135, V1135, Y1135, AB1135, AE1135, AH1135),
    _xlpm.slopes, CHOOSE({1,2,3,4,5,6}, Q1135, T1135, W1135, Z1135, AC1135, AF1135),
    _xlpm.ints, CHOOSE({1,2,3,4,5,6}, R1135, U1135, X1135, AA1135, AD1135, AG1135),
    _xlpm.limit, -0.00001*_xlpm.slopes + 0.1086*_xlpm.slopes + 63.253,
    _xlpm.valid, (_xlpm.vals &gt;= 0) * (_xlpm.ints &lt;= _xlpm.limit),
    _xlpm.target, MIN(_xlfn._xlws.FILTER(_xlpm.vals, _xlpm.valid)),
    IFERROR(
        _xlfn.XLOOKUP(_xlpm.target, _xlpm.vals, _xlpm.vals),
        CHOOSE({1,2,3,4,5,6}, S$1, V$1, Y$1, AB$1, AE$1, AH$1)
    )
)</f>
        <v>0.3917963216575015</v>
      </c>
    </row>
    <row r="1136" spans="9:36" x14ac:dyDescent="0.45">
      <c r="I1136">
        <v>1134</v>
      </c>
      <c r="J1136">
        <v>0</v>
      </c>
      <c r="K1136">
        <f t="shared" si="392"/>
        <v>0</v>
      </c>
      <c r="L1136">
        <f t="shared" si="391"/>
        <v>0</v>
      </c>
      <c r="M1136">
        <v>1.24</v>
      </c>
      <c r="N1136">
        <f t="shared" si="393"/>
        <v>1.24</v>
      </c>
      <c r="O1136">
        <f t="shared" si="394"/>
        <v>0</v>
      </c>
      <c r="P1136">
        <f t="shared" si="395"/>
        <v>0</v>
      </c>
      <c r="Q1136">
        <f t="shared" si="396"/>
        <v>1000</v>
      </c>
      <c r="R1136">
        <f t="shared" si="397"/>
        <v>11.841127766037014</v>
      </c>
      <c r="S1136">
        <f t="shared" si="398"/>
        <v>0.39584152677976886</v>
      </c>
      <c r="T1136">
        <f t="shared" si="399"/>
        <v>6000</v>
      </c>
      <c r="U1136">
        <f t="shared" si="400"/>
        <v>1.9735212943395022</v>
      </c>
      <c r="V1136">
        <f t="shared" si="401"/>
        <v>6.7125086662998772</v>
      </c>
      <c r="W1136">
        <f t="shared" si="402"/>
        <v>6000</v>
      </c>
      <c r="X1136">
        <f t="shared" si="403"/>
        <v>1.9735212943395022</v>
      </c>
      <c r="Y1136">
        <f t="shared" si="404"/>
        <v>6.7125086662998772</v>
      </c>
      <c r="Z1136">
        <f t="shared" si="405"/>
        <v>6000</v>
      </c>
      <c r="AA1136">
        <f t="shared" si="406"/>
        <v>1.9735212943395022</v>
      </c>
      <c r="AB1136">
        <f t="shared" si="407"/>
        <v>6.7125086662998772</v>
      </c>
      <c r="AC1136">
        <f t="shared" si="408"/>
        <v>6000</v>
      </c>
      <c r="AD1136">
        <f t="shared" si="409"/>
        <v>1.9735212943395022</v>
      </c>
      <c r="AE1136">
        <f t="shared" si="410"/>
        <v>6.7125086662998772</v>
      </c>
      <c r="AF1136">
        <f t="shared" si="411"/>
        <v>6000</v>
      </c>
      <c r="AG1136">
        <f t="shared" si="412"/>
        <v>1.9735212943395022</v>
      </c>
      <c r="AH1136">
        <f t="shared" si="413"/>
        <v>6.7125086662998772</v>
      </c>
      <c r="AI1136" cm="1">
        <f t="array" ref="AI1136">_xlfn.LET(
    _xlpm.vals,   _xlfn.HSTACK(S1136,V1136,Y1136,AB1136,AE1136,AH1136),
    _xlpm.ints,   _xlfn.HSTACK(R1136,U1136,X1136,AA1136,AD1136,AG1136),
    _xlpm.slopes, _xlfn.HSTACK(Q1136,T1136,W1136,Z1136,AC1136,AF1136),
    _xlpm.limit,  -0.00001*_xlpm.slopes + 0.1086*_xlpm.slopes + 63.253,
    _xlpm.mask,   (_xlpm.vals&gt;=0) * (_xlpm.ints&lt;=_xlpm.limit),
    _xlpm.validVals, _xlfn._xlws.FILTER(_xlpm.vals, _xlpm.mask),
    _xlpm.minVal, MIN(_xlpm.validVals),
    IFERROR( _xlfn.XMATCH(_xlpm.minVal, _xlpm.vals), "" )
)</f>
        <v>1</v>
      </c>
      <c r="AJ1136" cm="1">
        <f t="array" ref="AJ1136">_xlfn.LET(
    _xlpm.vals, CHOOSE({1,2,3,4,5,6}, S1136, V1136, Y1136, AB1136, AE1136, AH1136),
    _xlpm.slopes, CHOOSE({1,2,3,4,5,6}, Q1136, T1136, W1136, Z1136, AC1136, AF1136),
    _xlpm.ints, CHOOSE({1,2,3,4,5,6}, R1136, U1136, X1136, AA1136, AD1136, AG1136),
    _xlpm.limit, -0.00001*_xlpm.slopes + 0.1086*_xlpm.slopes + 63.253,
    _xlpm.valid, (_xlpm.vals &gt;= 0) * (_xlpm.ints &lt;= _xlpm.limit),
    _xlpm.target, MIN(_xlfn._xlws.FILTER(_xlpm.vals, _xlpm.valid)),
    IFERROR(
        _xlfn.XLOOKUP(_xlpm.target, _xlpm.vals, _xlpm.vals),
        CHOOSE({1,2,3,4,5,6}, S$1, V$1, Y$1, AB$1, AE$1, AH$1)
    )
)</f>
        <v>0.39584152677976886</v>
      </c>
    </row>
    <row r="1137" spans="9:36" x14ac:dyDescent="0.45">
      <c r="I1137">
        <v>1135</v>
      </c>
      <c r="J1137">
        <v>0</v>
      </c>
      <c r="K1137">
        <f t="shared" si="392"/>
        <v>0</v>
      </c>
      <c r="L1137">
        <f t="shared" si="391"/>
        <v>0</v>
      </c>
      <c r="M1137">
        <v>1.36</v>
      </c>
      <c r="N1137">
        <f t="shared" si="393"/>
        <v>1.36</v>
      </c>
      <c r="O1137">
        <f t="shared" si="394"/>
        <v>0</v>
      </c>
      <c r="P1137">
        <f t="shared" si="395"/>
        <v>0</v>
      </c>
      <c r="Q1137">
        <f t="shared" si="396"/>
        <v>1000</v>
      </c>
      <c r="R1137">
        <f t="shared" si="397"/>
        <v>12.987043356298662</v>
      </c>
      <c r="S1137">
        <f t="shared" si="398"/>
        <v>0.40403668247424895</v>
      </c>
      <c r="T1137">
        <f t="shared" si="399"/>
        <v>6000</v>
      </c>
      <c r="U1137">
        <f t="shared" si="400"/>
        <v>2.1645072260497766</v>
      </c>
      <c r="V1137">
        <f t="shared" si="401"/>
        <v>6.7137838093919529</v>
      </c>
      <c r="W1137">
        <f t="shared" si="402"/>
        <v>6000</v>
      </c>
      <c r="X1137">
        <f t="shared" si="403"/>
        <v>2.1645072260497766</v>
      </c>
      <c r="Y1137">
        <f t="shared" si="404"/>
        <v>6.7137838093919529</v>
      </c>
      <c r="Z1137">
        <f t="shared" si="405"/>
        <v>6000</v>
      </c>
      <c r="AA1137">
        <f t="shared" si="406"/>
        <v>2.1645072260497766</v>
      </c>
      <c r="AB1137">
        <f t="shared" si="407"/>
        <v>6.7137838093919529</v>
      </c>
      <c r="AC1137">
        <f t="shared" si="408"/>
        <v>6000</v>
      </c>
      <c r="AD1137">
        <f t="shared" si="409"/>
        <v>2.1645072260497766</v>
      </c>
      <c r="AE1137">
        <f t="shared" si="410"/>
        <v>6.7137838093919529</v>
      </c>
      <c r="AF1137">
        <f t="shared" si="411"/>
        <v>6000</v>
      </c>
      <c r="AG1137">
        <f t="shared" si="412"/>
        <v>2.1645072260497766</v>
      </c>
      <c r="AH1137">
        <f t="shared" si="413"/>
        <v>6.7137838093919529</v>
      </c>
      <c r="AI1137" cm="1">
        <f t="array" ref="AI1137">_xlfn.LET(
    _xlpm.vals,   _xlfn.HSTACK(S1137,V1137,Y1137,AB1137,AE1137,AH1137),
    _xlpm.ints,   _xlfn.HSTACK(R1137,U1137,X1137,AA1137,AD1137,AG1137),
    _xlpm.slopes, _xlfn.HSTACK(Q1137,T1137,W1137,Z1137,AC1137,AF1137),
    _xlpm.limit,  -0.00001*_xlpm.slopes + 0.1086*_xlpm.slopes + 63.253,
    _xlpm.mask,   (_xlpm.vals&gt;=0) * (_xlpm.ints&lt;=_xlpm.limit),
    _xlpm.validVals, _xlfn._xlws.FILTER(_xlpm.vals, _xlpm.mask),
    _xlpm.minVal, MIN(_xlpm.validVals),
    IFERROR( _xlfn.XMATCH(_xlpm.minVal, _xlpm.vals), "" )
)</f>
        <v>1</v>
      </c>
      <c r="AJ1137" cm="1">
        <f t="array" ref="AJ1137">_xlfn.LET(
    _xlpm.vals, CHOOSE({1,2,3,4,5,6}, S1137, V1137, Y1137, AB1137, AE1137, AH1137),
    _xlpm.slopes, CHOOSE({1,2,3,4,5,6}, Q1137, T1137, W1137, Z1137, AC1137, AF1137),
    _xlpm.ints, CHOOSE({1,2,3,4,5,6}, R1137, U1137, X1137, AA1137, AD1137, AG1137),
    _xlpm.limit, -0.00001*_xlpm.slopes + 0.1086*_xlpm.slopes + 63.253,
    _xlpm.valid, (_xlpm.vals &gt;= 0) * (_xlpm.ints &lt;= _xlpm.limit),
    _xlpm.target, MIN(_xlfn._xlws.FILTER(_xlpm.vals, _xlpm.valid)),
    IFERROR(
        _xlfn.XLOOKUP(_xlpm.target, _xlpm.vals, _xlpm.vals),
        CHOOSE({1,2,3,4,5,6}, S$1, V$1, Y$1, AB$1, AE$1, AH$1)
    )
)</f>
        <v>0.40403668247424895</v>
      </c>
    </row>
    <row r="1138" spans="9:36" x14ac:dyDescent="0.45">
      <c r="I1138">
        <v>1136</v>
      </c>
      <c r="J1138">
        <v>0</v>
      </c>
      <c r="K1138">
        <f t="shared" si="392"/>
        <v>0</v>
      </c>
      <c r="L1138">
        <f t="shared" si="391"/>
        <v>0</v>
      </c>
      <c r="M1138">
        <v>0.98</v>
      </c>
      <c r="N1138">
        <f t="shared" si="393"/>
        <v>0.98</v>
      </c>
      <c r="O1138">
        <f t="shared" si="394"/>
        <v>0</v>
      </c>
      <c r="P1138">
        <f t="shared" si="395"/>
        <v>0</v>
      </c>
      <c r="Q1138">
        <f t="shared" si="396"/>
        <v>1000</v>
      </c>
      <c r="R1138">
        <f t="shared" si="397"/>
        <v>9.3583106538034464</v>
      </c>
      <c r="S1138">
        <f t="shared" si="398"/>
        <v>0.37857045374971388</v>
      </c>
      <c r="T1138">
        <f t="shared" si="399"/>
        <v>6000</v>
      </c>
      <c r="U1138">
        <f t="shared" si="400"/>
        <v>1.5597184423005743</v>
      </c>
      <c r="V1138">
        <f t="shared" si="401"/>
        <v>6.7097872355151065</v>
      </c>
      <c r="W1138">
        <f t="shared" si="402"/>
        <v>6000</v>
      </c>
      <c r="X1138">
        <f t="shared" si="403"/>
        <v>1.5597184423005743</v>
      </c>
      <c r="Y1138">
        <f t="shared" si="404"/>
        <v>6.7097872355151065</v>
      </c>
      <c r="Z1138">
        <f t="shared" si="405"/>
        <v>6000</v>
      </c>
      <c r="AA1138">
        <f t="shared" si="406"/>
        <v>1.5597184423005743</v>
      </c>
      <c r="AB1138">
        <f t="shared" si="407"/>
        <v>6.7097872355151065</v>
      </c>
      <c r="AC1138">
        <f t="shared" si="408"/>
        <v>6000</v>
      </c>
      <c r="AD1138">
        <f t="shared" si="409"/>
        <v>1.5597184423005743</v>
      </c>
      <c r="AE1138">
        <f t="shared" si="410"/>
        <v>6.7097872355151065</v>
      </c>
      <c r="AF1138">
        <f t="shared" si="411"/>
        <v>6000</v>
      </c>
      <c r="AG1138">
        <f t="shared" si="412"/>
        <v>1.5597184423005743</v>
      </c>
      <c r="AH1138">
        <f t="shared" si="413"/>
        <v>6.7097872355151065</v>
      </c>
      <c r="AI1138" cm="1">
        <f t="array" ref="AI1138">_xlfn.LET(
    _xlpm.vals,   _xlfn.HSTACK(S1138,V1138,Y1138,AB1138,AE1138,AH1138),
    _xlpm.ints,   _xlfn.HSTACK(R1138,U1138,X1138,AA1138,AD1138,AG1138),
    _xlpm.slopes, _xlfn.HSTACK(Q1138,T1138,W1138,Z1138,AC1138,AF1138),
    _xlpm.limit,  -0.00001*_xlpm.slopes + 0.1086*_xlpm.slopes + 63.253,
    _xlpm.mask,   (_xlpm.vals&gt;=0) * (_xlpm.ints&lt;=_xlpm.limit),
    _xlpm.validVals, _xlfn._xlws.FILTER(_xlpm.vals, _xlpm.mask),
    _xlpm.minVal, MIN(_xlpm.validVals),
    IFERROR( _xlfn.XMATCH(_xlpm.minVal, _xlpm.vals), "" )
)</f>
        <v>1</v>
      </c>
      <c r="AJ1138" cm="1">
        <f t="array" ref="AJ1138">_xlfn.LET(
    _xlpm.vals, CHOOSE({1,2,3,4,5,6}, S1138, V1138, Y1138, AB1138, AE1138, AH1138),
    _xlpm.slopes, CHOOSE({1,2,3,4,5,6}, Q1138, T1138, W1138, Z1138, AC1138, AF1138),
    _xlpm.ints, CHOOSE({1,2,3,4,5,6}, R1138, U1138, X1138, AA1138, AD1138, AG1138),
    _xlpm.limit, -0.00001*_xlpm.slopes + 0.1086*_xlpm.slopes + 63.253,
    _xlpm.valid, (_xlpm.vals &gt;= 0) * (_xlpm.ints &lt;= _xlpm.limit),
    _xlpm.target, MIN(_xlfn._xlws.FILTER(_xlpm.vals, _xlpm.valid)),
    IFERROR(
        _xlfn.XLOOKUP(_xlpm.target, _xlpm.vals, _xlpm.vals),
        CHOOSE({1,2,3,4,5,6}, S$1, V$1, Y$1, AB$1, AE$1, AH$1)
    )
)</f>
        <v>0.37857045374971388</v>
      </c>
    </row>
    <row r="1139" spans="9:36" x14ac:dyDescent="0.45">
      <c r="I1139">
        <v>1137</v>
      </c>
      <c r="J1139">
        <v>0</v>
      </c>
      <c r="K1139">
        <f t="shared" si="392"/>
        <v>0</v>
      </c>
      <c r="L1139">
        <f t="shared" si="391"/>
        <v>0</v>
      </c>
      <c r="M1139">
        <v>0.85</v>
      </c>
      <c r="N1139">
        <f t="shared" si="393"/>
        <v>0.85</v>
      </c>
      <c r="O1139">
        <f t="shared" si="394"/>
        <v>0</v>
      </c>
      <c r="P1139">
        <f t="shared" si="395"/>
        <v>0</v>
      </c>
      <c r="Q1139">
        <f t="shared" si="396"/>
        <v>1000</v>
      </c>
      <c r="R1139">
        <f t="shared" si="397"/>
        <v>8.1169020976866637</v>
      </c>
      <c r="S1139">
        <f t="shared" si="398"/>
        <v>0.37019167955230636</v>
      </c>
      <c r="T1139">
        <f t="shared" si="399"/>
        <v>6000</v>
      </c>
      <c r="U1139">
        <f t="shared" si="400"/>
        <v>1.3528170162811104</v>
      </c>
      <c r="V1139">
        <f t="shared" si="401"/>
        <v>6.7084477904634747</v>
      </c>
      <c r="W1139">
        <f t="shared" si="402"/>
        <v>6000</v>
      </c>
      <c r="X1139">
        <f t="shared" si="403"/>
        <v>1.3528170162811104</v>
      </c>
      <c r="Y1139">
        <f t="shared" si="404"/>
        <v>6.7084477904634747</v>
      </c>
      <c r="Z1139">
        <f t="shared" si="405"/>
        <v>6000</v>
      </c>
      <c r="AA1139">
        <f t="shared" si="406"/>
        <v>1.3528170162811104</v>
      </c>
      <c r="AB1139">
        <f t="shared" si="407"/>
        <v>6.7084477904634747</v>
      </c>
      <c r="AC1139">
        <f t="shared" si="408"/>
        <v>6000</v>
      </c>
      <c r="AD1139">
        <f t="shared" si="409"/>
        <v>1.3528170162811104</v>
      </c>
      <c r="AE1139">
        <f t="shared" si="410"/>
        <v>6.7084477904634747</v>
      </c>
      <c r="AF1139">
        <f t="shared" si="411"/>
        <v>6000</v>
      </c>
      <c r="AG1139">
        <f t="shared" si="412"/>
        <v>1.3528170162811104</v>
      </c>
      <c r="AH1139">
        <f t="shared" si="413"/>
        <v>6.7084477904634747</v>
      </c>
      <c r="AI1139" cm="1">
        <f t="array" ref="AI1139">_xlfn.LET(
    _xlpm.vals,   _xlfn.HSTACK(S1139,V1139,Y1139,AB1139,AE1139,AH1139),
    _xlpm.ints,   _xlfn.HSTACK(R1139,U1139,X1139,AA1139,AD1139,AG1139),
    _xlpm.slopes, _xlfn.HSTACK(Q1139,T1139,W1139,Z1139,AC1139,AF1139),
    _xlpm.limit,  -0.00001*_xlpm.slopes + 0.1086*_xlpm.slopes + 63.253,
    _xlpm.mask,   (_xlpm.vals&gt;=0) * (_xlpm.ints&lt;=_xlpm.limit),
    _xlpm.validVals, _xlfn._xlws.FILTER(_xlpm.vals, _xlpm.mask),
    _xlpm.minVal, MIN(_xlpm.validVals),
    IFERROR( _xlfn.XMATCH(_xlpm.minVal, _xlpm.vals), "" )
)</f>
        <v>1</v>
      </c>
      <c r="AJ1139" cm="1">
        <f t="array" ref="AJ1139">_xlfn.LET(
    _xlpm.vals, CHOOSE({1,2,3,4,5,6}, S1139, V1139, Y1139, AB1139, AE1139, AH1139),
    _xlpm.slopes, CHOOSE({1,2,3,4,5,6}, Q1139, T1139, W1139, Z1139, AC1139, AF1139),
    _xlpm.ints, CHOOSE({1,2,3,4,5,6}, R1139, U1139, X1139, AA1139, AD1139, AG1139),
    _xlpm.limit, -0.00001*_xlpm.slopes + 0.1086*_xlpm.slopes + 63.253,
    _xlpm.valid, (_xlpm.vals &gt;= 0) * (_xlpm.ints &lt;= _xlpm.limit),
    _xlpm.target, MIN(_xlfn._xlws.FILTER(_xlpm.vals, _xlpm.valid)),
    IFERROR(
        _xlfn.XLOOKUP(_xlpm.target, _xlpm.vals, _xlpm.vals),
        CHOOSE({1,2,3,4,5,6}, S$1, V$1, Y$1, AB$1, AE$1, AH$1)
    )
)</f>
        <v>0.37019167955230636</v>
      </c>
    </row>
    <row r="1140" spans="9:36" x14ac:dyDescent="0.45">
      <c r="I1140">
        <v>1138</v>
      </c>
      <c r="J1140">
        <v>0</v>
      </c>
      <c r="K1140">
        <f t="shared" si="392"/>
        <v>0</v>
      </c>
      <c r="L1140">
        <f t="shared" si="391"/>
        <v>0</v>
      </c>
      <c r="M1140">
        <v>0.97</v>
      </c>
      <c r="N1140">
        <f t="shared" si="393"/>
        <v>0.97</v>
      </c>
      <c r="O1140">
        <f t="shared" si="394"/>
        <v>0</v>
      </c>
      <c r="P1140">
        <f t="shared" si="395"/>
        <v>0</v>
      </c>
      <c r="Q1140">
        <f t="shared" si="396"/>
        <v>1000</v>
      </c>
      <c r="R1140">
        <f t="shared" si="397"/>
        <v>9.26281768794831</v>
      </c>
      <c r="S1140">
        <f t="shared" si="398"/>
        <v>0.37791975732158206</v>
      </c>
      <c r="T1140">
        <f t="shared" si="399"/>
        <v>6000</v>
      </c>
      <c r="U1140">
        <f t="shared" si="400"/>
        <v>1.5438029479913848</v>
      </c>
      <c r="V1140">
        <f t="shared" si="401"/>
        <v>6.7096836973860823</v>
      </c>
      <c r="W1140">
        <f t="shared" si="402"/>
        <v>6000</v>
      </c>
      <c r="X1140">
        <f t="shared" si="403"/>
        <v>1.5438029479913848</v>
      </c>
      <c r="Y1140">
        <f t="shared" si="404"/>
        <v>6.7096836973860823</v>
      </c>
      <c r="Z1140">
        <f t="shared" si="405"/>
        <v>6000</v>
      </c>
      <c r="AA1140">
        <f t="shared" si="406"/>
        <v>1.5438029479913848</v>
      </c>
      <c r="AB1140">
        <f t="shared" si="407"/>
        <v>6.7096836973860823</v>
      </c>
      <c r="AC1140">
        <f t="shared" si="408"/>
        <v>6000</v>
      </c>
      <c r="AD1140">
        <f t="shared" si="409"/>
        <v>1.5438029479913848</v>
      </c>
      <c r="AE1140">
        <f t="shared" si="410"/>
        <v>6.7096836973860823</v>
      </c>
      <c r="AF1140">
        <f t="shared" si="411"/>
        <v>6000</v>
      </c>
      <c r="AG1140">
        <f t="shared" si="412"/>
        <v>1.5438029479913848</v>
      </c>
      <c r="AH1140">
        <f t="shared" si="413"/>
        <v>6.7096836973860823</v>
      </c>
      <c r="AI1140" cm="1">
        <f t="array" ref="AI1140">_xlfn.LET(
    _xlpm.vals,   _xlfn.HSTACK(S1140,V1140,Y1140,AB1140,AE1140,AH1140),
    _xlpm.ints,   _xlfn.HSTACK(R1140,U1140,X1140,AA1140,AD1140,AG1140),
    _xlpm.slopes, _xlfn.HSTACK(Q1140,T1140,W1140,Z1140,AC1140,AF1140),
    _xlpm.limit,  -0.00001*_xlpm.slopes + 0.1086*_xlpm.slopes + 63.253,
    _xlpm.mask,   (_xlpm.vals&gt;=0) * (_xlpm.ints&lt;=_xlpm.limit),
    _xlpm.validVals, _xlfn._xlws.FILTER(_xlpm.vals, _xlpm.mask),
    _xlpm.minVal, MIN(_xlpm.validVals),
    IFERROR( _xlfn.XMATCH(_xlpm.minVal, _xlpm.vals), "" )
)</f>
        <v>1</v>
      </c>
      <c r="AJ1140" cm="1">
        <f t="array" ref="AJ1140">_xlfn.LET(
    _xlpm.vals, CHOOSE({1,2,3,4,5,6}, S1140, V1140, Y1140, AB1140, AE1140, AH1140),
    _xlpm.slopes, CHOOSE({1,2,3,4,5,6}, Q1140, T1140, W1140, Z1140, AC1140, AF1140),
    _xlpm.ints, CHOOSE({1,2,3,4,5,6}, R1140, U1140, X1140, AA1140, AD1140, AG1140),
    _xlpm.limit, -0.00001*_xlpm.slopes + 0.1086*_xlpm.slopes + 63.253,
    _xlpm.valid, (_xlpm.vals &gt;= 0) * (_xlpm.ints &lt;= _xlpm.limit),
    _xlpm.target, MIN(_xlfn._xlws.FILTER(_xlpm.vals, _xlpm.valid)),
    IFERROR(
        _xlfn.XLOOKUP(_xlpm.target, _xlpm.vals, _xlpm.vals),
        CHOOSE({1,2,3,4,5,6}, S$1, V$1, Y$1, AB$1, AE$1, AH$1)
    )
)</f>
        <v>0.37791975732158206</v>
      </c>
    </row>
    <row r="1141" spans="9:36" x14ac:dyDescent="0.45">
      <c r="I1141">
        <v>1139</v>
      </c>
      <c r="J1141">
        <v>0</v>
      </c>
      <c r="K1141">
        <f t="shared" si="392"/>
        <v>0</v>
      </c>
      <c r="L1141">
        <f t="shared" si="391"/>
        <v>0</v>
      </c>
      <c r="M1141">
        <v>1.4</v>
      </c>
      <c r="N1141">
        <f t="shared" si="393"/>
        <v>1.4</v>
      </c>
      <c r="O1141">
        <f t="shared" si="394"/>
        <v>0</v>
      </c>
      <c r="P1141">
        <f t="shared" si="395"/>
        <v>0</v>
      </c>
      <c r="Q1141">
        <f t="shared" si="396"/>
        <v>1000</v>
      </c>
      <c r="R1141">
        <f t="shared" si="397"/>
        <v>13.369015219719209</v>
      </c>
      <c r="S1141">
        <f t="shared" si="398"/>
        <v>0.40679901032381666</v>
      </c>
      <c r="T1141">
        <f t="shared" si="399"/>
        <v>6000</v>
      </c>
      <c r="U1141">
        <f t="shared" si="400"/>
        <v>2.228169203286535</v>
      </c>
      <c r="V1141">
        <f t="shared" si="401"/>
        <v>6.7142115337577106</v>
      </c>
      <c r="W1141">
        <f t="shared" si="402"/>
        <v>6000</v>
      </c>
      <c r="X1141">
        <f t="shared" si="403"/>
        <v>2.228169203286535</v>
      </c>
      <c r="Y1141">
        <f t="shared" si="404"/>
        <v>6.7142115337577106</v>
      </c>
      <c r="Z1141">
        <f t="shared" si="405"/>
        <v>6000</v>
      </c>
      <c r="AA1141">
        <f t="shared" si="406"/>
        <v>2.228169203286535</v>
      </c>
      <c r="AB1141">
        <f t="shared" si="407"/>
        <v>6.7142115337577106</v>
      </c>
      <c r="AC1141">
        <f t="shared" si="408"/>
        <v>6000</v>
      </c>
      <c r="AD1141">
        <f t="shared" si="409"/>
        <v>2.228169203286535</v>
      </c>
      <c r="AE1141">
        <f t="shared" si="410"/>
        <v>6.7142115337577106</v>
      </c>
      <c r="AF1141">
        <f t="shared" si="411"/>
        <v>6000</v>
      </c>
      <c r="AG1141">
        <f t="shared" si="412"/>
        <v>2.228169203286535</v>
      </c>
      <c r="AH1141">
        <f t="shared" si="413"/>
        <v>6.7142115337577106</v>
      </c>
      <c r="AI1141" cm="1">
        <f t="array" ref="AI1141">_xlfn.LET(
    _xlpm.vals,   _xlfn.HSTACK(S1141,V1141,Y1141,AB1141,AE1141,AH1141),
    _xlpm.ints,   _xlfn.HSTACK(R1141,U1141,X1141,AA1141,AD1141,AG1141),
    _xlpm.slopes, _xlfn.HSTACK(Q1141,T1141,W1141,Z1141,AC1141,AF1141),
    _xlpm.limit,  -0.00001*_xlpm.slopes + 0.1086*_xlpm.slopes + 63.253,
    _xlpm.mask,   (_xlpm.vals&gt;=0) * (_xlpm.ints&lt;=_xlpm.limit),
    _xlpm.validVals, _xlfn._xlws.FILTER(_xlpm.vals, _xlpm.mask),
    _xlpm.minVal, MIN(_xlpm.validVals),
    IFERROR( _xlfn.XMATCH(_xlpm.minVal, _xlpm.vals), "" )
)</f>
        <v>1</v>
      </c>
      <c r="AJ1141" cm="1">
        <f t="array" ref="AJ1141">_xlfn.LET(
    _xlpm.vals, CHOOSE({1,2,3,4,5,6}, S1141, V1141, Y1141, AB1141, AE1141, AH1141),
    _xlpm.slopes, CHOOSE({1,2,3,4,5,6}, Q1141, T1141, W1141, Z1141, AC1141, AF1141),
    _xlpm.ints, CHOOSE({1,2,3,4,5,6}, R1141, U1141, X1141, AA1141, AD1141, AG1141),
    _xlpm.limit, -0.00001*_xlpm.slopes + 0.1086*_xlpm.slopes + 63.253,
    _xlpm.valid, (_xlpm.vals &gt;= 0) * (_xlpm.ints &lt;= _xlpm.limit),
    _xlpm.target, MIN(_xlfn._xlws.FILTER(_xlpm.vals, _xlpm.valid)),
    IFERROR(
        _xlfn.XLOOKUP(_xlpm.target, _xlpm.vals, _xlpm.vals),
        CHOOSE({1,2,3,4,5,6}, S$1, V$1, Y$1, AB$1, AE$1, AH$1)
    )
)</f>
        <v>0.40679901032381666</v>
      </c>
    </row>
    <row r="1142" spans="9:36" x14ac:dyDescent="0.45">
      <c r="I1142">
        <v>1140</v>
      </c>
      <c r="J1142">
        <v>0</v>
      </c>
      <c r="K1142">
        <f t="shared" si="392"/>
        <v>0</v>
      </c>
      <c r="L1142">
        <f t="shared" si="391"/>
        <v>0</v>
      </c>
      <c r="M1142">
        <v>1.24</v>
      </c>
      <c r="N1142">
        <f t="shared" si="393"/>
        <v>1.24</v>
      </c>
      <c r="O1142">
        <f t="shared" si="394"/>
        <v>0</v>
      </c>
      <c r="P1142">
        <f t="shared" si="395"/>
        <v>0</v>
      </c>
      <c r="Q1142">
        <f t="shared" si="396"/>
        <v>1000</v>
      </c>
      <c r="R1142">
        <f t="shared" si="397"/>
        <v>11.841127766037014</v>
      </c>
      <c r="S1142">
        <f t="shared" si="398"/>
        <v>0.39584152677976886</v>
      </c>
      <c r="T1142">
        <f t="shared" si="399"/>
        <v>6000</v>
      </c>
      <c r="U1142">
        <f t="shared" si="400"/>
        <v>1.9735212943395022</v>
      </c>
      <c r="V1142">
        <f t="shared" si="401"/>
        <v>6.7125086662998772</v>
      </c>
      <c r="W1142">
        <f t="shared" si="402"/>
        <v>6000</v>
      </c>
      <c r="X1142">
        <f t="shared" si="403"/>
        <v>1.9735212943395022</v>
      </c>
      <c r="Y1142">
        <f t="shared" si="404"/>
        <v>6.7125086662998772</v>
      </c>
      <c r="Z1142">
        <f t="shared" si="405"/>
        <v>6000</v>
      </c>
      <c r="AA1142">
        <f t="shared" si="406"/>
        <v>1.9735212943395022</v>
      </c>
      <c r="AB1142">
        <f t="shared" si="407"/>
        <v>6.7125086662998772</v>
      </c>
      <c r="AC1142">
        <f t="shared" si="408"/>
        <v>6000</v>
      </c>
      <c r="AD1142">
        <f t="shared" si="409"/>
        <v>1.9735212943395022</v>
      </c>
      <c r="AE1142">
        <f t="shared" si="410"/>
        <v>6.7125086662998772</v>
      </c>
      <c r="AF1142">
        <f t="shared" si="411"/>
        <v>6000</v>
      </c>
      <c r="AG1142">
        <f t="shared" si="412"/>
        <v>1.9735212943395022</v>
      </c>
      <c r="AH1142">
        <f t="shared" si="413"/>
        <v>6.7125086662998772</v>
      </c>
      <c r="AI1142" cm="1">
        <f t="array" ref="AI1142">_xlfn.LET(
    _xlpm.vals,   _xlfn.HSTACK(S1142,V1142,Y1142,AB1142,AE1142,AH1142),
    _xlpm.ints,   _xlfn.HSTACK(R1142,U1142,X1142,AA1142,AD1142,AG1142),
    _xlpm.slopes, _xlfn.HSTACK(Q1142,T1142,W1142,Z1142,AC1142,AF1142),
    _xlpm.limit,  -0.00001*_xlpm.slopes + 0.1086*_xlpm.slopes + 63.253,
    _xlpm.mask,   (_xlpm.vals&gt;=0) * (_xlpm.ints&lt;=_xlpm.limit),
    _xlpm.validVals, _xlfn._xlws.FILTER(_xlpm.vals, _xlpm.mask),
    _xlpm.minVal, MIN(_xlpm.validVals),
    IFERROR( _xlfn.XMATCH(_xlpm.minVal, _xlpm.vals), "" )
)</f>
        <v>1</v>
      </c>
      <c r="AJ1142" cm="1">
        <f t="array" ref="AJ1142">_xlfn.LET(
    _xlpm.vals, CHOOSE({1,2,3,4,5,6}, S1142, V1142, Y1142, AB1142, AE1142, AH1142),
    _xlpm.slopes, CHOOSE({1,2,3,4,5,6}, Q1142, T1142, W1142, Z1142, AC1142, AF1142),
    _xlpm.ints, CHOOSE({1,2,3,4,5,6}, R1142, U1142, X1142, AA1142, AD1142, AG1142),
    _xlpm.limit, -0.00001*_xlpm.slopes + 0.1086*_xlpm.slopes + 63.253,
    _xlpm.valid, (_xlpm.vals &gt;= 0) * (_xlpm.ints &lt;= _xlpm.limit),
    _xlpm.target, MIN(_xlfn._xlws.FILTER(_xlpm.vals, _xlpm.valid)),
    IFERROR(
        _xlfn.XLOOKUP(_xlpm.target, _xlpm.vals, _xlpm.vals),
        CHOOSE({1,2,3,4,5,6}, S$1, V$1, Y$1, AB$1, AE$1, AH$1)
    )
)</f>
        <v>0.39584152677976886</v>
      </c>
    </row>
    <row r="1143" spans="9:36" x14ac:dyDescent="0.45">
      <c r="I1143">
        <v>1141</v>
      </c>
      <c r="J1143">
        <v>0</v>
      </c>
      <c r="K1143">
        <f t="shared" si="392"/>
        <v>0</v>
      </c>
      <c r="L1143">
        <f t="shared" si="391"/>
        <v>0</v>
      </c>
      <c r="M1143">
        <v>1.21</v>
      </c>
      <c r="N1143">
        <f t="shared" si="393"/>
        <v>1.21</v>
      </c>
      <c r="O1143">
        <f t="shared" si="394"/>
        <v>0</v>
      </c>
      <c r="P1143">
        <f t="shared" si="395"/>
        <v>0</v>
      </c>
      <c r="Q1143">
        <f t="shared" si="396"/>
        <v>1000</v>
      </c>
      <c r="R1143">
        <f t="shared" si="397"/>
        <v>11.554648868471602</v>
      </c>
      <c r="S1143">
        <f t="shared" si="398"/>
        <v>0.39381451894096864</v>
      </c>
      <c r="T1143">
        <f t="shared" si="399"/>
        <v>6000</v>
      </c>
      <c r="U1143">
        <f t="shared" si="400"/>
        <v>1.9257748114119337</v>
      </c>
      <c r="V1143">
        <f t="shared" si="401"/>
        <v>6.7121917637580824</v>
      </c>
      <c r="W1143">
        <f t="shared" si="402"/>
        <v>6000</v>
      </c>
      <c r="X1143">
        <f t="shared" si="403"/>
        <v>1.9257748114119337</v>
      </c>
      <c r="Y1143">
        <f t="shared" si="404"/>
        <v>6.7121917637580824</v>
      </c>
      <c r="Z1143">
        <f t="shared" si="405"/>
        <v>6000</v>
      </c>
      <c r="AA1143">
        <f t="shared" si="406"/>
        <v>1.9257748114119337</v>
      </c>
      <c r="AB1143">
        <f t="shared" si="407"/>
        <v>6.7121917637580824</v>
      </c>
      <c r="AC1143">
        <f t="shared" si="408"/>
        <v>6000</v>
      </c>
      <c r="AD1143">
        <f t="shared" si="409"/>
        <v>1.9257748114119337</v>
      </c>
      <c r="AE1143">
        <f t="shared" si="410"/>
        <v>6.7121917637580824</v>
      </c>
      <c r="AF1143">
        <f t="shared" si="411"/>
        <v>6000</v>
      </c>
      <c r="AG1143">
        <f t="shared" si="412"/>
        <v>1.9257748114119337</v>
      </c>
      <c r="AH1143">
        <f t="shared" si="413"/>
        <v>6.7121917637580824</v>
      </c>
      <c r="AI1143" cm="1">
        <f t="array" ref="AI1143">_xlfn.LET(
    _xlpm.vals,   _xlfn.HSTACK(S1143,V1143,Y1143,AB1143,AE1143,AH1143),
    _xlpm.ints,   _xlfn.HSTACK(R1143,U1143,X1143,AA1143,AD1143,AG1143),
    _xlpm.slopes, _xlfn.HSTACK(Q1143,T1143,W1143,Z1143,AC1143,AF1143),
    _xlpm.limit,  -0.00001*_xlpm.slopes + 0.1086*_xlpm.slopes + 63.253,
    _xlpm.mask,   (_xlpm.vals&gt;=0) * (_xlpm.ints&lt;=_xlpm.limit),
    _xlpm.validVals, _xlfn._xlws.FILTER(_xlpm.vals, _xlpm.mask),
    _xlpm.minVal, MIN(_xlpm.validVals),
    IFERROR( _xlfn.XMATCH(_xlpm.minVal, _xlpm.vals), "" )
)</f>
        <v>1</v>
      </c>
      <c r="AJ1143" cm="1">
        <f t="array" ref="AJ1143">_xlfn.LET(
    _xlpm.vals, CHOOSE({1,2,3,4,5,6}, S1143, V1143, Y1143, AB1143, AE1143, AH1143),
    _xlpm.slopes, CHOOSE({1,2,3,4,5,6}, Q1143, T1143, W1143, Z1143, AC1143, AF1143),
    _xlpm.ints, CHOOSE({1,2,3,4,5,6}, R1143, U1143, X1143, AA1143, AD1143, AG1143),
    _xlpm.limit, -0.00001*_xlpm.slopes + 0.1086*_xlpm.slopes + 63.253,
    _xlpm.valid, (_xlpm.vals &gt;= 0) * (_xlpm.ints &lt;= _xlpm.limit),
    _xlpm.target, MIN(_xlfn._xlws.FILTER(_xlpm.vals, _xlpm.valid)),
    IFERROR(
        _xlfn.XLOOKUP(_xlpm.target, _xlpm.vals, _xlpm.vals),
        CHOOSE({1,2,3,4,5,6}, S$1, V$1, Y$1, AB$1, AE$1, AH$1)
    )
)</f>
        <v>0.39381451894096864</v>
      </c>
    </row>
    <row r="1144" spans="9:36" x14ac:dyDescent="0.45">
      <c r="I1144">
        <v>1142</v>
      </c>
      <c r="J1144">
        <v>0</v>
      </c>
      <c r="K1144">
        <f t="shared" si="392"/>
        <v>0</v>
      </c>
      <c r="L1144">
        <f t="shared" si="391"/>
        <v>0</v>
      </c>
      <c r="M1144">
        <v>1.19</v>
      </c>
      <c r="N1144">
        <f t="shared" si="393"/>
        <v>1.19</v>
      </c>
      <c r="O1144">
        <f t="shared" si="394"/>
        <v>0</v>
      </c>
      <c r="P1144">
        <f t="shared" si="395"/>
        <v>0</v>
      </c>
      <c r="Q1144">
        <f t="shared" si="396"/>
        <v>1000</v>
      </c>
      <c r="R1144">
        <f t="shared" si="397"/>
        <v>11.363662936761328</v>
      </c>
      <c r="S1144">
        <f t="shared" si="398"/>
        <v>0.39246807210629286</v>
      </c>
      <c r="T1144">
        <f t="shared" si="399"/>
        <v>6000</v>
      </c>
      <c r="U1144">
        <f t="shared" si="400"/>
        <v>1.8939438227935546</v>
      </c>
      <c r="V1144">
        <f t="shared" si="401"/>
        <v>6.711980914131062</v>
      </c>
      <c r="W1144">
        <f t="shared" si="402"/>
        <v>6000</v>
      </c>
      <c r="X1144">
        <f t="shared" si="403"/>
        <v>1.8939438227935546</v>
      </c>
      <c r="Y1144">
        <f t="shared" si="404"/>
        <v>6.711980914131062</v>
      </c>
      <c r="Z1144">
        <f t="shared" si="405"/>
        <v>6000</v>
      </c>
      <c r="AA1144">
        <f t="shared" si="406"/>
        <v>1.8939438227935546</v>
      </c>
      <c r="AB1144">
        <f t="shared" si="407"/>
        <v>6.711980914131062</v>
      </c>
      <c r="AC1144">
        <f t="shared" si="408"/>
        <v>6000</v>
      </c>
      <c r="AD1144">
        <f t="shared" si="409"/>
        <v>1.8939438227935546</v>
      </c>
      <c r="AE1144">
        <f t="shared" si="410"/>
        <v>6.711980914131062</v>
      </c>
      <c r="AF1144">
        <f t="shared" si="411"/>
        <v>6000</v>
      </c>
      <c r="AG1144">
        <f t="shared" si="412"/>
        <v>1.8939438227935546</v>
      </c>
      <c r="AH1144">
        <f t="shared" si="413"/>
        <v>6.711980914131062</v>
      </c>
      <c r="AI1144" cm="1">
        <f t="array" ref="AI1144">_xlfn.LET(
    _xlpm.vals,   _xlfn.HSTACK(S1144,V1144,Y1144,AB1144,AE1144,AH1144),
    _xlpm.ints,   _xlfn.HSTACK(R1144,U1144,X1144,AA1144,AD1144,AG1144),
    _xlpm.slopes, _xlfn.HSTACK(Q1144,T1144,W1144,Z1144,AC1144,AF1144),
    _xlpm.limit,  -0.00001*_xlpm.slopes + 0.1086*_xlpm.slopes + 63.253,
    _xlpm.mask,   (_xlpm.vals&gt;=0) * (_xlpm.ints&lt;=_xlpm.limit),
    _xlpm.validVals, _xlfn._xlws.FILTER(_xlpm.vals, _xlpm.mask),
    _xlpm.minVal, MIN(_xlpm.validVals),
    IFERROR( _xlfn.XMATCH(_xlpm.minVal, _xlpm.vals), "" )
)</f>
        <v>1</v>
      </c>
      <c r="AJ1144" cm="1">
        <f t="array" ref="AJ1144">_xlfn.LET(
    _xlpm.vals, CHOOSE({1,2,3,4,5,6}, S1144, V1144, Y1144, AB1144, AE1144, AH1144),
    _xlpm.slopes, CHOOSE({1,2,3,4,5,6}, Q1144, T1144, W1144, Z1144, AC1144, AF1144),
    _xlpm.ints, CHOOSE({1,2,3,4,5,6}, R1144, U1144, X1144, AA1144, AD1144, AG1144),
    _xlpm.limit, -0.00001*_xlpm.slopes + 0.1086*_xlpm.slopes + 63.253,
    _xlpm.valid, (_xlpm.vals &gt;= 0) * (_xlpm.ints &lt;= _xlpm.limit),
    _xlpm.target, MIN(_xlfn._xlws.FILTER(_xlpm.vals, _xlpm.valid)),
    IFERROR(
        _xlfn.XLOOKUP(_xlpm.target, _xlpm.vals, _xlpm.vals),
        CHOOSE({1,2,3,4,5,6}, S$1, V$1, Y$1, AB$1, AE$1, AH$1)
    )
)</f>
        <v>0.39246807210629286</v>
      </c>
    </row>
    <row r="1145" spans="9:36" x14ac:dyDescent="0.45">
      <c r="I1145">
        <v>1143</v>
      </c>
      <c r="J1145">
        <v>0.4</v>
      </c>
      <c r="K1145">
        <f t="shared" si="392"/>
        <v>0.4</v>
      </c>
      <c r="L1145">
        <f t="shared" si="391"/>
        <v>1.1111111111111112E-4</v>
      </c>
      <c r="M1145">
        <v>1.47</v>
      </c>
      <c r="N1145">
        <f t="shared" si="393"/>
        <v>1.47</v>
      </c>
      <c r="O1145">
        <f t="shared" si="394"/>
        <v>5.1980731148712982</v>
      </c>
      <c r="P1145">
        <f t="shared" si="395"/>
        <v>16.633833967588156</v>
      </c>
      <c r="Q1145">
        <f t="shared" si="396"/>
        <v>1000</v>
      </c>
      <c r="R1145">
        <f t="shared" si="397"/>
        <v>14.03746598070517</v>
      </c>
      <c r="S1145">
        <f t="shared" si="398"/>
        <v>0.41166937451981789</v>
      </c>
      <c r="T1145">
        <f t="shared" si="399"/>
        <v>6000</v>
      </c>
      <c r="U1145">
        <f t="shared" si="400"/>
        <v>2.3395776634508616</v>
      </c>
      <c r="V1145">
        <f t="shared" si="401"/>
        <v>6.7149632692814114</v>
      </c>
      <c r="W1145">
        <f t="shared" si="402"/>
        <v>6000</v>
      </c>
      <c r="X1145">
        <f t="shared" si="403"/>
        <v>2.3395776634508616</v>
      </c>
      <c r="Y1145">
        <f t="shared" si="404"/>
        <v>6.7149632692814114</v>
      </c>
      <c r="Z1145">
        <f t="shared" si="405"/>
        <v>6000</v>
      </c>
      <c r="AA1145">
        <f t="shared" si="406"/>
        <v>2.3395776634508616</v>
      </c>
      <c r="AB1145">
        <f t="shared" si="407"/>
        <v>6.7149632692814114</v>
      </c>
      <c r="AC1145">
        <f t="shared" si="408"/>
        <v>6000</v>
      </c>
      <c r="AD1145">
        <f t="shared" si="409"/>
        <v>2.3395776634508616</v>
      </c>
      <c r="AE1145">
        <f t="shared" si="410"/>
        <v>6.7149632692814114</v>
      </c>
      <c r="AF1145">
        <f t="shared" si="411"/>
        <v>6000</v>
      </c>
      <c r="AG1145">
        <f t="shared" si="412"/>
        <v>2.3395776634508616</v>
      </c>
      <c r="AH1145">
        <f t="shared" si="413"/>
        <v>6.7149632692814114</v>
      </c>
      <c r="AI1145" cm="1">
        <f t="array" ref="AI1145">_xlfn.LET(
    _xlpm.vals,   _xlfn.HSTACK(S1145,V1145,Y1145,AB1145,AE1145,AH1145),
    _xlpm.ints,   _xlfn.HSTACK(R1145,U1145,X1145,AA1145,AD1145,AG1145),
    _xlpm.slopes, _xlfn.HSTACK(Q1145,T1145,W1145,Z1145,AC1145,AF1145),
    _xlpm.limit,  -0.00001*_xlpm.slopes + 0.1086*_xlpm.slopes + 63.253,
    _xlpm.mask,   (_xlpm.vals&gt;=0) * (_xlpm.ints&lt;=_xlpm.limit),
    _xlpm.validVals, _xlfn._xlws.FILTER(_xlpm.vals, _xlpm.mask),
    _xlpm.minVal, MIN(_xlpm.validVals),
    IFERROR( _xlfn.XMATCH(_xlpm.minVal, _xlpm.vals), "" )
)</f>
        <v>1</v>
      </c>
      <c r="AJ1145" cm="1">
        <f t="array" ref="AJ1145">_xlfn.LET(
    _xlpm.vals, CHOOSE({1,2,3,4,5,6}, S1145, V1145, Y1145, AB1145, AE1145, AH1145),
    _xlpm.slopes, CHOOSE({1,2,3,4,5,6}, Q1145, T1145, W1145, Z1145, AC1145, AF1145),
    _xlpm.ints, CHOOSE({1,2,3,4,5,6}, R1145, U1145, X1145, AA1145, AD1145, AG1145),
    _xlpm.limit, -0.00001*_xlpm.slopes + 0.1086*_xlpm.slopes + 63.253,
    _xlpm.valid, (_xlpm.vals &gt;= 0) * (_xlpm.ints &lt;= _xlpm.limit),
    _xlpm.target, MIN(_xlfn._xlws.FILTER(_xlpm.vals, _xlpm.valid)),
    IFERROR(
        _xlfn.XLOOKUP(_xlpm.target, _xlpm.vals, _xlpm.vals),
        CHOOSE({1,2,3,4,5,6}, S$1, V$1, Y$1, AB$1, AE$1, AH$1)
    )
)</f>
        <v>0.41166937451981789</v>
      </c>
    </row>
    <row r="1146" spans="9:36" x14ac:dyDescent="0.45">
      <c r="I1146">
        <v>1144</v>
      </c>
      <c r="J1146">
        <v>1.9</v>
      </c>
      <c r="K1146">
        <f t="shared" si="392"/>
        <v>1.9</v>
      </c>
      <c r="L1146">
        <f t="shared" si="391"/>
        <v>5.2777777777777773E-4</v>
      </c>
      <c r="M1146">
        <v>4.03</v>
      </c>
      <c r="N1146">
        <f t="shared" si="393"/>
        <v>4.03</v>
      </c>
      <c r="O1146">
        <f t="shared" si="394"/>
        <v>24.690847295638665</v>
      </c>
      <c r="P1146">
        <f t="shared" si="395"/>
        <v>79.010711346043735</v>
      </c>
      <c r="Q1146">
        <f t="shared" si="396"/>
        <v>1000</v>
      </c>
      <c r="R1146">
        <f t="shared" si="397"/>
        <v>38.483665239620301</v>
      </c>
      <c r="S1146">
        <f t="shared" si="398"/>
        <v>0.61607345599439345</v>
      </c>
      <c r="T1146">
        <f t="shared" si="399"/>
        <v>6000</v>
      </c>
      <c r="U1146">
        <f t="shared" si="400"/>
        <v>6.4139442066033832</v>
      </c>
      <c r="V1146">
        <f t="shared" si="401"/>
        <v>6.745243791156911</v>
      </c>
      <c r="W1146">
        <f t="shared" si="402"/>
        <v>6000</v>
      </c>
      <c r="X1146">
        <f t="shared" si="403"/>
        <v>6.4139442066033832</v>
      </c>
      <c r="Y1146">
        <f t="shared" si="404"/>
        <v>6.745243791156911</v>
      </c>
      <c r="Z1146">
        <f t="shared" si="405"/>
        <v>6000</v>
      </c>
      <c r="AA1146">
        <f t="shared" si="406"/>
        <v>6.4139442066033832</v>
      </c>
      <c r="AB1146">
        <f t="shared" si="407"/>
        <v>6.745243791156911</v>
      </c>
      <c r="AC1146">
        <f t="shared" si="408"/>
        <v>6000</v>
      </c>
      <c r="AD1146">
        <f t="shared" si="409"/>
        <v>6.4139442066033832</v>
      </c>
      <c r="AE1146">
        <f t="shared" si="410"/>
        <v>6.745243791156911</v>
      </c>
      <c r="AF1146">
        <f t="shared" si="411"/>
        <v>6000</v>
      </c>
      <c r="AG1146">
        <f t="shared" si="412"/>
        <v>6.4139442066033832</v>
      </c>
      <c r="AH1146">
        <f t="shared" si="413"/>
        <v>6.745243791156911</v>
      </c>
      <c r="AI1146" cm="1">
        <f t="array" ref="AI1146">_xlfn.LET(
    _xlpm.vals,   _xlfn.HSTACK(S1146,V1146,Y1146,AB1146,AE1146,AH1146),
    _xlpm.ints,   _xlfn.HSTACK(R1146,U1146,X1146,AA1146,AD1146,AG1146),
    _xlpm.slopes, _xlfn.HSTACK(Q1146,T1146,W1146,Z1146,AC1146,AF1146),
    _xlpm.limit,  -0.00001*_xlpm.slopes + 0.1086*_xlpm.slopes + 63.253,
    _xlpm.mask,   (_xlpm.vals&gt;=0) * (_xlpm.ints&lt;=_xlpm.limit),
    _xlpm.validVals, _xlfn._xlws.FILTER(_xlpm.vals, _xlpm.mask),
    _xlpm.minVal, MIN(_xlpm.validVals),
    IFERROR( _xlfn.XMATCH(_xlpm.minVal, _xlpm.vals), "" )
)</f>
        <v>1</v>
      </c>
      <c r="AJ1146" cm="1">
        <f t="array" ref="AJ1146">_xlfn.LET(
    _xlpm.vals, CHOOSE({1,2,3,4,5,6}, S1146, V1146, Y1146, AB1146, AE1146, AH1146),
    _xlpm.slopes, CHOOSE({1,2,3,4,5,6}, Q1146, T1146, W1146, Z1146, AC1146, AF1146),
    _xlpm.ints, CHOOSE({1,2,3,4,5,6}, R1146, U1146, X1146, AA1146, AD1146, AG1146),
    _xlpm.limit, -0.00001*_xlpm.slopes + 0.1086*_xlpm.slopes + 63.253,
    _xlpm.valid, (_xlpm.vals &gt;= 0) * (_xlpm.ints &lt;= _xlpm.limit),
    _xlpm.target, MIN(_xlfn._xlws.FILTER(_xlpm.vals, _xlpm.valid)),
    IFERROR(
        _xlfn.XLOOKUP(_xlpm.target, _xlpm.vals, _xlpm.vals),
        CHOOSE({1,2,3,4,5,6}, S$1, V$1, Y$1, AB$1, AE$1, AH$1)
    )
)</f>
        <v>0.61607345599439345</v>
      </c>
    </row>
    <row r="1147" spans="9:36" x14ac:dyDescent="0.45">
      <c r="I1147">
        <v>1145</v>
      </c>
      <c r="J1147">
        <v>5.2</v>
      </c>
      <c r="K1147">
        <f t="shared" si="392"/>
        <v>5.2</v>
      </c>
      <c r="L1147">
        <f t="shared" si="391"/>
        <v>1.4444444444444446E-3</v>
      </c>
      <c r="M1147">
        <v>9</v>
      </c>
      <c r="N1147">
        <f t="shared" si="393"/>
        <v>9</v>
      </c>
      <c r="O1147">
        <f t="shared" si="394"/>
        <v>67.574950493326881</v>
      </c>
      <c r="P1147">
        <f t="shared" si="395"/>
        <v>216.23984157864604</v>
      </c>
      <c r="Q1147">
        <f t="shared" si="396"/>
        <v>1000</v>
      </c>
      <c r="R1147">
        <f t="shared" si="397"/>
        <v>85.943669269623484</v>
      </c>
      <c r="S1147">
        <f t="shared" si="398"/>
        <v>1.0728896761431499</v>
      </c>
      <c r="T1147">
        <f t="shared" si="399"/>
        <v>6000</v>
      </c>
      <c r="U1147">
        <f t="shared" si="400"/>
        <v>14.323944878270581</v>
      </c>
      <c r="V1147">
        <f t="shared" si="401"/>
        <v>6.8191315041373981</v>
      </c>
      <c r="W1147">
        <f t="shared" si="402"/>
        <v>6000</v>
      </c>
      <c r="X1147">
        <f t="shared" si="403"/>
        <v>14.323944878270581</v>
      </c>
      <c r="Y1147">
        <f t="shared" si="404"/>
        <v>6.8191315041373981</v>
      </c>
      <c r="Z1147">
        <f t="shared" si="405"/>
        <v>6000</v>
      </c>
      <c r="AA1147">
        <f t="shared" si="406"/>
        <v>14.323944878270581</v>
      </c>
      <c r="AB1147">
        <f t="shared" si="407"/>
        <v>6.8191315041373981</v>
      </c>
      <c r="AC1147">
        <f t="shared" si="408"/>
        <v>6000</v>
      </c>
      <c r="AD1147">
        <f t="shared" si="409"/>
        <v>14.323944878270581</v>
      </c>
      <c r="AE1147">
        <f t="shared" si="410"/>
        <v>6.8191315041373981</v>
      </c>
      <c r="AF1147">
        <f t="shared" si="411"/>
        <v>6000</v>
      </c>
      <c r="AG1147">
        <f t="shared" si="412"/>
        <v>14.323944878270581</v>
      </c>
      <c r="AH1147">
        <f t="shared" si="413"/>
        <v>6.8191315041373981</v>
      </c>
      <c r="AI1147" cm="1">
        <f t="array" ref="AI1147">_xlfn.LET(
    _xlpm.vals,   _xlfn.HSTACK(S1147,V1147,Y1147,AB1147,AE1147,AH1147),
    _xlpm.ints,   _xlfn.HSTACK(R1147,U1147,X1147,AA1147,AD1147,AG1147),
    _xlpm.slopes, _xlfn.HSTACK(Q1147,T1147,W1147,Z1147,AC1147,AF1147),
    _xlpm.limit,  -0.00001*_xlpm.slopes + 0.1086*_xlpm.slopes + 63.253,
    _xlpm.mask,   (_xlpm.vals&gt;=0) * (_xlpm.ints&lt;=_xlpm.limit),
    _xlpm.validVals, _xlfn._xlws.FILTER(_xlpm.vals, _xlpm.mask),
    _xlpm.minVal, MIN(_xlpm.validVals),
    IFERROR( _xlfn.XMATCH(_xlpm.minVal, _xlpm.vals), "" )
)</f>
        <v>1</v>
      </c>
      <c r="AJ1147" cm="1">
        <f t="array" ref="AJ1147">_xlfn.LET(
    _xlpm.vals, CHOOSE({1,2,3,4,5,6}, S1147, V1147, Y1147, AB1147, AE1147, AH1147),
    _xlpm.slopes, CHOOSE({1,2,3,4,5,6}, Q1147, T1147, W1147, Z1147, AC1147, AF1147),
    _xlpm.ints, CHOOSE({1,2,3,4,5,6}, R1147, U1147, X1147, AA1147, AD1147, AG1147),
    _xlpm.limit, -0.00001*_xlpm.slopes + 0.1086*_xlpm.slopes + 63.253,
    _xlpm.valid, (_xlpm.vals &gt;= 0) * (_xlpm.ints &lt;= _xlpm.limit),
    _xlpm.target, MIN(_xlfn._xlws.FILTER(_xlpm.vals, _xlpm.valid)),
    IFERROR(
        _xlfn.XLOOKUP(_xlpm.target, _xlpm.vals, _xlpm.vals),
        CHOOSE({1,2,3,4,5,6}, S$1, V$1, Y$1, AB$1, AE$1, AH$1)
    )
)</f>
        <v>1.0728896761431499</v>
      </c>
    </row>
    <row r="1148" spans="9:36" x14ac:dyDescent="0.45">
      <c r="I1148">
        <v>1146</v>
      </c>
      <c r="J1148">
        <v>8.6</v>
      </c>
      <c r="K1148">
        <f t="shared" si="392"/>
        <v>8.6</v>
      </c>
      <c r="L1148">
        <f t="shared" si="391"/>
        <v>2.3888888888888887E-3</v>
      </c>
      <c r="M1148">
        <v>13.15</v>
      </c>
      <c r="N1148">
        <f t="shared" si="393"/>
        <v>13.15</v>
      </c>
      <c r="O1148">
        <f t="shared" si="394"/>
        <v>111.75857196973291</v>
      </c>
      <c r="P1148">
        <f t="shared" si="395"/>
        <v>357.62743030314533</v>
      </c>
      <c r="Q1148">
        <f t="shared" si="396"/>
        <v>1637.9336307884057</v>
      </c>
      <c r="R1148">
        <f t="shared" si="397"/>
        <v>76.665652221245239</v>
      </c>
      <c r="S1148">
        <f t="shared" si="398"/>
        <v>1.46989652952267</v>
      </c>
      <c r="T1148">
        <f t="shared" si="399"/>
        <v>1058.5771936973101</v>
      </c>
      <c r="U1148">
        <f t="shared" si="400"/>
        <v>118.62455647746731</v>
      </c>
      <c r="V1148">
        <f t="shared" si="401"/>
        <v>1.4121458853620734</v>
      </c>
      <c r="W1148">
        <f t="shared" si="402"/>
        <v>6000</v>
      </c>
      <c r="X1148">
        <f t="shared" si="403"/>
        <v>20.928875016584239</v>
      </c>
      <c r="Y1148">
        <f t="shared" si="404"/>
        <v>6.8954806544898917</v>
      </c>
      <c r="Z1148">
        <f t="shared" si="405"/>
        <v>6000</v>
      </c>
      <c r="AA1148">
        <f t="shared" si="406"/>
        <v>20.928875016584239</v>
      </c>
      <c r="AB1148">
        <f t="shared" si="407"/>
        <v>6.8954806544898917</v>
      </c>
      <c r="AC1148">
        <f t="shared" si="408"/>
        <v>6000</v>
      </c>
      <c r="AD1148">
        <f t="shared" si="409"/>
        <v>20.928875016584239</v>
      </c>
      <c r="AE1148">
        <f t="shared" si="410"/>
        <v>6.8954806544898917</v>
      </c>
      <c r="AF1148">
        <f t="shared" si="411"/>
        <v>6000</v>
      </c>
      <c r="AG1148">
        <f t="shared" si="412"/>
        <v>20.928875016584239</v>
      </c>
      <c r="AH1148">
        <f t="shared" si="413"/>
        <v>6.8954806544898917</v>
      </c>
      <c r="AI1148" cm="1">
        <f t="array" ref="AI1148">_xlfn.LET(
    _xlpm.vals,   _xlfn.HSTACK(S1148,V1148,Y1148,AB1148,AE1148,AH1148),
    _xlpm.ints,   _xlfn.HSTACK(R1148,U1148,X1148,AA1148,AD1148,AG1148),
    _xlpm.slopes, _xlfn.HSTACK(Q1148,T1148,W1148,Z1148,AC1148,AF1148),
    _xlpm.limit,  -0.00001*_xlpm.slopes + 0.1086*_xlpm.slopes + 63.253,
    _xlpm.mask,   (_xlpm.vals&gt;=0) * (_xlpm.ints&lt;=_xlpm.limit),
    _xlpm.validVals, _xlfn._xlws.FILTER(_xlpm.vals, _xlpm.mask),
    _xlpm.minVal, MIN(_xlpm.validVals),
    IFERROR( _xlfn.XMATCH(_xlpm.minVal, _xlpm.vals), "" )
)</f>
        <v>2</v>
      </c>
      <c r="AJ1148" cm="1">
        <f t="array" ref="AJ1148">_xlfn.LET(
    _xlpm.vals, CHOOSE({1,2,3,4,5,6}, S1148, V1148, Y1148, AB1148, AE1148, AH1148),
    _xlpm.slopes, CHOOSE({1,2,3,4,5,6}, Q1148, T1148, W1148, Z1148, AC1148, AF1148),
    _xlpm.ints, CHOOSE({1,2,3,4,5,6}, R1148, U1148, X1148, AA1148, AD1148, AG1148),
    _xlpm.limit, -0.00001*_xlpm.slopes + 0.1086*_xlpm.slopes + 63.253,
    _xlpm.valid, (_xlpm.vals &gt;= 0) * (_xlpm.ints &lt;= _xlpm.limit),
    _xlpm.target, MIN(_xlfn._xlws.FILTER(_xlpm.vals, _xlpm.valid)),
    IFERROR(
        _xlfn.XLOOKUP(_xlpm.target, _xlpm.vals, _xlpm.vals),
        CHOOSE({1,2,3,4,5,6}, S$1, V$1, Y$1, AB$1, AE$1, AH$1)
    )
)</f>
        <v>1.4121458853620734</v>
      </c>
    </row>
    <row r="1149" spans="9:36" x14ac:dyDescent="0.45">
      <c r="I1149">
        <v>1147</v>
      </c>
      <c r="J1149">
        <v>12.3</v>
      </c>
      <c r="K1149">
        <f t="shared" si="392"/>
        <v>12.3</v>
      </c>
      <c r="L1149">
        <f t="shared" si="391"/>
        <v>3.4166666666666668E-3</v>
      </c>
      <c r="M1149">
        <v>30.79</v>
      </c>
      <c r="N1149">
        <f t="shared" si="393"/>
        <v>30.79</v>
      </c>
      <c r="O1149">
        <f t="shared" si="394"/>
        <v>159.84074828229242</v>
      </c>
      <c r="P1149">
        <f t="shared" si="395"/>
        <v>511.49039450333578</v>
      </c>
      <c r="Q1149">
        <f t="shared" si="396"/>
        <v>2342.6260068252777</v>
      </c>
      <c r="R1149">
        <f t="shared" si="397"/>
        <v>125.50993671688407</v>
      </c>
      <c r="S1149">
        <f t="shared" si="398"/>
        <v>2.9709269285234332</v>
      </c>
      <c r="T1149">
        <f t="shared" si="399"/>
        <v>1514.0115677298738</v>
      </c>
      <c r="U1149">
        <f t="shared" si="400"/>
        <v>194.20118586598954</v>
      </c>
      <c r="V1149">
        <f t="shared" si="401"/>
        <v>2.4523867108264907</v>
      </c>
      <c r="W1149">
        <f t="shared" si="402"/>
        <v>6000</v>
      </c>
      <c r="X1149">
        <f t="shared" si="403"/>
        <v>49.003806977994579</v>
      </c>
      <c r="Y1149">
        <f t="shared" si="404"/>
        <v>7.3543931950757484</v>
      </c>
      <c r="Z1149">
        <f t="shared" si="405"/>
        <v>6000</v>
      </c>
      <c r="AA1149">
        <f t="shared" si="406"/>
        <v>49.003806977994579</v>
      </c>
      <c r="AB1149">
        <f t="shared" si="407"/>
        <v>7.3543931950757484</v>
      </c>
      <c r="AC1149">
        <f t="shared" si="408"/>
        <v>6000</v>
      </c>
      <c r="AD1149">
        <f t="shared" si="409"/>
        <v>49.003806977994579</v>
      </c>
      <c r="AE1149">
        <f t="shared" si="410"/>
        <v>7.3543931950757484</v>
      </c>
      <c r="AF1149">
        <f t="shared" si="411"/>
        <v>6000</v>
      </c>
      <c r="AG1149">
        <f t="shared" si="412"/>
        <v>49.003806977994579</v>
      </c>
      <c r="AH1149">
        <f t="shared" si="413"/>
        <v>7.3543931950757484</v>
      </c>
      <c r="AI1149" cm="1">
        <f t="array" ref="AI1149">_xlfn.LET(
    _xlpm.vals,   _xlfn.HSTACK(S1149,V1149,Y1149,AB1149,AE1149,AH1149),
    _xlpm.ints,   _xlfn.HSTACK(R1149,U1149,X1149,AA1149,AD1149,AG1149),
    _xlpm.slopes, _xlfn.HSTACK(Q1149,T1149,W1149,Z1149,AC1149,AF1149),
    _xlpm.limit,  -0.00001*_xlpm.slopes + 0.1086*_xlpm.slopes + 63.253,
    _xlpm.mask,   (_xlpm.vals&gt;=0) * (_xlpm.ints&lt;=_xlpm.limit),
    _xlpm.validVals, _xlfn._xlws.FILTER(_xlpm.vals, _xlpm.mask),
    _xlpm.minVal, MIN(_xlpm.validVals),
    IFERROR( _xlfn.XMATCH(_xlpm.minVal, _xlpm.vals), "" )
)</f>
        <v>2</v>
      </c>
      <c r="AJ1149" cm="1">
        <f t="array" ref="AJ1149">_xlfn.LET(
    _xlpm.vals, CHOOSE({1,2,3,4,5,6}, S1149, V1149, Y1149, AB1149, AE1149, AH1149),
    _xlpm.slopes, CHOOSE({1,2,3,4,5,6}, Q1149, T1149, W1149, Z1149, AC1149, AF1149),
    _xlpm.ints, CHOOSE({1,2,3,4,5,6}, R1149, U1149, X1149, AA1149, AD1149, AG1149),
    _xlpm.limit, -0.00001*_xlpm.slopes + 0.1086*_xlpm.slopes + 63.253,
    _xlpm.valid, (_xlpm.vals &gt;= 0) * (_xlpm.ints &lt;= _xlpm.limit),
    _xlpm.target, MIN(_xlfn._xlws.FILTER(_xlpm.vals, _xlpm.valid)),
    IFERROR(
        _xlfn.XLOOKUP(_xlpm.target, _xlpm.vals, _xlpm.vals),
        CHOOSE({1,2,3,4,5,6}, S$1, V$1, Y$1, AB$1, AE$1, AH$1)
    )
)</f>
        <v>2.4523867108264907</v>
      </c>
    </row>
    <row r="1150" spans="9:36" x14ac:dyDescent="0.45">
      <c r="I1150">
        <v>1148</v>
      </c>
      <c r="J1150">
        <v>16</v>
      </c>
      <c r="K1150">
        <f t="shared" si="392"/>
        <v>16</v>
      </c>
      <c r="L1150">
        <f t="shared" si="391"/>
        <v>4.4444444444444444E-3</v>
      </c>
      <c r="M1150">
        <v>25.82</v>
      </c>
      <c r="N1150">
        <f t="shared" si="393"/>
        <v>25.82</v>
      </c>
      <c r="O1150">
        <f t="shared" si="394"/>
        <v>207.92292459485191</v>
      </c>
      <c r="P1150">
        <f t="shared" si="395"/>
        <v>665.35335870352617</v>
      </c>
      <c r="Q1150">
        <f t="shared" si="396"/>
        <v>3047.31838286215</v>
      </c>
      <c r="R1150">
        <f t="shared" si="397"/>
        <v>80.911413531520679</v>
      </c>
      <c r="S1150">
        <f t="shared" si="398"/>
        <v>2.6580422873142933</v>
      </c>
      <c r="T1150">
        <f t="shared" si="399"/>
        <v>1969.4459417624375</v>
      </c>
      <c r="U1150">
        <f t="shared" si="400"/>
        <v>125.19401147782591</v>
      </c>
      <c r="V1150">
        <f t="shared" si="401"/>
        <v>2.5525676075189279</v>
      </c>
      <c r="W1150">
        <f t="shared" si="402"/>
        <v>1270.8249151237349</v>
      </c>
      <c r="X1150">
        <f t="shared" si="403"/>
        <v>194.0179444891962</v>
      </c>
      <c r="Y1150">
        <f t="shared" si="404"/>
        <v>1.9501273632860174</v>
      </c>
      <c r="Z1150">
        <f t="shared" si="405"/>
        <v>6000</v>
      </c>
      <c r="AA1150">
        <f t="shared" si="406"/>
        <v>41.09380630632738</v>
      </c>
      <c r="AB1150">
        <f t="shared" si="407"/>
        <v>7.2045663117338004</v>
      </c>
      <c r="AC1150">
        <f t="shared" si="408"/>
        <v>6000</v>
      </c>
      <c r="AD1150">
        <f t="shared" si="409"/>
        <v>41.09380630632738</v>
      </c>
      <c r="AE1150">
        <f t="shared" si="410"/>
        <v>7.2045663117338004</v>
      </c>
      <c r="AF1150">
        <f t="shared" si="411"/>
        <v>6000</v>
      </c>
      <c r="AG1150">
        <f t="shared" si="412"/>
        <v>41.09380630632738</v>
      </c>
      <c r="AH1150">
        <f t="shared" si="413"/>
        <v>7.2045663117338004</v>
      </c>
      <c r="AI1150" cm="1">
        <f t="array" ref="AI1150">_xlfn.LET(
    _xlpm.vals,   _xlfn.HSTACK(S1150,V1150,Y1150,AB1150,AE1150,AH1150),
    _xlpm.ints,   _xlfn.HSTACK(R1150,U1150,X1150,AA1150,AD1150,AG1150),
    _xlpm.slopes, _xlfn.HSTACK(Q1150,T1150,W1150,Z1150,AC1150,AF1150),
    _xlpm.limit,  -0.00001*_xlpm.slopes + 0.1086*_xlpm.slopes + 63.253,
    _xlpm.mask,   (_xlpm.vals&gt;=0) * (_xlpm.ints&lt;=_xlpm.limit),
    _xlpm.validVals, _xlfn._xlws.FILTER(_xlpm.vals, _xlpm.mask),
    _xlpm.minVal, MIN(_xlpm.validVals),
    IFERROR( _xlfn.XMATCH(_xlpm.minVal, _xlpm.vals), "" )
)</f>
        <v>3</v>
      </c>
      <c r="AJ1150" cm="1">
        <f t="array" ref="AJ1150">_xlfn.LET(
    _xlpm.vals, CHOOSE({1,2,3,4,5,6}, S1150, V1150, Y1150, AB1150, AE1150, AH1150),
    _xlpm.slopes, CHOOSE({1,2,3,4,5,6}, Q1150, T1150, W1150, Z1150, AC1150, AF1150),
    _xlpm.ints, CHOOSE({1,2,3,4,5,6}, R1150, U1150, X1150, AA1150, AD1150, AG1150),
    _xlpm.limit, -0.00001*_xlpm.slopes + 0.1086*_xlpm.slopes + 63.253,
    _xlpm.valid, (_xlpm.vals &gt;= 0) * (_xlpm.ints &lt;= _xlpm.limit),
    _xlpm.target, MIN(_xlfn._xlws.FILTER(_xlpm.vals, _xlpm.valid)),
    IFERROR(
        _xlfn.XLOOKUP(_xlpm.target, _xlpm.vals, _xlpm.vals),
        CHOOSE({1,2,3,4,5,6}, S$1, V$1, Y$1, AB$1, AE$1, AH$1)
    )
)</f>
        <v>1.9501273632860174</v>
      </c>
    </row>
    <row r="1151" spans="9:36" x14ac:dyDescent="0.45">
      <c r="I1151">
        <v>1149</v>
      </c>
      <c r="J1151">
        <v>18.5</v>
      </c>
      <c r="K1151">
        <f t="shared" si="392"/>
        <v>18.5</v>
      </c>
      <c r="L1151">
        <f t="shared" si="391"/>
        <v>5.138888888888889E-3</v>
      </c>
      <c r="M1151">
        <v>29.94</v>
      </c>
      <c r="N1151">
        <f t="shared" si="393"/>
        <v>29.94</v>
      </c>
      <c r="O1151">
        <f t="shared" si="394"/>
        <v>240.41088156279753</v>
      </c>
      <c r="P1151">
        <f t="shared" si="395"/>
        <v>769.31482100095218</v>
      </c>
      <c r="Q1151">
        <f t="shared" si="396"/>
        <v>3523.4618801843612</v>
      </c>
      <c r="R1151">
        <f t="shared" si="397"/>
        <v>81.143474654342256</v>
      </c>
      <c r="S1151">
        <f t="shared" si="398"/>
        <v>3.1515378370303631</v>
      </c>
      <c r="T1151">
        <f t="shared" si="399"/>
        <v>2277.1718701628183</v>
      </c>
      <c r="U1151">
        <f t="shared" si="400"/>
        <v>125.55307902597552</v>
      </c>
      <c r="V1151">
        <f t="shared" si="401"/>
        <v>2.8996061479612516</v>
      </c>
      <c r="W1151">
        <f t="shared" si="402"/>
        <v>1469.3913081118185</v>
      </c>
      <c r="X1151">
        <f t="shared" si="403"/>
        <v>194.57440519208771</v>
      </c>
      <c r="Y1151">
        <f t="shared" si="404"/>
        <v>2.3614761112834795</v>
      </c>
      <c r="Z1151">
        <f t="shared" si="405"/>
        <v>1107.8133422413712</v>
      </c>
      <c r="AA1151">
        <f t="shared" si="406"/>
        <v>258.08132910894966</v>
      </c>
      <c r="AB1151">
        <f t="shared" si="407"/>
        <v>0.53641049251346029</v>
      </c>
      <c r="AC1151">
        <f t="shared" si="408"/>
        <v>6000</v>
      </c>
      <c r="AD1151">
        <f t="shared" si="409"/>
        <v>47.650989961713464</v>
      </c>
      <c r="AE1151">
        <f t="shared" si="410"/>
        <v>7.3277095596934103</v>
      </c>
      <c r="AF1151">
        <f t="shared" si="411"/>
        <v>6000</v>
      </c>
      <c r="AG1151">
        <f t="shared" si="412"/>
        <v>47.650989961713464</v>
      </c>
      <c r="AH1151">
        <f t="shared" si="413"/>
        <v>7.3277095596934103</v>
      </c>
      <c r="AI1151" cm="1">
        <f t="array" ref="AI1151">_xlfn.LET(
    _xlpm.vals,   _xlfn.HSTACK(S1151,V1151,Y1151,AB1151,AE1151,AH1151),
    _xlpm.ints,   _xlfn.HSTACK(R1151,U1151,X1151,AA1151,AD1151,AG1151),
    _xlpm.slopes, _xlfn.HSTACK(Q1151,T1151,W1151,Z1151,AC1151,AF1151),
    _xlpm.limit,  -0.00001*_xlpm.slopes + 0.1086*_xlpm.slopes + 63.253,
    _xlpm.mask,   (_xlpm.vals&gt;=0) * (_xlpm.ints&lt;=_xlpm.limit),
    _xlpm.validVals, _xlfn._xlws.FILTER(_xlpm.vals, _xlpm.mask),
    _xlpm.minVal, MIN(_xlpm.validVals),
    IFERROR( _xlfn.XMATCH(_xlpm.minVal, _xlpm.vals), "" )
)</f>
        <v>3</v>
      </c>
      <c r="AJ1151" cm="1">
        <f t="array" ref="AJ1151">_xlfn.LET(
    _xlpm.vals, CHOOSE({1,2,3,4,5,6}, S1151, V1151, Y1151, AB1151, AE1151, AH1151),
    _xlpm.slopes, CHOOSE({1,2,3,4,5,6}, Q1151, T1151, W1151, Z1151, AC1151, AF1151),
    _xlpm.ints, CHOOSE({1,2,3,4,5,6}, R1151, U1151, X1151, AA1151, AD1151, AG1151),
    _xlpm.limit, -0.00001*_xlpm.slopes + 0.1086*_xlpm.slopes + 63.253,
    _xlpm.valid, (_xlpm.vals &gt;= 0) * (_xlpm.ints &lt;= _xlpm.limit),
    _xlpm.target, MIN(_xlfn._xlws.FILTER(_xlpm.vals, _xlpm.valid)),
    IFERROR(
        _xlfn.XLOOKUP(_xlpm.target, _xlpm.vals, _xlpm.vals),
        CHOOSE({1,2,3,4,5,6}, S$1, V$1, Y$1, AB$1, AE$1, AH$1)
    )
)</f>
        <v>2.3614761112834795</v>
      </c>
    </row>
    <row r="1152" spans="9:36" x14ac:dyDescent="0.45">
      <c r="I1152">
        <v>1150</v>
      </c>
      <c r="J1152">
        <v>20.9</v>
      </c>
      <c r="K1152">
        <f t="shared" si="392"/>
        <v>20.9</v>
      </c>
      <c r="L1152">
        <f t="shared" si="391"/>
        <v>5.8055555555555551E-3</v>
      </c>
      <c r="M1152">
        <v>27.38</v>
      </c>
      <c r="N1152">
        <f t="shared" si="393"/>
        <v>27.38</v>
      </c>
      <c r="O1152">
        <f t="shared" si="394"/>
        <v>271.59932025202534</v>
      </c>
      <c r="P1152">
        <f t="shared" si="395"/>
        <v>869.11782480648117</v>
      </c>
      <c r="Q1152">
        <f t="shared" si="396"/>
        <v>3980.5596376136837</v>
      </c>
      <c r="R1152">
        <f t="shared" si="397"/>
        <v>65.6841661259744</v>
      </c>
      <c r="S1152">
        <f t="shared" si="398"/>
        <v>3.3033551414599525</v>
      </c>
      <c r="T1152">
        <f t="shared" si="399"/>
        <v>2572.5887614271842</v>
      </c>
      <c r="U1152">
        <f t="shared" si="400"/>
        <v>101.63293272194687</v>
      </c>
      <c r="V1152">
        <f t="shared" si="401"/>
        <v>2.7059975651108648</v>
      </c>
      <c r="W1152">
        <f t="shared" si="402"/>
        <v>1660.015045380379</v>
      </c>
      <c r="X1152">
        <f t="shared" si="403"/>
        <v>157.50444023924754</v>
      </c>
      <c r="Y1152">
        <f t="shared" si="404"/>
        <v>2.5571212470323181</v>
      </c>
      <c r="Z1152">
        <f t="shared" si="405"/>
        <v>1251.5296677213328</v>
      </c>
      <c r="AA1152">
        <f t="shared" si="406"/>
        <v>208.91213948400195</v>
      </c>
      <c r="AB1152">
        <f t="shared" si="407"/>
        <v>1.8120901683829613</v>
      </c>
      <c r="AC1152">
        <f t="shared" si="408"/>
        <v>6000</v>
      </c>
      <c r="AD1152">
        <f t="shared" si="409"/>
        <v>43.576623418560942</v>
      </c>
      <c r="AE1152">
        <f t="shared" si="410"/>
        <v>7.2499662500481579</v>
      </c>
      <c r="AF1152">
        <f t="shared" si="411"/>
        <v>6000</v>
      </c>
      <c r="AG1152">
        <f t="shared" si="412"/>
        <v>43.576623418560942</v>
      </c>
      <c r="AH1152">
        <f t="shared" si="413"/>
        <v>7.2499662500481579</v>
      </c>
      <c r="AI1152" cm="1">
        <f t="array" ref="AI1152">_xlfn.LET(
    _xlpm.vals,   _xlfn.HSTACK(S1152,V1152,Y1152,AB1152,AE1152,AH1152),
    _xlpm.ints,   _xlfn.HSTACK(R1152,U1152,X1152,AA1152,AD1152,AG1152),
    _xlpm.slopes, _xlfn.HSTACK(Q1152,T1152,W1152,Z1152,AC1152,AF1152),
    _xlpm.limit,  -0.00001*_xlpm.slopes + 0.1086*_xlpm.slopes + 63.253,
    _xlpm.mask,   (_xlpm.vals&gt;=0) * (_xlpm.ints&lt;=_xlpm.limit),
    _xlpm.validVals, _xlfn._xlws.FILTER(_xlpm.vals, _xlpm.mask),
    _xlpm.minVal, MIN(_xlpm.validVals),
    IFERROR( _xlfn.XMATCH(_xlpm.minVal, _xlpm.vals), "" )
)</f>
        <v>3</v>
      </c>
      <c r="AJ1152" cm="1">
        <f t="array" ref="AJ1152">_xlfn.LET(
    _xlpm.vals, CHOOSE({1,2,3,4,5,6}, S1152, V1152, Y1152, AB1152, AE1152, AH1152),
    _xlpm.slopes, CHOOSE({1,2,3,4,5,6}, Q1152, T1152, W1152, Z1152, AC1152, AF1152),
    _xlpm.ints, CHOOSE({1,2,3,4,5,6}, R1152, U1152, X1152, AA1152, AD1152, AG1152),
    _xlpm.limit, -0.00001*_xlpm.slopes + 0.1086*_xlpm.slopes + 63.253,
    _xlpm.valid, (_xlpm.vals &gt;= 0) * (_xlpm.ints &lt;= _xlpm.limit),
    _xlpm.target, MIN(_xlfn._xlws.FILTER(_xlpm.vals, _xlpm.valid)),
    IFERROR(
        _xlfn.XLOOKUP(_xlpm.target, _xlpm.vals, _xlpm.vals),
        CHOOSE({1,2,3,4,5,6}, S$1, V$1, Y$1, AB$1, AE$1, AH$1)
    )
)</f>
        <v>2.5571212470323181</v>
      </c>
    </row>
    <row r="1153" spans="9:36" x14ac:dyDescent="0.45">
      <c r="I1153">
        <v>1151</v>
      </c>
      <c r="J1153">
        <v>22.7</v>
      </c>
      <c r="K1153">
        <f t="shared" si="392"/>
        <v>22.7</v>
      </c>
      <c r="L1153">
        <f t="shared" si="391"/>
        <v>6.3055555555555556E-3</v>
      </c>
      <c r="M1153">
        <v>20.13</v>
      </c>
      <c r="N1153">
        <f t="shared" si="393"/>
        <v>20.13</v>
      </c>
      <c r="O1153">
        <f t="shared" si="394"/>
        <v>294.99064926894619</v>
      </c>
      <c r="P1153">
        <f t="shared" si="395"/>
        <v>943.97007766062779</v>
      </c>
      <c r="Q1153">
        <f t="shared" si="396"/>
        <v>4323.3829556856754</v>
      </c>
      <c r="R1153">
        <f t="shared" si="397"/>
        <v>44.46225149072054</v>
      </c>
      <c r="S1153">
        <f t="shared" si="398"/>
        <v>3.2747782273270603</v>
      </c>
      <c r="T1153">
        <f t="shared" si="399"/>
        <v>2794.1514298754582</v>
      </c>
      <c r="U1153">
        <f t="shared" si="400"/>
        <v>68.79632156334462</v>
      </c>
      <c r="V1153">
        <f t="shared" si="401"/>
        <v>2.1527390491454135</v>
      </c>
      <c r="W1153">
        <f t="shared" si="402"/>
        <v>1802.982848331799</v>
      </c>
      <c r="X1153">
        <f t="shared" si="403"/>
        <v>106.61628891492151</v>
      </c>
      <c r="Y1153">
        <f t="shared" si="404"/>
        <v>2.0816287720502147</v>
      </c>
      <c r="Z1153">
        <f t="shared" si="405"/>
        <v>1359.316911831304</v>
      </c>
      <c r="AA1153">
        <f t="shared" si="406"/>
        <v>141.41466099131952</v>
      </c>
      <c r="AB1153">
        <f t="shared" si="407"/>
        <v>1.9853786593776857</v>
      </c>
      <c r="AC1153">
        <f t="shared" si="408"/>
        <v>6000</v>
      </c>
      <c r="AD1153">
        <f t="shared" si="409"/>
        <v>32.03789004439853</v>
      </c>
      <c r="AE1153">
        <f t="shared" si="410"/>
        <v>7.0522160297977834</v>
      </c>
      <c r="AF1153">
        <f t="shared" si="411"/>
        <v>6000</v>
      </c>
      <c r="AG1153">
        <f t="shared" si="412"/>
        <v>32.03789004439853</v>
      </c>
      <c r="AH1153">
        <f t="shared" si="413"/>
        <v>7.0522160297977834</v>
      </c>
      <c r="AI1153" cm="1">
        <f t="array" ref="AI1153">_xlfn.LET(
    _xlpm.vals,   _xlfn.HSTACK(S1153,V1153,Y1153,AB1153,AE1153,AH1153),
    _xlpm.ints,   _xlfn.HSTACK(R1153,U1153,X1153,AA1153,AD1153,AG1153),
    _xlpm.slopes, _xlfn.HSTACK(Q1153,T1153,W1153,Z1153,AC1153,AF1153),
    _xlpm.limit,  -0.00001*_xlpm.slopes + 0.1086*_xlpm.slopes + 63.253,
    _xlpm.mask,   (_xlpm.vals&gt;=0) * (_xlpm.ints&lt;=_xlpm.limit),
    _xlpm.validVals, _xlfn._xlws.FILTER(_xlpm.vals, _xlpm.mask),
    _xlpm.minVal, MIN(_xlpm.validVals),
    IFERROR( _xlfn.XMATCH(_xlpm.minVal, _xlpm.vals), "" )
)</f>
        <v>4</v>
      </c>
      <c r="AJ1153" cm="1">
        <f t="array" ref="AJ1153">_xlfn.LET(
    _xlpm.vals, CHOOSE({1,2,3,4,5,6}, S1153, V1153, Y1153, AB1153, AE1153, AH1153),
    _xlpm.slopes, CHOOSE({1,2,3,4,5,6}, Q1153, T1153, W1153, Z1153, AC1153, AF1153),
    _xlpm.ints, CHOOSE({1,2,3,4,5,6}, R1153, U1153, X1153, AA1153, AD1153, AG1153),
    _xlpm.limit, -0.00001*_xlpm.slopes + 0.1086*_xlpm.slopes + 63.253,
    _xlpm.valid, (_xlpm.vals &gt;= 0) * (_xlpm.ints &lt;= _xlpm.limit),
    _xlpm.target, MIN(_xlfn._xlws.FILTER(_xlpm.vals, _xlpm.valid)),
    IFERROR(
        _xlfn.XLOOKUP(_xlpm.target, _xlpm.vals, _xlpm.vals),
        CHOOSE({1,2,3,4,5,6}, S$1, V$1, Y$1, AB$1, AE$1, AH$1)
    )
)</f>
        <v>1.9853786593776857</v>
      </c>
    </row>
    <row r="1154" spans="9:36" x14ac:dyDescent="0.45">
      <c r="I1154">
        <v>1152</v>
      </c>
      <c r="J1154">
        <v>23.5</v>
      </c>
      <c r="K1154">
        <f t="shared" si="392"/>
        <v>23.5</v>
      </c>
      <c r="L1154">
        <f t="shared" ref="L1154:L1217" si="414">K1154*(1/3600)</f>
        <v>6.5277777777777782E-3</v>
      </c>
      <c r="M1154">
        <v>7.76</v>
      </c>
      <c r="N1154">
        <f t="shared" si="393"/>
        <v>7.76</v>
      </c>
      <c r="O1154">
        <f t="shared" si="394"/>
        <v>305.3867954986888</v>
      </c>
      <c r="P1154">
        <f t="shared" si="395"/>
        <v>977.2377455958042</v>
      </c>
      <c r="Q1154">
        <f t="shared" si="396"/>
        <v>4475.7488748287833</v>
      </c>
      <c r="R1154">
        <f t="shared" si="397"/>
        <v>16.556456489400606</v>
      </c>
      <c r="S1154">
        <f t="shared" si="398"/>
        <v>2.9570435310530012</v>
      </c>
      <c r="T1154">
        <f t="shared" si="399"/>
        <v>2892.6237269635803</v>
      </c>
      <c r="U1154">
        <f t="shared" si="400"/>
        <v>25.617760378869857</v>
      </c>
      <c r="V1154">
        <f t="shared" si="401"/>
        <v>1.3221124362233205</v>
      </c>
      <c r="W1154">
        <f t="shared" si="402"/>
        <v>1866.524094087986</v>
      </c>
      <c r="X1154">
        <f t="shared" si="403"/>
        <v>39.700822367253807</v>
      </c>
      <c r="Y1154">
        <f t="shared" si="404"/>
        <v>1.0189245374353841</v>
      </c>
      <c r="Z1154">
        <f t="shared" si="405"/>
        <v>1407.2223536579579</v>
      </c>
      <c r="AA1154">
        <f t="shared" si="406"/>
        <v>52.658729667676937</v>
      </c>
      <c r="AB1154">
        <f t="shared" si="407"/>
        <v>0.98006738506663871</v>
      </c>
      <c r="AC1154">
        <f t="shared" si="408"/>
        <v>6000</v>
      </c>
      <c r="AD1154">
        <f t="shared" si="409"/>
        <v>12.350423583931079</v>
      </c>
      <c r="AE1154">
        <f t="shared" si="410"/>
        <v>6.7988712274804568</v>
      </c>
      <c r="AF1154">
        <f t="shared" si="411"/>
        <v>6000</v>
      </c>
      <c r="AG1154">
        <f t="shared" si="412"/>
        <v>12.350423583931079</v>
      </c>
      <c r="AH1154">
        <f t="shared" si="413"/>
        <v>6.7988712274804568</v>
      </c>
      <c r="AI1154" cm="1">
        <f t="array" ref="AI1154">_xlfn.LET(
    _xlpm.vals,   _xlfn.HSTACK(S1154,V1154,Y1154,AB1154,AE1154,AH1154),
    _xlpm.ints,   _xlfn.HSTACK(R1154,U1154,X1154,AA1154,AD1154,AG1154),
    _xlpm.slopes, _xlfn.HSTACK(Q1154,T1154,W1154,Z1154,AC1154,AF1154),
    _xlpm.limit,  -0.00001*_xlpm.slopes + 0.1086*_xlpm.slopes + 63.253,
    _xlpm.mask,   (_xlpm.vals&gt;=0) * (_xlpm.ints&lt;=_xlpm.limit),
    _xlpm.validVals, _xlfn._xlws.FILTER(_xlpm.vals, _xlpm.mask),
    _xlpm.minVal, MIN(_xlpm.validVals),
    IFERROR( _xlfn.XMATCH(_xlpm.minVal, _xlpm.vals), "" )
)</f>
        <v>4</v>
      </c>
      <c r="AJ1154" cm="1">
        <f t="array" ref="AJ1154">_xlfn.LET(
    _xlpm.vals, CHOOSE({1,2,3,4,5,6}, S1154, V1154, Y1154, AB1154, AE1154, AH1154),
    _xlpm.slopes, CHOOSE({1,2,3,4,5,6}, Q1154, T1154, W1154, Z1154, AC1154, AF1154),
    _xlpm.ints, CHOOSE({1,2,3,4,5,6}, R1154, U1154, X1154, AA1154, AD1154, AG1154),
    _xlpm.limit, -0.00001*_xlpm.slopes + 0.1086*_xlpm.slopes + 63.253,
    _xlpm.valid, (_xlpm.vals &gt;= 0) * (_xlpm.ints &lt;= _xlpm.limit),
    _xlpm.target, MIN(_xlfn._xlws.FILTER(_xlpm.vals, _xlpm.valid)),
    IFERROR(
        _xlfn.XLOOKUP(_xlpm.target, _xlpm.vals, _xlpm.vals),
        CHOOSE({1,2,3,4,5,6}, S$1, V$1, Y$1, AB$1, AE$1, AH$1)
    )
)</f>
        <v>0.98006738506663871</v>
      </c>
    </row>
    <row r="1155" spans="9:36" x14ac:dyDescent="0.45">
      <c r="I1155">
        <v>1153</v>
      </c>
      <c r="J1155">
        <v>23.4</v>
      </c>
      <c r="K1155">
        <f t="shared" ref="K1155:K1218" si="415">IF(J1155&lt;0,0,J1155)</f>
        <v>23.4</v>
      </c>
      <c r="L1155">
        <f t="shared" si="414"/>
        <v>6.4999999999999997E-3</v>
      </c>
      <c r="M1155">
        <v>1.46</v>
      </c>
      <c r="N1155">
        <f t="shared" ref="N1155:N1218" si="416">IF(M1155&lt;0,0,M1155)</f>
        <v>1.46</v>
      </c>
      <c r="O1155">
        <f t="shared" ref="O1155:O1218" si="417">(K1155*0.44704*60)/(PI()*$B$2)</f>
        <v>304.08727721997093</v>
      </c>
      <c r="P1155">
        <f t="shared" ref="P1155:P1218" si="418">O1155*3.2</f>
        <v>973.07928710390706</v>
      </c>
      <c r="Q1155">
        <f t="shared" ref="Q1155:Q1218" si="419">IF(4.58*P1155&lt;1000,1000,4.58*P1155)</f>
        <v>4456.703134935894</v>
      </c>
      <c r="R1155">
        <f t="shared" ref="R1155:R1218" si="420">(1000*N1155*60)/(Q1155*2*PI())</f>
        <v>3.1283153920573117</v>
      </c>
      <c r="S1155">
        <f t="shared" ref="S1155:S1218" si="421">(0.072946 + (0.000364279 * Q1155) + (-0.00248749 * R1155) + (0.00000951906 * Q1155 * R1155) + (-0.000000165418 * Q1155^2) + (0.000045414 * R1155^2) + (-0.00000000135106 * Q1155^2 * R1155) + (0.0000000203184 * Q1155 * R1155^2) + (0.0000000000481318 * Q1155^3) + (-0.00000034778 * R1155^3))</f>
        <v>2.7137919888980564</v>
      </c>
      <c r="T1155">
        <f t="shared" ref="T1155:T1218" si="422">IF(2.96*P1155&lt;1000,6000,2.96*P1155)</f>
        <v>2880.314689827565</v>
      </c>
      <c r="U1155">
        <f t="shared" ref="U1155:U1218" si="423">(1000*N1155*60)/(T1155*2*PI())</f>
        <v>4.8404339512238135</v>
      </c>
      <c r="V1155">
        <f t="shared" ref="V1155:V1218" si="424">(0.072946 + (0.000364279 * T1155) + (-0.00248749 * U1155) + (0.00000951906 * T1155 * U1155) + (-0.000000165418 * T1155^2) + (0.000045414 * U1155^2) + (-0.00000000135106 * T1155^2 * U1155) + (0.0000000203184 * T1155 * U1155^2) + (0.0000000000481318 * T1155^3) + (-0.00000034778 * U1155^3))</f>
        <v>0.96879931092484861</v>
      </c>
      <c r="W1155">
        <f t="shared" ref="W1155:W1218" si="425">IF(1.91*P1155&lt;1000,6000,1.91*P1155)</f>
        <v>1858.5814383684624</v>
      </c>
      <c r="X1155">
        <f t="shared" ref="X1155:X1218" si="426">(1000*N1155*60)/(W1155*2*PI())</f>
        <v>7.5014054950903075</v>
      </c>
      <c r="Y1155">
        <f t="shared" ref="Y1155:Y1218" si="427">(0.072946 + (0.000364279 * W1155) + (-0.00248749 * X1155) + (0.00000951906 * W1155 * X1155) + (-0.000000165418 * W1155^2) + (0.000045414 * X1155^2) + (-0.00000000135106 * W1155^2 * X1155) + (0.0000000203184 * W1155 * X1155^2) + (0.0000000000481318 * W1155^3) + (-0.00000034778 * X1155^3))</f>
        <v>0.57117318574753506</v>
      </c>
      <c r="Z1155">
        <f t="shared" ref="Z1155:Z1218" si="428">IF(1.44*P1155&lt;1000,6000,1.44*P1155)</f>
        <v>1401.234173429626</v>
      </c>
      <c r="AA1155">
        <f t="shared" ref="AA1155:AA1218" si="429">(1000*N1155*60)/(Z1155*2*PI())</f>
        <v>9.9497808997378403</v>
      </c>
      <c r="AB1155">
        <f t="shared" ref="AB1155:AB1218" si="430">(0.072946 + (0.000364279 * Z1155) + (-0.00248749 * AA1155) + (0.00000951906 * Z1155 * AA1155) + (-0.000000165418 * Z1155^2) + (0.000045414 * AA1155^2) + (-0.00000000135106 * Z1155^2 * AA1155) + (0.0000000203184 * Z1155 * AA1155^2) + (0.0000000000481318 * Z1155^3) + (-0.00000034778 * AA1155^3))</f>
        <v>0.47956040118305338</v>
      </c>
      <c r="AC1155">
        <f t="shared" ref="AC1155:AC1218" si="431">IF(0.74*P1155&lt;1000,6000,0.74*P1155)</f>
        <v>6000</v>
      </c>
      <c r="AD1155">
        <f t="shared" ref="AD1155:AD1218" si="432">(1000*N1155*60)/(AC1155*2*PI())</f>
        <v>2.3236621691416719</v>
      </c>
      <c r="AE1155">
        <f t="shared" ref="AE1155:AE1218" si="433">(0.072946 + (0.000364279 * AC1155) + (-0.00248749 * AD1155) + (0.00000951906 * AC1155 * AD1155) + (-0.000000165418 * AC1155^2) + (0.000045414 * AD1155^2) + (-0.00000000135106 * AC1155^2 * AD1155) + (0.0000000203184 * AC1155 * AD1155^2) + (0.0000000000481318 * AC1155^3) + (-0.00000034778 * AD1155^3))</f>
        <v>6.7148556278322546</v>
      </c>
      <c r="AF1155">
        <f t="shared" ref="AF1155:AF1218" si="434">IF(0.68*P1155&lt;1000,6000,0.68*P1155)</f>
        <v>6000</v>
      </c>
      <c r="AG1155">
        <f t="shared" ref="AG1155:AG1218" si="435">(1000*N1155*60)/(AF1155*2*PI())</f>
        <v>2.3236621691416719</v>
      </c>
      <c r="AH1155">
        <f t="shared" ref="AH1155:AH1218" si="436">(0.072946 + (0.000364279 * AF1155) + (-0.00248749 * AG1155) + (0.00000951906 * AF1155 * AG1155) + (-0.000000165418 * AF1155^2) + (0.000045414 * AG1155^2) + (-0.00000000135106 * AF1155^2 * AG1155) + (0.0000000203184 * AF1155 * AG1155^2) + (0.0000000000481318 * AF1155^3) + (-0.00000034778 * AG1155^3))</f>
        <v>6.7148556278322546</v>
      </c>
      <c r="AI1155" cm="1">
        <f t="array" ref="AI1155">_xlfn.LET(
    _xlpm.vals,   _xlfn.HSTACK(S1155,V1155,Y1155,AB1155,AE1155,AH1155),
    _xlpm.ints,   _xlfn.HSTACK(R1155,U1155,X1155,AA1155,AD1155,AG1155),
    _xlpm.slopes, _xlfn.HSTACK(Q1155,T1155,W1155,Z1155,AC1155,AF1155),
    _xlpm.limit,  -0.00001*_xlpm.slopes + 0.1086*_xlpm.slopes + 63.253,
    _xlpm.mask,   (_xlpm.vals&gt;=0) * (_xlpm.ints&lt;=_xlpm.limit),
    _xlpm.validVals, _xlfn._xlws.FILTER(_xlpm.vals, _xlpm.mask),
    _xlpm.minVal, MIN(_xlpm.validVals),
    IFERROR( _xlfn.XMATCH(_xlpm.minVal, _xlpm.vals), "" )
)</f>
        <v>4</v>
      </c>
      <c r="AJ1155" cm="1">
        <f t="array" ref="AJ1155">_xlfn.LET(
    _xlpm.vals, CHOOSE({1,2,3,4,5,6}, S1155, V1155, Y1155, AB1155, AE1155, AH1155),
    _xlpm.slopes, CHOOSE({1,2,3,4,5,6}, Q1155, T1155, W1155, Z1155, AC1155, AF1155),
    _xlpm.ints, CHOOSE({1,2,3,4,5,6}, R1155, U1155, X1155, AA1155, AD1155, AG1155),
    _xlpm.limit, -0.00001*_xlpm.slopes + 0.1086*_xlpm.slopes + 63.253,
    _xlpm.valid, (_xlpm.vals &gt;= 0) * (_xlpm.ints &lt;= _xlpm.limit),
    _xlpm.target, MIN(_xlfn._xlws.FILTER(_xlpm.vals, _xlpm.valid)),
    IFERROR(
        _xlfn.XLOOKUP(_xlpm.target, _xlpm.vals, _xlpm.vals),
        CHOOSE({1,2,3,4,5,6}, S$1, V$1, Y$1, AB$1, AE$1, AH$1)
    )
)</f>
        <v>0.47956040118305338</v>
      </c>
    </row>
    <row r="1156" spans="9:36" x14ac:dyDescent="0.45">
      <c r="I1156">
        <v>1154</v>
      </c>
      <c r="J1156">
        <v>22.2</v>
      </c>
      <c r="K1156">
        <f t="shared" si="415"/>
        <v>22.2</v>
      </c>
      <c r="L1156">
        <f t="shared" si="414"/>
        <v>6.1666666666666667E-3</v>
      </c>
      <c r="M1156">
        <v>-0.95</v>
      </c>
      <c r="N1156">
        <f t="shared" si="416"/>
        <v>0</v>
      </c>
      <c r="O1156">
        <f t="shared" si="417"/>
        <v>288.49305787535701</v>
      </c>
      <c r="P1156">
        <f t="shared" si="418"/>
        <v>923.17778520114246</v>
      </c>
      <c r="Q1156">
        <f t="shared" si="419"/>
        <v>4228.1542562212326</v>
      </c>
      <c r="R1156">
        <f t="shared" si="420"/>
        <v>0</v>
      </c>
      <c r="S1156">
        <f t="shared" si="421"/>
        <v>2.2941317877052283</v>
      </c>
      <c r="T1156">
        <f t="shared" si="422"/>
        <v>2732.6062441953818</v>
      </c>
      <c r="U1156">
        <f t="shared" si="423"/>
        <v>0</v>
      </c>
      <c r="V1156">
        <f t="shared" si="424"/>
        <v>0.8152953202878328</v>
      </c>
      <c r="W1156">
        <f t="shared" si="425"/>
        <v>1763.2695697341819</v>
      </c>
      <c r="X1156">
        <f t="shared" si="426"/>
        <v>0</v>
      </c>
      <c r="Y1156">
        <f t="shared" si="427"/>
        <v>0.46483265464436208</v>
      </c>
      <c r="Z1156">
        <f t="shared" si="428"/>
        <v>1329.376010689645</v>
      </c>
      <c r="AA1156">
        <f t="shared" si="429"/>
        <v>0</v>
      </c>
      <c r="AB1156">
        <f t="shared" si="430"/>
        <v>0.37795371023234203</v>
      </c>
      <c r="AC1156">
        <f t="shared" si="431"/>
        <v>6000</v>
      </c>
      <c r="AD1156">
        <f t="shared" si="432"/>
        <v>0</v>
      </c>
      <c r="AE1156">
        <f t="shared" si="433"/>
        <v>6.7000407999999982</v>
      </c>
      <c r="AF1156">
        <f t="shared" si="434"/>
        <v>6000</v>
      </c>
      <c r="AG1156">
        <f t="shared" si="435"/>
        <v>0</v>
      </c>
      <c r="AH1156">
        <f t="shared" si="436"/>
        <v>6.7000407999999982</v>
      </c>
      <c r="AI1156" cm="1">
        <f t="array" ref="AI1156">_xlfn.LET(
    _xlpm.vals,   _xlfn.HSTACK(S1156,V1156,Y1156,AB1156,AE1156,AH1156),
    _xlpm.ints,   _xlfn.HSTACK(R1156,U1156,X1156,AA1156,AD1156,AG1156),
    _xlpm.slopes, _xlfn.HSTACK(Q1156,T1156,W1156,Z1156,AC1156,AF1156),
    _xlpm.limit,  -0.00001*_xlpm.slopes + 0.1086*_xlpm.slopes + 63.253,
    _xlpm.mask,   (_xlpm.vals&gt;=0) * (_xlpm.ints&lt;=_xlpm.limit),
    _xlpm.validVals, _xlfn._xlws.FILTER(_xlpm.vals, _xlpm.mask),
    _xlpm.minVal, MIN(_xlpm.validVals),
    IFERROR( _xlfn.XMATCH(_xlpm.minVal, _xlpm.vals), "" )
)</f>
        <v>4</v>
      </c>
      <c r="AJ1156" cm="1">
        <f t="array" ref="AJ1156">_xlfn.LET(
    _xlpm.vals, CHOOSE({1,2,3,4,5,6}, S1156, V1156, Y1156, AB1156, AE1156, AH1156),
    _xlpm.slopes, CHOOSE({1,2,3,4,5,6}, Q1156, T1156, W1156, Z1156, AC1156, AF1156),
    _xlpm.ints, CHOOSE({1,2,3,4,5,6}, R1156, U1156, X1156, AA1156, AD1156, AG1156),
    _xlpm.limit, -0.00001*_xlpm.slopes + 0.1086*_xlpm.slopes + 63.253,
    _xlpm.valid, (_xlpm.vals &gt;= 0) * (_xlpm.ints &lt;= _xlpm.limit),
    _xlpm.target, MIN(_xlfn._xlws.FILTER(_xlpm.vals, _xlpm.valid)),
    IFERROR(
        _xlfn.XLOOKUP(_xlpm.target, _xlpm.vals, _xlpm.vals),
        CHOOSE({1,2,3,4,5,6}, S$1, V$1, Y$1, AB$1, AE$1, AH$1)
    )
)</f>
        <v>0.37795371023234203</v>
      </c>
    </row>
    <row r="1157" spans="9:36" x14ac:dyDescent="0.45">
      <c r="I1157">
        <v>1155</v>
      </c>
      <c r="J1157">
        <v>19.5</v>
      </c>
      <c r="K1157">
        <f t="shared" si="415"/>
        <v>19.5</v>
      </c>
      <c r="L1157">
        <f t="shared" si="414"/>
        <v>5.4166666666666669E-3</v>
      </c>
      <c r="M1157">
        <v>-0.32</v>
      </c>
      <c r="N1157">
        <f t="shared" si="416"/>
        <v>0</v>
      </c>
      <c r="O1157">
        <f t="shared" si="417"/>
        <v>253.40606434997582</v>
      </c>
      <c r="P1157">
        <f t="shared" si="418"/>
        <v>810.89940591992263</v>
      </c>
      <c r="Q1157">
        <f t="shared" si="419"/>
        <v>3713.9192791132459</v>
      </c>
      <c r="R1157">
        <f t="shared" si="420"/>
        <v>0</v>
      </c>
      <c r="S1157">
        <f t="shared" si="421"/>
        <v>1.6098447992209759</v>
      </c>
      <c r="T1157">
        <f t="shared" si="422"/>
        <v>2400.2622415229707</v>
      </c>
      <c r="U1157">
        <f t="shared" si="423"/>
        <v>0</v>
      </c>
      <c r="V1157">
        <f t="shared" si="424"/>
        <v>0.65988735415444788</v>
      </c>
      <c r="W1157">
        <f t="shared" si="425"/>
        <v>1548.8178653070522</v>
      </c>
      <c r="X1157">
        <f t="shared" si="426"/>
        <v>0</v>
      </c>
      <c r="Y1157">
        <f t="shared" si="427"/>
        <v>0.4191640658252721</v>
      </c>
      <c r="Z1157">
        <f t="shared" si="428"/>
        <v>1167.6951445246884</v>
      </c>
      <c r="AA1157">
        <f t="shared" si="429"/>
        <v>0</v>
      </c>
      <c r="AB1157">
        <f t="shared" si="430"/>
        <v>0.34939722887247371</v>
      </c>
      <c r="AC1157">
        <f t="shared" si="431"/>
        <v>6000</v>
      </c>
      <c r="AD1157">
        <f t="shared" si="432"/>
        <v>0</v>
      </c>
      <c r="AE1157">
        <f t="shared" si="433"/>
        <v>6.7000407999999982</v>
      </c>
      <c r="AF1157">
        <f t="shared" si="434"/>
        <v>6000</v>
      </c>
      <c r="AG1157">
        <f t="shared" si="435"/>
        <v>0</v>
      </c>
      <c r="AH1157">
        <f t="shared" si="436"/>
        <v>6.7000407999999982</v>
      </c>
      <c r="AI1157" cm="1">
        <f t="array" ref="AI1157">_xlfn.LET(
    _xlpm.vals,   _xlfn.HSTACK(S1157,V1157,Y1157,AB1157,AE1157,AH1157),
    _xlpm.ints,   _xlfn.HSTACK(R1157,U1157,X1157,AA1157,AD1157,AG1157),
    _xlpm.slopes, _xlfn.HSTACK(Q1157,T1157,W1157,Z1157,AC1157,AF1157),
    _xlpm.limit,  -0.00001*_xlpm.slopes + 0.1086*_xlpm.slopes + 63.253,
    _xlpm.mask,   (_xlpm.vals&gt;=0) * (_xlpm.ints&lt;=_xlpm.limit),
    _xlpm.validVals, _xlfn._xlws.FILTER(_xlpm.vals, _xlpm.mask),
    _xlpm.minVal, MIN(_xlpm.validVals),
    IFERROR( _xlfn.XMATCH(_xlpm.minVal, _xlpm.vals), "" )
)</f>
        <v>4</v>
      </c>
      <c r="AJ1157" cm="1">
        <f t="array" ref="AJ1157">_xlfn.LET(
    _xlpm.vals, CHOOSE({1,2,3,4,5,6}, S1157, V1157, Y1157, AB1157, AE1157, AH1157),
    _xlpm.slopes, CHOOSE({1,2,3,4,5,6}, Q1157, T1157, W1157, Z1157, AC1157, AF1157),
    _xlpm.ints, CHOOSE({1,2,3,4,5,6}, R1157, U1157, X1157, AA1157, AD1157, AG1157),
    _xlpm.limit, -0.00001*_xlpm.slopes + 0.1086*_xlpm.slopes + 63.253,
    _xlpm.valid, (_xlpm.vals &gt;= 0) * (_xlpm.ints &lt;= _xlpm.limit),
    _xlpm.target, MIN(_xlfn._xlws.FILTER(_xlpm.vals, _xlpm.valid)),
    IFERROR(
        _xlfn.XLOOKUP(_xlpm.target, _xlpm.vals, _xlpm.vals),
        CHOOSE({1,2,3,4,5,6}, S$1, V$1, Y$1, AB$1, AE$1, AH$1)
    )
)</f>
        <v>0.34939722887247371</v>
      </c>
    </row>
    <row r="1158" spans="9:36" x14ac:dyDescent="0.45">
      <c r="I1158">
        <v>1156</v>
      </c>
      <c r="J1158">
        <v>16.399999999999999</v>
      </c>
      <c r="K1158">
        <f t="shared" si="415"/>
        <v>16.399999999999999</v>
      </c>
      <c r="L1158">
        <f t="shared" si="414"/>
        <v>4.5555555555555549E-3</v>
      </c>
      <c r="M1158">
        <v>-0.05</v>
      </c>
      <c r="N1158">
        <f t="shared" si="416"/>
        <v>0</v>
      </c>
      <c r="O1158">
        <f t="shared" si="417"/>
        <v>213.12099770972321</v>
      </c>
      <c r="P1158">
        <f t="shared" si="418"/>
        <v>681.98719267111437</v>
      </c>
      <c r="Q1158">
        <f t="shared" si="419"/>
        <v>3123.5013424337039</v>
      </c>
      <c r="R1158">
        <f t="shared" si="420"/>
        <v>0</v>
      </c>
      <c r="S1158">
        <f t="shared" si="421"/>
        <v>1.0636645296912912</v>
      </c>
      <c r="T1158">
        <f t="shared" si="422"/>
        <v>2018.6820903064986</v>
      </c>
      <c r="U1158">
        <f t="shared" si="423"/>
        <v>0</v>
      </c>
      <c r="V1158">
        <f t="shared" si="424"/>
        <v>0.53016428220432554</v>
      </c>
      <c r="W1158">
        <f t="shared" si="425"/>
        <v>1302.5955380018283</v>
      </c>
      <c r="X1158">
        <f t="shared" si="426"/>
        <v>0</v>
      </c>
      <c r="Y1158">
        <f t="shared" si="427"/>
        <v>0.37316057353421972</v>
      </c>
      <c r="Z1158">
        <f t="shared" si="428"/>
        <v>6000</v>
      </c>
      <c r="AA1158">
        <f t="shared" si="429"/>
        <v>0</v>
      </c>
      <c r="AB1158">
        <f t="shared" si="430"/>
        <v>6.7000407999999982</v>
      </c>
      <c r="AC1158">
        <f t="shared" si="431"/>
        <v>6000</v>
      </c>
      <c r="AD1158">
        <f t="shared" si="432"/>
        <v>0</v>
      </c>
      <c r="AE1158">
        <f t="shared" si="433"/>
        <v>6.7000407999999982</v>
      </c>
      <c r="AF1158">
        <f t="shared" si="434"/>
        <v>6000</v>
      </c>
      <c r="AG1158">
        <f t="shared" si="435"/>
        <v>0</v>
      </c>
      <c r="AH1158">
        <f t="shared" si="436"/>
        <v>6.7000407999999982</v>
      </c>
      <c r="AI1158" cm="1">
        <f t="array" ref="AI1158">_xlfn.LET(
    _xlpm.vals,   _xlfn.HSTACK(S1158,V1158,Y1158,AB1158,AE1158,AH1158),
    _xlpm.ints,   _xlfn.HSTACK(R1158,U1158,X1158,AA1158,AD1158,AG1158),
    _xlpm.slopes, _xlfn.HSTACK(Q1158,T1158,W1158,Z1158,AC1158,AF1158),
    _xlpm.limit,  -0.00001*_xlpm.slopes + 0.1086*_xlpm.slopes + 63.253,
    _xlpm.mask,   (_xlpm.vals&gt;=0) * (_xlpm.ints&lt;=_xlpm.limit),
    _xlpm.validVals, _xlfn._xlws.FILTER(_xlpm.vals, _xlpm.mask),
    _xlpm.minVal, MIN(_xlpm.validVals),
    IFERROR( _xlfn.XMATCH(_xlpm.minVal, _xlpm.vals), "" )
)</f>
        <v>3</v>
      </c>
      <c r="AJ1158" cm="1">
        <f t="array" ref="AJ1158">_xlfn.LET(
    _xlpm.vals, CHOOSE({1,2,3,4,5,6}, S1158, V1158, Y1158, AB1158, AE1158, AH1158),
    _xlpm.slopes, CHOOSE({1,2,3,4,5,6}, Q1158, T1158, W1158, Z1158, AC1158, AF1158),
    _xlpm.ints, CHOOSE({1,2,3,4,5,6}, R1158, U1158, X1158, AA1158, AD1158, AG1158),
    _xlpm.limit, -0.00001*_xlpm.slopes + 0.1086*_xlpm.slopes + 63.253,
    _xlpm.valid, (_xlpm.vals &gt;= 0) * (_xlpm.ints &lt;= _xlpm.limit),
    _xlpm.target, MIN(_xlfn._xlws.FILTER(_xlpm.vals, _xlpm.valid)),
    IFERROR(
        _xlfn.XLOOKUP(_xlpm.target, _xlpm.vals, _xlpm.vals),
        CHOOSE({1,2,3,4,5,6}, S$1, V$1, Y$1, AB$1, AE$1, AH$1)
    )
)</f>
        <v>0.37316057353421972</v>
      </c>
    </row>
    <row r="1159" spans="9:36" x14ac:dyDescent="0.45">
      <c r="I1159">
        <v>1157</v>
      </c>
      <c r="J1159">
        <v>12.8</v>
      </c>
      <c r="K1159">
        <f t="shared" si="415"/>
        <v>12.8</v>
      </c>
      <c r="L1159">
        <f t="shared" si="414"/>
        <v>3.5555555555555557E-3</v>
      </c>
      <c r="M1159">
        <v>0</v>
      </c>
      <c r="N1159">
        <f t="shared" si="416"/>
        <v>0</v>
      </c>
      <c r="O1159">
        <f t="shared" si="417"/>
        <v>166.33833967588154</v>
      </c>
      <c r="P1159">
        <f t="shared" si="418"/>
        <v>532.282686962821</v>
      </c>
      <c r="Q1159">
        <f t="shared" si="419"/>
        <v>2437.8547062897201</v>
      </c>
      <c r="R1159">
        <f t="shared" si="420"/>
        <v>0</v>
      </c>
      <c r="S1159">
        <f t="shared" si="421"/>
        <v>0.67526130825094</v>
      </c>
      <c r="T1159">
        <f t="shared" si="422"/>
        <v>1575.5567534099503</v>
      </c>
      <c r="U1159">
        <f t="shared" si="423"/>
        <v>0</v>
      </c>
      <c r="V1159">
        <f t="shared" si="424"/>
        <v>0.42450774040329819</v>
      </c>
      <c r="W1159">
        <f t="shared" si="425"/>
        <v>1016.6599320989881</v>
      </c>
      <c r="X1159">
        <f t="shared" si="426"/>
        <v>0</v>
      </c>
      <c r="Y1159">
        <f t="shared" si="427"/>
        <v>0.32289596333819298</v>
      </c>
      <c r="Z1159">
        <f t="shared" si="428"/>
        <v>6000</v>
      </c>
      <c r="AA1159">
        <f t="shared" si="429"/>
        <v>0</v>
      </c>
      <c r="AB1159">
        <f t="shared" si="430"/>
        <v>6.7000407999999982</v>
      </c>
      <c r="AC1159">
        <f t="shared" si="431"/>
        <v>6000</v>
      </c>
      <c r="AD1159">
        <f t="shared" si="432"/>
        <v>0</v>
      </c>
      <c r="AE1159">
        <f t="shared" si="433"/>
        <v>6.7000407999999982</v>
      </c>
      <c r="AF1159">
        <f t="shared" si="434"/>
        <v>6000</v>
      </c>
      <c r="AG1159">
        <f t="shared" si="435"/>
        <v>0</v>
      </c>
      <c r="AH1159">
        <f t="shared" si="436"/>
        <v>6.7000407999999982</v>
      </c>
      <c r="AI1159" cm="1">
        <f t="array" ref="AI1159">_xlfn.LET(
    _xlpm.vals,   _xlfn.HSTACK(S1159,V1159,Y1159,AB1159,AE1159,AH1159),
    _xlpm.ints,   _xlfn.HSTACK(R1159,U1159,X1159,AA1159,AD1159,AG1159),
    _xlpm.slopes, _xlfn.HSTACK(Q1159,T1159,W1159,Z1159,AC1159,AF1159),
    _xlpm.limit,  -0.00001*_xlpm.slopes + 0.1086*_xlpm.slopes + 63.253,
    _xlpm.mask,   (_xlpm.vals&gt;=0) * (_xlpm.ints&lt;=_xlpm.limit),
    _xlpm.validVals, _xlfn._xlws.FILTER(_xlpm.vals, _xlpm.mask),
    _xlpm.minVal, MIN(_xlpm.validVals),
    IFERROR( _xlfn.XMATCH(_xlpm.minVal, _xlpm.vals), "" )
)</f>
        <v>3</v>
      </c>
      <c r="AJ1159" cm="1">
        <f t="array" ref="AJ1159">_xlfn.LET(
    _xlpm.vals, CHOOSE({1,2,3,4,5,6}, S1159, V1159, Y1159, AB1159, AE1159, AH1159),
    _xlpm.slopes, CHOOSE({1,2,3,4,5,6}, Q1159, T1159, W1159, Z1159, AC1159, AF1159),
    _xlpm.ints, CHOOSE({1,2,3,4,5,6}, R1159, U1159, X1159, AA1159, AD1159, AG1159),
    _xlpm.limit, -0.00001*_xlpm.slopes + 0.1086*_xlpm.slopes + 63.253,
    _xlpm.valid, (_xlpm.vals &gt;= 0) * (_xlpm.ints &lt;= _xlpm.limit),
    _xlpm.target, MIN(_xlfn._xlws.FILTER(_xlpm.vals, _xlpm.valid)),
    IFERROR(
        _xlfn.XLOOKUP(_xlpm.target, _xlpm.vals, _xlpm.vals),
        CHOOSE({1,2,3,4,5,6}, S$1, V$1, Y$1, AB$1, AE$1, AH$1)
    )
)</f>
        <v>0.32289596333819298</v>
      </c>
    </row>
    <row r="1160" spans="9:36" x14ac:dyDescent="0.45">
      <c r="I1160">
        <v>1158</v>
      </c>
      <c r="J1160">
        <v>9.1</v>
      </c>
      <c r="K1160">
        <f t="shared" si="415"/>
        <v>9.1</v>
      </c>
      <c r="L1160">
        <f t="shared" si="414"/>
        <v>2.5277777777777777E-3</v>
      </c>
      <c r="M1160">
        <v>0.52</v>
      </c>
      <c r="N1160">
        <f t="shared" si="416"/>
        <v>0.52</v>
      </c>
      <c r="O1160">
        <f t="shared" si="417"/>
        <v>118.25616336332203</v>
      </c>
      <c r="P1160">
        <f t="shared" si="418"/>
        <v>378.4197227626305</v>
      </c>
      <c r="Q1160">
        <f t="shared" si="419"/>
        <v>1733.1623302528478</v>
      </c>
      <c r="R1160">
        <f t="shared" si="420"/>
        <v>2.8650716310818432</v>
      </c>
      <c r="S1160">
        <f t="shared" si="421"/>
        <v>0.48715892891951823</v>
      </c>
      <c r="T1160">
        <f t="shared" si="422"/>
        <v>1120.1223793773863</v>
      </c>
      <c r="U1160">
        <f t="shared" si="423"/>
        <v>4.433117591336095</v>
      </c>
      <c r="V1160">
        <f t="shared" si="424"/>
        <v>0.37111680889258553</v>
      </c>
      <c r="W1160">
        <f t="shared" si="425"/>
        <v>6000</v>
      </c>
      <c r="X1160">
        <f t="shared" si="426"/>
        <v>0.82760570407785583</v>
      </c>
      <c r="Y1160">
        <f t="shared" si="427"/>
        <v>6.7051114991182601</v>
      </c>
      <c r="Z1160">
        <f t="shared" si="428"/>
        <v>6000</v>
      </c>
      <c r="AA1160">
        <f t="shared" si="429"/>
        <v>0.82760570407785583</v>
      </c>
      <c r="AB1160">
        <f t="shared" si="430"/>
        <v>6.7051114991182601</v>
      </c>
      <c r="AC1160">
        <f t="shared" si="431"/>
        <v>6000</v>
      </c>
      <c r="AD1160">
        <f t="shared" si="432"/>
        <v>0.82760570407785583</v>
      </c>
      <c r="AE1160">
        <f t="shared" si="433"/>
        <v>6.7051114991182601</v>
      </c>
      <c r="AF1160">
        <f t="shared" si="434"/>
        <v>6000</v>
      </c>
      <c r="AG1160">
        <f t="shared" si="435"/>
        <v>0.82760570407785583</v>
      </c>
      <c r="AH1160">
        <f t="shared" si="436"/>
        <v>6.7051114991182601</v>
      </c>
      <c r="AI1160" cm="1">
        <f t="array" ref="AI1160">_xlfn.LET(
    _xlpm.vals,   _xlfn.HSTACK(S1160,V1160,Y1160,AB1160,AE1160,AH1160),
    _xlpm.ints,   _xlfn.HSTACK(R1160,U1160,X1160,AA1160,AD1160,AG1160),
    _xlpm.slopes, _xlfn.HSTACK(Q1160,T1160,W1160,Z1160,AC1160,AF1160),
    _xlpm.limit,  -0.00001*_xlpm.slopes + 0.1086*_xlpm.slopes + 63.253,
    _xlpm.mask,   (_xlpm.vals&gt;=0) * (_xlpm.ints&lt;=_xlpm.limit),
    _xlpm.validVals, _xlfn._xlws.FILTER(_xlpm.vals, _xlpm.mask),
    _xlpm.minVal, MIN(_xlpm.validVals),
    IFERROR( _xlfn.XMATCH(_xlpm.minVal, _xlpm.vals), "" )
)</f>
        <v>2</v>
      </c>
      <c r="AJ1160" cm="1">
        <f t="array" ref="AJ1160">_xlfn.LET(
    _xlpm.vals, CHOOSE({1,2,3,4,5,6}, S1160, V1160, Y1160, AB1160, AE1160, AH1160),
    _xlpm.slopes, CHOOSE({1,2,3,4,5,6}, Q1160, T1160, W1160, Z1160, AC1160, AF1160),
    _xlpm.ints, CHOOSE({1,2,3,4,5,6}, R1160, U1160, X1160, AA1160, AD1160, AG1160),
    _xlpm.limit, -0.00001*_xlpm.slopes + 0.1086*_xlpm.slopes + 63.253,
    _xlpm.valid, (_xlpm.vals &gt;= 0) * (_xlpm.ints &lt;= _xlpm.limit),
    _xlpm.target, MIN(_xlfn._xlws.FILTER(_xlpm.vals, _xlpm.valid)),
    IFERROR(
        _xlfn.XLOOKUP(_xlpm.target, _xlpm.vals, _xlpm.vals),
        CHOOSE({1,2,3,4,5,6}, S$1, V$1, Y$1, AB$1, AE$1, AH$1)
    )
)</f>
        <v>0.37111680889258553</v>
      </c>
    </row>
    <row r="1161" spans="9:36" x14ac:dyDescent="0.45">
      <c r="I1161">
        <v>1159</v>
      </c>
      <c r="J1161">
        <v>5.6</v>
      </c>
      <c r="K1161">
        <f t="shared" si="415"/>
        <v>5.6</v>
      </c>
      <c r="L1161">
        <f t="shared" si="414"/>
        <v>1.5555555555555555E-3</v>
      </c>
      <c r="M1161">
        <v>0.95</v>
      </c>
      <c r="N1161">
        <f t="shared" si="416"/>
        <v>0.95</v>
      </c>
      <c r="O1161">
        <f t="shared" si="417"/>
        <v>72.773023608198173</v>
      </c>
      <c r="P1161">
        <f t="shared" si="418"/>
        <v>232.87367554623415</v>
      </c>
      <c r="Q1161">
        <f t="shared" si="419"/>
        <v>1066.5614340017523</v>
      </c>
      <c r="R1161">
        <f t="shared" si="420"/>
        <v>8.5056814047742222</v>
      </c>
      <c r="S1161">
        <f t="shared" si="421"/>
        <v>0.38846149284133724</v>
      </c>
      <c r="T1161">
        <f t="shared" si="422"/>
        <v>6000</v>
      </c>
      <c r="U1161">
        <f t="shared" si="423"/>
        <v>1.5119719593730059</v>
      </c>
      <c r="V1161">
        <f t="shared" si="424"/>
        <v>6.7094768729910514</v>
      </c>
      <c r="W1161">
        <f t="shared" si="425"/>
        <v>6000</v>
      </c>
      <c r="X1161">
        <f t="shared" si="426"/>
        <v>1.5119719593730059</v>
      </c>
      <c r="Y1161">
        <f t="shared" si="427"/>
        <v>6.7094768729910514</v>
      </c>
      <c r="Z1161">
        <f t="shared" si="428"/>
        <v>6000</v>
      </c>
      <c r="AA1161">
        <f t="shared" si="429"/>
        <v>1.5119719593730059</v>
      </c>
      <c r="AB1161">
        <f t="shared" si="430"/>
        <v>6.7094768729910514</v>
      </c>
      <c r="AC1161">
        <f t="shared" si="431"/>
        <v>6000</v>
      </c>
      <c r="AD1161">
        <f t="shared" si="432"/>
        <v>1.5119719593730059</v>
      </c>
      <c r="AE1161">
        <f t="shared" si="433"/>
        <v>6.7094768729910514</v>
      </c>
      <c r="AF1161">
        <f t="shared" si="434"/>
        <v>6000</v>
      </c>
      <c r="AG1161">
        <f t="shared" si="435"/>
        <v>1.5119719593730059</v>
      </c>
      <c r="AH1161">
        <f t="shared" si="436"/>
        <v>6.7094768729910514</v>
      </c>
      <c r="AI1161" cm="1">
        <f t="array" ref="AI1161">_xlfn.LET(
    _xlpm.vals,   _xlfn.HSTACK(S1161,V1161,Y1161,AB1161,AE1161,AH1161),
    _xlpm.ints,   _xlfn.HSTACK(R1161,U1161,X1161,AA1161,AD1161,AG1161),
    _xlpm.slopes, _xlfn.HSTACK(Q1161,T1161,W1161,Z1161,AC1161,AF1161),
    _xlpm.limit,  -0.00001*_xlpm.slopes + 0.1086*_xlpm.slopes + 63.253,
    _xlpm.mask,   (_xlpm.vals&gt;=0) * (_xlpm.ints&lt;=_xlpm.limit),
    _xlpm.validVals, _xlfn._xlws.FILTER(_xlpm.vals, _xlpm.mask),
    _xlpm.minVal, MIN(_xlpm.validVals),
    IFERROR( _xlfn.XMATCH(_xlpm.minVal, _xlpm.vals), "" )
)</f>
        <v>1</v>
      </c>
      <c r="AJ1161" cm="1">
        <f t="array" ref="AJ1161">_xlfn.LET(
    _xlpm.vals, CHOOSE({1,2,3,4,5,6}, S1161, V1161, Y1161, AB1161, AE1161, AH1161),
    _xlpm.slopes, CHOOSE({1,2,3,4,5,6}, Q1161, T1161, W1161, Z1161, AC1161, AF1161),
    _xlpm.ints, CHOOSE({1,2,3,4,5,6}, R1161, U1161, X1161, AA1161, AD1161, AG1161),
    _xlpm.limit, -0.00001*_xlpm.slopes + 0.1086*_xlpm.slopes + 63.253,
    _xlpm.valid, (_xlpm.vals &gt;= 0) * (_xlpm.ints &lt;= _xlpm.limit),
    _xlpm.target, MIN(_xlfn._xlws.FILTER(_xlpm.vals, _xlpm.valid)),
    IFERROR(
        _xlfn.XLOOKUP(_xlpm.target, _xlpm.vals, _xlpm.vals),
        CHOOSE({1,2,3,4,5,6}, S$1, V$1, Y$1, AB$1, AE$1, AH$1)
    )
)</f>
        <v>0.38846149284133724</v>
      </c>
    </row>
    <row r="1162" spans="9:36" x14ac:dyDescent="0.45">
      <c r="I1162">
        <v>1160</v>
      </c>
      <c r="J1162">
        <v>2.5</v>
      </c>
      <c r="K1162">
        <f t="shared" si="415"/>
        <v>2.5</v>
      </c>
      <c r="L1162">
        <f t="shared" si="414"/>
        <v>6.9444444444444447E-4</v>
      </c>
      <c r="M1162">
        <v>1.54</v>
      </c>
      <c r="N1162">
        <f t="shared" si="416"/>
        <v>1.54</v>
      </c>
      <c r="O1162">
        <f t="shared" si="417"/>
        <v>32.487956967945614</v>
      </c>
      <c r="P1162">
        <f t="shared" si="418"/>
        <v>103.96146229742597</v>
      </c>
      <c r="Q1162">
        <f t="shared" si="419"/>
        <v>1000</v>
      </c>
      <c r="R1162">
        <f t="shared" si="420"/>
        <v>14.70591674169113</v>
      </c>
      <c r="S1162">
        <f t="shared" si="421"/>
        <v>0.41658539235651615</v>
      </c>
      <c r="T1162">
        <f t="shared" si="422"/>
        <v>6000</v>
      </c>
      <c r="U1162">
        <f t="shared" si="423"/>
        <v>2.4509861236151882</v>
      </c>
      <c r="V1162">
        <f t="shared" si="424"/>
        <v>6.7157190978201395</v>
      </c>
      <c r="W1162">
        <f t="shared" si="425"/>
        <v>6000</v>
      </c>
      <c r="X1162">
        <f t="shared" si="426"/>
        <v>2.4509861236151882</v>
      </c>
      <c r="Y1162">
        <f t="shared" si="427"/>
        <v>6.7157190978201395</v>
      </c>
      <c r="Z1162">
        <f t="shared" si="428"/>
        <v>6000</v>
      </c>
      <c r="AA1162">
        <f t="shared" si="429"/>
        <v>2.4509861236151882</v>
      </c>
      <c r="AB1162">
        <f t="shared" si="430"/>
        <v>6.7157190978201395</v>
      </c>
      <c r="AC1162">
        <f t="shared" si="431"/>
        <v>6000</v>
      </c>
      <c r="AD1162">
        <f t="shared" si="432"/>
        <v>2.4509861236151882</v>
      </c>
      <c r="AE1162">
        <f t="shared" si="433"/>
        <v>6.7157190978201395</v>
      </c>
      <c r="AF1162">
        <f t="shared" si="434"/>
        <v>6000</v>
      </c>
      <c r="AG1162">
        <f t="shared" si="435"/>
        <v>2.4509861236151882</v>
      </c>
      <c r="AH1162">
        <f t="shared" si="436"/>
        <v>6.7157190978201395</v>
      </c>
      <c r="AI1162" cm="1">
        <f t="array" ref="AI1162">_xlfn.LET(
    _xlpm.vals,   _xlfn.HSTACK(S1162,V1162,Y1162,AB1162,AE1162,AH1162),
    _xlpm.ints,   _xlfn.HSTACK(R1162,U1162,X1162,AA1162,AD1162,AG1162),
    _xlpm.slopes, _xlfn.HSTACK(Q1162,T1162,W1162,Z1162,AC1162,AF1162),
    _xlpm.limit,  -0.00001*_xlpm.slopes + 0.1086*_xlpm.slopes + 63.253,
    _xlpm.mask,   (_xlpm.vals&gt;=0) * (_xlpm.ints&lt;=_xlpm.limit),
    _xlpm.validVals, _xlfn._xlws.FILTER(_xlpm.vals, _xlpm.mask),
    _xlpm.minVal, MIN(_xlpm.validVals),
    IFERROR( _xlfn.XMATCH(_xlpm.minVal, _xlpm.vals), "" )
)</f>
        <v>1</v>
      </c>
      <c r="AJ1162" cm="1">
        <f t="array" ref="AJ1162">_xlfn.LET(
    _xlpm.vals, CHOOSE({1,2,3,4,5,6}, S1162, V1162, Y1162, AB1162, AE1162, AH1162),
    _xlpm.slopes, CHOOSE({1,2,3,4,5,6}, Q1162, T1162, W1162, Z1162, AC1162, AF1162),
    _xlpm.ints, CHOOSE({1,2,3,4,5,6}, R1162, U1162, X1162, AA1162, AD1162, AG1162),
    _xlpm.limit, -0.00001*_xlpm.slopes + 0.1086*_xlpm.slopes + 63.253,
    _xlpm.valid, (_xlpm.vals &gt;= 0) * (_xlpm.ints &lt;= _xlpm.limit),
    _xlpm.target, MIN(_xlfn._xlws.FILTER(_xlpm.vals, _xlpm.valid)),
    IFERROR(
        _xlfn.XLOOKUP(_xlpm.target, _xlpm.vals, _xlpm.vals),
        CHOOSE({1,2,3,4,5,6}, S$1, V$1, Y$1, AB$1, AE$1, AH$1)
    )
)</f>
        <v>0.41658539235651615</v>
      </c>
    </row>
    <row r="1163" spans="9:36" x14ac:dyDescent="0.45">
      <c r="I1163">
        <v>1161</v>
      </c>
      <c r="J1163">
        <v>0.3</v>
      </c>
      <c r="K1163">
        <f t="shared" si="415"/>
        <v>0.3</v>
      </c>
      <c r="L1163">
        <f t="shared" si="414"/>
        <v>8.3333333333333331E-5</v>
      </c>
      <c r="M1163">
        <v>1.66</v>
      </c>
      <c r="N1163">
        <f t="shared" si="416"/>
        <v>1.66</v>
      </c>
      <c r="O1163">
        <f t="shared" si="417"/>
        <v>3.898554836153473</v>
      </c>
      <c r="P1163">
        <f t="shared" si="418"/>
        <v>12.475375475691115</v>
      </c>
      <c r="Q1163">
        <f t="shared" si="419"/>
        <v>1000</v>
      </c>
      <c r="R1163">
        <f t="shared" si="420"/>
        <v>15.851832331952776</v>
      </c>
      <c r="S1163">
        <f t="shared" si="421"/>
        <v>0.42511727083948003</v>
      </c>
      <c r="T1163">
        <f t="shared" si="422"/>
        <v>6000</v>
      </c>
      <c r="U1163">
        <f t="shared" si="423"/>
        <v>2.6419720553254629</v>
      </c>
      <c r="V1163">
        <f t="shared" si="424"/>
        <v>6.7170243180999112</v>
      </c>
      <c r="W1163">
        <f t="shared" si="425"/>
        <v>6000</v>
      </c>
      <c r="X1163">
        <f t="shared" si="426"/>
        <v>2.6419720553254629</v>
      </c>
      <c r="Y1163">
        <f t="shared" si="427"/>
        <v>6.7170243180999112</v>
      </c>
      <c r="Z1163">
        <f t="shared" si="428"/>
        <v>6000</v>
      </c>
      <c r="AA1163">
        <f t="shared" si="429"/>
        <v>2.6419720553254629</v>
      </c>
      <c r="AB1163">
        <f t="shared" si="430"/>
        <v>6.7170243180999112</v>
      </c>
      <c r="AC1163">
        <f t="shared" si="431"/>
        <v>6000</v>
      </c>
      <c r="AD1163">
        <f t="shared" si="432"/>
        <v>2.6419720553254629</v>
      </c>
      <c r="AE1163">
        <f t="shared" si="433"/>
        <v>6.7170243180999112</v>
      </c>
      <c r="AF1163">
        <f t="shared" si="434"/>
        <v>6000</v>
      </c>
      <c r="AG1163">
        <f t="shared" si="435"/>
        <v>2.6419720553254629</v>
      </c>
      <c r="AH1163">
        <f t="shared" si="436"/>
        <v>6.7170243180999112</v>
      </c>
      <c r="AI1163" cm="1">
        <f t="array" ref="AI1163">_xlfn.LET(
    _xlpm.vals,   _xlfn.HSTACK(S1163,V1163,Y1163,AB1163,AE1163,AH1163),
    _xlpm.ints,   _xlfn.HSTACK(R1163,U1163,X1163,AA1163,AD1163,AG1163),
    _xlpm.slopes, _xlfn.HSTACK(Q1163,T1163,W1163,Z1163,AC1163,AF1163),
    _xlpm.limit,  -0.00001*_xlpm.slopes + 0.1086*_xlpm.slopes + 63.253,
    _xlpm.mask,   (_xlpm.vals&gt;=0) * (_xlpm.ints&lt;=_xlpm.limit),
    _xlpm.validVals, _xlfn._xlws.FILTER(_xlpm.vals, _xlpm.mask),
    _xlpm.minVal, MIN(_xlpm.validVals),
    IFERROR( _xlfn.XMATCH(_xlpm.minVal, _xlpm.vals), "" )
)</f>
        <v>1</v>
      </c>
      <c r="AJ1163" cm="1">
        <f t="array" ref="AJ1163">_xlfn.LET(
    _xlpm.vals, CHOOSE({1,2,3,4,5,6}, S1163, V1163, Y1163, AB1163, AE1163, AH1163),
    _xlpm.slopes, CHOOSE({1,2,3,4,5,6}, Q1163, T1163, W1163, Z1163, AC1163, AF1163),
    _xlpm.ints, CHOOSE({1,2,3,4,5,6}, R1163, U1163, X1163, AA1163, AD1163, AG1163),
    _xlpm.limit, -0.00001*_xlpm.slopes + 0.1086*_xlpm.slopes + 63.253,
    _xlpm.valid, (_xlpm.vals &gt;= 0) * (_xlpm.ints &lt;= _xlpm.limit),
    _xlpm.target, MIN(_xlfn._xlws.FILTER(_xlpm.vals, _xlpm.valid)),
    IFERROR(
        _xlfn.XLOOKUP(_xlpm.target, _xlpm.vals, _xlpm.vals),
        CHOOSE({1,2,3,4,5,6}, S$1, V$1, Y$1, AB$1, AE$1, AH$1)
    )
)</f>
        <v>0.42511727083948003</v>
      </c>
    </row>
    <row r="1164" spans="9:36" x14ac:dyDescent="0.45">
      <c r="I1164">
        <v>1162</v>
      </c>
      <c r="J1164">
        <v>-0.1</v>
      </c>
      <c r="K1164">
        <f t="shared" si="415"/>
        <v>0</v>
      </c>
      <c r="L1164">
        <f t="shared" si="414"/>
        <v>0</v>
      </c>
      <c r="M1164">
        <v>1.82</v>
      </c>
      <c r="N1164">
        <f t="shared" si="416"/>
        <v>1.82</v>
      </c>
      <c r="O1164">
        <f t="shared" si="417"/>
        <v>0</v>
      </c>
      <c r="P1164">
        <f t="shared" si="418"/>
        <v>0</v>
      </c>
      <c r="Q1164">
        <f t="shared" si="419"/>
        <v>1000</v>
      </c>
      <c r="R1164">
        <f t="shared" si="420"/>
        <v>17.379719785634972</v>
      </c>
      <c r="S1164">
        <f t="shared" si="421"/>
        <v>0.4366935350576846</v>
      </c>
      <c r="T1164">
        <f t="shared" si="422"/>
        <v>6000</v>
      </c>
      <c r="U1164">
        <f t="shared" si="423"/>
        <v>2.8966199642724955</v>
      </c>
      <c r="V1164">
        <f t="shared" si="424"/>
        <v>6.7187832844167614</v>
      </c>
      <c r="W1164">
        <f t="shared" si="425"/>
        <v>6000</v>
      </c>
      <c r="X1164">
        <f t="shared" si="426"/>
        <v>2.8966199642724955</v>
      </c>
      <c r="Y1164">
        <f t="shared" si="427"/>
        <v>6.7187832844167614</v>
      </c>
      <c r="Z1164">
        <f t="shared" si="428"/>
        <v>6000</v>
      </c>
      <c r="AA1164">
        <f t="shared" si="429"/>
        <v>2.8966199642724955</v>
      </c>
      <c r="AB1164">
        <f t="shared" si="430"/>
        <v>6.7187832844167614</v>
      </c>
      <c r="AC1164">
        <f t="shared" si="431"/>
        <v>6000</v>
      </c>
      <c r="AD1164">
        <f t="shared" si="432"/>
        <v>2.8966199642724955</v>
      </c>
      <c r="AE1164">
        <f t="shared" si="433"/>
        <v>6.7187832844167614</v>
      </c>
      <c r="AF1164">
        <f t="shared" si="434"/>
        <v>6000</v>
      </c>
      <c r="AG1164">
        <f t="shared" si="435"/>
        <v>2.8966199642724955</v>
      </c>
      <c r="AH1164">
        <f t="shared" si="436"/>
        <v>6.7187832844167614</v>
      </c>
      <c r="AI1164" cm="1">
        <f t="array" ref="AI1164">_xlfn.LET(
    _xlpm.vals,   _xlfn.HSTACK(S1164,V1164,Y1164,AB1164,AE1164,AH1164),
    _xlpm.ints,   _xlfn.HSTACK(R1164,U1164,X1164,AA1164,AD1164,AG1164),
    _xlpm.slopes, _xlfn.HSTACK(Q1164,T1164,W1164,Z1164,AC1164,AF1164),
    _xlpm.limit,  -0.00001*_xlpm.slopes + 0.1086*_xlpm.slopes + 63.253,
    _xlpm.mask,   (_xlpm.vals&gt;=0) * (_xlpm.ints&lt;=_xlpm.limit),
    _xlpm.validVals, _xlfn._xlws.FILTER(_xlpm.vals, _xlpm.mask),
    _xlpm.minVal, MIN(_xlpm.validVals),
    IFERROR( _xlfn.XMATCH(_xlpm.minVal, _xlpm.vals), "" )
)</f>
        <v>1</v>
      </c>
      <c r="AJ1164" cm="1">
        <f t="array" ref="AJ1164">_xlfn.LET(
    _xlpm.vals, CHOOSE({1,2,3,4,5,6}, S1164, V1164, Y1164, AB1164, AE1164, AH1164),
    _xlpm.slopes, CHOOSE({1,2,3,4,5,6}, Q1164, T1164, W1164, Z1164, AC1164, AF1164),
    _xlpm.ints, CHOOSE({1,2,3,4,5,6}, R1164, U1164, X1164, AA1164, AD1164, AG1164),
    _xlpm.limit, -0.00001*_xlpm.slopes + 0.1086*_xlpm.slopes + 63.253,
    _xlpm.valid, (_xlpm.vals &gt;= 0) * (_xlpm.ints &lt;= _xlpm.limit),
    _xlpm.target, MIN(_xlfn._xlws.FILTER(_xlpm.vals, _xlpm.valid)),
    IFERROR(
        _xlfn.XLOOKUP(_xlpm.target, _xlpm.vals, _xlpm.vals),
        CHOOSE({1,2,3,4,5,6}, S$1, V$1, Y$1, AB$1, AE$1, AH$1)
    )
)</f>
        <v>0.4366935350576846</v>
      </c>
    </row>
    <row r="1165" spans="9:36" x14ac:dyDescent="0.45">
      <c r="I1165">
        <v>1163</v>
      </c>
      <c r="J1165">
        <v>0</v>
      </c>
      <c r="K1165">
        <f t="shared" si="415"/>
        <v>0</v>
      </c>
      <c r="L1165">
        <f t="shared" si="414"/>
        <v>0</v>
      </c>
      <c r="M1165">
        <v>1.62</v>
      </c>
      <c r="N1165">
        <f t="shared" si="416"/>
        <v>1.62</v>
      </c>
      <c r="O1165">
        <f t="shared" si="417"/>
        <v>0</v>
      </c>
      <c r="P1165">
        <f t="shared" si="418"/>
        <v>0</v>
      </c>
      <c r="Q1165">
        <f t="shared" si="419"/>
        <v>1000</v>
      </c>
      <c r="R1165">
        <f t="shared" si="420"/>
        <v>15.469860468532229</v>
      </c>
      <c r="S1165">
        <f t="shared" si="421"/>
        <v>0.42225880136503335</v>
      </c>
      <c r="T1165">
        <f t="shared" si="422"/>
        <v>6000</v>
      </c>
      <c r="U1165">
        <f t="shared" si="423"/>
        <v>2.5783100780887045</v>
      </c>
      <c r="V1165">
        <f t="shared" si="424"/>
        <v>6.7165879100181138</v>
      </c>
      <c r="W1165">
        <f t="shared" si="425"/>
        <v>6000</v>
      </c>
      <c r="X1165">
        <f t="shared" si="426"/>
        <v>2.5783100780887045</v>
      </c>
      <c r="Y1165">
        <f t="shared" si="427"/>
        <v>6.7165879100181138</v>
      </c>
      <c r="Z1165">
        <f t="shared" si="428"/>
        <v>6000</v>
      </c>
      <c r="AA1165">
        <f t="shared" si="429"/>
        <v>2.5783100780887045</v>
      </c>
      <c r="AB1165">
        <f t="shared" si="430"/>
        <v>6.7165879100181138</v>
      </c>
      <c r="AC1165">
        <f t="shared" si="431"/>
        <v>6000</v>
      </c>
      <c r="AD1165">
        <f t="shared" si="432"/>
        <v>2.5783100780887045</v>
      </c>
      <c r="AE1165">
        <f t="shared" si="433"/>
        <v>6.7165879100181138</v>
      </c>
      <c r="AF1165">
        <f t="shared" si="434"/>
        <v>6000</v>
      </c>
      <c r="AG1165">
        <f t="shared" si="435"/>
        <v>2.5783100780887045</v>
      </c>
      <c r="AH1165">
        <f t="shared" si="436"/>
        <v>6.7165879100181138</v>
      </c>
      <c r="AI1165" cm="1">
        <f t="array" ref="AI1165">_xlfn.LET(
    _xlpm.vals,   _xlfn.HSTACK(S1165,V1165,Y1165,AB1165,AE1165,AH1165),
    _xlpm.ints,   _xlfn.HSTACK(R1165,U1165,X1165,AA1165,AD1165,AG1165),
    _xlpm.slopes, _xlfn.HSTACK(Q1165,T1165,W1165,Z1165,AC1165,AF1165),
    _xlpm.limit,  -0.00001*_xlpm.slopes + 0.1086*_xlpm.slopes + 63.253,
    _xlpm.mask,   (_xlpm.vals&gt;=0) * (_xlpm.ints&lt;=_xlpm.limit),
    _xlpm.validVals, _xlfn._xlws.FILTER(_xlpm.vals, _xlpm.mask),
    _xlpm.minVal, MIN(_xlpm.validVals),
    IFERROR( _xlfn.XMATCH(_xlpm.minVal, _xlpm.vals), "" )
)</f>
        <v>1</v>
      </c>
      <c r="AJ1165" cm="1">
        <f t="array" ref="AJ1165">_xlfn.LET(
    _xlpm.vals, CHOOSE({1,2,3,4,5,6}, S1165, V1165, Y1165, AB1165, AE1165, AH1165),
    _xlpm.slopes, CHOOSE({1,2,3,4,5,6}, Q1165, T1165, W1165, Z1165, AC1165, AF1165),
    _xlpm.ints, CHOOSE({1,2,3,4,5,6}, R1165, U1165, X1165, AA1165, AD1165, AG1165),
    _xlpm.limit, -0.00001*_xlpm.slopes + 0.1086*_xlpm.slopes + 63.253,
    _xlpm.valid, (_xlpm.vals &gt;= 0) * (_xlpm.ints &lt;= _xlpm.limit),
    _xlpm.target, MIN(_xlfn._xlws.FILTER(_xlpm.vals, _xlpm.valid)),
    IFERROR(
        _xlfn.XLOOKUP(_xlpm.target, _xlpm.vals, _xlpm.vals),
        CHOOSE({1,2,3,4,5,6}, S$1, V$1, Y$1, AB$1, AE$1, AH$1)
    )
)</f>
        <v>0.42225880136503335</v>
      </c>
    </row>
    <row r="1166" spans="9:36" x14ac:dyDescent="0.45">
      <c r="I1166">
        <v>1164</v>
      </c>
      <c r="J1166">
        <v>0</v>
      </c>
      <c r="K1166">
        <f t="shared" si="415"/>
        <v>0</v>
      </c>
      <c r="L1166">
        <f t="shared" si="414"/>
        <v>0</v>
      </c>
      <c r="M1166">
        <v>1.26</v>
      </c>
      <c r="N1166">
        <f t="shared" si="416"/>
        <v>1.26</v>
      </c>
      <c r="O1166">
        <f t="shared" si="417"/>
        <v>0</v>
      </c>
      <c r="P1166">
        <f t="shared" si="418"/>
        <v>0</v>
      </c>
      <c r="Q1166">
        <f t="shared" si="419"/>
        <v>1000</v>
      </c>
      <c r="R1166">
        <f t="shared" si="420"/>
        <v>12.032113697747288</v>
      </c>
      <c r="S1166">
        <f t="shared" si="421"/>
        <v>0.39719773586442447</v>
      </c>
      <c r="T1166">
        <f t="shared" si="422"/>
        <v>6000</v>
      </c>
      <c r="U1166">
        <f t="shared" si="423"/>
        <v>2.0053522829578814</v>
      </c>
      <c r="V1166">
        <f t="shared" si="424"/>
        <v>6.7127203532971071</v>
      </c>
      <c r="W1166">
        <f t="shared" si="425"/>
        <v>6000</v>
      </c>
      <c r="X1166">
        <f t="shared" si="426"/>
        <v>2.0053522829578814</v>
      </c>
      <c r="Y1166">
        <f t="shared" si="427"/>
        <v>6.7127203532971071</v>
      </c>
      <c r="Z1166">
        <f t="shared" si="428"/>
        <v>6000</v>
      </c>
      <c r="AA1166">
        <f t="shared" si="429"/>
        <v>2.0053522829578814</v>
      </c>
      <c r="AB1166">
        <f t="shared" si="430"/>
        <v>6.7127203532971071</v>
      </c>
      <c r="AC1166">
        <f t="shared" si="431"/>
        <v>6000</v>
      </c>
      <c r="AD1166">
        <f t="shared" si="432"/>
        <v>2.0053522829578814</v>
      </c>
      <c r="AE1166">
        <f t="shared" si="433"/>
        <v>6.7127203532971071</v>
      </c>
      <c r="AF1166">
        <f t="shared" si="434"/>
        <v>6000</v>
      </c>
      <c r="AG1166">
        <f t="shared" si="435"/>
        <v>2.0053522829578814</v>
      </c>
      <c r="AH1166">
        <f t="shared" si="436"/>
        <v>6.7127203532971071</v>
      </c>
      <c r="AI1166" cm="1">
        <f t="array" ref="AI1166">_xlfn.LET(
    _xlpm.vals,   _xlfn.HSTACK(S1166,V1166,Y1166,AB1166,AE1166,AH1166),
    _xlpm.ints,   _xlfn.HSTACK(R1166,U1166,X1166,AA1166,AD1166,AG1166),
    _xlpm.slopes, _xlfn.HSTACK(Q1166,T1166,W1166,Z1166,AC1166,AF1166),
    _xlpm.limit,  -0.00001*_xlpm.slopes + 0.1086*_xlpm.slopes + 63.253,
    _xlpm.mask,   (_xlpm.vals&gt;=0) * (_xlpm.ints&lt;=_xlpm.limit),
    _xlpm.validVals, _xlfn._xlws.FILTER(_xlpm.vals, _xlpm.mask),
    _xlpm.minVal, MIN(_xlpm.validVals),
    IFERROR( _xlfn.XMATCH(_xlpm.minVal, _xlpm.vals), "" )
)</f>
        <v>1</v>
      </c>
      <c r="AJ1166" cm="1">
        <f t="array" ref="AJ1166">_xlfn.LET(
    _xlpm.vals, CHOOSE({1,2,3,4,5,6}, S1166, V1166, Y1166, AB1166, AE1166, AH1166),
    _xlpm.slopes, CHOOSE({1,2,3,4,5,6}, Q1166, T1166, W1166, Z1166, AC1166, AF1166),
    _xlpm.ints, CHOOSE({1,2,3,4,5,6}, R1166, U1166, X1166, AA1166, AD1166, AG1166),
    _xlpm.limit, -0.00001*_xlpm.slopes + 0.1086*_xlpm.slopes + 63.253,
    _xlpm.valid, (_xlpm.vals &gt;= 0) * (_xlpm.ints &lt;= _xlpm.limit),
    _xlpm.target, MIN(_xlfn._xlws.FILTER(_xlpm.vals, _xlpm.valid)),
    IFERROR(
        _xlfn.XLOOKUP(_xlpm.target, _xlpm.vals, _xlpm.vals),
        CHOOSE({1,2,3,4,5,6}, S$1, V$1, Y$1, AB$1, AE$1, AH$1)
    )
)</f>
        <v>0.39719773586442447</v>
      </c>
    </row>
    <row r="1167" spans="9:36" x14ac:dyDescent="0.45">
      <c r="I1167">
        <v>1165</v>
      </c>
      <c r="J1167">
        <v>0</v>
      </c>
      <c r="K1167">
        <f t="shared" si="415"/>
        <v>0</v>
      </c>
      <c r="L1167">
        <f t="shared" si="414"/>
        <v>0</v>
      </c>
      <c r="M1167">
        <v>1.35</v>
      </c>
      <c r="N1167">
        <f t="shared" si="416"/>
        <v>1.35</v>
      </c>
      <c r="O1167">
        <f t="shared" si="417"/>
        <v>0</v>
      </c>
      <c r="P1167">
        <f t="shared" si="418"/>
        <v>0</v>
      </c>
      <c r="Q1167">
        <f t="shared" si="419"/>
        <v>1000</v>
      </c>
      <c r="R1167">
        <f t="shared" si="420"/>
        <v>12.891550390443523</v>
      </c>
      <c r="S1167">
        <f t="shared" si="421"/>
        <v>0.4033484752058159</v>
      </c>
      <c r="T1167">
        <f t="shared" si="422"/>
        <v>6000</v>
      </c>
      <c r="U1167">
        <f t="shared" si="423"/>
        <v>2.1485917317405869</v>
      </c>
      <c r="V1167">
        <f t="shared" si="424"/>
        <v>6.7136770873381186</v>
      </c>
      <c r="W1167">
        <f t="shared" si="425"/>
        <v>6000</v>
      </c>
      <c r="X1167">
        <f t="shared" si="426"/>
        <v>2.1485917317405869</v>
      </c>
      <c r="Y1167">
        <f t="shared" si="427"/>
        <v>6.7136770873381186</v>
      </c>
      <c r="Z1167">
        <f t="shared" si="428"/>
        <v>6000</v>
      </c>
      <c r="AA1167">
        <f t="shared" si="429"/>
        <v>2.1485917317405869</v>
      </c>
      <c r="AB1167">
        <f t="shared" si="430"/>
        <v>6.7136770873381186</v>
      </c>
      <c r="AC1167">
        <f t="shared" si="431"/>
        <v>6000</v>
      </c>
      <c r="AD1167">
        <f t="shared" si="432"/>
        <v>2.1485917317405869</v>
      </c>
      <c r="AE1167">
        <f t="shared" si="433"/>
        <v>6.7136770873381186</v>
      </c>
      <c r="AF1167">
        <f t="shared" si="434"/>
        <v>6000</v>
      </c>
      <c r="AG1167">
        <f t="shared" si="435"/>
        <v>2.1485917317405869</v>
      </c>
      <c r="AH1167">
        <f t="shared" si="436"/>
        <v>6.7136770873381186</v>
      </c>
      <c r="AI1167" cm="1">
        <f t="array" ref="AI1167">_xlfn.LET(
    _xlpm.vals,   _xlfn.HSTACK(S1167,V1167,Y1167,AB1167,AE1167,AH1167),
    _xlpm.ints,   _xlfn.HSTACK(R1167,U1167,X1167,AA1167,AD1167,AG1167),
    _xlpm.slopes, _xlfn.HSTACK(Q1167,T1167,W1167,Z1167,AC1167,AF1167),
    _xlpm.limit,  -0.00001*_xlpm.slopes + 0.1086*_xlpm.slopes + 63.253,
    _xlpm.mask,   (_xlpm.vals&gt;=0) * (_xlpm.ints&lt;=_xlpm.limit),
    _xlpm.validVals, _xlfn._xlws.FILTER(_xlpm.vals, _xlpm.mask),
    _xlpm.minVal, MIN(_xlpm.validVals),
    IFERROR( _xlfn.XMATCH(_xlpm.minVal, _xlpm.vals), "" )
)</f>
        <v>1</v>
      </c>
      <c r="AJ1167" cm="1">
        <f t="array" ref="AJ1167">_xlfn.LET(
    _xlpm.vals, CHOOSE({1,2,3,4,5,6}, S1167, V1167, Y1167, AB1167, AE1167, AH1167),
    _xlpm.slopes, CHOOSE({1,2,3,4,5,6}, Q1167, T1167, W1167, Z1167, AC1167, AF1167),
    _xlpm.ints, CHOOSE({1,2,3,4,5,6}, R1167, U1167, X1167, AA1167, AD1167, AG1167),
    _xlpm.limit, -0.00001*_xlpm.slopes + 0.1086*_xlpm.slopes + 63.253,
    _xlpm.valid, (_xlpm.vals &gt;= 0) * (_xlpm.ints &lt;= _xlpm.limit),
    _xlpm.target, MIN(_xlfn._xlws.FILTER(_xlpm.vals, _xlpm.valid)),
    IFERROR(
        _xlfn.XLOOKUP(_xlpm.target, _xlpm.vals, _xlpm.vals),
        CHOOSE({1,2,3,4,5,6}, S$1, V$1, Y$1, AB$1, AE$1, AH$1)
    )
)</f>
        <v>0.4033484752058159</v>
      </c>
    </row>
    <row r="1168" spans="9:36" x14ac:dyDescent="0.45">
      <c r="I1168">
        <v>1166</v>
      </c>
      <c r="J1168">
        <v>0</v>
      </c>
      <c r="K1168">
        <f t="shared" si="415"/>
        <v>0</v>
      </c>
      <c r="L1168">
        <f t="shared" si="414"/>
        <v>0</v>
      </c>
      <c r="M1168">
        <v>1.57</v>
      </c>
      <c r="N1168">
        <f t="shared" si="416"/>
        <v>1.57</v>
      </c>
      <c r="O1168">
        <f t="shared" si="417"/>
        <v>0</v>
      </c>
      <c r="P1168">
        <f t="shared" si="418"/>
        <v>0</v>
      </c>
      <c r="Q1168">
        <f t="shared" si="419"/>
        <v>1000</v>
      </c>
      <c r="R1168">
        <f t="shared" si="420"/>
        <v>14.992395639256543</v>
      </c>
      <c r="S1168">
        <f t="shared" si="421"/>
        <v>0.41870607829760742</v>
      </c>
      <c r="T1168">
        <f t="shared" si="422"/>
        <v>6000</v>
      </c>
      <c r="U1168">
        <f t="shared" si="423"/>
        <v>2.4987326065427569</v>
      </c>
      <c r="V1168">
        <f t="shared" si="424"/>
        <v>6.7160442765854746</v>
      </c>
      <c r="W1168">
        <f t="shared" si="425"/>
        <v>6000</v>
      </c>
      <c r="X1168">
        <f t="shared" si="426"/>
        <v>2.4987326065427569</v>
      </c>
      <c r="Y1168">
        <f t="shared" si="427"/>
        <v>6.7160442765854746</v>
      </c>
      <c r="Z1168">
        <f t="shared" si="428"/>
        <v>6000</v>
      </c>
      <c r="AA1168">
        <f t="shared" si="429"/>
        <v>2.4987326065427569</v>
      </c>
      <c r="AB1168">
        <f t="shared" si="430"/>
        <v>6.7160442765854746</v>
      </c>
      <c r="AC1168">
        <f t="shared" si="431"/>
        <v>6000</v>
      </c>
      <c r="AD1168">
        <f t="shared" si="432"/>
        <v>2.4987326065427569</v>
      </c>
      <c r="AE1168">
        <f t="shared" si="433"/>
        <v>6.7160442765854746</v>
      </c>
      <c r="AF1168">
        <f t="shared" si="434"/>
        <v>6000</v>
      </c>
      <c r="AG1168">
        <f t="shared" si="435"/>
        <v>2.4987326065427569</v>
      </c>
      <c r="AH1168">
        <f t="shared" si="436"/>
        <v>6.7160442765854746</v>
      </c>
      <c r="AI1168" cm="1">
        <f t="array" ref="AI1168">_xlfn.LET(
    _xlpm.vals,   _xlfn.HSTACK(S1168,V1168,Y1168,AB1168,AE1168,AH1168),
    _xlpm.ints,   _xlfn.HSTACK(R1168,U1168,X1168,AA1168,AD1168,AG1168),
    _xlpm.slopes, _xlfn.HSTACK(Q1168,T1168,W1168,Z1168,AC1168,AF1168),
    _xlpm.limit,  -0.00001*_xlpm.slopes + 0.1086*_xlpm.slopes + 63.253,
    _xlpm.mask,   (_xlpm.vals&gt;=0) * (_xlpm.ints&lt;=_xlpm.limit),
    _xlpm.validVals, _xlfn._xlws.FILTER(_xlpm.vals, _xlpm.mask),
    _xlpm.minVal, MIN(_xlpm.validVals),
    IFERROR( _xlfn.XMATCH(_xlpm.minVal, _xlpm.vals), "" )
)</f>
        <v>1</v>
      </c>
      <c r="AJ1168" cm="1">
        <f t="array" ref="AJ1168">_xlfn.LET(
    _xlpm.vals, CHOOSE({1,2,3,4,5,6}, S1168, V1168, Y1168, AB1168, AE1168, AH1168),
    _xlpm.slopes, CHOOSE({1,2,3,4,5,6}, Q1168, T1168, W1168, Z1168, AC1168, AF1168),
    _xlpm.ints, CHOOSE({1,2,3,4,5,6}, R1168, U1168, X1168, AA1168, AD1168, AG1168),
    _xlpm.limit, -0.00001*_xlpm.slopes + 0.1086*_xlpm.slopes + 63.253,
    _xlpm.valid, (_xlpm.vals &gt;= 0) * (_xlpm.ints &lt;= _xlpm.limit),
    _xlpm.target, MIN(_xlfn._xlws.FILTER(_xlpm.vals, _xlpm.valid)),
    IFERROR(
        _xlfn.XLOOKUP(_xlpm.target, _xlpm.vals, _xlpm.vals),
        CHOOSE({1,2,3,4,5,6}, S$1, V$1, Y$1, AB$1, AE$1, AH$1)
    )
)</f>
        <v>0.41870607829760742</v>
      </c>
    </row>
    <row r="1169" spans="9:36" x14ac:dyDescent="0.45">
      <c r="I1169">
        <v>1167</v>
      </c>
      <c r="J1169">
        <v>0</v>
      </c>
      <c r="K1169">
        <f t="shared" si="415"/>
        <v>0</v>
      </c>
      <c r="L1169">
        <f t="shared" si="414"/>
        <v>0</v>
      </c>
      <c r="M1169">
        <v>0.91</v>
      </c>
      <c r="N1169">
        <f t="shared" si="416"/>
        <v>0.91</v>
      </c>
      <c r="O1169">
        <f t="shared" si="417"/>
        <v>0</v>
      </c>
      <c r="P1169">
        <f t="shared" si="418"/>
        <v>0</v>
      </c>
      <c r="Q1169">
        <f t="shared" si="419"/>
        <v>1000</v>
      </c>
      <c r="R1169">
        <f t="shared" si="420"/>
        <v>8.6898598928174859</v>
      </c>
      <c r="S1169">
        <f t="shared" si="421"/>
        <v>0.37403711611222523</v>
      </c>
      <c r="T1169">
        <f t="shared" si="422"/>
        <v>6000</v>
      </c>
      <c r="U1169">
        <f t="shared" si="423"/>
        <v>1.4483099821362477</v>
      </c>
      <c r="V1169">
        <f t="shared" si="424"/>
        <v>6.7090642318886093</v>
      </c>
      <c r="W1169">
        <f t="shared" si="425"/>
        <v>6000</v>
      </c>
      <c r="X1169">
        <f t="shared" si="426"/>
        <v>1.4483099821362477</v>
      </c>
      <c r="Y1169">
        <f t="shared" si="427"/>
        <v>6.7090642318886093</v>
      </c>
      <c r="Z1169">
        <f t="shared" si="428"/>
        <v>6000</v>
      </c>
      <c r="AA1169">
        <f t="shared" si="429"/>
        <v>1.4483099821362477</v>
      </c>
      <c r="AB1169">
        <f t="shared" si="430"/>
        <v>6.7090642318886093</v>
      </c>
      <c r="AC1169">
        <f t="shared" si="431"/>
        <v>6000</v>
      </c>
      <c r="AD1169">
        <f t="shared" si="432"/>
        <v>1.4483099821362477</v>
      </c>
      <c r="AE1169">
        <f t="shared" si="433"/>
        <v>6.7090642318886093</v>
      </c>
      <c r="AF1169">
        <f t="shared" si="434"/>
        <v>6000</v>
      </c>
      <c r="AG1169">
        <f t="shared" si="435"/>
        <v>1.4483099821362477</v>
      </c>
      <c r="AH1169">
        <f t="shared" si="436"/>
        <v>6.7090642318886093</v>
      </c>
      <c r="AI1169" cm="1">
        <f t="array" ref="AI1169">_xlfn.LET(
    _xlpm.vals,   _xlfn.HSTACK(S1169,V1169,Y1169,AB1169,AE1169,AH1169),
    _xlpm.ints,   _xlfn.HSTACK(R1169,U1169,X1169,AA1169,AD1169,AG1169),
    _xlpm.slopes, _xlfn.HSTACK(Q1169,T1169,W1169,Z1169,AC1169,AF1169),
    _xlpm.limit,  -0.00001*_xlpm.slopes + 0.1086*_xlpm.slopes + 63.253,
    _xlpm.mask,   (_xlpm.vals&gt;=0) * (_xlpm.ints&lt;=_xlpm.limit),
    _xlpm.validVals, _xlfn._xlws.FILTER(_xlpm.vals, _xlpm.mask),
    _xlpm.minVal, MIN(_xlpm.validVals),
    IFERROR( _xlfn.XMATCH(_xlpm.minVal, _xlpm.vals), "" )
)</f>
        <v>1</v>
      </c>
      <c r="AJ1169" cm="1">
        <f t="array" ref="AJ1169">_xlfn.LET(
    _xlpm.vals, CHOOSE({1,2,3,4,5,6}, S1169, V1169, Y1169, AB1169, AE1169, AH1169),
    _xlpm.slopes, CHOOSE({1,2,3,4,5,6}, Q1169, T1169, W1169, Z1169, AC1169, AF1169),
    _xlpm.ints, CHOOSE({1,2,3,4,5,6}, R1169, U1169, X1169, AA1169, AD1169, AG1169),
    _xlpm.limit, -0.00001*_xlpm.slopes + 0.1086*_xlpm.slopes + 63.253,
    _xlpm.valid, (_xlpm.vals &gt;= 0) * (_xlpm.ints &lt;= _xlpm.limit),
    _xlpm.target, MIN(_xlfn._xlws.FILTER(_xlpm.vals, _xlpm.valid)),
    IFERROR(
        _xlfn.XLOOKUP(_xlpm.target, _xlpm.vals, _xlpm.vals),
        CHOOSE({1,2,3,4,5,6}, S$1, V$1, Y$1, AB$1, AE$1, AH$1)
    )
)</f>
        <v>0.37403711611222523</v>
      </c>
    </row>
    <row r="1170" spans="9:36" x14ac:dyDescent="0.45">
      <c r="I1170">
        <v>1168</v>
      </c>
      <c r="J1170">
        <v>0</v>
      </c>
      <c r="K1170">
        <f t="shared" si="415"/>
        <v>0</v>
      </c>
      <c r="L1170">
        <f t="shared" si="414"/>
        <v>0</v>
      </c>
      <c r="M1170">
        <v>1.27</v>
      </c>
      <c r="N1170">
        <f t="shared" si="416"/>
        <v>1.27</v>
      </c>
      <c r="O1170">
        <f t="shared" si="417"/>
        <v>0</v>
      </c>
      <c r="P1170">
        <f t="shared" si="418"/>
        <v>0</v>
      </c>
      <c r="Q1170">
        <f t="shared" si="419"/>
        <v>1000</v>
      </c>
      <c r="R1170">
        <f t="shared" si="420"/>
        <v>12.127606663602426</v>
      </c>
      <c r="S1170">
        <f t="shared" si="421"/>
        <v>0.39787729611319966</v>
      </c>
      <c r="T1170">
        <f t="shared" si="422"/>
        <v>6000</v>
      </c>
      <c r="U1170">
        <f t="shared" si="423"/>
        <v>2.0212677772670711</v>
      </c>
      <c r="V1170">
        <f t="shared" si="424"/>
        <v>6.7128263223612938</v>
      </c>
      <c r="W1170">
        <f t="shared" si="425"/>
        <v>6000</v>
      </c>
      <c r="X1170">
        <f t="shared" si="426"/>
        <v>2.0212677772670711</v>
      </c>
      <c r="Y1170">
        <f t="shared" si="427"/>
        <v>6.7128263223612938</v>
      </c>
      <c r="Z1170">
        <f t="shared" si="428"/>
        <v>6000</v>
      </c>
      <c r="AA1170">
        <f t="shared" si="429"/>
        <v>2.0212677772670711</v>
      </c>
      <c r="AB1170">
        <f t="shared" si="430"/>
        <v>6.7128263223612938</v>
      </c>
      <c r="AC1170">
        <f t="shared" si="431"/>
        <v>6000</v>
      </c>
      <c r="AD1170">
        <f t="shared" si="432"/>
        <v>2.0212677772670711</v>
      </c>
      <c r="AE1170">
        <f t="shared" si="433"/>
        <v>6.7128263223612938</v>
      </c>
      <c r="AF1170">
        <f t="shared" si="434"/>
        <v>6000</v>
      </c>
      <c r="AG1170">
        <f t="shared" si="435"/>
        <v>2.0212677772670711</v>
      </c>
      <c r="AH1170">
        <f t="shared" si="436"/>
        <v>6.7128263223612938</v>
      </c>
      <c r="AI1170" cm="1">
        <f t="array" ref="AI1170">_xlfn.LET(
    _xlpm.vals,   _xlfn.HSTACK(S1170,V1170,Y1170,AB1170,AE1170,AH1170),
    _xlpm.ints,   _xlfn.HSTACK(R1170,U1170,X1170,AA1170,AD1170,AG1170),
    _xlpm.slopes, _xlfn.HSTACK(Q1170,T1170,W1170,Z1170,AC1170,AF1170),
    _xlpm.limit,  -0.00001*_xlpm.slopes + 0.1086*_xlpm.slopes + 63.253,
    _xlpm.mask,   (_xlpm.vals&gt;=0) * (_xlpm.ints&lt;=_xlpm.limit),
    _xlpm.validVals, _xlfn._xlws.FILTER(_xlpm.vals, _xlpm.mask),
    _xlpm.minVal, MIN(_xlpm.validVals),
    IFERROR( _xlfn.XMATCH(_xlpm.minVal, _xlpm.vals), "" )
)</f>
        <v>1</v>
      </c>
      <c r="AJ1170" cm="1">
        <f t="array" ref="AJ1170">_xlfn.LET(
    _xlpm.vals, CHOOSE({1,2,3,4,5,6}, S1170, V1170, Y1170, AB1170, AE1170, AH1170),
    _xlpm.slopes, CHOOSE({1,2,3,4,5,6}, Q1170, T1170, W1170, Z1170, AC1170, AF1170),
    _xlpm.ints, CHOOSE({1,2,3,4,5,6}, R1170, U1170, X1170, AA1170, AD1170, AG1170),
    _xlpm.limit, -0.00001*_xlpm.slopes + 0.1086*_xlpm.slopes + 63.253,
    _xlpm.valid, (_xlpm.vals &gt;= 0) * (_xlpm.ints &lt;= _xlpm.limit),
    _xlpm.target, MIN(_xlfn._xlws.FILTER(_xlpm.vals, _xlpm.valid)),
    IFERROR(
        _xlfn.XLOOKUP(_xlpm.target, _xlpm.vals, _xlpm.vals),
        CHOOSE({1,2,3,4,5,6}, S$1, V$1, Y$1, AB$1, AE$1, AH$1)
    )
)</f>
        <v>0.39787729611319966</v>
      </c>
    </row>
    <row r="1171" spans="9:36" x14ac:dyDescent="0.45">
      <c r="I1171">
        <v>1169</v>
      </c>
      <c r="J1171">
        <v>0</v>
      </c>
      <c r="K1171">
        <f t="shared" si="415"/>
        <v>0</v>
      </c>
      <c r="L1171">
        <f t="shared" si="414"/>
        <v>0</v>
      </c>
      <c r="M1171">
        <v>1.51</v>
      </c>
      <c r="N1171">
        <f t="shared" si="416"/>
        <v>1.51</v>
      </c>
      <c r="O1171">
        <f t="shared" si="417"/>
        <v>0</v>
      </c>
      <c r="P1171">
        <f t="shared" si="418"/>
        <v>0</v>
      </c>
      <c r="Q1171">
        <f t="shared" si="419"/>
        <v>1000</v>
      </c>
      <c r="R1171">
        <f t="shared" si="420"/>
        <v>14.419437844125719</v>
      </c>
      <c r="S1171">
        <f t="shared" si="421"/>
        <v>0.41447297730302907</v>
      </c>
      <c r="T1171">
        <f t="shared" si="422"/>
        <v>6000</v>
      </c>
      <c r="U1171">
        <f t="shared" si="423"/>
        <v>2.4032396406876195</v>
      </c>
      <c r="V1171">
        <f t="shared" si="424"/>
        <v>6.7153946703030991</v>
      </c>
      <c r="W1171">
        <f t="shared" si="425"/>
        <v>6000</v>
      </c>
      <c r="X1171">
        <f t="shared" si="426"/>
        <v>2.4032396406876195</v>
      </c>
      <c r="Y1171">
        <f t="shared" si="427"/>
        <v>6.7153946703030991</v>
      </c>
      <c r="Z1171">
        <f t="shared" si="428"/>
        <v>6000</v>
      </c>
      <c r="AA1171">
        <f t="shared" si="429"/>
        <v>2.4032396406876195</v>
      </c>
      <c r="AB1171">
        <f t="shared" si="430"/>
        <v>6.7153946703030991</v>
      </c>
      <c r="AC1171">
        <f t="shared" si="431"/>
        <v>6000</v>
      </c>
      <c r="AD1171">
        <f t="shared" si="432"/>
        <v>2.4032396406876195</v>
      </c>
      <c r="AE1171">
        <f t="shared" si="433"/>
        <v>6.7153946703030991</v>
      </c>
      <c r="AF1171">
        <f t="shared" si="434"/>
        <v>6000</v>
      </c>
      <c r="AG1171">
        <f t="shared" si="435"/>
        <v>2.4032396406876195</v>
      </c>
      <c r="AH1171">
        <f t="shared" si="436"/>
        <v>6.7153946703030991</v>
      </c>
      <c r="AI1171" cm="1">
        <f t="array" ref="AI1171">_xlfn.LET(
    _xlpm.vals,   _xlfn.HSTACK(S1171,V1171,Y1171,AB1171,AE1171,AH1171),
    _xlpm.ints,   _xlfn.HSTACK(R1171,U1171,X1171,AA1171,AD1171,AG1171),
    _xlpm.slopes, _xlfn.HSTACK(Q1171,T1171,W1171,Z1171,AC1171,AF1171),
    _xlpm.limit,  -0.00001*_xlpm.slopes + 0.1086*_xlpm.slopes + 63.253,
    _xlpm.mask,   (_xlpm.vals&gt;=0) * (_xlpm.ints&lt;=_xlpm.limit),
    _xlpm.validVals, _xlfn._xlws.FILTER(_xlpm.vals, _xlpm.mask),
    _xlpm.minVal, MIN(_xlpm.validVals),
    IFERROR( _xlfn.XMATCH(_xlpm.minVal, _xlpm.vals), "" )
)</f>
        <v>1</v>
      </c>
      <c r="AJ1171" cm="1">
        <f t="array" ref="AJ1171">_xlfn.LET(
    _xlpm.vals, CHOOSE({1,2,3,4,5,6}, S1171, V1171, Y1171, AB1171, AE1171, AH1171),
    _xlpm.slopes, CHOOSE({1,2,3,4,5,6}, Q1171, T1171, W1171, Z1171, AC1171, AF1171),
    _xlpm.ints, CHOOSE({1,2,3,4,5,6}, R1171, U1171, X1171, AA1171, AD1171, AG1171),
    _xlpm.limit, -0.00001*_xlpm.slopes + 0.1086*_xlpm.slopes + 63.253,
    _xlpm.valid, (_xlpm.vals &gt;= 0) * (_xlpm.ints &lt;= _xlpm.limit),
    _xlpm.target, MIN(_xlfn._xlws.FILTER(_xlpm.vals, _xlpm.valid)),
    IFERROR(
        _xlfn.XLOOKUP(_xlpm.target, _xlpm.vals, _xlpm.vals),
        CHOOSE({1,2,3,4,5,6}, S$1, V$1, Y$1, AB$1, AE$1, AH$1)
    )
)</f>
        <v>0.41447297730302907</v>
      </c>
    </row>
    <row r="1172" spans="9:36" x14ac:dyDescent="0.45">
      <c r="I1172">
        <v>1170</v>
      </c>
      <c r="J1172">
        <v>0</v>
      </c>
      <c r="K1172">
        <f t="shared" si="415"/>
        <v>0</v>
      </c>
      <c r="L1172">
        <f t="shared" si="414"/>
        <v>0</v>
      </c>
      <c r="M1172">
        <v>0.92</v>
      </c>
      <c r="N1172">
        <f t="shared" si="416"/>
        <v>0.92</v>
      </c>
      <c r="O1172">
        <f t="shared" si="417"/>
        <v>0</v>
      </c>
      <c r="P1172">
        <f t="shared" si="418"/>
        <v>0</v>
      </c>
      <c r="Q1172">
        <f t="shared" si="419"/>
        <v>1000</v>
      </c>
      <c r="R1172">
        <f t="shared" si="420"/>
        <v>8.7853528586726242</v>
      </c>
      <c r="S1172">
        <f t="shared" si="421"/>
        <v>0.3746816499237749</v>
      </c>
      <c r="T1172">
        <f t="shared" si="422"/>
        <v>6000</v>
      </c>
      <c r="U1172">
        <f t="shared" si="423"/>
        <v>1.4642254764454372</v>
      </c>
      <c r="V1172">
        <f t="shared" si="424"/>
        <v>6.7091672661822379</v>
      </c>
      <c r="W1172">
        <f t="shared" si="425"/>
        <v>6000</v>
      </c>
      <c r="X1172">
        <f t="shared" si="426"/>
        <v>1.4642254764454372</v>
      </c>
      <c r="Y1172">
        <f t="shared" si="427"/>
        <v>6.7091672661822379</v>
      </c>
      <c r="Z1172">
        <f t="shared" si="428"/>
        <v>6000</v>
      </c>
      <c r="AA1172">
        <f t="shared" si="429"/>
        <v>1.4642254764454372</v>
      </c>
      <c r="AB1172">
        <f t="shared" si="430"/>
        <v>6.7091672661822379</v>
      </c>
      <c r="AC1172">
        <f t="shared" si="431"/>
        <v>6000</v>
      </c>
      <c r="AD1172">
        <f t="shared" si="432"/>
        <v>1.4642254764454372</v>
      </c>
      <c r="AE1172">
        <f t="shared" si="433"/>
        <v>6.7091672661822379</v>
      </c>
      <c r="AF1172">
        <f t="shared" si="434"/>
        <v>6000</v>
      </c>
      <c r="AG1172">
        <f t="shared" si="435"/>
        <v>1.4642254764454372</v>
      </c>
      <c r="AH1172">
        <f t="shared" si="436"/>
        <v>6.7091672661822379</v>
      </c>
      <c r="AI1172" cm="1">
        <f t="array" ref="AI1172">_xlfn.LET(
    _xlpm.vals,   _xlfn.HSTACK(S1172,V1172,Y1172,AB1172,AE1172,AH1172),
    _xlpm.ints,   _xlfn.HSTACK(R1172,U1172,X1172,AA1172,AD1172,AG1172),
    _xlpm.slopes, _xlfn.HSTACK(Q1172,T1172,W1172,Z1172,AC1172,AF1172),
    _xlpm.limit,  -0.00001*_xlpm.slopes + 0.1086*_xlpm.slopes + 63.253,
    _xlpm.mask,   (_xlpm.vals&gt;=0) * (_xlpm.ints&lt;=_xlpm.limit),
    _xlpm.validVals, _xlfn._xlws.FILTER(_xlpm.vals, _xlpm.mask),
    _xlpm.minVal, MIN(_xlpm.validVals),
    IFERROR( _xlfn.XMATCH(_xlpm.minVal, _xlpm.vals), "" )
)</f>
        <v>1</v>
      </c>
      <c r="AJ1172" cm="1">
        <f t="array" ref="AJ1172">_xlfn.LET(
    _xlpm.vals, CHOOSE({1,2,3,4,5,6}, S1172, V1172, Y1172, AB1172, AE1172, AH1172),
    _xlpm.slopes, CHOOSE({1,2,3,4,5,6}, Q1172, T1172, W1172, Z1172, AC1172, AF1172),
    _xlpm.ints, CHOOSE({1,2,3,4,5,6}, R1172, U1172, X1172, AA1172, AD1172, AG1172),
    _xlpm.limit, -0.00001*_xlpm.slopes + 0.1086*_xlpm.slopes + 63.253,
    _xlpm.valid, (_xlpm.vals &gt;= 0) * (_xlpm.ints &lt;= _xlpm.limit),
    _xlpm.target, MIN(_xlfn._xlws.FILTER(_xlpm.vals, _xlpm.valid)),
    IFERROR(
        _xlfn.XLOOKUP(_xlpm.target, _xlpm.vals, _xlpm.vals),
        CHOOSE({1,2,3,4,5,6}, S$1, V$1, Y$1, AB$1, AE$1, AH$1)
    )
)</f>
        <v>0.3746816499237749</v>
      </c>
    </row>
    <row r="1173" spans="9:36" x14ac:dyDescent="0.45">
      <c r="I1173">
        <v>1171</v>
      </c>
      <c r="J1173">
        <v>0</v>
      </c>
      <c r="K1173">
        <f t="shared" si="415"/>
        <v>0</v>
      </c>
      <c r="L1173">
        <f t="shared" si="414"/>
        <v>0</v>
      </c>
      <c r="M1173">
        <v>1.36</v>
      </c>
      <c r="N1173">
        <f t="shared" si="416"/>
        <v>1.36</v>
      </c>
      <c r="O1173">
        <f t="shared" si="417"/>
        <v>0</v>
      </c>
      <c r="P1173">
        <f t="shared" si="418"/>
        <v>0</v>
      </c>
      <c r="Q1173">
        <f t="shared" si="419"/>
        <v>1000</v>
      </c>
      <c r="R1173">
        <f t="shared" si="420"/>
        <v>12.987043356298662</v>
      </c>
      <c r="S1173">
        <f t="shared" si="421"/>
        <v>0.40403668247424895</v>
      </c>
      <c r="T1173">
        <f t="shared" si="422"/>
        <v>6000</v>
      </c>
      <c r="U1173">
        <f t="shared" si="423"/>
        <v>2.1645072260497766</v>
      </c>
      <c r="V1173">
        <f t="shared" si="424"/>
        <v>6.7137838093919529</v>
      </c>
      <c r="W1173">
        <f t="shared" si="425"/>
        <v>6000</v>
      </c>
      <c r="X1173">
        <f t="shared" si="426"/>
        <v>2.1645072260497766</v>
      </c>
      <c r="Y1173">
        <f t="shared" si="427"/>
        <v>6.7137838093919529</v>
      </c>
      <c r="Z1173">
        <f t="shared" si="428"/>
        <v>6000</v>
      </c>
      <c r="AA1173">
        <f t="shared" si="429"/>
        <v>2.1645072260497766</v>
      </c>
      <c r="AB1173">
        <f t="shared" si="430"/>
        <v>6.7137838093919529</v>
      </c>
      <c r="AC1173">
        <f t="shared" si="431"/>
        <v>6000</v>
      </c>
      <c r="AD1173">
        <f t="shared" si="432"/>
        <v>2.1645072260497766</v>
      </c>
      <c r="AE1173">
        <f t="shared" si="433"/>
        <v>6.7137838093919529</v>
      </c>
      <c r="AF1173">
        <f t="shared" si="434"/>
        <v>6000</v>
      </c>
      <c r="AG1173">
        <f t="shared" si="435"/>
        <v>2.1645072260497766</v>
      </c>
      <c r="AH1173">
        <f t="shared" si="436"/>
        <v>6.7137838093919529</v>
      </c>
      <c r="AI1173" cm="1">
        <f t="array" ref="AI1173">_xlfn.LET(
    _xlpm.vals,   _xlfn.HSTACK(S1173,V1173,Y1173,AB1173,AE1173,AH1173),
    _xlpm.ints,   _xlfn.HSTACK(R1173,U1173,X1173,AA1173,AD1173,AG1173),
    _xlpm.slopes, _xlfn.HSTACK(Q1173,T1173,W1173,Z1173,AC1173,AF1173),
    _xlpm.limit,  -0.00001*_xlpm.slopes + 0.1086*_xlpm.slopes + 63.253,
    _xlpm.mask,   (_xlpm.vals&gt;=0) * (_xlpm.ints&lt;=_xlpm.limit),
    _xlpm.validVals, _xlfn._xlws.FILTER(_xlpm.vals, _xlpm.mask),
    _xlpm.minVal, MIN(_xlpm.validVals),
    IFERROR( _xlfn.XMATCH(_xlpm.minVal, _xlpm.vals), "" )
)</f>
        <v>1</v>
      </c>
      <c r="AJ1173" cm="1">
        <f t="array" ref="AJ1173">_xlfn.LET(
    _xlpm.vals, CHOOSE({1,2,3,4,5,6}, S1173, V1173, Y1173, AB1173, AE1173, AH1173),
    _xlpm.slopes, CHOOSE({1,2,3,4,5,6}, Q1173, T1173, W1173, Z1173, AC1173, AF1173),
    _xlpm.ints, CHOOSE({1,2,3,4,5,6}, R1173, U1173, X1173, AA1173, AD1173, AG1173),
    _xlpm.limit, -0.00001*_xlpm.slopes + 0.1086*_xlpm.slopes + 63.253,
    _xlpm.valid, (_xlpm.vals &gt;= 0) * (_xlpm.ints &lt;= _xlpm.limit),
    _xlpm.target, MIN(_xlfn._xlws.FILTER(_xlpm.vals, _xlpm.valid)),
    IFERROR(
        _xlfn.XLOOKUP(_xlpm.target, _xlpm.vals, _xlpm.vals),
        CHOOSE({1,2,3,4,5,6}, S$1, V$1, Y$1, AB$1, AE$1, AH$1)
    )
)</f>
        <v>0.40403668247424895</v>
      </c>
    </row>
    <row r="1174" spans="9:36" x14ac:dyDescent="0.45">
      <c r="I1174">
        <v>1172</v>
      </c>
      <c r="J1174">
        <v>0</v>
      </c>
      <c r="K1174">
        <f t="shared" si="415"/>
        <v>0</v>
      </c>
      <c r="L1174">
        <f t="shared" si="414"/>
        <v>0</v>
      </c>
      <c r="M1174">
        <v>1.3</v>
      </c>
      <c r="N1174">
        <f t="shared" si="416"/>
        <v>1.3</v>
      </c>
      <c r="O1174">
        <f t="shared" si="417"/>
        <v>0</v>
      </c>
      <c r="P1174">
        <f t="shared" si="418"/>
        <v>0</v>
      </c>
      <c r="Q1174">
        <f t="shared" si="419"/>
        <v>1000</v>
      </c>
      <c r="R1174">
        <f t="shared" si="420"/>
        <v>12.414085561167838</v>
      </c>
      <c r="S1174">
        <f t="shared" si="421"/>
        <v>0.39992177788055827</v>
      </c>
      <c r="T1174">
        <f t="shared" si="422"/>
        <v>6000</v>
      </c>
      <c r="U1174">
        <f t="shared" si="423"/>
        <v>2.0690142601946393</v>
      </c>
      <c r="V1174">
        <f t="shared" si="424"/>
        <v>6.7131447317152011</v>
      </c>
      <c r="W1174">
        <f t="shared" si="425"/>
        <v>6000</v>
      </c>
      <c r="X1174">
        <f t="shared" si="426"/>
        <v>2.0690142601946393</v>
      </c>
      <c r="Y1174">
        <f t="shared" si="427"/>
        <v>6.7131447317152011</v>
      </c>
      <c r="Z1174">
        <f t="shared" si="428"/>
        <v>6000</v>
      </c>
      <c r="AA1174">
        <f t="shared" si="429"/>
        <v>2.0690142601946393</v>
      </c>
      <c r="AB1174">
        <f t="shared" si="430"/>
        <v>6.7131447317152011</v>
      </c>
      <c r="AC1174">
        <f t="shared" si="431"/>
        <v>6000</v>
      </c>
      <c r="AD1174">
        <f t="shared" si="432"/>
        <v>2.0690142601946393</v>
      </c>
      <c r="AE1174">
        <f t="shared" si="433"/>
        <v>6.7131447317152011</v>
      </c>
      <c r="AF1174">
        <f t="shared" si="434"/>
        <v>6000</v>
      </c>
      <c r="AG1174">
        <f t="shared" si="435"/>
        <v>2.0690142601946393</v>
      </c>
      <c r="AH1174">
        <f t="shared" si="436"/>
        <v>6.7131447317152011</v>
      </c>
      <c r="AI1174" cm="1">
        <f t="array" ref="AI1174">_xlfn.LET(
    _xlpm.vals,   _xlfn.HSTACK(S1174,V1174,Y1174,AB1174,AE1174,AH1174),
    _xlpm.ints,   _xlfn.HSTACK(R1174,U1174,X1174,AA1174,AD1174,AG1174),
    _xlpm.slopes, _xlfn.HSTACK(Q1174,T1174,W1174,Z1174,AC1174,AF1174),
    _xlpm.limit,  -0.00001*_xlpm.slopes + 0.1086*_xlpm.slopes + 63.253,
    _xlpm.mask,   (_xlpm.vals&gt;=0) * (_xlpm.ints&lt;=_xlpm.limit),
    _xlpm.validVals, _xlfn._xlws.FILTER(_xlpm.vals, _xlpm.mask),
    _xlpm.minVal, MIN(_xlpm.validVals),
    IFERROR( _xlfn.XMATCH(_xlpm.minVal, _xlpm.vals), "" )
)</f>
        <v>1</v>
      </c>
      <c r="AJ1174" cm="1">
        <f t="array" ref="AJ1174">_xlfn.LET(
    _xlpm.vals, CHOOSE({1,2,3,4,5,6}, S1174, V1174, Y1174, AB1174, AE1174, AH1174),
    _xlpm.slopes, CHOOSE({1,2,3,4,5,6}, Q1174, T1174, W1174, Z1174, AC1174, AF1174),
    _xlpm.ints, CHOOSE({1,2,3,4,5,6}, R1174, U1174, X1174, AA1174, AD1174, AG1174),
    _xlpm.limit, -0.00001*_xlpm.slopes + 0.1086*_xlpm.slopes + 63.253,
    _xlpm.valid, (_xlpm.vals &gt;= 0) * (_xlpm.ints &lt;= _xlpm.limit),
    _xlpm.target, MIN(_xlfn._xlws.FILTER(_xlpm.vals, _xlpm.valid)),
    IFERROR(
        _xlfn.XLOOKUP(_xlpm.target, _xlpm.vals, _xlpm.vals),
        CHOOSE({1,2,3,4,5,6}, S$1, V$1, Y$1, AB$1, AE$1, AH$1)
    )
)</f>
        <v>0.39992177788055827</v>
      </c>
    </row>
    <row r="1175" spans="9:36" x14ac:dyDescent="0.45">
      <c r="I1175">
        <v>1173</v>
      </c>
      <c r="J1175">
        <v>1.1000000000000001</v>
      </c>
      <c r="K1175">
        <f t="shared" si="415"/>
        <v>1.1000000000000001</v>
      </c>
      <c r="L1175">
        <f t="shared" si="414"/>
        <v>3.055555555555556E-4</v>
      </c>
      <c r="M1175">
        <v>1.17</v>
      </c>
      <c r="N1175">
        <f t="shared" si="416"/>
        <v>1.17</v>
      </c>
      <c r="O1175">
        <f t="shared" si="417"/>
        <v>14.294701065896071</v>
      </c>
      <c r="P1175">
        <f t="shared" si="418"/>
        <v>45.743043410867429</v>
      </c>
      <c r="Q1175">
        <f t="shared" si="419"/>
        <v>1000</v>
      </c>
      <c r="R1175">
        <f t="shared" si="420"/>
        <v>11.172677005051053</v>
      </c>
      <c r="S1175">
        <f t="shared" si="421"/>
        <v>0.39112555561049189</v>
      </c>
      <c r="T1175">
        <f t="shared" si="422"/>
        <v>6000</v>
      </c>
      <c r="U1175">
        <f t="shared" si="423"/>
        <v>1.8621128341751756</v>
      </c>
      <c r="V1175">
        <f t="shared" si="424"/>
        <v>6.7117703995699003</v>
      </c>
      <c r="W1175">
        <f t="shared" si="425"/>
        <v>6000</v>
      </c>
      <c r="X1175">
        <f t="shared" si="426"/>
        <v>1.8621128341751756</v>
      </c>
      <c r="Y1175">
        <f t="shared" si="427"/>
        <v>6.7117703995699003</v>
      </c>
      <c r="Z1175">
        <f t="shared" si="428"/>
        <v>6000</v>
      </c>
      <c r="AA1175">
        <f t="shared" si="429"/>
        <v>1.8621128341751756</v>
      </c>
      <c r="AB1175">
        <f t="shared" si="430"/>
        <v>6.7117703995699003</v>
      </c>
      <c r="AC1175">
        <f t="shared" si="431"/>
        <v>6000</v>
      </c>
      <c r="AD1175">
        <f t="shared" si="432"/>
        <v>1.8621128341751756</v>
      </c>
      <c r="AE1175">
        <f t="shared" si="433"/>
        <v>6.7117703995699003</v>
      </c>
      <c r="AF1175">
        <f t="shared" si="434"/>
        <v>6000</v>
      </c>
      <c r="AG1175">
        <f t="shared" si="435"/>
        <v>1.8621128341751756</v>
      </c>
      <c r="AH1175">
        <f t="shared" si="436"/>
        <v>6.7117703995699003</v>
      </c>
      <c r="AI1175" cm="1">
        <f t="array" ref="AI1175">_xlfn.LET(
    _xlpm.vals,   _xlfn.HSTACK(S1175,V1175,Y1175,AB1175,AE1175,AH1175),
    _xlpm.ints,   _xlfn.HSTACK(R1175,U1175,X1175,AA1175,AD1175,AG1175),
    _xlpm.slopes, _xlfn.HSTACK(Q1175,T1175,W1175,Z1175,AC1175,AF1175),
    _xlpm.limit,  -0.00001*_xlpm.slopes + 0.1086*_xlpm.slopes + 63.253,
    _xlpm.mask,   (_xlpm.vals&gt;=0) * (_xlpm.ints&lt;=_xlpm.limit),
    _xlpm.validVals, _xlfn._xlws.FILTER(_xlpm.vals, _xlpm.mask),
    _xlpm.minVal, MIN(_xlpm.validVals),
    IFERROR( _xlfn.XMATCH(_xlpm.minVal, _xlpm.vals), "" )
)</f>
        <v>1</v>
      </c>
      <c r="AJ1175" cm="1">
        <f t="array" ref="AJ1175">_xlfn.LET(
    _xlpm.vals, CHOOSE({1,2,3,4,5,6}, S1175, V1175, Y1175, AB1175, AE1175, AH1175),
    _xlpm.slopes, CHOOSE({1,2,3,4,5,6}, Q1175, T1175, W1175, Z1175, AC1175, AF1175),
    _xlpm.ints, CHOOSE({1,2,3,4,5,6}, R1175, U1175, X1175, AA1175, AD1175, AG1175),
    _xlpm.limit, -0.00001*_xlpm.slopes + 0.1086*_xlpm.slopes + 63.253,
    _xlpm.valid, (_xlpm.vals &gt;= 0) * (_xlpm.ints &lt;= _xlpm.limit),
    _xlpm.target, MIN(_xlfn._xlws.FILTER(_xlpm.vals, _xlpm.valid)),
    IFERROR(
        _xlfn.XLOOKUP(_xlpm.target, _xlpm.vals, _xlpm.vals),
        CHOOSE({1,2,3,4,5,6}, S$1, V$1, Y$1, AB$1, AE$1, AH$1)
    )
)</f>
        <v>0.39112555561049189</v>
      </c>
    </row>
    <row r="1176" spans="9:36" x14ac:dyDescent="0.45">
      <c r="I1176">
        <v>1174</v>
      </c>
      <c r="J1176">
        <v>4.2</v>
      </c>
      <c r="K1176">
        <f t="shared" si="415"/>
        <v>4.2</v>
      </c>
      <c r="L1176">
        <f t="shared" si="414"/>
        <v>1.1666666666666668E-3</v>
      </c>
      <c r="M1176">
        <v>10.45</v>
      </c>
      <c r="N1176">
        <f t="shared" si="416"/>
        <v>10.45</v>
      </c>
      <c r="O1176">
        <f t="shared" si="417"/>
        <v>54.579767706148637</v>
      </c>
      <c r="P1176">
        <f t="shared" si="418"/>
        <v>174.65525665967564</v>
      </c>
      <c r="Q1176">
        <f t="shared" si="419"/>
        <v>1000</v>
      </c>
      <c r="R1176">
        <f t="shared" si="420"/>
        <v>99.79014931861839</v>
      </c>
      <c r="S1176">
        <f t="shared" si="421"/>
        <v>1.1957707027226205</v>
      </c>
      <c r="T1176">
        <f t="shared" si="422"/>
        <v>6000</v>
      </c>
      <c r="U1176">
        <f t="shared" si="423"/>
        <v>16.631691553103064</v>
      </c>
      <c r="V1176">
        <f t="shared" si="424"/>
        <v>6.8443273317274631</v>
      </c>
      <c r="W1176">
        <f t="shared" si="425"/>
        <v>6000</v>
      </c>
      <c r="X1176">
        <f t="shared" si="426"/>
        <v>16.631691553103064</v>
      </c>
      <c r="Y1176">
        <f t="shared" si="427"/>
        <v>6.8443273317274631</v>
      </c>
      <c r="Z1176">
        <f t="shared" si="428"/>
        <v>6000</v>
      </c>
      <c r="AA1176">
        <f t="shared" si="429"/>
        <v>16.631691553103064</v>
      </c>
      <c r="AB1176">
        <f t="shared" si="430"/>
        <v>6.8443273317274631</v>
      </c>
      <c r="AC1176">
        <f t="shared" si="431"/>
        <v>6000</v>
      </c>
      <c r="AD1176">
        <f t="shared" si="432"/>
        <v>16.631691553103064</v>
      </c>
      <c r="AE1176">
        <f t="shared" si="433"/>
        <v>6.8443273317274631</v>
      </c>
      <c r="AF1176">
        <f t="shared" si="434"/>
        <v>6000</v>
      </c>
      <c r="AG1176">
        <f t="shared" si="435"/>
        <v>16.631691553103064</v>
      </c>
      <c r="AH1176">
        <f t="shared" si="436"/>
        <v>6.8443273317274631</v>
      </c>
      <c r="AI1176" cm="1">
        <f t="array" ref="AI1176">_xlfn.LET(
    _xlpm.vals,   _xlfn.HSTACK(S1176,V1176,Y1176,AB1176,AE1176,AH1176),
    _xlpm.ints,   _xlfn.HSTACK(R1176,U1176,X1176,AA1176,AD1176,AG1176),
    _xlpm.slopes, _xlfn.HSTACK(Q1176,T1176,W1176,Z1176,AC1176,AF1176),
    _xlpm.limit,  -0.00001*_xlpm.slopes + 0.1086*_xlpm.slopes + 63.253,
    _xlpm.mask,   (_xlpm.vals&gt;=0) * (_xlpm.ints&lt;=_xlpm.limit),
    _xlpm.validVals, _xlfn._xlws.FILTER(_xlpm.vals, _xlpm.mask),
    _xlpm.minVal, MIN(_xlpm.validVals),
    IFERROR( _xlfn.XMATCH(_xlpm.minVal, _xlpm.vals), "" )
)</f>
        <v>1</v>
      </c>
      <c r="AJ1176" cm="1">
        <f t="array" ref="AJ1176">_xlfn.LET(
    _xlpm.vals, CHOOSE({1,2,3,4,5,6}, S1176, V1176, Y1176, AB1176, AE1176, AH1176),
    _xlpm.slopes, CHOOSE({1,2,3,4,5,6}, Q1176, T1176, W1176, Z1176, AC1176, AF1176),
    _xlpm.ints, CHOOSE({1,2,3,4,5,6}, R1176, U1176, X1176, AA1176, AD1176, AG1176),
    _xlpm.limit, -0.00001*_xlpm.slopes + 0.1086*_xlpm.slopes + 63.253,
    _xlpm.valid, (_xlpm.vals &gt;= 0) * (_xlpm.ints &lt;= _xlpm.limit),
    _xlpm.target, MIN(_xlfn._xlws.FILTER(_xlpm.vals, _xlpm.valid)),
    IFERROR(
        _xlfn.XLOOKUP(_xlpm.target, _xlpm.vals, _xlpm.vals),
        CHOOSE({1,2,3,4,5,6}, S$1, V$1, Y$1, AB$1, AE$1, AH$1)
    )
)</f>
        <v>1.1957707027226205</v>
      </c>
    </row>
    <row r="1177" spans="9:36" x14ac:dyDescent="0.45">
      <c r="I1177">
        <v>1175</v>
      </c>
      <c r="J1177">
        <v>7.4</v>
      </c>
      <c r="K1177">
        <f t="shared" si="415"/>
        <v>7.4</v>
      </c>
      <c r="L1177">
        <f t="shared" si="414"/>
        <v>2.0555555555555557E-3</v>
      </c>
      <c r="M1177">
        <v>15.1</v>
      </c>
      <c r="N1177">
        <f t="shared" si="416"/>
        <v>15.1</v>
      </c>
      <c r="O1177">
        <f t="shared" si="417"/>
        <v>96.164352625119022</v>
      </c>
      <c r="P1177">
        <f t="shared" si="418"/>
        <v>307.72592840038089</v>
      </c>
      <c r="Q1177">
        <f t="shared" si="419"/>
        <v>1409.3847520737445</v>
      </c>
      <c r="R1177">
        <f t="shared" si="420"/>
        <v>102.31015925856444</v>
      </c>
      <c r="S1177">
        <f t="shared" si="421"/>
        <v>1.6387213710897017</v>
      </c>
      <c r="T1177">
        <f t="shared" si="422"/>
        <v>6000</v>
      </c>
      <c r="U1177">
        <f t="shared" si="423"/>
        <v>24.032396406876195</v>
      </c>
      <c r="V1177">
        <f t="shared" si="424"/>
        <v>6.9357758706645471</v>
      </c>
      <c r="W1177">
        <f t="shared" si="425"/>
        <v>6000</v>
      </c>
      <c r="X1177">
        <f t="shared" si="426"/>
        <v>24.032396406876195</v>
      </c>
      <c r="Y1177">
        <f t="shared" si="427"/>
        <v>6.9357758706645471</v>
      </c>
      <c r="Z1177">
        <f t="shared" si="428"/>
        <v>6000</v>
      </c>
      <c r="AA1177">
        <f t="shared" si="429"/>
        <v>24.032396406876195</v>
      </c>
      <c r="AB1177">
        <f t="shared" si="430"/>
        <v>6.9357758706645471</v>
      </c>
      <c r="AC1177">
        <f t="shared" si="431"/>
        <v>6000</v>
      </c>
      <c r="AD1177">
        <f t="shared" si="432"/>
        <v>24.032396406876195</v>
      </c>
      <c r="AE1177">
        <f t="shared" si="433"/>
        <v>6.9357758706645471</v>
      </c>
      <c r="AF1177">
        <f t="shared" si="434"/>
        <v>6000</v>
      </c>
      <c r="AG1177">
        <f t="shared" si="435"/>
        <v>24.032396406876195</v>
      </c>
      <c r="AH1177">
        <f t="shared" si="436"/>
        <v>6.9357758706645471</v>
      </c>
      <c r="AI1177" cm="1">
        <f t="array" ref="AI1177">_xlfn.LET(
    _xlpm.vals,   _xlfn.HSTACK(S1177,V1177,Y1177,AB1177,AE1177,AH1177),
    _xlpm.ints,   _xlfn.HSTACK(R1177,U1177,X1177,AA1177,AD1177,AG1177),
    _xlpm.slopes, _xlfn.HSTACK(Q1177,T1177,W1177,Z1177,AC1177,AF1177),
    _xlpm.limit,  -0.00001*_xlpm.slopes + 0.1086*_xlpm.slopes + 63.253,
    _xlpm.mask,   (_xlpm.vals&gt;=0) * (_xlpm.ints&lt;=_xlpm.limit),
    _xlpm.validVals, _xlfn._xlws.FILTER(_xlpm.vals, _xlpm.mask),
    _xlpm.minVal, MIN(_xlpm.validVals),
    IFERROR( _xlfn.XMATCH(_xlpm.minVal, _xlpm.vals), "" )
)</f>
        <v>1</v>
      </c>
      <c r="AJ1177" cm="1">
        <f t="array" ref="AJ1177">_xlfn.LET(
    _xlpm.vals, CHOOSE({1,2,3,4,5,6}, S1177, V1177, Y1177, AB1177, AE1177, AH1177),
    _xlpm.slopes, CHOOSE({1,2,3,4,5,6}, Q1177, T1177, W1177, Z1177, AC1177, AF1177),
    _xlpm.ints, CHOOSE({1,2,3,4,5,6}, R1177, U1177, X1177, AA1177, AD1177, AG1177),
    _xlpm.limit, -0.00001*_xlpm.slopes + 0.1086*_xlpm.slopes + 63.253,
    _xlpm.valid, (_xlpm.vals &gt;= 0) * (_xlpm.ints &lt;= _xlpm.limit),
    _xlpm.target, MIN(_xlfn._xlws.FILTER(_xlpm.vals, _xlpm.valid)),
    IFERROR(
        _xlfn.XLOOKUP(_xlpm.target, _xlpm.vals, _xlpm.vals),
        CHOOSE({1,2,3,4,5,6}, S$1, V$1, Y$1, AB$1, AE$1, AH$1)
    )
)</f>
        <v>1.6387213710897017</v>
      </c>
    </row>
    <row r="1178" spans="9:36" x14ac:dyDescent="0.45">
      <c r="I1178">
        <v>1176</v>
      </c>
      <c r="J1178">
        <v>9.9</v>
      </c>
      <c r="K1178">
        <f t="shared" si="415"/>
        <v>9.9</v>
      </c>
      <c r="L1178">
        <f t="shared" si="414"/>
        <v>2.7500000000000003E-3</v>
      </c>
      <c r="M1178">
        <v>16.36</v>
      </c>
      <c r="N1178">
        <f t="shared" si="416"/>
        <v>16.36</v>
      </c>
      <c r="O1178">
        <f t="shared" si="417"/>
        <v>128.65230959306464</v>
      </c>
      <c r="P1178">
        <f t="shared" si="418"/>
        <v>411.6873906978069</v>
      </c>
      <c r="Q1178">
        <f t="shared" si="419"/>
        <v>1885.5282493959558</v>
      </c>
      <c r="R1178">
        <f t="shared" si="420"/>
        <v>82.855556361488027</v>
      </c>
      <c r="S1178">
        <f t="shared" si="421"/>
        <v>1.7543586215293834</v>
      </c>
      <c r="T1178">
        <f t="shared" si="422"/>
        <v>1218.5946764655084</v>
      </c>
      <c r="U1178">
        <f t="shared" si="423"/>
        <v>128.20217842419433</v>
      </c>
      <c r="V1178">
        <f t="shared" si="424"/>
        <v>1.6898837618972991</v>
      </c>
      <c r="W1178">
        <f t="shared" si="425"/>
        <v>6000</v>
      </c>
      <c r="X1178">
        <f t="shared" si="426"/>
        <v>26.037748689834078</v>
      </c>
      <c r="Y1178">
        <f t="shared" si="427"/>
        <v>6.9632740611622204</v>
      </c>
      <c r="Z1178">
        <f t="shared" si="428"/>
        <v>6000</v>
      </c>
      <c r="AA1178">
        <f t="shared" si="429"/>
        <v>26.037748689834078</v>
      </c>
      <c r="AB1178">
        <f t="shared" si="430"/>
        <v>6.9632740611622204</v>
      </c>
      <c r="AC1178">
        <f t="shared" si="431"/>
        <v>6000</v>
      </c>
      <c r="AD1178">
        <f t="shared" si="432"/>
        <v>26.037748689834078</v>
      </c>
      <c r="AE1178">
        <f t="shared" si="433"/>
        <v>6.9632740611622204</v>
      </c>
      <c r="AF1178">
        <f t="shared" si="434"/>
        <v>6000</v>
      </c>
      <c r="AG1178">
        <f t="shared" si="435"/>
        <v>26.037748689834078</v>
      </c>
      <c r="AH1178">
        <f t="shared" si="436"/>
        <v>6.9632740611622204</v>
      </c>
      <c r="AI1178" cm="1">
        <f t="array" ref="AI1178">_xlfn.LET(
    _xlpm.vals,   _xlfn.HSTACK(S1178,V1178,Y1178,AB1178,AE1178,AH1178),
    _xlpm.ints,   _xlfn.HSTACK(R1178,U1178,X1178,AA1178,AD1178,AG1178),
    _xlpm.slopes, _xlfn.HSTACK(Q1178,T1178,W1178,Z1178,AC1178,AF1178),
    _xlpm.limit,  -0.00001*_xlpm.slopes + 0.1086*_xlpm.slopes + 63.253,
    _xlpm.mask,   (_xlpm.vals&gt;=0) * (_xlpm.ints&lt;=_xlpm.limit),
    _xlpm.validVals, _xlfn._xlws.FILTER(_xlpm.vals, _xlpm.mask),
    _xlpm.minVal, MIN(_xlpm.validVals),
    IFERROR( _xlfn.XMATCH(_xlpm.minVal, _xlpm.vals), "" )
)</f>
        <v>2</v>
      </c>
      <c r="AJ1178" cm="1">
        <f t="array" ref="AJ1178">_xlfn.LET(
    _xlpm.vals, CHOOSE({1,2,3,4,5,6}, S1178, V1178, Y1178, AB1178, AE1178, AH1178),
    _xlpm.slopes, CHOOSE({1,2,3,4,5,6}, Q1178, T1178, W1178, Z1178, AC1178, AF1178),
    _xlpm.ints, CHOOSE({1,2,3,4,5,6}, R1178, U1178, X1178, AA1178, AD1178, AG1178),
    _xlpm.limit, -0.00001*_xlpm.slopes + 0.1086*_xlpm.slopes + 63.253,
    _xlpm.valid, (_xlpm.vals &gt;= 0) * (_xlpm.ints &lt;= _xlpm.limit),
    _xlpm.target, MIN(_xlfn._xlws.FILTER(_xlpm.vals, _xlpm.valid)),
    IFERROR(
        _xlfn.XLOOKUP(_xlpm.target, _xlpm.vals, _xlpm.vals),
        CHOOSE({1,2,3,4,5,6}, S$1, V$1, Y$1, AB$1, AE$1, AH$1)
    )
)</f>
        <v>1.6898837618972991</v>
      </c>
    </row>
    <row r="1179" spans="9:36" x14ac:dyDescent="0.45">
      <c r="I1179">
        <v>1177</v>
      </c>
      <c r="J1179">
        <v>12.1</v>
      </c>
      <c r="K1179">
        <f t="shared" si="415"/>
        <v>12.1</v>
      </c>
      <c r="L1179">
        <f t="shared" si="414"/>
        <v>3.3611111111111112E-3</v>
      </c>
      <c r="M1179">
        <v>11.7</v>
      </c>
      <c r="N1179">
        <f t="shared" si="416"/>
        <v>11.7</v>
      </c>
      <c r="O1179">
        <f t="shared" si="417"/>
        <v>157.24171172485677</v>
      </c>
      <c r="P1179">
        <f t="shared" si="418"/>
        <v>503.17347751954168</v>
      </c>
      <c r="Q1179">
        <f t="shared" si="419"/>
        <v>2304.534527039501</v>
      </c>
      <c r="R1179">
        <f t="shared" si="420"/>
        <v>48.481274087934494</v>
      </c>
      <c r="S1179">
        <f t="shared" si="421"/>
        <v>1.3952534397555767</v>
      </c>
      <c r="T1179">
        <f t="shared" si="422"/>
        <v>1489.3934934578433</v>
      </c>
      <c r="U1179">
        <f t="shared" si="423"/>
        <v>75.014944365790541</v>
      </c>
      <c r="V1179">
        <f t="shared" si="424"/>
        <v>1.3387302386670883</v>
      </c>
      <c r="W1179">
        <f t="shared" si="425"/>
        <v>6000</v>
      </c>
      <c r="X1179">
        <f t="shared" si="426"/>
        <v>18.621128341751756</v>
      </c>
      <c r="Y1179">
        <f t="shared" si="427"/>
        <v>6.867330925067173</v>
      </c>
      <c r="Z1179">
        <f t="shared" si="428"/>
        <v>6000</v>
      </c>
      <c r="AA1179">
        <f t="shared" si="429"/>
        <v>18.621128341751756</v>
      </c>
      <c r="AB1179">
        <f t="shared" si="430"/>
        <v>6.867330925067173</v>
      </c>
      <c r="AC1179">
        <f t="shared" si="431"/>
        <v>6000</v>
      </c>
      <c r="AD1179">
        <f t="shared" si="432"/>
        <v>18.621128341751756</v>
      </c>
      <c r="AE1179">
        <f t="shared" si="433"/>
        <v>6.867330925067173</v>
      </c>
      <c r="AF1179">
        <f t="shared" si="434"/>
        <v>6000</v>
      </c>
      <c r="AG1179">
        <f t="shared" si="435"/>
        <v>18.621128341751756</v>
      </c>
      <c r="AH1179">
        <f t="shared" si="436"/>
        <v>6.867330925067173</v>
      </c>
      <c r="AI1179" cm="1">
        <f t="array" ref="AI1179">_xlfn.LET(
    _xlpm.vals,   _xlfn.HSTACK(S1179,V1179,Y1179,AB1179,AE1179,AH1179),
    _xlpm.ints,   _xlfn.HSTACK(R1179,U1179,X1179,AA1179,AD1179,AG1179),
    _xlpm.slopes, _xlfn.HSTACK(Q1179,T1179,W1179,Z1179,AC1179,AF1179),
    _xlpm.limit,  -0.00001*_xlpm.slopes + 0.1086*_xlpm.slopes + 63.253,
    _xlpm.mask,   (_xlpm.vals&gt;=0) * (_xlpm.ints&lt;=_xlpm.limit),
    _xlpm.validVals, _xlfn._xlws.FILTER(_xlpm.vals, _xlpm.mask),
    _xlpm.minVal, MIN(_xlpm.validVals),
    IFERROR( _xlfn.XMATCH(_xlpm.minVal, _xlpm.vals), "" )
)</f>
        <v>2</v>
      </c>
      <c r="AJ1179" cm="1">
        <f t="array" ref="AJ1179">_xlfn.LET(
    _xlpm.vals, CHOOSE({1,2,3,4,5,6}, S1179, V1179, Y1179, AB1179, AE1179, AH1179),
    _xlpm.slopes, CHOOSE({1,2,3,4,5,6}, Q1179, T1179, W1179, Z1179, AC1179, AF1179),
    _xlpm.ints, CHOOSE({1,2,3,4,5,6}, R1179, U1179, X1179, AA1179, AD1179, AG1179),
    _xlpm.limit, -0.00001*_xlpm.slopes + 0.1086*_xlpm.slopes + 63.253,
    _xlpm.valid, (_xlpm.vals &gt;= 0) * (_xlpm.ints &lt;= _xlpm.limit),
    _xlpm.target, MIN(_xlfn._xlws.FILTER(_xlpm.vals, _xlpm.valid)),
    IFERROR(
        _xlfn.XLOOKUP(_xlpm.target, _xlpm.vals, _xlpm.vals),
        CHOOSE({1,2,3,4,5,6}, S$1, V$1, Y$1, AB$1, AE$1, AH$1)
    )
)</f>
        <v>1.3387302386670883</v>
      </c>
    </row>
    <row r="1180" spans="9:36" x14ac:dyDescent="0.45">
      <c r="I1180">
        <v>1178</v>
      </c>
      <c r="J1180">
        <v>13.2</v>
      </c>
      <c r="K1180">
        <f t="shared" si="415"/>
        <v>13.2</v>
      </c>
      <c r="L1180">
        <f t="shared" si="414"/>
        <v>3.6666666666666666E-3</v>
      </c>
      <c r="M1180">
        <v>7.43</v>
      </c>
      <c r="N1180">
        <f t="shared" si="416"/>
        <v>7.43</v>
      </c>
      <c r="O1180">
        <f t="shared" si="417"/>
        <v>171.53641279075285</v>
      </c>
      <c r="P1180">
        <f t="shared" si="418"/>
        <v>548.91652093040909</v>
      </c>
      <c r="Q1180">
        <f t="shared" si="419"/>
        <v>2514.0376658612736</v>
      </c>
      <c r="R1180">
        <f t="shared" si="420"/>
        <v>28.222040820561869</v>
      </c>
      <c r="S1180">
        <f t="shared" si="421"/>
        <v>1.1412833507155946</v>
      </c>
      <c r="T1180">
        <f t="shared" si="422"/>
        <v>1624.7929019540109</v>
      </c>
      <c r="U1180">
        <f t="shared" si="423"/>
        <v>43.667887485869379</v>
      </c>
      <c r="V1180">
        <f t="shared" si="424"/>
        <v>0.96619007087354569</v>
      </c>
      <c r="W1180">
        <f t="shared" si="425"/>
        <v>1048.4305549770813</v>
      </c>
      <c r="X1180">
        <f t="shared" si="426"/>
        <v>67.673794218938937</v>
      </c>
      <c r="Y1180">
        <f t="shared" si="427"/>
        <v>0.93281448372082587</v>
      </c>
      <c r="Z1180">
        <f t="shared" si="428"/>
        <v>6000</v>
      </c>
      <c r="AA1180">
        <f t="shared" si="429"/>
        <v>11.825212271727825</v>
      </c>
      <c r="AB1180">
        <f t="shared" si="430"/>
        <v>6.793681398222839</v>
      </c>
      <c r="AC1180">
        <f t="shared" si="431"/>
        <v>6000</v>
      </c>
      <c r="AD1180">
        <f t="shared" si="432"/>
        <v>11.825212271727825</v>
      </c>
      <c r="AE1180">
        <f t="shared" si="433"/>
        <v>6.793681398222839</v>
      </c>
      <c r="AF1180">
        <f t="shared" si="434"/>
        <v>6000</v>
      </c>
      <c r="AG1180">
        <f t="shared" si="435"/>
        <v>11.825212271727825</v>
      </c>
      <c r="AH1180">
        <f t="shared" si="436"/>
        <v>6.793681398222839</v>
      </c>
      <c r="AI1180" cm="1">
        <f t="array" ref="AI1180">_xlfn.LET(
    _xlpm.vals,   _xlfn.HSTACK(S1180,V1180,Y1180,AB1180,AE1180,AH1180),
    _xlpm.ints,   _xlfn.HSTACK(R1180,U1180,X1180,AA1180,AD1180,AG1180),
    _xlpm.slopes, _xlfn.HSTACK(Q1180,T1180,W1180,Z1180,AC1180,AF1180),
    _xlpm.limit,  -0.00001*_xlpm.slopes + 0.1086*_xlpm.slopes + 63.253,
    _xlpm.mask,   (_xlpm.vals&gt;=0) * (_xlpm.ints&lt;=_xlpm.limit),
    _xlpm.validVals, _xlfn._xlws.FILTER(_xlpm.vals, _xlpm.mask),
    _xlpm.minVal, MIN(_xlpm.validVals),
    IFERROR( _xlfn.XMATCH(_xlpm.minVal, _xlpm.vals), "" )
)</f>
        <v>3</v>
      </c>
      <c r="AJ1180" cm="1">
        <f t="array" ref="AJ1180">_xlfn.LET(
    _xlpm.vals, CHOOSE({1,2,3,4,5,6}, S1180, V1180, Y1180, AB1180, AE1180, AH1180),
    _xlpm.slopes, CHOOSE({1,2,3,4,5,6}, Q1180, T1180, W1180, Z1180, AC1180, AF1180),
    _xlpm.ints, CHOOSE({1,2,3,4,5,6}, R1180, U1180, X1180, AA1180, AD1180, AG1180),
    _xlpm.limit, -0.00001*_xlpm.slopes + 0.1086*_xlpm.slopes + 63.253,
    _xlpm.valid, (_xlpm.vals &gt;= 0) * (_xlpm.ints &lt;= _xlpm.limit),
    _xlpm.target, MIN(_xlfn._xlws.FILTER(_xlpm.vals, _xlpm.valid)),
    IFERROR(
        _xlfn.XLOOKUP(_xlpm.target, _xlpm.vals, _xlpm.vals),
        CHOOSE({1,2,3,4,5,6}, S$1, V$1, Y$1, AB$1, AE$1, AH$1)
    )
)</f>
        <v>0.93281448372082587</v>
      </c>
    </row>
    <row r="1181" spans="9:36" x14ac:dyDescent="0.45">
      <c r="I1181">
        <v>1179</v>
      </c>
      <c r="J1181">
        <v>13.4</v>
      </c>
      <c r="K1181">
        <f t="shared" si="415"/>
        <v>13.4</v>
      </c>
      <c r="L1181">
        <f t="shared" si="414"/>
        <v>3.7222222222222223E-3</v>
      </c>
      <c r="M1181">
        <v>1.6</v>
      </c>
      <c r="N1181">
        <f t="shared" si="416"/>
        <v>1.6</v>
      </c>
      <c r="O1181">
        <f t="shared" si="417"/>
        <v>174.1354493481885</v>
      </c>
      <c r="P1181">
        <f t="shared" si="418"/>
        <v>557.23343791420325</v>
      </c>
      <c r="Q1181">
        <f t="shared" si="419"/>
        <v>2552.1291456470508</v>
      </c>
      <c r="R1181">
        <f t="shared" si="420"/>
        <v>5.9867168410665377</v>
      </c>
      <c r="S1181">
        <f t="shared" si="421"/>
        <v>0.80657518912507742</v>
      </c>
      <c r="T1181">
        <f t="shared" si="422"/>
        <v>1649.4109762260416</v>
      </c>
      <c r="U1181">
        <f t="shared" si="423"/>
        <v>9.2632307878664673</v>
      </c>
      <c r="V1181">
        <f t="shared" si="424"/>
        <v>0.53459154051427216</v>
      </c>
      <c r="W1181">
        <f t="shared" si="425"/>
        <v>1064.3158664161281</v>
      </c>
      <c r="X1181">
        <f t="shared" si="426"/>
        <v>14.355582791667405</v>
      </c>
      <c r="Y1181">
        <f t="shared" si="427"/>
        <v>0.43185003898109126</v>
      </c>
      <c r="Z1181">
        <f t="shared" si="428"/>
        <v>6000</v>
      </c>
      <c r="AA1181">
        <f t="shared" si="429"/>
        <v>2.5464790894703255</v>
      </c>
      <c r="AB1181">
        <f t="shared" si="430"/>
        <v>6.7163702063719697</v>
      </c>
      <c r="AC1181">
        <f t="shared" si="431"/>
        <v>6000</v>
      </c>
      <c r="AD1181">
        <f t="shared" si="432"/>
        <v>2.5464790894703255</v>
      </c>
      <c r="AE1181">
        <f t="shared" si="433"/>
        <v>6.7163702063719697</v>
      </c>
      <c r="AF1181">
        <f t="shared" si="434"/>
        <v>6000</v>
      </c>
      <c r="AG1181">
        <f t="shared" si="435"/>
        <v>2.5464790894703255</v>
      </c>
      <c r="AH1181">
        <f t="shared" si="436"/>
        <v>6.7163702063719697</v>
      </c>
      <c r="AI1181" cm="1">
        <f t="array" ref="AI1181">_xlfn.LET(
    _xlpm.vals,   _xlfn.HSTACK(S1181,V1181,Y1181,AB1181,AE1181,AH1181),
    _xlpm.ints,   _xlfn.HSTACK(R1181,U1181,X1181,AA1181,AD1181,AG1181),
    _xlpm.slopes, _xlfn.HSTACK(Q1181,T1181,W1181,Z1181,AC1181,AF1181),
    _xlpm.limit,  -0.00001*_xlpm.slopes + 0.1086*_xlpm.slopes + 63.253,
    _xlpm.mask,   (_xlpm.vals&gt;=0) * (_xlpm.ints&lt;=_xlpm.limit),
    _xlpm.validVals, _xlfn._xlws.FILTER(_xlpm.vals, _xlpm.mask),
    _xlpm.minVal, MIN(_xlpm.validVals),
    IFERROR( _xlfn.XMATCH(_xlpm.minVal, _xlpm.vals), "" )
)</f>
        <v>3</v>
      </c>
      <c r="AJ1181" cm="1">
        <f t="array" ref="AJ1181">_xlfn.LET(
    _xlpm.vals, CHOOSE({1,2,3,4,5,6}, S1181, V1181, Y1181, AB1181, AE1181, AH1181),
    _xlpm.slopes, CHOOSE({1,2,3,4,5,6}, Q1181, T1181, W1181, Z1181, AC1181, AF1181),
    _xlpm.ints, CHOOSE({1,2,3,4,5,6}, R1181, U1181, X1181, AA1181, AD1181, AG1181),
    _xlpm.limit, -0.00001*_xlpm.slopes + 0.1086*_xlpm.slopes + 63.253,
    _xlpm.valid, (_xlpm.vals &gt;= 0) * (_xlpm.ints &lt;= _xlpm.limit),
    _xlpm.target, MIN(_xlfn._xlws.FILTER(_xlpm.vals, _xlpm.valid)),
    IFERROR(
        _xlfn.XLOOKUP(_xlpm.target, _xlpm.vals, _xlpm.vals),
        CHOOSE({1,2,3,4,5,6}, S$1, V$1, Y$1, AB$1, AE$1, AH$1)
    )
)</f>
        <v>0.43185003898109126</v>
      </c>
    </row>
    <row r="1182" spans="9:36" x14ac:dyDescent="0.45">
      <c r="I1182">
        <v>1180</v>
      </c>
      <c r="J1182">
        <v>13.2</v>
      </c>
      <c r="K1182">
        <f t="shared" si="415"/>
        <v>13.2</v>
      </c>
      <c r="L1182">
        <f t="shared" si="414"/>
        <v>3.6666666666666666E-3</v>
      </c>
      <c r="M1182">
        <v>1.2</v>
      </c>
      <c r="N1182">
        <f t="shared" si="416"/>
        <v>1.2</v>
      </c>
      <c r="O1182">
        <f t="shared" si="417"/>
        <v>171.53641279075285</v>
      </c>
      <c r="P1182">
        <f t="shared" si="418"/>
        <v>548.91652093040909</v>
      </c>
      <c r="Q1182">
        <f t="shared" si="419"/>
        <v>2514.0376658612736</v>
      </c>
      <c r="R1182">
        <f t="shared" si="420"/>
        <v>4.5580685039938418</v>
      </c>
      <c r="S1182">
        <f t="shared" si="421"/>
        <v>0.76884259320064385</v>
      </c>
      <c r="T1182">
        <f t="shared" si="422"/>
        <v>1624.7929019540109</v>
      </c>
      <c r="U1182">
        <f t="shared" si="423"/>
        <v>7.0526870771256069</v>
      </c>
      <c r="V1182">
        <f t="shared" si="424"/>
        <v>0.50474455425354947</v>
      </c>
      <c r="W1182">
        <f t="shared" si="425"/>
        <v>1048.4305549770813</v>
      </c>
      <c r="X1182">
        <f t="shared" si="426"/>
        <v>10.929818716383139</v>
      </c>
      <c r="Y1182">
        <f t="shared" si="427"/>
        <v>0.40168445528949148</v>
      </c>
      <c r="Z1182">
        <f t="shared" si="428"/>
        <v>6000</v>
      </c>
      <c r="AA1182">
        <f t="shared" si="429"/>
        <v>1.909859317102744</v>
      </c>
      <c r="AB1182">
        <f t="shared" si="430"/>
        <v>6.7120862970655466</v>
      </c>
      <c r="AC1182">
        <f t="shared" si="431"/>
        <v>6000</v>
      </c>
      <c r="AD1182">
        <f t="shared" si="432"/>
        <v>1.909859317102744</v>
      </c>
      <c r="AE1182">
        <f t="shared" si="433"/>
        <v>6.7120862970655466</v>
      </c>
      <c r="AF1182">
        <f t="shared" si="434"/>
        <v>6000</v>
      </c>
      <c r="AG1182">
        <f t="shared" si="435"/>
        <v>1.909859317102744</v>
      </c>
      <c r="AH1182">
        <f t="shared" si="436"/>
        <v>6.7120862970655466</v>
      </c>
      <c r="AI1182" cm="1">
        <f t="array" ref="AI1182">_xlfn.LET(
    _xlpm.vals,   _xlfn.HSTACK(S1182,V1182,Y1182,AB1182,AE1182,AH1182),
    _xlpm.ints,   _xlfn.HSTACK(R1182,U1182,X1182,AA1182,AD1182,AG1182),
    _xlpm.slopes, _xlfn.HSTACK(Q1182,T1182,W1182,Z1182,AC1182,AF1182),
    _xlpm.limit,  -0.00001*_xlpm.slopes + 0.1086*_xlpm.slopes + 63.253,
    _xlpm.mask,   (_xlpm.vals&gt;=0) * (_xlpm.ints&lt;=_xlpm.limit),
    _xlpm.validVals, _xlfn._xlws.FILTER(_xlpm.vals, _xlpm.mask),
    _xlpm.minVal, MIN(_xlpm.validVals),
    IFERROR( _xlfn.XMATCH(_xlpm.minVal, _xlpm.vals), "" )
)</f>
        <v>3</v>
      </c>
      <c r="AJ1182" cm="1">
        <f t="array" ref="AJ1182">_xlfn.LET(
    _xlpm.vals, CHOOSE({1,2,3,4,5,6}, S1182, V1182, Y1182, AB1182, AE1182, AH1182),
    _xlpm.slopes, CHOOSE({1,2,3,4,5,6}, Q1182, T1182, W1182, Z1182, AC1182, AF1182),
    _xlpm.ints, CHOOSE({1,2,3,4,5,6}, R1182, U1182, X1182, AA1182, AD1182, AG1182),
    _xlpm.limit, -0.00001*_xlpm.slopes + 0.1086*_xlpm.slopes + 63.253,
    _xlpm.valid, (_xlpm.vals &gt;= 0) * (_xlpm.ints &lt;= _xlpm.limit),
    _xlpm.target, MIN(_xlfn._xlws.FILTER(_xlpm.vals, _xlpm.valid)),
    IFERROR(
        _xlfn.XLOOKUP(_xlpm.target, _xlpm.vals, _xlpm.vals),
        CHOOSE({1,2,3,4,5,6}, S$1, V$1, Y$1, AB$1, AE$1, AH$1)
    )
)</f>
        <v>0.40168445528949148</v>
      </c>
    </row>
    <row r="1183" spans="9:36" x14ac:dyDescent="0.45">
      <c r="I1183">
        <v>1181</v>
      </c>
      <c r="J1183">
        <v>13.3</v>
      </c>
      <c r="K1183">
        <f t="shared" si="415"/>
        <v>13.3</v>
      </c>
      <c r="L1183">
        <f t="shared" si="414"/>
        <v>3.6944444444444446E-3</v>
      </c>
      <c r="M1183">
        <v>3.52</v>
      </c>
      <c r="N1183">
        <f t="shared" si="416"/>
        <v>3.52</v>
      </c>
      <c r="O1183">
        <f t="shared" si="417"/>
        <v>172.83593106947066</v>
      </c>
      <c r="P1183">
        <f t="shared" si="418"/>
        <v>553.07497942230611</v>
      </c>
      <c r="Q1183">
        <f t="shared" si="419"/>
        <v>2533.083405754162</v>
      </c>
      <c r="R1183">
        <f t="shared" si="420"/>
        <v>13.26980544922117</v>
      </c>
      <c r="S1183">
        <f t="shared" si="421"/>
        <v>0.90477223590514022</v>
      </c>
      <c r="T1183">
        <f t="shared" si="422"/>
        <v>1637.101939090026</v>
      </c>
      <c r="U1183">
        <f t="shared" si="423"/>
        <v>20.532334107240864</v>
      </c>
      <c r="V1183">
        <f t="shared" si="424"/>
        <v>0.66185993419712619</v>
      </c>
      <c r="W1183">
        <f t="shared" si="425"/>
        <v>1056.3732106966047</v>
      </c>
      <c r="X1183">
        <f t="shared" si="426"/>
        <v>31.81974290965076</v>
      </c>
      <c r="Y1183">
        <f t="shared" si="427"/>
        <v>0.5792587472901497</v>
      </c>
      <c r="Z1183">
        <f t="shared" si="428"/>
        <v>6000</v>
      </c>
      <c r="AA1183">
        <f t="shared" si="429"/>
        <v>5.6022539968347163</v>
      </c>
      <c r="AB1183">
        <f t="shared" si="430"/>
        <v>6.7387814431215451</v>
      </c>
      <c r="AC1183">
        <f t="shared" si="431"/>
        <v>6000</v>
      </c>
      <c r="AD1183">
        <f t="shared" si="432"/>
        <v>5.6022539968347163</v>
      </c>
      <c r="AE1183">
        <f t="shared" si="433"/>
        <v>6.7387814431215451</v>
      </c>
      <c r="AF1183">
        <f t="shared" si="434"/>
        <v>6000</v>
      </c>
      <c r="AG1183">
        <f t="shared" si="435"/>
        <v>5.6022539968347163</v>
      </c>
      <c r="AH1183">
        <f t="shared" si="436"/>
        <v>6.7387814431215451</v>
      </c>
      <c r="AI1183" cm="1">
        <f t="array" ref="AI1183">_xlfn.LET(
    _xlpm.vals,   _xlfn.HSTACK(S1183,V1183,Y1183,AB1183,AE1183,AH1183),
    _xlpm.ints,   _xlfn.HSTACK(R1183,U1183,X1183,AA1183,AD1183,AG1183),
    _xlpm.slopes, _xlfn.HSTACK(Q1183,T1183,W1183,Z1183,AC1183,AF1183),
    _xlpm.limit,  -0.00001*_xlpm.slopes + 0.1086*_xlpm.slopes + 63.253,
    _xlpm.mask,   (_xlpm.vals&gt;=0) * (_xlpm.ints&lt;=_xlpm.limit),
    _xlpm.validVals, _xlfn._xlws.FILTER(_xlpm.vals, _xlpm.mask),
    _xlpm.minVal, MIN(_xlpm.validVals),
    IFERROR( _xlfn.XMATCH(_xlpm.minVal, _xlpm.vals), "" )
)</f>
        <v>3</v>
      </c>
      <c r="AJ1183" cm="1">
        <f t="array" ref="AJ1183">_xlfn.LET(
    _xlpm.vals, CHOOSE({1,2,3,4,5,6}, S1183, V1183, Y1183, AB1183, AE1183, AH1183),
    _xlpm.slopes, CHOOSE({1,2,3,4,5,6}, Q1183, T1183, W1183, Z1183, AC1183, AF1183),
    _xlpm.ints, CHOOSE({1,2,3,4,5,6}, R1183, U1183, X1183, AA1183, AD1183, AG1183),
    _xlpm.limit, -0.00001*_xlpm.slopes + 0.1086*_xlpm.slopes + 63.253,
    _xlpm.valid, (_xlpm.vals &gt;= 0) * (_xlpm.ints &lt;= _xlpm.limit),
    _xlpm.target, MIN(_xlfn._xlws.FILTER(_xlpm.vals, _xlpm.valid)),
    IFERROR(
        _xlfn.XLOOKUP(_xlpm.target, _xlpm.vals, _xlpm.vals),
        CHOOSE({1,2,3,4,5,6}, S$1, V$1, Y$1, AB$1, AE$1, AH$1)
    )
)</f>
        <v>0.5792587472901497</v>
      </c>
    </row>
    <row r="1184" spans="9:36" x14ac:dyDescent="0.45">
      <c r="I1184">
        <v>1182</v>
      </c>
      <c r="J1184">
        <v>13.4</v>
      </c>
      <c r="K1184">
        <f t="shared" si="415"/>
        <v>13.4</v>
      </c>
      <c r="L1184">
        <f t="shared" si="414"/>
        <v>3.7222222222222223E-3</v>
      </c>
      <c r="M1184">
        <v>0.94</v>
      </c>
      <c r="N1184">
        <f t="shared" si="416"/>
        <v>0.94</v>
      </c>
      <c r="O1184">
        <f t="shared" si="417"/>
        <v>174.1354493481885</v>
      </c>
      <c r="P1184">
        <f t="shared" si="418"/>
        <v>557.23343791420325</v>
      </c>
      <c r="Q1184">
        <f t="shared" si="419"/>
        <v>2552.1291456470508</v>
      </c>
      <c r="R1184">
        <f t="shared" si="420"/>
        <v>3.5171961441265909</v>
      </c>
      <c r="S1184">
        <f t="shared" si="421"/>
        <v>0.77223209857613795</v>
      </c>
      <c r="T1184">
        <f t="shared" si="422"/>
        <v>1649.4109762260416</v>
      </c>
      <c r="U1184">
        <f t="shared" si="423"/>
        <v>5.4421480878715496</v>
      </c>
      <c r="V1184">
        <f t="shared" si="424"/>
        <v>0.4939325475621722</v>
      </c>
      <c r="W1184">
        <f t="shared" si="425"/>
        <v>1064.3158664161281</v>
      </c>
      <c r="X1184">
        <f t="shared" si="426"/>
        <v>8.4339048901045999</v>
      </c>
      <c r="Y1184">
        <f t="shared" si="427"/>
        <v>0.38742187286833257</v>
      </c>
      <c r="Z1184">
        <f t="shared" si="428"/>
        <v>6000</v>
      </c>
      <c r="AA1184">
        <f t="shared" si="429"/>
        <v>1.4960564650638162</v>
      </c>
      <c r="AB1184">
        <f t="shared" si="430"/>
        <v>6.7093735867418705</v>
      </c>
      <c r="AC1184">
        <f t="shared" si="431"/>
        <v>6000</v>
      </c>
      <c r="AD1184">
        <f t="shared" si="432"/>
        <v>1.4960564650638162</v>
      </c>
      <c r="AE1184">
        <f t="shared" si="433"/>
        <v>6.7093735867418705</v>
      </c>
      <c r="AF1184">
        <f t="shared" si="434"/>
        <v>6000</v>
      </c>
      <c r="AG1184">
        <f t="shared" si="435"/>
        <v>1.4960564650638162</v>
      </c>
      <c r="AH1184">
        <f t="shared" si="436"/>
        <v>6.7093735867418705</v>
      </c>
      <c r="AI1184" cm="1">
        <f t="array" ref="AI1184">_xlfn.LET(
    _xlpm.vals,   _xlfn.HSTACK(S1184,V1184,Y1184,AB1184,AE1184,AH1184),
    _xlpm.ints,   _xlfn.HSTACK(R1184,U1184,X1184,AA1184,AD1184,AG1184),
    _xlpm.slopes, _xlfn.HSTACK(Q1184,T1184,W1184,Z1184,AC1184,AF1184),
    _xlpm.limit,  -0.00001*_xlpm.slopes + 0.1086*_xlpm.slopes + 63.253,
    _xlpm.mask,   (_xlpm.vals&gt;=0) * (_xlpm.ints&lt;=_xlpm.limit),
    _xlpm.validVals, _xlfn._xlws.FILTER(_xlpm.vals, _xlpm.mask),
    _xlpm.minVal, MIN(_xlpm.validVals),
    IFERROR( _xlfn.XMATCH(_xlpm.minVal, _xlpm.vals), "" )
)</f>
        <v>3</v>
      </c>
      <c r="AJ1184" cm="1">
        <f t="array" ref="AJ1184">_xlfn.LET(
    _xlpm.vals, CHOOSE({1,2,3,4,5,6}, S1184, V1184, Y1184, AB1184, AE1184, AH1184),
    _xlpm.slopes, CHOOSE({1,2,3,4,5,6}, Q1184, T1184, W1184, Z1184, AC1184, AF1184),
    _xlpm.ints, CHOOSE({1,2,3,4,5,6}, R1184, U1184, X1184, AA1184, AD1184, AG1184),
    _xlpm.limit, -0.00001*_xlpm.slopes + 0.1086*_xlpm.slopes + 63.253,
    _xlpm.valid, (_xlpm.vals &gt;= 0) * (_xlpm.ints &lt;= _xlpm.limit),
    _xlpm.target, MIN(_xlfn._xlws.FILTER(_xlpm.vals, _xlpm.valid)),
    IFERROR(
        _xlfn.XLOOKUP(_xlpm.target, _xlpm.vals, _xlpm.vals),
        CHOOSE({1,2,3,4,5,6}, S$1, V$1, Y$1, AB$1, AE$1, AH$1)
    )
)</f>
        <v>0.38742187286833257</v>
      </c>
    </row>
    <row r="1185" spans="9:36" x14ac:dyDescent="0.45">
      <c r="I1185">
        <v>1183</v>
      </c>
      <c r="J1185">
        <v>13.5</v>
      </c>
      <c r="K1185">
        <f t="shared" si="415"/>
        <v>13.5</v>
      </c>
      <c r="L1185">
        <f t="shared" si="414"/>
        <v>3.7499999999999999E-3</v>
      </c>
      <c r="M1185">
        <v>3.99</v>
      </c>
      <c r="N1185">
        <f t="shared" si="416"/>
        <v>3.99</v>
      </c>
      <c r="O1185">
        <f t="shared" si="417"/>
        <v>175.43496762690631</v>
      </c>
      <c r="P1185">
        <f t="shared" si="418"/>
        <v>561.39189640610027</v>
      </c>
      <c r="Q1185">
        <f t="shared" si="419"/>
        <v>2571.1748855399392</v>
      </c>
      <c r="R1185">
        <f t="shared" si="420"/>
        <v>14.818787158539976</v>
      </c>
      <c r="S1185">
        <f t="shared" si="421"/>
        <v>0.94792706633408486</v>
      </c>
      <c r="T1185">
        <f t="shared" si="422"/>
        <v>1661.7200133620568</v>
      </c>
      <c r="U1185">
        <f t="shared" si="423"/>
        <v>22.929069319632802</v>
      </c>
      <c r="V1185">
        <f t="shared" si="424"/>
        <v>0.69990849311362879</v>
      </c>
      <c r="W1185">
        <f t="shared" si="425"/>
        <v>1072.2585221356514</v>
      </c>
      <c r="X1185">
        <f t="shared" si="426"/>
        <v>35.534055071263403</v>
      </c>
      <c r="Y1185">
        <f t="shared" si="427"/>
        <v>0.62104984217990344</v>
      </c>
      <c r="Z1185">
        <f t="shared" si="428"/>
        <v>6000</v>
      </c>
      <c r="AA1185">
        <f t="shared" si="429"/>
        <v>6.3502822293666243</v>
      </c>
      <c r="AB1185">
        <f t="shared" si="430"/>
        <v>6.744729276361265</v>
      </c>
      <c r="AC1185">
        <f t="shared" si="431"/>
        <v>6000</v>
      </c>
      <c r="AD1185">
        <f t="shared" si="432"/>
        <v>6.3502822293666243</v>
      </c>
      <c r="AE1185">
        <f t="shared" si="433"/>
        <v>6.744729276361265</v>
      </c>
      <c r="AF1185">
        <f t="shared" si="434"/>
        <v>6000</v>
      </c>
      <c r="AG1185">
        <f t="shared" si="435"/>
        <v>6.3502822293666243</v>
      </c>
      <c r="AH1185">
        <f t="shared" si="436"/>
        <v>6.744729276361265</v>
      </c>
      <c r="AI1185" cm="1">
        <f t="array" ref="AI1185">_xlfn.LET(
    _xlpm.vals,   _xlfn.HSTACK(S1185,V1185,Y1185,AB1185,AE1185,AH1185),
    _xlpm.ints,   _xlfn.HSTACK(R1185,U1185,X1185,AA1185,AD1185,AG1185),
    _xlpm.slopes, _xlfn.HSTACK(Q1185,T1185,W1185,Z1185,AC1185,AF1185),
    _xlpm.limit,  -0.00001*_xlpm.slopes + 0.1086*_xlpm.slopes + 63.253,
    _xlpm.mask,   (_xlpm.vals&gt;=0) * (_xlpm.ints&lt;=_xlpm.limit),
    _xlpm.validVals, _xlfn._xlws.FILTER(_xlpm.vals, _xlpm.mask),
    _xlpm.minVal, MIN(_xlpm.validVals),
    IFERROR( _xlfn.XMATCH(_xlpm.minVal, _xlpm.vals), "" )
)</f>
        <v>3</v>
      </c>
      <c r="AJ1185" cm="1">
        <f t="array" ref="AJ1185">_xlfn.LET(
    _xlpm.vals, CHOOSE({1,2,3,4,5,6}, S1185, V1185, Y1185, AB1185, AE1185, AH1185),
    _xlpm.slopes, CHOOSE({1,2,3,4,5,6}, Q1185, T1185, W1185, Z1185, AC1185, AF1185),
    _xlpm.ints, CHOOSE({1,2,3,4,5,6}, R1185, U1185, X1185, AA1185, AD1185, AG1185),
    _xlpm.limit, -0.00001*_xlpm.slopes + 0.1086*_xlpm.slopes + 63.253,
    _xlpm.valid, (_xlpm.vals &gt;= 0) * (_xlpm.ints &lt;= _xlpm.limit),
    _xlpm.target, MIN(_xlfn._xlws.FILTER(_xlpm.vals, _xlpm.valid)),
    IFERROR(
        _xlfn.XLOOKUP(_xlpm.target, _xlpm.vals, _xlpm.vals),
        CHOOSE({1,2,3,4,5,6}, S$1, V$1, Y$1, AB$1, AE$1, AH$1)
    )
)</f>
        <v>0.62104984217990344</v>
      </c>
    </row>
    <row r="1186" spans="9:36" x14ac:dyDescent="0.45">
      <c r="I1186">
        <v>1184</v>
      </c>
      <c r="J1186">
        <v>14.2</v>
      </c>
      <c r="K1186">
        <f t="shared" si="415"/>
        <v>14.2</v>
      </c>
      <c r="L1186">
        <f t="shared" si="414"/>
        <v>3.944444444444444E-3</v>
      </c>
      <c r="M1186">
        <v>7.4</v>
      </c>
      <c r="N1186">
        <f t="shared" si="416"/>
        <v>7.4</v>
      </c>
      <c r="O1186">
        <f t="shared" si="417"/>
        <v>184.53159557793109</v>
      </c>
      <c r="P1186">
        <f t="shared" si="418"/>
        <v>590.50110584937954</v>
      </c>
      <c r="Q1186">
        <f t="shared" si="419"/>
        <v>2704.4950647901583</v>
      </c>
      <c r="R1186">
        <f t="shared" si="420"/>
        <v>26.128646213035115</v>
      </c>
      <c r="S1186">
        <f t="shared" si="421"/>
        <v>1.2121178912571933</v>
      </c>
      <c r="T1186">
        <f t="shared" si="422"/>
        <v>1747.8832733141635</v>
      </c>
      <c r="U1186">
        <f t="shared" si="423"/>
        <v>40.428783667466497</v>
      </c>
      <c r="V1186">
        <f t="shared" si="424"/>
        <v>0.97583305557804179</v>
      </c>
      <c r="W1186">
        <f t="shared" si="425"/>
        <v>1127.8571121723148</v>
      </c>
      <c r="X1186">
        <f t="shared" si="426"/>
        <v>62.654031233351226</v>
      </c>
      <c r="Y1186">
        <f t="shared" si="427"/>
        <v>0.93426134082417067</v>
      </c>
      <c r="Z1186">
        <f t="shared" si="428"/>
        <v>6000</v>
      </c>
      <c r="AA1186">
        <f t="shared" si="429"/>
        <v>11.777465788800255</v>
      </c>
      <c r="AB1186">
        <f t="shared" si="430"/>
        <v>6.7932138309476233</v>
      </c>
      <c r="AC1186">
        <f t="shared" si="431"/>
        <v>6000</v>
      </c>
      <c r="AD1186">
        <f t="shared" si="432"/>
        <v>11.777465788800255</v>
      </c>
      <c r="AE1186">
        <f t="shared" si="433"/>
        <v>6.7932138309476233</v>
      </c>
      <c r="AF1186">
        <f t="shared" si="434"/>
        <v>6000</v>
      </c>
      <c r="AG1186">
        <f t="shared" si="435"/>
        <v>11.777465788800255</v>
      </c>
      <c r="AH1186">
        <f t="shared" si="436"/>
        <v>6.7932138309476233</v>
      </c>
      <c r="AI1186" cm="1">
        <f t="array" ref="AI1186">_xlfn.LET(
    _xlpm.vals,   _xlfn.HSTACK(S1186,V1186,Y1186,AB1186,AE1186,AH1186),
    _xlpm.ints,   _xlfn.HSTACK(R1186,U1186,X1186,AA1186,AD1186,AG1186),
    _xlpm.slopes, _xlfn.HSTACK(Q1186,T1186,W1186,Z1186,AC1186,AF1186),
    _xlpm.limit,  -0.00001*_xlpm.slopes + 0.1086*_xlpm.slopes + 63.253,
    _xlpm.mask,   (_xlpm.vals&gt;=0) * (_xlpm.ints&lt;=_xlpm.limit),
    _xlpm.validVals, _xlfn._xlws.FILTER(_xlpm.vals, _xlpm.mask),
    _xlpm.minVal, MIN(_xlpm.validVals),
    IFERROR( _xlfn.XMATCH(_xlpm.minVal, _xlpm.vals), "" )
)</f>
        <v>3</v>
      </c>
      <c r="AJ1186" cm="1">
        <f t="array" ref="AJ1186">_xlfn.LET(
    _xlpm.vals, CHOOSE({1,2,3,4,5,6}, S1186, V1186, Y1186, AB1186, AE1186, AH1186),
    _xlpm.slopes, CHOOSE({1,2,3,4,5,6}, Q1186, T1186, W1186, Z1186, AC1186, AF1186),
    _xlpm.ints, CHOOSE({1,2,3,4,5,6}, R1186, U1186, X1186, AA1186, AD1186, AG1186),
    _xlpm.limit, -0.00001*_xlpm.slopes + 0.1086*_xlpm.slopes + 63.253,
    _xlpm.valid, (_xlpm.vals &gt;= 0) * (_xlpm.ints &lt;= _xlpm.limit),
    _xlpm.target, MIN(_xlfn._xlws.FILTER(_xlpm.vals, _xlpm.valid)),
    IFERROR(
        _xlfn.XLOOKUP(_xlpm.target, _xlpm.vals, _xlpm.vals),
        CHOOSE({1,2,3,4,5,6}, S$1, V$1, Y$1, AB$1, AE$1, AH$1)
    )
)</f>
        <v>0.93426134082417067</v>
      </c>
    </row>
    <row r="1187" spans="9:36" x14ac:dyDescent="0.45">
      <c r="I1187">
        <v>1185</v>
      </c>
      <c r="J1187">
        <v>16</v>
      </c>
      <c r="K1187">
        <f t="shared" si="415"/>
        <v>16</v>
      </c>
      <c r="L1187">
        <f t="shared" si="414"/>
        <v>4.4444444444444444E-3</v>
      </c>
      <c r="M1187">
        <v>15.29</v>
      </c>
      <c r="N1187">
        <f t="shared" si="416"/>
        <v>15.29</v>
      </c>
      <c r="O1187">
        <f t="shared" si="417"/>
        <v>207.92292459485191</v>
      </c>
      <c r="P1187">
        <f t="shared" si="418"/>
        <v>665.35335870352617</v>
      </c>
      <c r="Q1187">
        <f t="shared" si="419"/>
        <v>3047.31838286215</v>
      </c>
      <c r="R1187">
        <f t="shared" si="420"/>
        <v>47.913846355420262</v>
      </c>
      <c r="S1187">
        <f t="shared" si="421"/>
        <v>1.8866451161568418</v>
      </c>
      <c r="T1187">
        <f t="shared" si="422"/>
        <v>1969.4459417624375</v>
      </c>
      <c r="U1187">
        <f t="shared" si="423"/>
        <v>74.136964968859729</v>
      </c>
      <c r="V1187">
        <f t="shared" si="424"/>
        <v>1.6612196789026126</v>
      </c>
      <c r="W1187">
        <f t="shared" si="425"/>
        <v>1270.8249151237349</v>
      </c>
      <c r="X1187">
        <f t="shared" si="426"/>
        <v>114.89288811928</v>
      </c>
      <c r="Y1187">
        <f t="shared" si="427"/>
        <v>1.633772977737546</v>
      </c>
      <c r="Z1187">
        <f t="shared" si="428"/>
        <v>6000</v>
      </c>
      <c r="AA1187">
        <f t="shared" si="429"/>
        <v>24.334790798750799</v>
      </c>
      <c r="AB1187">
        <f t="shared" si="430"/>
        <v>6.9398495825190167</v>
      </c>
      <c r="AC1187">
        <f t="shared" si="431"/>
        <v>6000</v>
      </c>
      <c r="AD1187">
        <f t="shared" si="432"/>
        <v>24.334790798750799</v>
      </c>
      <c r="AE1187">
        <f t="shared" si="433"/>
        <v>6.9398495825190167</v>
      </c>
      <c r="AF1187">
        <f t="shared" si="434"/>
        <v>6000</v>
      </c>
      <c r="AG1187">
        <f t="shared" si="435"/>
        <v>24.334790798750799</v>
      </c>
      <c r="AH1187">
        <f t="shared" si="436"/>
        <v>6.9398495825190167</v>
      </c>
      <c r="AI1187" cm="1">
        <f t="array" ref="AI1187">_xlfn.LET(
    _xlpm.vals,   _xlfn.HSTACK(S1187,V1187,Y1187,AB1187,AE1187,AH1187),
    _xlpm.ints,   _xlfn.HSTACK(R1187,U1187,X1187,AA1187,AD1187,AG1187),
    _xlpm.slopes, _xlfn.HSTACK(Q1187,T1187,W1187,Z1187,AC1187,AF1187),
    _xlpm.limit,  -0.00001*_xlpm.slopes + 0.1086*_xlpm.slopes + 63.253,
    _xlpm.mask,   (_xlpm.vals&gt;=0) * (_xlpm.ints&lt;=_xlpm.limit),
    _xlpm.validVals, _xlfn._xlws.FILTER(_xlpm.vals, _xlpm.mask),
    _xlpm.minVal, MIN(_xlpm.validVals),
    IFERROR( _xlfn.XMATCH(_xlpm.minVal, _xlpm.vals), "" )
)</f>
        <v>3</v>
      </c>
      <c r="AJ1187" cm="1">
        <f t="array" ref="AJ1187">_xlfn.LET(
    _xlpm.vals, CHOOSE({1,2,3,4,5,6}, S1187, V1187, Y1187, AB1187, AE1187, AH1187),
    _xlpm.slopes, CHOOSE({1,2,3,4,5,6}, Q1187, T1187, W1187, Z1187, AC1187, AF1187),
    _xlpm.ints, CHOOSE({1,2,3,4,5,6}, R1187, U1187, X1187, AA1187, AD1187, AG1187),
    _xlpm.limit, -0.00001*_xlpm.slopes + 0.1086*_xlpm.slopes + 63.253,
    _xlpm.valid, (_xlpm.vals &gt;= 0) * (_xlpm.ints &lt;= _xlpm.limit),
    _xlpm.target, MIN(_xlfn._xlws.FILTER(_xlpm.vals, _xlpm.valid)),
    IFERROR(
        _xlfn.XLOOKUP(_xlpm.target, _xlpm.vals, _xlpm.vals),
        CHOOSE({1,2,3,4,5,6}, S$1, V$1, Y$1, AB$1, AE$1, AH$1)
    )
)</f>
        <v>1.633772977737546</v>
      </c>
    </row>
    <row r="1188" spans="9:36" x14ac:dyDescent="0.45">
      <c r="I1188">
        <v>1186</v>
      </c>
      <c r="J1188">
        <v>17.399999999999999</v>
      </c>
      <c r="K1188">
        <f t="shared" si="415"/>
        <v>17.399999999999999</v>
      </c>
      <c r="L1188">
        <f t="shared" si="414"/>
        <v>4.8333333333333327E-3</v>
      </c>
      <c r="M1188">
        <v>7.55</v>
      </c>
      <c r="N1188">
        <f t="shared" si="416"/>
        <v>7.55</v>
      </c>
      <c r="O1188">
        <f t="shared" si="417"/>
        <v>226.11618049690145</v>
      </c>
      <c r="P1188">
        <f t="shared" si="418"/>
        <v>723.57177759008471</v>
      </c>
      <c r="Q1188">
        <f t="shared" si="419"/>
        <v>3313.9587413625882</v>
      </c>
      <c r="R1188">
        <f t="shared" si="420"/>
        <v>21.755608577970605</v>
      </c>
      <c r="S1188">
        <f t="shared" si="421"/>
        <v>1.574392020584918</v>
      </c>
      <c r="T1188">
        <f t="shared" si="422"/>
        <v>2141.7724616666505</v>
      </c>
      <c r="U1188">
        <f t="shared" si="423"/>
        <v>33.662394353751822</v>
      </c>
      <c r="V1188">
        <f t="shared" si="424"/>
        <v>1.0486711487380527</v>
      </c>
      <c r="W1188">
        <f t="shared" si="425"/>
        <v>1382.0220951970618</v>
      </c>
      <c r="X1188">
        <f t="shared" si="426"/>
        <v>52.167899103196532</v>
      </c>
      <c r="Y1188">
        <f t="shared" si="427"/>
        <v>0.96004187141881681</v>
      </c>
      <c r="Z1188">
        <f t="shared" si="428"/>
        <v>1041.943359729722</v>
      </c>
      <c r="AA1188">
        <f t="shared" si="429"/>
        <v>69.194921727156512</v>
      </c>
      <c r="AB1188">
        <f t="shared" si="430"/>
        <v>0.94363021744619358</v>
      </c>
      <c r="AC1188">
        <f t="shared" si="431"/>
        <v>6000</v>
      </c>
      <c r="AD1188">
        <f t="shared" si="432"/>
        <v>12.016198203438098</v>
      </c>
      <c r="AE1188">
        <f t="shared" si="433"/>
        <v>6.7955587315977457</v>
      </c>
      <c r="AF1188">
        <f t="shared" si="434"/>
        <v>6000</v>
      </c>
      <c r="AG1188">
        <f t="shared" si="435"/>
        <v>12.016198203438098</v>
      </c>
      <c r="AH1188">
        <f t="shared" si="436"/>
        <v>6.7955587315977457</v>
      </c>
      <c r="AI1188" cm="1">
        <f t="array" ref="AI1188">_xlfn.LET(
    _xlpm.vals,   _xlfn.HSTACK(S1188,V1188,Y1188,AB1188,AE1188,AH1188),
    _xlpm.ints,   _xlfn.HSTACK(R1188,U1188,X1188,AA1188,AD1188,AG1188),
    _xlpm.slopes, _xlfn.HSTACK(Q1188,T1188,W1188,Z1188,AC1188,AF1188),
    _xlpm.limit,  -0.00001*_xlpm.slopes + 0.1086*_xlpm.slopes + 63.253,
    _xlpm.mask,   (_xlpm.vals&gt;=0) * (_xlpm.ints&lt;=_xlpm.limit),
    _xlpm.validVals, _xlfn._xlws.FILTER(_xlpm.vals, _xlpm.mask),
    _xlpm.minVal, MIN(_xlpm.validVals),
    IFERROR( _xlfn.XMATCH(_xlpm.minVal, _xlpm.vals), "" )
)</f>
        <v>4</v>
      </c>
      <c r="AJ1188" cm="1">
        <f t="array" ref="AJ1188">_xlfn.LET(
    _xlpm.vals, CHOOSE({1,2,3,4,5,6}, S1188, V1188, Y1188, AB1188, AE1188, AH1188),
    _xlpm.slopes, CHOOSE({1,2,3,4,5,6}, Q1188, T1188, W1188, Z1188, AC1188, AF1188),
    _xlpm.ints, CHOOSE({1,2,3,4,5,6}, R1188, U1188, X1188, AA1188, AD1188, AG1188),
    _xlpm.limit, -0.00001*_xlpm.slopes + 0.1086*_xlpm.slopes + 63.253,
    _xlpm.valid, (_xlpm.vals &gt;= 0) * (_xlpm.ints &lt;= _xlpm.limit),
    _xlpm.target, MIN(_xlfn._xlws.FILTER(_xlpm.vals, _xlpm.valid)),
    IFERROR(
        _xlfn.XLOOKUP(_xlpm.target, _xlpm.vals, _xlpm.vals),
        CHOOSE({1,2,3,4,5,6}, S$1, V$1, Y$1, AB$1, AE$1, AH$1)
    )
)</f>
        <v>0.94363021744619358</v>
      </c>
    </row>
    <row r="1189" spans="9:36" x14ac:dyDescent="0.45">
      <c r="I1189">
        <v>1187</v>
      </c>
      <c r="J1189">
        <v>18.399999999999999</v>
      </c>
      <c r="K1189">
        <f t="shared" si="415"/>
        <v>18.399999999999999</v>
      </c>
      <c r="L1189">
        <f t="shared" si="414"/>
        <v>5.1111111111111105E-3</v>
      </c>
      <c r="M1189">
        <v>15.58</v>
      </c>
      <c r="N1189">
        <f t="shared" si="416"/>
        <v>15.58</v>
      </c>
      <c r="O1189">
        <f t="shared" si="417"/>
        <v>239.11136328407972</v>
      </c>
      <c r="P1189">
        <f t="shared" si="418"/>
        <v>765.15636250905516</v>
      </c>
      <c r="Q1189">
        <f t="shared" si="419"/>
        <v>3504.4161402914729</v>
      </c>
      <c r="R1189">
        <f t="shared" si="420"/>
        <v>42.454444576873065</v>
      </c>
      <c r="S1189">
        <f t="shared" si="421"/>
        <v>2.1793007430981053</v>
      </c>
      <c r="T1189">
        <f t="shared" si="422"/>
        <v>2264.8628330268034</v>
      </c>
      <c r="U1189">
        <f t="shared" si="423"/>
        <v>65.689647352053598</v>
      </c>
      <c r="V1189">
        <f t="shared" si="424"/>
        <v>1.7021773613928604</v>
      </c>
      <c r="W1189">
        <f t="shared" si="425"/>
        <v>1461.4486523922953</v>
      </c>
      <c r="X1189">
        <f t="shared" si="426"/>
        <v>101.80175715292077</v>
      </c>
      <c r="Y1189">
        <f t="shared" si="427"/>
        <v>1.6829612925739488</v>
      </c>
      <c r="Z1189">
        <f t="shared" si="428"/>
        <v>1101.8251620130393</v>
      </c>
      <c r="AA1189">
        <f t="shared" si="429"/>
        <v>135.02871955699908</v>
      </c>
      <c r="AB1189">
        <f t="shared" si="430"/>
        <v>1.5767383496921701</v>
      </c>
      <c r="AC1189">
        <f t="shared" si="431"/>
        <v>6000</v>
      </c>
      <c r="AD1189">
        <f t="shared" si="432"/>
        <v>24.796340133717294</v>
      </c>
      <c r="AE1189">
        <f t="shared" si="433"/>
        <v>6.9461173796635389</v>
      </c>
      <c r="AF1189">
        <f t="shared" si="434"/>
        <v>6000</v>
      </c>
      <c r="AG1189">
        <f t="shared" si="435"/>
        <v>24.796340133717294</v>
      </c>
      <c r="AH1189">
        <f t="shared" si="436"/>
        <v>6.9461173796635389</v>
      </c>
      <c r="AI1189" cm="1">
        <f t="array" ref="AI1189">_xlfn.LET(
    _xlpm.vals,   _xlfn.HSTACK(S1189,V1189,Y1189,AB1189,AE1189,AH1189),
    _xlpm.ints,   _xlfn.HSTACK(R1189,U1189,X1189,AA1189,AD1189,AG1189),
    _xlpm.slopes, _xlfn.HSTACK(Q1189,T1189,W1189,Z1189,AC1189,AF1189),
    _xlpm.limit,  -0.00001*_xlpm.slopes + 0.1086*_xlpm.slopes + 63.253,
    _xlpm.mask,   (_xlpm.vals&gt;=0) * (_xlpm.ints&lt;=_xlpm.limit),
    _xlpm.validVals, _xlfn._xlws.FILTER(_xlpm.vals, _xlpm.mask),
    _xlpm.minVal, MIN(_xlpm.validVals),
    IFERROR( _xlfn.XMATCH(_xlpm.minVal, _xlpm.vals), "" )
)</f>
        <v>4</v>
      </c>
      <c r="AJ1189" cm="1">
        <f t="array" ref="AJ1189">_xlfn.LET(
    _xlpm.vals, CHOOSE({1,2,3,4,5,6}, S1189, V1189, Y1189, AB1189, AE1189, AH1189),
    _xlpm.slopes, CHOOSE({1,2,3,4,5,6}, Q1189, T1189, W1189, Z1189, AC1189, AF1189),
    _xlpm.ints, CHOOSE({1,2,3,4,5,6}, R1189, U1189, X1189, AA1189, AD1189, AG1189),
    _xlpm.limit, -0.00001*_xlpm.slopes + 0.1086*_xlpm.slopes + 63.253,
    _xlpm.valid, (_xlpm.vals &gt;= 0) * (_xlpm.ints &lt;= _xlpm.limit),
    _xlpm.target, MIN(_xlfn._xlws.FILTER(_xlpm.vals, _xlpm.valid)),
    IFERROR(
        _xlfn.XLOOKUP(_xlpm.target, _xlpm.vals, _xlpm.vals),
        CHOOSE({1,2,3,4,5,6}, S$1, V$1, Y$1, AB$1, AE$1, AH$1)
    )
)</f>
        <v>1.5767383496921701</v>
      </c>
    </row>
    <row r="1190" spans="9:36" x14ac:dyDescent="0.45">
      <c r="I1190">
        <v>1188</v>
      </c>
      <c r="J1190">
        <v>19.899999999999999</v>
      </c>
      <c r="K1190">
        <f t="shared" si="415"/>
        <v>19.899999999999999</v>
      </c>
      <c r="L1190">
        <f t="shared" si="414"/>
        <v>5.5277777777777773E-3</v>
      </c>
      <c r="M1190">
        <v>14.6</v>
      </c>
      <c r="N1190">
        <f t="shared" si="416"/>
        <v>14.6</v>
      </c>
      <c r="O1190">
        <f t="shared" si="417"/>
        <v>258.6041374648471</v>
      </c>
      <c r="P1190">
        <f t="shared" si="418"/>
        <v>827.53323988751072</v>
      </c>
      <c r="Q1190">
        <f t="shared" si="419"/>
        <v>3790.102238684799</v>
      </c>
      <c r="R1190">
        <f t="shared" si="420"/>
        <v>36.785216167910093</v>
      </c>
      <c r="S1190">
        <f t="shared" si="421"/>
        <v>2.3679631822080283</v>
      </c>
      <c r="T1190">
        <f t="shared" si="422"/>
        <v>2449.4983900670318</v>
      </c>
      <c r="U1190">
        <f t="shared" si="423"/>
        <v>56.917665557104137</v>
      </c>
      <c r="V1190">
        <f t="shared" si="424"/>
        <v>1.6485256815727043</v>
      </c>
      <c r="W1190">
        <f t="shared" si="425"/>
        <v>1580.5884881851455</v>
      </c>
      <c r="X1190">
        <f t="shared" si="426"/>
        <v>88.207481701061909</v>
      </c>
      <c r="Y1190">
        <f t="shared" si="427"/>
        <v>1.6000625737997922</v>
      </c>
      <c r="Z1190">
        <f t="shared" si="428"/>
        <v>1191.6478654380153</v>
      </c>
      <c r="AA1190">
        <f t="shared" si="429"/>
        <v>116.99742364515852</v>
      </c>
      <c r="AB1190">
        <f t="shared" si="430"/>
        <v>1.5613399481607089</v>
      </c>
      <c r="AC1190">
        <f t="shared" si="431"/>
        <v>6000</v>
      </c>
      <c r="AD1190">
        <f t="shared" si="432"/>
        <v>23.236621691416719</v>
      </c>
      <c r="AE1190">
        <f t="shared" si="433"/>
        <v>6.925180038238012</v>
      </c>
      <c r="AF1190">
        <f t="shared" si="434"/>
        <v>6000</v>
      </c>
      <c r="AG1190">
        <f t="shared" si="435"/>
        <v>23.236621691416719</v>
      </c>
      <c r="AH1190">
        <f t="shared" si="436"/>
        <v>6.925180038238012</v>
      </c>
      <c r="AI1190" cm="1">
        <f t="array" ref="AI1190">_xlfn.LET(
    _xlpm.vals,   _xlfn.HSTACK(S1190,V1190,Y1190,AB1190,AE1190,AH1190),
    _xlpm.ints,   _xlfn.HSTACK(R1190,U1190,X1190,AA1190,AD1190,AG1190),
    _xlpm.slopes, _xlfn.HSTACK(Q1190,T1190,W1190,Z1190,AC1190,AF1190),
    _xlpm.limit,  -0.00001*_xlpm.slopes + 0.1086*_xlpm.slopes + 63.253,
    _xlpm.mask,   (_xlpm.vals&gt;=0) * (_xlpm.ints&lt;=_xlpm.limit),
    _xlpm.validVals, _xlfn._xlws.FILTER(_xlpm.vals, _xlpm.mask),
    _xlpm.minVal, MIN(_xlpm.validVals),
    IFERROR( _xlfn.XMATCH(_xlpm.minVal, _xlpm.vals), "" )
)</f>
        <v>4</v>
      </c>
      <c r="AJ1190" cm="1">
        <f t="array" ref="AJ1190">_xlfn.LET(
    _xlpm.vals, CHOOSE({1,2,3,4,5,6}, S1190, V1190, Y1190, AB1190, AE1190, AH1190),
    _xlpm.slopes, CHOOSE({1,2,3,4,5,6}, Q1190, T1190, W1190, Z1190, AC1190, AF1190),
    _xlpm.ints, CHOOSE({1,2,3,4,5,6}, R1190, U1190, X1190, AA1190, AD1190, AG1190),
    _xlpm.limit, -0.00001*_xlpm.slopes + 0.1086*_xlpm.slopes + 63.253,
    _xlpm.valid, (_xlpm.vals &gt;= 0) * (_xlpm.ints &lt;= _xlpm.limit),
    _xlpm.target, MIN(_xlfn._xlws.FILTER(_xlpm.vals, _xlpm.valid)),
    IFERROR(
        _xlfn.XLOOKUP(_xlpm.target, _xlpm.vals, _xlpm.vals),
        CHOOSE({1,2,3,4,5,6}, S$1, V$1, Y$1, AB$1, AE$1, AH$1)
    )
)</f>
        <v>1.5613399481607089</v>
      </c>
    </row>
    <row r="1191" spans="9:36" x14ac:dyDescent="0.45">
      <c r="I1191">
        <v>1189</v>
      </c>
      <c r="J1191">
        <v>21.3</v>
      </c>
      <c r="K1191">
        <f t="shared" si="415"/>
        <v>21.3</v>
      </c>
      <c r="L1191">
        <f t="shared" si="414"/>
        <v>5.9166666666666664E-3</v>
      </c>
      <c r="M1191">
        <v>13.2</v>
      </c>
      <c r="N1191">
        <f t="shared" si="416"/>
        <v>13.2</v>
      </c>
      <c r="O1191">
        <f t="shared" si="417"/>
        <v>276.79739336689664</v>
      </c>
      <c r="P1191">
        <f t="shared" si="418"/>
        <v>885.75165877406926</v>
      </c>
      <c r="Q1191">
        <f t="shared" si="419"/>
        <v>4056.7425971852372</v>
      </c>
      <c r="R1191">
        <f t="shared" si="420"/>
        <v>31.071903604690412</v>
      </c>
      <c r="S1191">
        <f t="shared" si="421"/>
        <v>2.586533038243426</v>
      </c>
      <c r="T1191">
        <f t="shared" si="422"/>
        <v>2621.8249099712448</v>
      </c>
      <c r="U1191">
        <f t="shared" si="423"/>
        <v>48.077472469419625</v>
      </c>
      <c r="V1191">
        <f t="shared" si="424"/>
        <v>1.5816385782917544</v>
      </c>
      <c r="W1191">
        <f t="shared" si="425"/>
        <v>1691.7856682584722</v>
      </c>
      <c r="X1191">
        <f t="shared" si="426"/>
        <v>74.507496601823078</v>
      </c>
      <c r="Y1191">
        <f t="shared" si="427"/>
        <v>1.4743583242292904</v>
      </c>
      <c r="Z1191">
        <f t="shared" si="428"/>
        <v>1275.4823886346596</v>
      </c>
      <c r="AA1191">
        <f t="shared" si="429"/>
        <v>98.825915631584778</v>
      </c>
      <c r="AB1191">
        <f t="shared" si="430"/>
        <v>1.4661524790193337</v>
      </c>
      <c r="AC1191">
        <f t="shared" si="431"/>
        <v>6000</v>
      </c>
      <c r="AD1191">
        <f t="shared" si="432"/>
        <v>21.008452488130185</v>
      </c>
      <c r="AE1191">
        <f t="shared" si="433"/>
        <v>6.8964791215250782</v>
      </c>
      <c r="AF1191">
        <f t="shared" si="434"/>
        <v>6000</v>
      </c>
      <c r="AG1191">
        <f t="shared" si="435"/>
        <v>21.008452488130185</v>
      </c>
      <c r="AH1191">
        <f t="shared" si="436"/>
        <v>6.8964791215250782</v>
      </c>
      <c r="AI1191" cm="1">
        <f t="array" ref="AI1191">_xlfn.LET(
    _xlpm.vals,   _xlfn.HSTACK(S1191,V1191,Y1191,AB1191,AE1191,AH1191),
    _xlpm.ints,   _xlfn.HSTACK(R1191,U1191,X1191,AA1191,AD1191,AG1191),
    _xlpm.slopes, _xlfn.HSTACK(Q1191,T1191,W1191,Z1191,AC1191,AF1191),
    _xlpm.limit,  -0.00001*_xlpm.slopes + 0.1086*_xlpm.slopes + 63.253,
    _xlpm.mask,   (_xlpm.vals&gt;=0) * (_xlpm.ints&lt;=_xlpm.limit),
    _xlpm.validVals, _xlfn._xlws.FILTER(_xlpm.vals, _xlpm.mask),
    _xlpm.minVal, MIN(_xlpm.validVals),
    IFERROR( _xlfn.XMATCH(_xlpm.minVal, _xlpm.vals), "" )
)</f>
        <v>4</v>
      </c>
      <c r="AJ1191" cm="1">
        <f t="array" ref="AJ1191">_xlfn.LET(
    _xlpm.vals, CHOOSE({1,2,3,4,5,6}, S1191, V1191, Y1191, AB1191, AE1191, AH1191),
    _xlpm.slopes, CHOOSE({1,2,3,4,5,6}, Q1191, T1191, W1191, Z1191, AC1191, AF1191),
    _xlpm.ints, CHOOSE({1,2,3,4,5,6}, R1191, U1191, X1191, AA1191, AD1191, AG1191),
    _xlpm.limit, -0.00001*_xlpm.slopes + 0.1086*_xlpm.slopes + 63.253,
    _xlpm.valid, (_xlpm.vals &gt;= 0) * (_xlpm.ints &lt;= _xlpm.limit),
    _xlpm.target, MIN(_xlfn._xlws.FILTER(_xlpm.vals, _xlpm.valid)),
    IFERROR(
        _xlfn.XLOOKUP(_xlpm.target, _xlpm.vals, _xlpm.vals),
        CHOOSE({1,2,3,4,5,6}, S$1, V$1, Y$1, AB$1, AE$1, AH$1)
    )
)</f>
        <v>1.4661524790193337</v>
      </c>
    </row>
    <row r="1192" spans="9:36" x14ac:dyDescent="0.45">
      <c r="I1192">
        <v>1190</v>
      </c>
      <c r="J1192">
        <v>21.6</v>
      </c>
      <c r="K1192">
        <f t="shared" si="415"/>
        <v>21.6</v>
      </c>
      <c r="L1192">
        <f t="shared" si="414"/>
        <v>6.0000000000000001E-3</v>
      </c>
      <c r="M1192">
        <v>9.91</v>
      </c>
      <c r="N1192">
        <f t="shared" si="416"/>
        <v>9.91</v>
      </c>
      <c r="O1192">
        <f t="shared" si="417"/>
        <v>280.69594820305008</v>
      </c>
      <c r="P1192">
        <f t="shared" si="418"/>
        <v>898.22703424976032</v>
      </c>
      <c r="Q1192">
        <f t="shared" si="419"/>
        <v>4113.8798168639023</v>
      </c>
      <c r="R1192">
        <f t="shared" si="420"/>
        <v>23.00347442686892</v>
      </c>
      <c r="S1192">
        <f t="shared" si="421"/>
        <v>2.5047547631522487</v>
      </c>
      <c r="T1192">
        <f t="shared" si="422"/>
        <v>2658.7520213792905</v>
      </c>
      <c r="U1192">
        <f t="shared" si="423"/>
        <v>35.593213809141773</v>
      </c>
      <c r="V1192">
        <f t="shared" si="424"/>
        <v>1.3593973876796401</v>
      </c>
      <c r="W1192">
        <f t="shared" si="425"/>
        <v>1715.6136354170421</v>
      </c>
      <c r="X1192">
        <f t="shared" si="426"/>
        <v>55.160163808931756</v>
      </c>
      <c r="Y1192">
        <f t="shared" si="427"/>
        <v>1.1842083446363716</v>
      </c>
      <c r="Z1192">
        <f t="shared" si="428"/>
        <v>1293.4469293196548</v>
      </c>
      <c r="AA1192">
        <f t="shared" si="429"/>
        <v>73.163828385458103</v>
      </c>
      <c r="AB1192">
        <f t="shared" si="430"/>
        <v>1.1725574169388362</v>
      </c>
      <c r="AC1192">
        <f t="shared" si="431"/>
        <v>6000</v>
      </c>
      <c r="AD1192">
        <f t="shared" si="432"/>
        <v>15.772254860406829</v>
      </c>
      <c r="AE1192">
        <f t="shared" si="433"/>
        <v>6.8347560123315372</v>
      </c>
      <c r="AF1192">
        <f t="shared" si="434"/>
        <v>6000</v>
      </c>
      <c r="AG1192">
        <f t="shared" si="435"/>
        <v>15.772254860406829</v>
      </c>
      <c r="AH1192">
        <f t="shared" si="436"/>
        <v>6.8347560123315372</v>
      </c>
      <c r="AI1192" cm="1">
        <f t="array" ref="AI1192">_xlfn.LET(
    _xlpm.vals,   _xlfn.HSTACK(S1192,V1192,Y1192,AB1192,AE1192,AH1192),
    _xlpm.ints,   _xlfn.HSTACK(R1192,U1192,X1192,AA1192,AD1192,AG1192),
    _xlpm.slopes, _xlfn.HSTACK(Q1192,T1192,W1192,Z1192,AC1192,AF1192),
    _xlpm.limit,  -0.00001*_xlpm.slopes + 0.1086*_xlpm.slopes + 63.253,
    _xlpm.mask,   (_xlpm.vals&gt;=0) * (_xlpm.ints&lt;=_xlpm.limit),
    _xlpm.validVals, _xlfn._xlws.FILTER(_xlpm.vals, _xlpm.mask),
    _xlpm.minVal, MIN(_xlpm.validVals),
    IFERROR( _xlfn.XMATCH(_xlpm.minVal, _xlpm.vals), "" )
)</f>
        <v>4</v>
      </c>
      <c r="AJ1192" cm="1">
        <f t="array" ref="AJ1192">_xlfn.LET(
    _xlpm.vals, CHOOSE({1,2,3,4,5,6}, S1192, V1192, Y1192, AB1192, AE1192, AH1192),
    _xlpm.slopes, CHOOSE({1,2,3,4,5,6}, Q1192, T1192, W1192, Z1192, AC1192, AF1192),
    _xlpm.ints, CHOOSE({1,2,3,4,5,6}, R1192, U1192, X1192, AA1192, AD1192, AG1192),
    _xlpm.limit, -0.00001*_xlpm.slopes + 0.1086*_xlpm.slopes + 63.253,
    _xlpm.valid, (_xlpm.vals &gt;= 0) * (_xlpm.ints &lt;= _xlpm.limit),
    _xlpm.target, MIN(_xlfn._xlws.FILTER(_xlpm.vals, _xlpm.valid)),
    IFERROR(
        _xlfn.XLOOKUP(_xlpm.target, _xlpm.vals, _xlpm.vals),
        CHOOSE({1,2,3,4,5,6}, S$1, V$1, Y$1, AB$1, AE$1, AH$1)
    )
)</f>
        <v>1.1725574169388362</v>
      </c>
    </row>
    <row r="1193" spans="9:36" x14ac:dyDescent="0.45">
      <c r="I1193">
        <v>1191</v>
      </c>
      <c r="J1193">
        <v>21.8</v>
      </c>
      <c r="K1193">
        <f t="shared" si="415"/>
        <v>21.8</v>
      </c>
      <c r="L1193">
        <f t="shared" si="414"/>
        <v>6.0555555555555553E-3</v>
      </c>
      <c r="M1193">
        <v>4.28</v>
      </c>
      <c r="N1193">
        <f t="shared" si="416"/>
        <v>4.28</v>
      </c>
      <c r="O1193">
        <f t="shared" si="417"/>
        <v>283.2949847604857</v>
      </c>
      <c r="P1193">
        <f t="shared" si="418"/>
        <v>906.54395123355425</v>
      </c>
      <c r="Q1193">
        <f t="shared" si="419"/>
        <v>4151.9712966496782</v>
      </c>
      <c r="R1193">
        <f t="shared" si="420"/>
        <v>9.8437552829371615</v>
      </c>
      <c r="S1193">
        <f t="shared" si="421"/>
        <v>2.3263923504892801</v>
      </c>
      <c r="T1193">
        <f t="shared" si="422"/>
        <v>2683.3700956513208</v>
      </c>
      <c r="U1193">
        <f t="shared" si="423"/>
        <v>15.23121594454466</v>
      </c>
      <c r="V1193">
        <f t="shared" si="424"/>
        <v>1.014281347250658</v>
      </c>
      <c r="W1193">
        <f t="shared" si="425"/>
        <v>1731.4989468560887</v>
      </c>
      <c r="X1193">
        <f t="shared" si="426"/>
        <v>23.604397484739369</v>
      </c>
      <c r="Y1193">
        <f t="shared" si="427"/>
        <v>0.73267506977649677</v>
      </c>
      <c r="Z1193">
        <f t="shared" si="428"/>
        <v>1305.4232897763181</v>
      </c>
      <c r="AA1193">
        <f t="shared" si="429"/>
        <v>31.30861055267513</v>
      </c>
      <c r="AB1193">
        <f t="shared" si="430"/>
        <v>0.67259681558531759</v>
      </c>
      <c r="AC1193">
        <f t="shared" si="431"/>
        <v>6000</v>
      </c>
      <c r="AD1193">
        <f t="shared" si="432"/>
        <v>6.8118315643331204</v>
      </c>
      <c r="AE1193">
        <f t="shared" si="433"/>
        <v>6.7484889865774003</v>
      </c>
      <c r="AF1193">
        <f t="shared" si="434"/>
        <v>6000</v>
      </c>
      <c r="AG1193">
        <f t="shared" si="435"/>
        <v>6.8118315643331204</v>
      </c>
      <c r="AH1193">
        <f t="shared" si="436"/>
        <v>6.7484889865774003</v>
      </c>
      <c r="AI1193" cm="1">
        <f t="array" ref="AI1193">_xlfn.LET(
    _xlpm.vals,   _xlfn.HSTACK(S1193,V1193,Y1193,AB1193,AE1193,AH1193),
    _xlpm.ints,   _xlfn.HSTACK(R1193,U1193,X1193,AA1193,AD1193,AG1193),
    _xlpm.slopes, _xlfn.HSTACK(Q1193,T1193,W1193,Z1193,AC1193,AF1193),
    _xlpm.limit,  -0.00001*_xlpm.slopes + 0.1086*_xlpm.slopes + 63.253,
    _xlpm.mask,   (_xlpm.vals&gt;=0) * (_xlpm.ints&lt;=_xlpm.limit),
    _xlpm.validVals, _xlfn._xlws.FILTER(_xlpm.vals, _xlpm.mask),
    _xlpm.minVal, MIN(_xlpm.validVals),
    IFERROR( _xlfn.XMATCH(_xlpm.minVal, _xlpm.vals), "" )
)</f>
        <v>4</v>
      </c>
      <c r="AJ1193" cm="1">
        <f t="array" ref="AJ1193">_xlfn.LET(
    _xlpm.vals, CHOOSE({1,2,3,4,5,6}, S1193, V1193, Y1193, AB1193, AE1193, AH1193),
    _xlpm.slopes, CHOOSE({1,2,3,4,5,6}, Q1193, T1193, W1193, Z1193, AC1193, AF1193),
    _xlpm.ints, CHOOSE({1,2,3,4,5,6}, R1193, U1193, X1193, AA1193, AD1193, AG1193),
    _xlpm.limit, -0.00001*_xlpm.slopes + 0.1086*_xlpm.slopes + 63.253,
    _xlpm.valid, (_xlpm.vals &gt;= 0) * (_xlpm.ints &lt;= _xlpm.limit),
    _xlpm.target, MIN(_xlfn._xlws.FILTER(_xlpm.vals, _xlpm.valid)),
    IFERROR(
        _xlfn.XLOOKUP(_xlpm.target, _xlpm.vals, _xlpm.vals),
        CHOOSE({1,2,3,4,5,6}, S$1, V$1, Y$1, AB$1, AE$1, AH$1)
    )
)</f>
        <v>0.67259681558531759</v>
      </c>
    </row>
    <row r="1194" spans="9:36" x14ac:dyDescent="0.45">
      <c r="I1194">
        <v>1192</v>
      </c>
      <c r="J1194">
        <v>21.8</v>
      </c>
      <c r="K1194">
        <f t="shared" si="415"/>
        <v>21.8</v>
      </c>
      <c r="L1194">
        <f t="shared" si="414"/>
        <v>6.0555555555555553E-3</v>
      </c>
      <c r="M1194">
        <v>3.48</v>
      </c>
      <c r="N1194">
        <f t="shared" si="416"/>
        <v>3.48</v>
      </c>
      <c r="O1194">
        <f t="shared" si="417"/>
        <v>283.2949847604857</v>
      </c>
      <c r="P1194">
        <f t="shared" si="418"/>
        <v>906.54395123355425</v>
      </c>
      <c r="Q1194">
        <f t="shared" si="419"/>
        <v>4151.9712966496782</v>
      </c>
      <c r="R1194">
        <f t="shared" si="420"/>
        <v>8.0038010244442344</v>
      </c>
      <c r="S1194">
        <f t="shared" si="421"/>
        <v>2.2969946164185209</v>
      </c>
      <c r="T1194">
        <f t="shared" si="422"/>
        <v>2683.3700956513208</v>
      </c>
      <c r="U1194">
        <f t="shared" si="423"/>
        <v>12.3842596932279</v>
      </c>
      <c r="V1194">
        <f t="shared" si="424"/>
        <v>0.96905018709175172</v>
      </c>
      <c r="W1194">
        <f t="shared" si="425"/>
        <v>1731.4989468560887</v>
      </c>
      <c r="X1194">
        <f t="shared" si="426"/>
        <v>19.192360571703972</v>
      </c>
      <c r="Y1194">
        <f t="shared" si="427"/>
        <v>0.67569827328226018</v>
      </c>
      <c r="Z1194">
        <f t="shared" si="428"/>
        <v>1305.4232897763181</v>
      </c>
      <c r="AA1194">
        <f t="shared" si="429"/>
        <v>25.456533813857348</v>
      </c>
      <c r="AB1194">
        <f t="shared" si="430"/>
        <v>0.60894584430774201</v>
      </c>
      <c r="AC1194">
        <f t="shared" si="431"/>
        <v>6000</v>
      </c>
      <c r="AD1194">
        <f t="shared" si="432"/>
        <v>5.5385920195979583</v>
      </c>
      <c r="AE1194">
        <f t="shared" si="433"/>
        <v>6.7382835765010585</v>
      </c>
      <c r="AF1194">
        <f t="shared" si="434"/>
        <v>6000</v>
      </c>
      <c r="AG1194">
        <f t="shared" si="435"/>
        <v>5.5385920195979583</v>
      </c>
      <c r="AH1194">
        <f t="shared" si="436"/>
        <v>6.7382835765010585</v>
      </c>
      <c r="AI1194" cm="1">
        <f t="array" ref="AI1194">_xlfn.LET(
    _xlpm.vals,   _xlfn.HSTACK(S1194,V1194,Y1194,AB1194,AE1194,AH1194),
    _xlpm.ints,   _xlfn.HSTACK(R1194,U1194,X1194,AA1194,AD1194,AG1194),
    _xlpm.slopes, _xlfn.HSTACK(Q1194,T1194,W1194,Z1194,AC1194,AF1194),
    _xlpm.limit,  -0.00001*_xlpm.slopes + 0.1086*_xlpm.slopes + 63.253,
    _xlpm.mask,   (_xlpm.vals&gt;=0) * (_xlpm.ints&lt;=_xlpm.limit),
    _xlpm.validVals, _xlfn._xlws.FILTER(_xlpm.vals, _xlpm.mask),
    _xlpm.minVal, MIN(_xlpm.validVals),
    IFERROR( _xlfn.XMATCH(_xlpm.minVal, _xlpm.vals), "" )
)</f>
        <v>4</v>
      </c>
      <c r="AJ1194" cm="1">
        <f t="array" ref="AJ1194">_xlfn.LET(
    _xlpm.vals, CHOOSE({1,2,3,4,5,6}, S1194, V1194, Y1194, AB1194, AE1194, AH1194),
    _xlpm.slopes, CHOOSE({1,2,3,4,5,6}, Q1194, T1194, W1194, Z1194, AC1194, AF1194),
    _xlpm.ints, CHOOSE({1,2,3,4,5,6}, R1194, U1194, X1194, AA1194, AD1194, AG1194),
    _xlpm.limit, -0.00001*_xlpm.slopes + 0.1086*_xlpm.slopes + 63.253,
    _xlpm.valid, (_xlpm.vals &gt;= 0) * (_xlpm.ints &lt;= _xlpm.limit),
    _xlpm.target, MIN(_xlfn._xlws.FILTER(_xlpm.vals, _xlpm.valid)),
    IFERROR(
        _xlfn.XLOOKUP(_xlpm.target, _xlpm.vals, _xlpm.vals),
        CHOOSE({1,2,3,4,5,6}, S$1, V$1, Y$1, AB$1, AE$1, AH$1)
    )
)</f>
        <v>0.60894584430774201</v>
      </c>
    </row>
    <row r="1195" spans="9:36" x14ac:dyDescent="0.45">
      <c r="I1195">
        <v>1193</v>
      </c>
      <c r="J1195">
        <v>21.6</v>
      </c>
      <c r="K1195">
        <f t="shared" si="415"/>
        <v>21.6</v>
      </c>
      <c r="L1195">
        <f t="shared" si="414"/>
        <v>6.0000000000000001E-3</v>
      </c>
      <c r="M1195">
        <v>-0.2</v>
      </c>
      <c r="N1195">
        <f t="shared" si="416"/>
        <v>0</v>
      </c>
      <c r="O1195">
        <f t="shared" si="417"/>
        <v>280.69594820305008</v>
      </c>
      <c r="P1195">
        <f t="shared" si="418"/>
        <v>898.22703424976032</v>
      </c>
      <c r="Q1195">
        <f t="shared" si="419"/>
        <v>4113.8798168639023</v>
      </c>
      <c r="R1195">
        <f t="shared" si="420"/>
        <v>0</v>
      </c>
      <c r="S1195">
        <f t="shared" si="421"/>
        <v>2.1231068749461448</v>
      </c>
      <c r="T1195">
        <f t="shared" si="422"/>
        <v>2658.7520213792905</v>
      </c>
      <c r="U1195">
        <f t="shared" si="423"/>
        <v>0</v>
      </c>
      <c r="V1195">
        <f t="shared" si="424"/>
        <v>0.77675870666282942</v>
      </c>
      <c r="W1195">
        <f t="shared" si="425"/>
        <v>1715.6136354170421</v>
      </c>
      <c r="X1195">
        <f t="shared" si="426"/>
        <v>0</v>
      </c>
      <c r="Y1195">
        <f t="shared" si="427"/>
        <v>0.45407540490358178</v>
      </c>
      <c r="Z1195">
        <f t="shared" si="428"/>
        <v>1293.4469293196548</v>
      </c>
      <c r="AA1195">
        <f t="shared" si="429"/>
        <v>0</v>
      </c>
      <c r="AB1195">
        <f t="shared" si="430"/>
        <v>0.37153089745921197</v>
      </c>
      <c r="AC1195">
        <f t="shared" si="431"/>
        <v>6000</v>
      </c>
      <c r="AD1195">
        <f t="shared" si="432"/>
        <v>0</v>
      </c>
      <c r="AE1195">
        <f t="shared" si="433"/>
        <v>6.7000407999999982</v>
      </c>
      <c r="AF1195">
        <f t="shared" si="434"/>
        <v>6000</v>
      </c>
      <c r="AG1195">
        <f t="shared" si="435"/>
        <v>0</v>
      </c>
      <c r="AH1195">
        <f t="shared" si="436"/>
        <v>6.7000407999999982</v>
      </c>
      <c r="AI1195" cm="1">
        <f t="array" ref="AI1195">_xlfn.LET(
    _xlpm.vals,   _xlfn.HSTACK(S1195,V1195,Y1195,AB1195,AE1195,AH1195),
    _xlpm.ints,   _xlfn.HSTACK(R1195,U1195,X1195,AA1195,AD1195,AG1195),
    _xlpm.slopes, _xlfn.HSTACK(Q1195,T1195,W1195,Z1195,AC1195,AF1195),
    _xlpm.limit,  -0.00001*_xlpm.slopes + 0.1086*_xlpm.slopes + 63.253,
    _xlpm.mask,   (_xlpm.vals&gt;=0) * (_xlpm.ints&lt;=_xlpm.limit),
    _xlpm.validVals, _xlfn._xlws.FILTER(_xlpm.vals, _xlpm.mask),
    _xlpm.minVal, MIN(_xlpm.validVals),
    IFERROR( _xlfn.XMATCH(_xlpm.minVal, _xlpm.vals), "" )
)</f>
        <v>4</v>
      </c>
      <c r="AJ1195" cm="1">
        <f t="array" ref="AJ1195">_xlfn.LET(
    _xlpm.vals, CHOOSE({1,2,3,4,5,6}, S1195, V1195, Y1195, AB1195, AE1195, AH1195),
    _xlpm.slopes, CHOOSE({1,2,3,4,5,6}, Q1195, T1195, W1195, Z1195, AC1195, AF1195),
    _xlpm.ints, CHOOSE({1,2,3,4,5,6}, R1195, U1195, X1195, AA1195, AD1195, AG1195),
    _xlpm.limit, -0.00001*_xlpm.slopes + 0.1086*_xlpm.slopes + 63.253,
    _xlpm.valid, (_xlpm.vals &gt;= 0) * (_xlpm.ints &lt;= _xlpm.limit),
    _xlpm.target, MIN(_xlfn._xlws.FILTER(_xlpm.vals, _xlpm.valid)),
    IFERROR(
        _xlfn.XLOOKUP(_xlpm.target, _xlpm.vals, _xlpm.vals),
        CHOOSE({1,2,3,4,5,6}, S$1, V$1, Y$1, AB$1, AE$1, AH$1)
    )
)</f>
        <v>0.37153089745921197</v>
      </c>
    </row>
    <row r="1196" spans="9:36" x14ac:dyDescent="0.45">
      <c r="I1196">
        <v>1194</v>
      </c>
      <c r="J1196">
        <v>21.1</v>
      </c>
      <c r="K1196">
        <f t="shared" si="415"/>
        <v>21.1</v>
      </c>
      <c r="L1196">
        <f t="shared" si="414"/>
        <v>5.8611111111111112E-3</v>
      </c>
      <c r="M1196">
        <v>0.46</v>
      </c>
      <c r="N1196">
        <f t="shared" si="416"/>
        <v>0.46</v>
      </c>
      <c r="O1196">
        <f t="shared" si="417"/>
        <v>274.19835680946096</v>
      </c>
      <c r="P1196">
        <f t="shared" si="418"/>
        <v>877.4347417902751</v>
      </c>
      <c r="Q1196">
        <f t="shared" si="419"/>
        <v>4018.65111739946</v>
      </c>
      <c r="R1196">
        <f t="shared" si="420"/>
        <v>1.0930723521425989</v>
      </c>
      <c r="S1196">
        <f t="shared" si="421"/>
        <v>2.0045521662752148</v>
      </c>
      <c r="T1196">
        <f t="shared" si="422"/>
        <v>2597.2068356992145</v>
      </c>
      <c r="U1196">
        <f t="shared" si="423"/>
        <v>1.6913078962206429</v>
      </c>
      <c r="V1196">
        <f t="shared" si="424"/>
        <v>0.76894293896642241</v>
      </c>
      <c r="W1196">
        <f t="shared" si="425"/>
        <v>1675.9003568194253</v>
      </c>
      <c r="X1196">
        <f t="shared" si="426"/>
        <v>2.6210844883838238</v>
      </c>
      <c r="Y1196">
        <f t="shared" si="427"/>
        <v>0.47128576439085484</v>
      </c>
      <c r="Z1196">
        <f t="shared" si="428"/>
        <v>1263.5060281779961</v>
      </c>
      <c r="AA1196">
        <f t="shared" si="429"/>
        <v>3.4765773422313222</v>
      </c>
      <c r="AB1196">
        <f t="shared" si="430"/>
        <v>0.39273338901197841</v>
      </c>
      <c r="AC1196">
        <f t="shared" si="431"/>
        <v>6000</v>
      </c>
      <c r="AD1196">
        <f t="shared" si="432"/>
        <v>0.73211273822271861</v>
      </c>
      <c r="AE1196">
        <f t="shared" si="433"/>
        <v>6.704514758454228</v>
      </c>
      <c r="AF1196">
        <f t="shared" si="434"/>
        <v>6000</v>
      </c>
      <c r="AG1196">
        <f t="shared" si="435"/>
        <v>0.73211273822271861</v>
      </c>
      <c r="AH1196">
        <f t="shared" si="436"/>
        <v>6.704514758454228</v>
      </c>
      <c r="AI1196" cm="1">
        <f t="array" ref="AI1196">_xlfn.LET(
    _xlpm.vals,   _xlfn.HSTACK(S1196,V1196,Y1196,AB1196,AE1196,AH1196),
    _xlpm.ints,   _xlfn.HSTACK(R1196,U1196,X1196,AA1196,AD1196,AG1196),
    _xlpm.slopes, _xlfn.HSTACK(Q1196,T1196,W1196,Z1196,AC1196,AF1196),
    _xlpm.limit,  -0.00001*_xlpm.slopes + 0.1086*_xlpm.slopes + 63.253,
    _xlpm.mask,   (_xlpm.vals&gt;=0) * (_xlpm.ints&lt;=_xlpm.limit),
    _xlpm.validVals, _xlfn._xlws.FILTER(_xlpm.vals, _xlpm.mask),
    _xlpm.minVal, MIN(_xlpm.validVals),
    IFERROR( _xlfn.XMATCH(_xlpm.minVal, _xlpm.vals), "" )
)</f>
        <v>4</v>
      </c>
      <c r="AJ1196" cm="1">
        <f t="array" ref="AJ1196">_xlfn.LET(
    _xlpm.vals, CHOOSE({1,2,3,4,5,6}, S1196, V1196, Y1196, AB1196, AE1196, AH1196),
    _xlpm.slopes, CHOOSE({1,2,3,4,5,6}, Q1196, T1196, W1196, Z1196, AC1196, AF1196),
    _xlpm.ints, CHOOSE({1,2,3,4,5,6}, R1196, U1196, X1196, AA1196, AD1196, AG1196),
    _xlpm.limit, -0.00001*_xlpm.slopes + 0.1086*_xlpm.slopes + 63.253,
    _xlpm.valid, (_xlpm.vals &gt;= 0) * (_xlpm.ints &lt;= _xlpm.limit),
    _xlpm.target, MIN(_xlfn._xlws.FILTER(_xlpm.vals, _xlpm.valid)),
    IFERROR(
        _xlfn.XLOOKUP(_xlpm.target, _xlpm.vals, _xlpm.vals),
        CHOOSE({1,2,3,4,5,6}, S$1, V$1, Y$1, AB$1, AE$1, AH$1)
    )
)</f>
        <v>0.39273338901197841</v>
      </c>
    </row>
    <row r="1197" spans="9:36" x14ac:dyDescent="0.45">
      <c r="I1197">
        <v>1195</v>
      </c>
      <c r="J1197">
        <v>21.3</v>
      </c>
      <c r="K1197">
        <f t="shared" si="415"/>
        <v>21.3</v>
      </c>
      <c r="L1197">
        <f t="shared" si="414"/>
        <v>5.9166666666666664E-3</v>
      </c>
      <c r="M1197">
        <v>8.0299999999999994</v>
      </c>
      <c r="N1197">
        <f t="shared" si="416"/>
        <v>8.0299999999999994</v>
      </c>
      <c r="O1197">
        <f t="shared" si="417"/>
        <v>276.79739336689664</v>
      </c>
      <c r="P1197">
        <f t="shared" si="418"/>
        <v>885.75165877406926</v>
      </c>
      <c r="Q1197">
        <f t="shared" si="419"/>
        <v>4056.7425971852372</v>
      </c>
      <c r="R1197">
        <f t="shared" si="420"/>
        <v>18.902074692853329</v>
      </c>
      <c r="S1197">
        <f t="shared" si="421"/>
        <v>2.3477769578185002</v>
      </c>
      <c r="T1197">
        <f t="shared" si="422"/>
        <v>2621.8249099712448</v>
      </c>
      <c r="U1197">
        <f t="shared" si="423"/>
        <v>29.2471290855636</v>
      </c>
      <c r="V1197">
        <f t="shared" si="424"/>
        <v>1.2196611413176213</v>
      </c>
      <c r="W1197">
        <f t="shared" si="425"/>
        <v>1691.7856682584722</v>
      </c>
      <c r="X1197">
        <f t="shared" si="426"/>
        <v>45.32539376610903</v>
      </c>
      <c r="Y1197">
        <f t="shared" si="427"/>
        <v>1.0222850049918555</v>
      </c>
      <c r="Z1197">
        <f t="shared" si="428"/>
        <v>1275.4823886346596</v>
      </c>
      <c r="AA1197">
        <f t="shared" si="429"/>
        <v>60.119098675880736</v>
      </c>
      <c r="AB1197">
        <f t="shared" si="430"/>
        <v>0.99882332347635228</v>
      </c>
      <c r="AC1197">
        <f t="shared" si="431"/>
        <v>6000</v>
      </c>
      <c r="AD1197">
        <f t="shared" si="432"/>
        <v>12.780141930279195</v>
      </c>
      <c r="AE1197">
        <f t="shared" si="433"/>
        <v>6.8031808390933293</v>
      </c>
      <c r="AF1197">
        <f t="shared" si="434"/>
        <v>6000</v>
      </c>
      <c r="AG1197">
        <f t="shared" si="435"/>
        <v>12.780141930279195</v>
      </c>
      <c r="AH1197">
        <f t="shared" si="436"/>
        <v>6.8031808390933293</v>
      </c>
      <c r="AI1197" cm="1">
        <f t="array" ref="AI1197">_xlfn.LET(
    _xlpm.vals,   _xlfn.HSTACK(S1197,V1197,Y1197,AB1197,AE1197,AH1197),
    _xlpm.ints,   _xlfn.HSTACK(R1197,U1197,X1197,AA1197,AD1197,AG1197),
    _xlpm.slopes, _xlfn.HSTACK(Q1197,T1197,W1197,Z1197,AC1197,AF1197),
    _xlpm.limit,  -0.00001*_xlpm.slopes + 0.1086*_xlpm.slopes + 63.253,
    _xlpm.mask,   (_xlpm.vals&gt;=0) * (_xlpm.ints&lt;=_xlpm.limit),
    _xlpm.validVals, _xlfn._xlws.FILTER(_xlpm.vals, _xlpm.mask),
    _xlpm.minVal, MIN(_xlpm.validVals),
    IFERROR( _xlfn.XMATCH(_xlpm.minVal, _xlpm.vals), "" )
)</f>
        <v>4</v>
      </c>
      <c r="AJ1197" cm="1">
        <f t="array" ref="AJ1197">_xlfn.LET(
    _xlpm.vals, CHOOSE({1,2,3,4,5,6}, S1197, V1197, Y1197, AB1197, AE1197, AH1197),
    _xlpm.slopes, CHOOSE({1,2,3,4,5,6}, Q1197, T1197, W1197, Z1197, AC1197, AF1197),
    _xlpm.ints, CHOOSE({1,2,3,4,5,6}, R1197, U1197, X1197, AA1197, AD1197, AG1197),
    _xlpm.limit, -0.00001*_xlpm.slopes + 0.1086*_xlpm.slopes + 63.253,
    _xlpm.valid, (_xlpm.vals &gt;= 0) * (_xlpm.ints &lt;= _xlpm.limit),
    _xlpm.target, MIN(_xlfn._xlws.FILTER(_xlpm.vals, _xlpm.valid)),
    IFERROR(
        _xlfn.XLOOKUP(_xlpm.target, _xlpm.vals, _xlpm.vals),
        CHOOSE({1,2,3,4,5,6}, S$1, V$1, Y$1, AB$1, AE$1, AH$1)
    )
)</f>
        <v>0.99882332347635228</v>
      </c>
    </row>
    <row r="1198" spans="9:36" x14ac:dyDescent="0.45">
      <c r="I1198">
        <v>1196</v>
      </c>
      <c r="J1198">
        <v>21.7</v>
      </c>
      <c r="K1198">
        <f t="shared" si="415"/>
        <v>21.7</v>
      </c>
      <c r="L1198">
        <f t="shared" si="414"/>
        <v>6.0277777777777777E-3</v>
      </c>
      <c r="M1198">
        <v>3.7</v>
      </c>
      <c r="N1198">
        <f t="shared" si="416"/>
        <v>3.7</v>
      </c>
      <c r="O1198">
        <f t="shared" si="417"/>
        <v>281.99546648176789</v>
      </c>
      <c r="P1198">
        <f t="shared" si="418"/>
        <v>902.38549274165734</v>
      </c>
      <c r="Q1198">
        <f t="shared" si="419"/>
        <v>4132.9255567567907</v>
      </c>
      <c r="R1198">
        <f t="shared" si="420"/>
        <v>8.5490040604861459</v>
      </c>
      <c r="S1198">
        <f t="shared" si="421"/>
        <v>2.2778366757575865</v>
      </c>
      <c r="T1198">
        <f t="shared" si="422"/>
        <v>2671.0610585153058</v>
      </c>
      <c r="U1198">
        <f t="shared" si="423"/>
        <v>13.227850877373832</v>
      </c>
      <c r="V1198">
        <f t="shared" si="424"/>
        <v>0.97557125020432489</v>
      </c>
      <c r="W1198">
        <f t="shared" si="425"/>
        <v>1723.5562911365655</v>
      </c>
      <c r="X1198">
        <f t="shared" si="426"/>
        <v>20.499706071741645</v>
      </c>
      <c r="Y1198">
        <f t="shared" si="427"/>
        <v>0.6897092017805978</v>
      </c>
      <c r="Z1198">
        <f t="shared" si="428"/>
        <v>1299.4351095479865</v>
      </c>
      <c r="AA1198">
        <f t="shared" si="429"/>
        <v>27.190582359046214</v>
      </c>
      <c r="AB1198">
        <f t="shared" si="430"/>
        <v>0.62536656053680584</v>
      </c>
      <c r="AC1198">
        <f t="shared" si="431"/>
        <v>6000</v>
      </c>
      <c r="AD1198">
        <f t="shared" si="432"/>
        <v>5.8887328944001274</v>
      </c>
      <c r="AE1198">
        <f t="shared" si="433"/>
        <v>6.7410380328062534</v>
      </c>
      <c r="AF1198">
        <f t="shared" si="434"/>
        <v>6000</v>
      </c>
      <c r="AG1198">
        <f t="shared" si="435"/>
        <v>5.8887328944001274</v>
      </c>
      <c r="AH1198">
        <f t="shared" si="436"/>
        <v>6.7410380328062534</v>
      </c>
      <c r="AI1198" cm="1">
        <f t="array" ref="AI1198">_xlfn.LET(
    _xlpm.vals,   _xlfn.HSTACK(S1198,V1198,Y1198,AB1198,AE1198,AH1198),
    _xlpm.ints,   _xlfn.HSTACK(R1198,U1198,X1198,AA1198,AD1198,AG1198),
    _xlpm.slopes, _xlfn.HSTACK(Q1198,T1198,W1198,Z1198,AC1198,AF1198),
    _xlpm.limit,  -0.00001*_xlpm.slopes + 0.1086*_xlpm.slopes + 63.253,
    _xlpm.mask,   (_xlpm.vals&gt;=0) * (_xlpm.ints&lt;=_xlpm.limit),
    _xlpm.validVals, _xlfn._xlws.FILTER(_xlpm.vals, _xlpm.mask),
    _xlpm.minVal, MIN(_xlpm.validVals),
    IFERROR( _xlfn.XMATCH(_xlpm.minVal, _xlpm.vals), "" )
)</f>
        <v>4</v>
      </c>
      <c r="AJ1198" cm="1">
        <f t="array" ref="AJ1198">_xlfn.LET(
    _xlpm.vals, CHOOSE({1,2,3,4,5,6}, S1198, V1198, Y1198, AB1198, AE1198, AH1198),
    _xlpm.slopes, CHOOSE({1,2,3,4,5,6}, Q1198, T1198, W1198, Z1198, AC1198, AF1198),
    _xlpm.ints, CHOOSE({1,2,3,4,5,6}, R1198, U1198, X1198, AA1198, AD1198, AG1198),
    _xlpm.limit, -0.00001*_xlpm.slopes + 0.1086*_xlpm.slopes + 63.253,
    _xlpm.valid, (_xlpm.vals &gt;= 0) * (_xlpm.ints &lt;= _xlpm.limit),
    _xlpm.target, MIN(_xlfn._xlws.FILTER(_xlpm.vals, _xlpm.valid)),
    IFERROR(
        _xlfn.XLOOKUP(_xlpm.target, _xlpm.vals, _xlpm.vals),
        CHOOSE({1,2,3,4,5,6}, S$1, V$1, Y$1, AB$1, AE$1, AH$1)
    )
)</f>
        <v>0.62536656053680584</v>
      </c>
    </row>
    <row r="1199" spans="9:36" x14ac:dyDescent="0.45">
      <c r="I1199">
        <v>1197</v>
      </c>
      <c r="J1199">
        <v>22.1</v>
      </c>
      <c r="K1199">
        <f t="shared" si="415"/>
        <v>22.1</v>
      </c>
      <c r="L1199">
        <f t="shared" si="414"/>
        <v>6.138888888888889E-3</v>
      </c>
      <c r="M1199">
        <v>4.25</v>
      </c>
      <c r="N1199">
        <f t="shared" si="416"/>
        <v>4.25</v>
      </c>
      <c r="O1199">
        <f t="shared" si="417"/>
        <v>287.19353959663925</v>
      </c>
      <c r="P1199">
        <f t="shared" si="418"/>
        <v>919.01932670924566</v>
      </c>
      <c r="Q1199">
        <f t="shared" si="419"/>
        <v>4209.1085163283451</v>
      </c>
      <c r="R1199">
        <f t="shared" si="420"/>
        <v>9.6420679892177397</v>
      </c>
      <c r="S1199">
        <f t="shared" si="421"/>
        <v>2.4082408554658992</v>
      </c>
      <c r="T1199">
        <f t="shared" si="422"/>
        <v>2720.2972070593673</v>
      </c>
      <c r="U1199">
        <f t="shared" si="423"/>
        <v>14.919145740073393</v>
      </c>
      <c r="V1199">
        <f t="shared" si="424"/>
        <v>1.0300135460112532</v>
      </c>
      <c r="W1199">
        <f t="shared" si="425"/>
        <v>1755.3269140146592</v>
      </c>
      <c r="X1199">
        <f t="shared" si="426"/>
        <v>23.120770361579712</v>
      </c>
      <c r="Y1199">
        <f t="shared" si="427"/>
        <v>0.73462210854471333</v>
      </c>
      <c r="Z1199">
        <f t="shared" si="428"/>
        <v>1323.3878304613138</v>
      </c>
      <c r="AA1199">
        <f t="shared" si="429"/>
        <v>30.667132910150862</v>
      </c>
      <c r="AB1199">
        <f t="shared" si="430"/>
        <v>0.67232550621063392</v>
      </c>
      <c r="AC1199">
        <f t="shared" si="431"/>
        <v>6000</v>
      </c>
      <c r="AD1199">
        <f t="shared" si="432"/>
        <v>6.7640850814055522</v>
      </c>
      <c r="AE1199">
        <f t="shared" si="433"/>
        <v>6.7480968820231455</v>
      </c>
      <c r="AF1199">
        <f t="shared" si="434"/>
        <v>6000</v>
      </c>
      <c r="AG1199">
        <f t="shared" si="435"/>
        <v>6.7640850814055522</v>
      </c>
      <c r="AH1199">
        <f t="shared" si="436"/>
        <v>6.7480968820231455</v>
      </c>
      <c r="AI1199" cm="1">
        <f t="array" ref="AI1199">_xlfn.LET(
    _xlpm.vals,   _xlfn.HSTACK(S1199,V1199,Y1199,AB1199,AE1199,AH1199),
    _xlpm.ints,   _xlfn.HSTACK(R1199,U1199,X1199,AA1199,AD1199,AG1199),
    _xlpm.slopes, _xlfn.HSTACK(Q1199,T1199,W1199,Z1199,AC1199,AF1199),
    _xlpm.limit,  -0.00001*_xlpm.slopes + 0.1086*_xlpm.slopes + 63.253,
    _xlpm.mask,   (_xlpm.vals&gt;=0) * (_xlpm.ints&lt;=_xlpm.limit),
    _xlpm.validVals, _xlfn._xlws.FILTER(_xlpm.vals, _xlpm.mask),
    _xlpm.minVal, MIN(_xlpm.validVals),
    IFERROR( _xlfn.XMATCH(_xlpm.minVal, _xlpm.vals), "" )
)</f>
        <v>4</v>
      </c>
      <c r="AJ1199" cm="1">
        <f t="array" ref="AJ1199">_xlfn.LET(
    _xlpm.vals, CHOOSE({1,2,3,4,5,6}, S1199, V1199, Y1199, AB1199, AE1199, AH1199),
    _xlpm.slopes, CHOOSE({1,2,3,4,5,6}, Q1199, T1199, W1199, Z1199, AC1199, AF1199),
    _xlpm.ints, CHOOSE({1,2,3,4,5,6}, R1199, U1199, X1199, AA1199, AD1199, AG1199),
    _xlpm.limit, -0.00001*_xlpm.slopes + 0.1086*_xlpm.slopes + 63.253,
    _xlpm.valid, (_xlpm.vals &gt;= 0) * (_xlpm.ints &lt;= _xlpm.limit),
    _xlpm.target, MIN(_xlfn._xlws.FILTER(_xlpm.vals, _xlpm.valid)),
    IFERROR(
        _xlfn.XLOOKUP(_xlpm.target, _xlpm.vals, _xlpm.vals),
        CHOOSE({1,2,3,4,5,6}, S$1, V$1, Y$1, AB$1, AE$1, AH$1)
    )
)</f>
        <v>0.67232550621063392</v>
      </c>
    </row>
    <row r="1200" spans="9:36" x14ac:dyDescent="0.45">
      <c r="I1200">
        <v>1198</v>
      </c>
      <c r="J1200">
        <v>22.1</v>
      </c>
      <c r="K1200">
        <f t="shared" si="415"/>
        <v>22.1</v>
      </c>
      <c r="L1200">
        <f t="shared" si="414"/>
        <v>6.138888888888889E-3</v>
      </c>
      <c r="M1200">
        <v>3.26</v>
      </c>
      <c r="N1200">
        <f t="shared" si="416"/>
        <v>3.26</v>
      </c>
      <c r="O1200">
        <f t="shared" si="417"/>
        <v>287.19353959663925</v>
      </c>
      <c r="P1200">
        <f t="shared" si="418"/>
        <v>919.01932670924566</v>
      </c>
      <c r="Q1200">
        <f t="shared" si="419"/>
        <v>4209.1085163283451</v>
      </c>
      <c r="R1200">
        <f t="shared" si="420"/>
        <v>7.3960333281999606</v>
      </c>
      <c r="S1200">
        <f t="shared" si="421"/>
        <v>2.372758375089298</v>
      </c>
      <c r="T1200">
        <f t="shared" si="422"/>
        <v>2720.2972070593673</v>
      </c>
      <c r="U1200">
        <f t="shared" si="423"/>
        <v>11.443862379444532</v>
      </c>
      <c r="V1200">
        <f t="shared" si="424"/>
        <v>0.97482128135441992</v>
      </c>
      <c r="W1200">
        <f t="shared" si="425"/>
        <v>1755.3269140146592</v>
      </c>
      <c r="X1200">
        <f t="shared" si="426"/>
        <v>17.734990912647028</v>
      </c>
      <c r="Y1200">
        <f t="shared" si="427"/>
        <v>0.66496578057328026</v>
      </c>
      <c r="Z1200">
        <f t="shared" si="428"/>
        <v>1323.3878304613138</v>
      </c>
      <c r="AA1200">
        <f t="shared" si="429"/>
        <v>23.523494891080428</v>
      </c>
      <c r="AB1200">
        <f t="shared" si="430"/>
        <v>0.59452077025796601</v>
      </c>
      <c r="AC1200">
        <f t="shared" si="431"/>
        <v>6000</v>
      </c>
      <c r="AD1200">
        <f t="shared" si="432"/>
        <v>5.1884511447957884</v>
      </c>
      <c r="AE1200">
        <f t="shared" si="433"/>
        <v>6.7355687307756194</v>
      </c>
      <c r="AF1200">
        <f t="shared" si="434"/>
        <v>6000</v>
      </c>
      <c r="AG1200">
        <f t="shared" si="435"/>
        <v>5.1884511447957884</v>
      </c>
      <c r="AH1200">
        <f t="shared" si="436"/>
        <v>6.7355687307756194</v>
      </c>
      <c r="AI1200" cm="1">
        <f t="array" ref="AI1200">_xlfn.LET(
    _xlpm.vals,   _xlfn.HSTACK(S1200,V1200,Y1200,AB1200,AE1200,AH1200),
    _xlpm.ints,   _xlfn.HSTACK(R1200,U1200,X1200,AA1200,AD1200,AG1200),
    _xlpm.slopes, _xlfn.HSTACK(Q1200,T1200,W1200,Z1200,AC1200,AF1200),
    _xlpm.limit,  -0.00001*_xlpm.slopes + 0.1086*_xlpm.slopes + 63.253,
    _xlpm.mask,   (_xlpm.vals&gt;=0) * (_xlpm.ints&lt;=_xlpm.limit),
    _xlpm.validVals, _xlfn._xlws.FILTER(_xlpm.vals, _xlpm.mask),
    _xlpm.minVal, MIN(_xlpm.validVals),
    IFERROR( _xlfn.XMATCH(_xlpm.minVal, _xlpm.vals), "" )
)</f>
        <v>4</v>
      </c>
      <c r="AJ1200" cm="1">
        <f t="array" ref="AJ1200">_xlfn.LET(
    _xlpm.vals, CHOOSE({1,2,3,4,5,6}, S1200, V1200, Y1200, AB1200, AE1200, AH1200),
    _xlpm.slopes, CHOOSE({1,2,3,4,5,6}, Q1200, T1200, W1200, Z1200, AC1200, AF1200),
    _xlpm.ints, CHOOSE({1,2,3,4,5,6}, R1200, U1200, X1200, AA1200, AD1200, AG1200),
    _xlpm.limit, -0.00001*_xlpm.slopes + 0.1086*_xlpm.slopes + 63.253,
    _xlpm.valid, (_xlpm.vals &gt;= 0) * (_xlpm.ints &lt;= _xlpm.limit),
    _xlpm.target, MIN(_xlfn._xlws.FILTER(_xlpm.vals, _xlpm.valid)),
    IFERROR(
        _xlfn.XLOOKUP(_xlpm.target, _xlpm.vals, _xlpm.vals),
        CHOOSE({1,2,3,4,5,6}, S$1, V$1, Y$1, AB$1, AE$1, AH$1)
    )
)</f>
        <v>0.59452077025796601</v>
      </c>
    </row>
    <row r="1201" spans="9:36" x14ac:dyDescent="0.45">
      <c r="I1201">
        <v>1199</v>
      </c>
      <c r="J1201">
        <v>21.9</v>
      </c>
      <c r="K1201">
        <f t="shared" si="415"/>
        <v>21.9</v>
      </c>
      <c r="L1201">
        <f t="shared" si="414"/>
        <v>6.083333333333333E-3</v>
      </c>
      <c r="M1201">
        <v>2.5</v>
      </c>
      <c r="N1201">
        <f t="shared" si="416"/>
        <v>2.5</v>
      </c>
      <c r="O1201">
        <f t="shared" si="417"/>
        <v>284.59450303920352</v>
      </c>
      <c r="P1201">
        <f t="shared" si="418"/>
        <v>910.70240972545128</v>
      </c>
      <c r="Q1201">
        <f t="shared" si="419"/>
        <v>4171.0170365425665</v>
      </c>
      <c r="R1201">
        <f t="shared" si="420"/>
        <v>5.7236020027319938</v>
      </c>
      <c r="S1201">
        <f t="shared" si="421"/>
        <v>2.2898726735755623</v>
      </c>
      <c r="T1201">
        <f t="shared" si="422"/>
        <v>2695.6791327873357</v>
      </c>
      <c r="U1201">
        <f t="shared" si="423"/>
        <v>8.8561139096326134</v>
      </c>
      <c r="V1201">
        <f t="shared" si="424"/>
        <v>0.92161229050183258</v>
      </c>
      <c r="W1201">
        <f t="shared" si="425"/>
        <v>1739.4416025756118</v>
      </c>
      <c r="X1201">
        <f t="shared" si="426"/>
        <v>13.724658205503944</v>
      </c>
      <c r="Y1201">
        <f t="shared" si="427"/>
        <v>0.61072467421816423</v>
      </c>
      <c r="Z1201">
        <f t="shared" si="428"/>
        <v>1311.4114700046498</v>
      </c>
      <c r="AA1201">
        <f t="shared" si="429"/>
        <v>18.204234147578145</v>
      </c>
      <c r="AB1201">
        <f t="shared" si="430"/>
        <v>0.53618615115637913</v>
      </c>
      <c r="AC1201">
        <f t="shared" si="431"/>
        <v>6000</v>
      </c>
      <c r="AD1201">
        <f t="shared" si="432"/>
        <v>3.9788735772973838</v>
      </c>
      <c r="AE1201">
        <f t="shared" si="433"/>
        <v>6.7264961982275295</v>
      </c>
      <c r="AF1201">
        <f t="shared" si="434"/>
        <v>6000</v>
      </c>
      <c r="AG1201">
        <f t="shared" si="435"/>
        <v>3.9788735772973838</v>
      </c>
      <c r="AH1201">
        <f t="shared" si="436"/>
        <v>6.7264961982275295</v>
      </c>
      <c r="AI1201" cm="1">
        <f t="array" ref="AI1201">_xlfn.LET(
    _xlpm.vals,   _xlfn.HSTACK(S1201,V1201,Y1201,AB1201,AE1201,AH1201),
    _xlpm.ints,   _xlfn.HSTACK(R1201,U1201,X1201,AA1201,AD1201,AG1201),
    _xlpm.slopes, _xlfn.HSTACK(Q1201,T1201,W1201,Z1201,AC1201,AF1201),
    _xlpm.limit,  -0.00001*_xlpm.slopes + 0.1086*_xlpm.slopes + 63.253,
    _xlpm.mask,   (_xlpm.vals&gt;=0) * (_xlpm.ints&lt;=_xlpm.limit),
    _xlpm.validVals, _xlfn._xlws.FILTER(_xlpm.vals, _xlpm.mask),
    _xlpm.minVal, MIN(_xlpm.validVals),
    IFERROR( _xlfn.XMATCH(_xlpm.minVal, _xlpm.vals), "" )
)</f>
        <v>4</v>
      </c>
      <c r="AJ1201" cm="1">
        <f t="array" ref="AJ1201">_xlfn.LET(
    _xlpm.vals, CHOOSE({1,2,3,4,5,6}, S1201, V1201, Y1201, AB1201, AE1201, AH1201),
    _xlpm.slopes, CHOOSE({1,2,3,4,5,6}, Q1201, T1201, W1201, Z1201, AC1201, AF1201),
    _xlpm.ints, CHOOSE({1,2,3,4,5,6}, R1201, U1201, X1201, AA1201, AD1201, AG1201),
    _xlpm.limit, -0.00001*_xlpm.slopes + 0.1086*_xlpm.slopes + 63.253,
    _xlpm.valid, (_xlpm.vals &gt;= 0) * (_xlpm.ints &lt;= _xlpm.limit),
    _xlpm.target, MIN(_xlfn._xlws.FILTER(_xlpm.vals, _xlpm.valid)),
    IFERROR(
        _xlfn.XLOOKUP(_xlpm.target, _xlpm.vals, _xlpm.vals),
        CHOOSE({1,2,3,4,5,6}, S$1, V$1, Y$1, AB$1, AE$1, AH$1)
    )
)</f>
        <v>0.53618615115637913</v>
      </c>
    </row>
    <row r="1202" spans="9:36" x14ac:dyDescent="0.45">
      <c r="I1202">
        <v>1200</v>
      </c>
      <c r="J1202">
        <v>21.6</v>
      </c>
      <c r="K1202">
        <f t="shared" si="415"/>
        <v>21.6</v>
      </c>
      <c r="L1202">
        <f t="shared" si="414"/>
        <v>6.0000000000000001E-3</v>
      </c>
      <c r="M1202">
        <v>2.0699999999999998</v>
      </c>
      <c r="N1202">
        <f t="shared" si="416"/>
        <v>2.0699999999999998</v>
      </c>
      <c r="O1202">
        <f t="shared" si="417"/>
        <v>280.69594820305008</v>
      </c>
      <c r="P1202">
        <f t="shared" si="418"/>
        <v>898.22703424976032</v>
      </c>
      <c r="Q1202">
        <f t="shared" si="419"/>
        <v>4113.8798168639023</v>
      </c>
      <c r="R1202">
        <f t="shared" si="420"/>
        <v>4.8049638812935074</v>
      </c>
      <c r="S1202">
        <f t="shared" si="421"/>
        <v>2.1923908389325737</v>
      </c>
      <c r="T1202">
        <f t="shared" si="422"/>
        <v>2658.7520213792905</v>
      </c>
      <c r="U1202">
        <f t="shared" si="423"/>
        <v>7.4347076271365768</v>
      </c>
      <c r="V1202">
        <f t="shared" si="424"/>
        <v>0.88077613099162055</v>
      </c>
      <c r="W1202">
        <f t="shared" si="425"/>
        <v>1715.6136354170421</v>
      </c>
      <c r="X1202">
        <f t="shared" si="426"/>
        <v>11.521850563520559</v>
      </c>
      <c r="Y1202">
        <f t="shared" si="427"/>
        <v>0.57788509406906463</v>
      </c>
      <c r="Z1202">
        <f t="shared" si="428"/>
        <v>1293.4469293196548</v>
      </c>
      <c r="AA1202">
        <f t="shared" si="429"/>
        <v>15.282454566891852</v>
      </c>
      <c r="AB1202">
        <f t="shared" si="430"/>
        <v>0.50263946850865171</v>
      </c>
      <c r="AC1202">
        <f t="shared" si="431"/>
        <v>6000</v>
      </c>
      <c r="AD1202">
        <f t="shared" si="432"/>
        <v>3.2945073220022336</v>
      </c>
      <c r="AE1202">
        <f t="shared" si="433"/>
        <v>6.7215743150526901</v>
      </c>
      <c r="AF1202">
        <f t="shared" si="434"/>
        <v>6000</v>
      </c>
      <c r="AG1202">
        <f t="shared" si="435"/>
        <v>3.2945073220022336</v>
      </c>
      <c r="AH1202">
        <f t="shared" si="436"/>
        <v>6.7215743150526901</v>
      </c>
      <c r="AI1202" cm="1">
        <f t="array" ref="AI1202">_xlfn.LET(
    _xlpm.vals,   _xlfn.HSTACK(S1202,V1202,Y1202,AB1202,AE1202,AH1202),
    _xlpm.ints,   _xlfn.HSTACK(R1202,U1202,X1202,AA1202,AD1202,AG1202),
    _xlpm.slopes, _xlfn.HSTACK(Q1202,T1202,W1202,Z1202,AC1202,AF1202),
    _xlpm.limit,  -0.00001*_xlpm.slopes + 0.1086*_xlpm.slopes + 63.253,
    _xlpm.mask,   (_xlpm.vals&gt;=0) * (_xlpm.ints&lt;=_xlpm.limit),
    _xlpm.validVals, _xlfn._xlws.FILTER(_xlpm.vals, _xlpm.mask),
    _xlpm.minVal, MIN(_xlpm.validVals),
    IFERROR( _xlfn.XMATCH(_xlpm.minVal, _xlpm.vals), "" )
)</f>
        <v>4</v>
      </c>
      <c r="AJ1202" cm="1">
        <f t="array" ref="AJ1202">_xlfn.LET(
    _xlpm.vals, CHOOSE({1,2,3,4,5,6}, S1202, V1202, Y1202, AB1202, AE1202, AH1202),
    _xlpm.slopes, CHOOSE({1,2,3,4,5,6}, Q1202, T1202, W1202, Z1202, AC1202, AF1202),
    _xlpm.ints, CHOOSE({1,2,3,4,5,6}, R1202, U1202, X1202, AA1202, AD1202, AG1202),
    _xlpm.limit, -0.00001*_xlpm.slopes + 0.1086*_xlpm.slopes + 63.253,
    _xlpm.valid, (_xlpm.vals &gt;= 0) * (_xlpm.ints &lt;= _xlpm.limit),
    _xlpm.target, MIN(_xlfn._xlws.FILTER(_xlpm.vals, _xlpm.valid)),
    IFERROR(
        _xlfn.XLOOKUP(_xlpm.target, _xlpm.vals, _xlpm.vals),
        CHOOSE({1,2,3,4,5,6}, S$1, V$1, Y$1, AB$1, AE$1, AH$1)
    )
)</f>
        <v>0.50263946850865171</v>
      </c>
    </row>
    <row r="1203" spans="9:36" x14ac:dyDescent="0.45">
      <c r="I1203">
        <v>1201</v>
      </c>
      <c r="J1203">
        <v>21.6</v>
      </c>
      <c r="K1203">
        <f t="shared" si="415"/>
        <v>21.6</v>
      </c>
      <c r="L1203">
        <f t="shared" si="414"/>
        <v>6.0000000000000001E-3</v>
      </c>
      <c r="M1203">
        <v>3.31</v>
      </c>
      <c r="N1203">
        <f t="shared" si="416"/>
        <v>3.31</v>
      </c>
      <c r="O1203">
        <f t="shared" si="417"/>
        <v>280.69594820305008</v>
      </c>
      <c r="P1203">
        <f t="shared" si="418"/>
        <v>898.22703424976032</v>
      </c>
      <c r="Q1203">
        <f t="shared" si="419"/>
        <v>4113.8798168639023</v>
      </c>
      <c r="R1203">
        <f t="shared" si="420"/>
        <v>7.6832997328896182</v>
      </c>
      <c r="S1203">
        <f t="shared" si="421"/>
        <v>2.2366511089161567</v>
      </c>
      <c r="T1203">
        <f t="shared" si="422"/>
        <v>2658.7520213792905</v>
      </c>
      <c r="U1203">
        <f t="shared" si="423"/>
        <v>11.888348911025155</v>
      </c>
      <c r="V1203">
        <f t="shared" si="424"/>
        <v>0.94799503693099174</v>
      </c>
      <c r="W1203">
        <f t="shared" si="425"/>
        <v>1715.6136354170421</v>
      </c>
      <c r="X1203">
        <f t="shared" si="426"/>
        <v>18.423828678866208</v>
      </c>
      <c r="Y1203">
        <f t="shared" si="427"/>
        <v>0.66093449020621675</v>
      </c>
      <c r="Z1203">
        <f t="shared" si="428"/>
        <v>1293.4469293196548</v>
      </c>
      <c r="AA1203">
        <f t="shared" si="429"/>
        <v>24.437161650440594</v>
      </c>
      <c r="AB1203">
        <f t="shared" si="430"/>
        <v>0.59412680617999158</v>
      </c>
      <c r="AC1203">
        <f t="shared" si="431"/>
        <v>6000</v>
      </c>
      <c r="AD1203">
        <f t="shared" si="432"/>
        <v>5.268028616341736</v>
      </c>
      <c r="AE1203">
        <f t="shared" si="433"/>
        <v>6.7361822583182196</v>
      </c>
      <c r="AF1203">
        <f t="shared" si="434"/>
        <v>6000</v>
      </c>
      <c r="AG1203">
        <f t="shared" si="435"/>
        <v>5.268028616341736</v>
      </c>
      <c r="AH1203">
        <f t="shared" si="436"/>
        <v>6.7361822583182196</v>
      </c>
      <c r="AI1203" cm="1">
        <f t="array" ref="AI1203">_xlfn.LET(
    _xlpm.vals,   _xlfn.HSTACK(S1203,V1203,Y1203,AB1203,AE1203,AH1203),
    _xlpm.ints,   _xlfn.HSTACK(R1203,U1203,X1203,AA1203,AD1203,AG1203),
    _xlpm.slopes, _xlfn.HSTACK(Q1203,T1203,W1203,Z1203,AC1203,AF1203),
    _xlpm.limit,  -0.00001*_xlpm.slopes + 0.1086*_xlpm.slopes + 63.253,
    _xlpm.mask,   (_xlpm.vals&gt;=0) * (_xlpm.ints&lt;=_xlpm.limit),
    _xlpm.validVals, _xlfn._xlws.FILTER(_xlpm.vals, _xlpm.mask),
    _xlpm.minVal, MIN(_xlpm.validVals),
    IFERROR( _xlfn.XMATCH(_xlpm.minVal, _xlpm.vals), "" )
)</f>
        <v>4</v>
      </c>
      <c r="AJ1203" cm="1">
        <f t="array" ref="AJ1203">_xlfn.LET(
    _xlpm.vals, CHOOSE({1,2,3,4,5,6}, S1203, V1203, Y1203, AB1203, AE1203, AH1203),
    _xlpm.slopes, CHOOSE({1,2,3,4,5,6}, Q1203, T1203, W1203, Z1203, AC1203, AF1203),
    _xlpm.ints, CHOOSE({1,2,3,4,5,6}, R1203, U1203, X1203, AA1203, AD1203, AG1203),
    _xlpm.limit, -0.00001*_xlpm.slopes + 0.1086*_xlpm.slopes + 63.253,
    _xlpm.valid, (_xlpm.vals &gt;= 0) * (_xlpm.ints &lt;= _xlpm.limit),
    _xlpm.target, MIN(_xlfn._xlws.FILTER(_xlpm.vals, _xlpm.valid)),
    IFERROR(
        _xlfn.XLOOKUP(_xlpm.target, _xlpm.vals, _xlpm.vals),
        CHOOSE({1,2,3,4,5,6}, S$1, V$1, Y$1, AB$1, AE$1, AH$1)
    )
)</f>
        <v>0.59412680617999158</v>
      </c>
    </row>
    <row r="1204" spans="9:36" x14ac:dyDescent="0.45">
      <c r="I1204">
        <v>1202</v>
      </c>
      <c r="J1204">
        <v>21.3</v>
      </c>
      <c r="K1204">
        <f t="shared" si="415"/>
        <v>21.3</v>
      </c>
      <c r="L1204">
        <f t="shared" si="414"/>
        <v>5.9166666666666664E-3</v>
      </c>
      <c r="M1204">
        <v>-0.51</v>
      </c>
      <c r="N1204">
        <f t="shared" si="416"/>
        <v>0</v>
      </c>
      <c r="O1204">
        <f t="shared" si="417"/>
        <v>276.79739336689664</v>
      </c>
      <c r="P1204">
        <f t="shared" si="418"/>
        <v>885.75165877406926</v>
      </c>
      <c r="Q1204">
        <f t="shared" si="419"/>
        <v>4056.7425971852372</v>
      </c>
      <c r="R1204">
        <f t="shared" si="420"/>
        <v>0</v>
      </c>
      <c r="S1204">
        <f t="shared" si="421"/>
        <v>2.0418191271197035</v>
      </c>
      <c r="T1204">
        <f t="shared" si="422"/>
        <v>2621.8249099712448</v>
      </c>
      <c r="U1204">
        <f t="shared" si="423"/>
        <v>0</v>
      </c>
      <c r="V1204">
        <f t="shared" si="424"/>
        <v>0.75839149180761933</v>
      </c>
      <c r="W1204">
        <f t="shared" si="425"/>
        <v>1691.7856682584722</v>
      </c>
      <c r="X1204">
        <f t="shared" si="426"/>
        <v>0</v>
      </c>
      <c r="Y1204">
        <f t="shared" si="427"/>
        <v>0.44883893129683383</v>
      </c>
      <c r="Z1204">
        <f t="shared" si="428"/>
        <v>1275.4823886346596</v>
      </c>
      <c r="AA1204">
        <f t="shared" si="429"/>
        <v>0</v>
      </c>
      <c r="AB1204">
        <f t="shared" si="430"/>
        <v>0.36834099853159064</v>
      </c>
      <c r="AC1204">
        <f t="shared" si="431"/>
        <v>6000</v>
      </c>
      <c r="AD1204">
        <f t="shared" si="432"/>
        <v>0</v>
      </c>
      <c r="AE1204">
        <f t="shared" si="433"/>
        <v>6.7000407999999982</v>
      </c>
      <c r="AF1204">
        <f t="shared" si="434"/>
        <v>6000</v>
      </c>
      <c r="AG1204">
        <f t="shared" si="435"/>
        <v>0</v>
      </c>
      <c r="AH1204">
        <f t="shared" si="436"/>
        <v>6.7000407999999982</v>
      </c>
      <c r="AI1204" cm="1">
        <f t="array" ref="AI1204">_xlfn.LET(
    _xlpm.vals,   _xlfn.HSTACK(S1204,V1204,Y1204,AB1204,AE1204,AH1204),
    _xlpm.ints,   _xlfn.HSTACK(R1204,U1204,X1204,AA1204,AD1204,AG1204),
    _xlpm.slopes, _xlfn.HSTACK(Q1204,T1204,W1204,Z1204,AC1204,AF1204),
    _xlpm.limit,  -0.00001*_xlpm.slopes + 0.1086*_xlpm.slopes + 63.253,
    _xlpm.mask,   (_xlpm.vals&gt;=0) * (_xlpm.ints&lt;=_xlpm.limit),
    _xlpm.validVals, _xlfn._xlws.FILTER(_xlpm.vals, _xlpm.mask),
    _xlpm.minVal, MIN(_xlpm.validVals),
    IFERROR( _xlfn.XMATCH(_xlpm.minVal, _xlpm.vals), "" )
)</f>
        <v>4</v>
      </c>
      <c r="AJ1204" cm="1">
        <f t="array" ref="AJ1204">_xlfn.LET(
    _xlpm.vals, CHOOSE({1,2,3,4,5,6}, S1204, V1204, Y1204, AB1204, AE1204, AH1204),
    _xlpm.slopes, CHOOSE({1,2,3,4,5,6}, Q1204, T1204, W1204, Z1204, AC1204, AF1204),
    _xlpm.ints, CHOOSE({1,2,3,4,5,6}, R1204, U1204, X1204, AA1204, AD1204, AG1204),
    _xlpm.limit, -0.00001*_xlpm.slopes + 0.1086*_xlpm.slopes + 63.253,
    _xlpm.valid, (_xlpm.vals &gt;= 0) * (_xlpm.ints &lt;= _xlpm.limit),
    _xlpm.target, MIN(_xlfn._xlws.FILTER(_xlpm.vals, _xlpm.valid)),
    IFERROR(
        _xlfn.XLOOKUP(_xlpm.target, _xlpm.vals, _xlpm.vals),
        CHOOSE({1,2,3,4,5,6}, S$1, V$1, Y$1, AB$1, AE$1, AH$1)
    )
)</f>
        <v>0.36834099853159064</v>
      </c>
    </row>
    <row r="1205" spans="9:36" x14ac:dyDescent="0.45">
      <c r="I1205">
        <v>1203</v>
      </c>
      <c r="J1205">
        <v>20.399999999999999</v>
      </c>
      <c r="K1205">
        <f t="shared" si="415"/>
        <v>20.399999999999999</v>
      </c>
      <c r="L1205">
        <f t="shared" si="414"/>
        <v>5.6666666666666662E-3</v>
      </c>
      <c r="M1205">
        <v>-0.79</v>
      </c>
      <c r="N1205">
        <f t="shared" si="416"/>
        <v>0</v>
      </c>
      <c r="O1205">
        <f t="shared" si="417"/>
        <v>265.10172885843616</v>
      </c>
      <c r="P1205">
        <f t="shared" si="418"/>
        <v>848.32553234699571</v>
      </c>
      <c r="Q1205">
        <f t="shared" si="419"/>
        <v>3885.3309381492404</v>
      </c>
      <c r="R1205">
        <f t="shared" si="420"/>
        <v>0</v>
      </c>
      <c r="S1205">
        <f t="shared" si="421"/>
        <v>1.8142082872464034</v>
      </c>
      <c r="T1205">
        <f t="shared" si="422"/>
        <v>2511.0435757471073</v>
      </c>
      <c r="U1205">
        <f t="shared" si="423"/>
        <v>0</v>
      </c>
      <c r="V1205">
        <f t="shared" si="424"/>
        <v>0.70671971299039404</v>
      </c>
      <c r="W1205">
        <f t="shared" si="425"/>
        <v>1620.3017667827617</v>
      </c>
      <c r="X1205">
        <f t="shared" si="426"/>
        <v>0</v>
      </c>
      <c r="Y1205">
        <f t="shared" si="427"/>
        <v>0.43365123143171802</v>
      </c>
      <c r="Z1205">
        <f t="shared" si="428"/>
        <v>1221.5887665796738</v>
      </c>
      <c r="AA1205">
        <f t="shared" si="429"/>
        <v>0</v>
      </c>
      <c r="AB1205">
        <f t="shared" si="430"/>
        <v>0.3588372400571489</v>
      </c>
      <c r="AC1205">
        <f t="shared" si="431"/>
        <v>6000</v>
      </c>
      <c r="AD1205">
        <f t="shared" si="432"/>
        <v>0</v>
      </c>
      <c r="AE1205">
        <f t="shared" si="433"/>
        <v>6.7000407999999982</v>
      </c>
      <c r="AF1205">
        <f t="shared" si="434"/>
        <v>6000</v>
      </c>
      <c r="AG1205">
        <f t="shared" si="435"/>
        <v>0</v>
      </c>
      <c r="AH1205">
        <f t="shared" si="436"/>
        <v>6.7000407999999982</v>
      </c>
      <c r="AI1205" cm="1">
        <f t="array" ref="AI1205">_xlfn.LET(
    _xlpm.vals,   _xlfn.HSTACK(S1205,V1205,Y1205,AB1205,AE1205,AH1205),
    _xlpm.ints,   _xlfn.HSTACK(R1205,U1205,X1205,AA1205,AD1205,AG1205),
    _xlpm.slopes, _xlfn.HSTACK(Q1205,T1205,W1205,Z1205,AC1205,AF1205),
    _xlpm.limit,  -0.00001*_xlpm.slopes + 0.1086*_xlpm.slopes + 63.253,
    _xlpm.mask,   (_xlpm.vals&gt;=0) * (_xlpm.ints&lt;=_xlpm.limit),
    _xlpm.validVals, _xlfn._xlws.FILTER(_xlpm.vals, _xlpm.mask),
    _xlpm.minVal, MIN(_xlpm.validVals),
    IFERROR( _xlfn.XMATCH(_xlpm.minVal, _xlpm.vals), "" )
)</f>
        <v>4</v>
      </c>
      <c r="AJ1205" cm="1">
        <f t="array" ref="AJ1205">_xlfn.LET(
    _xlpm.vals, CHOOSE({1,2,3,4,5,6}, S1205, V1205, Y1205, AB1205, AE1205, AH1205),
    _xlpm.slopes, CHOOSE({1,2,3,4,5,6}, Q1205, T1205, W1205, Z1205, AC1205, AF1205),
    _xlpm.ints, CHOOSE({1,2,3,4,5,6}, R1205, U1205, X1205, AA1205, AD1205, AG1205),
    _xlpm.limit, -0.00001*_xlpm.slopes + 0.1086*_xlpm.slopes + 63.253,
    _xlpm.valid, (_xlpm.vals &gt;= 0) * (_xlpm.ints &lt;= _xlpm.limit),
    _xlpm.target, MIN(_xlfn._xlws.FILTER(_xlpm.vals, _xlpm.valid)),
    IFERROR(
        _xlfn.XLOOKUP(_xlpm.target, _xlpm.vals, _xlpm.vals),
        CHOOSE({1,2,3,4,5,6}, S$1, V$1, Y$1, AB$1, AE$1, AH$1)
    )
)</f>
        <v>0.3588372400571489</v>
      </c>
    </row>
    <row r="1206" spans="9:36" x14ac:dyDescent="0.45">
      <c r="I1206">
        <v>1204</v>
      </c>
      <c r="J1206">
        <v>19.7</v>
      </c>
      <c r="K1206">
        <f t="shared" si="415"/>
        <v>19.7</v>
      </c>
      <c r="L1206">
        <f t="shared" si="414"/>
        <v>5.4722222222222221E-3</v>
      </c>
      <c r="M1206">
        <v>-0.38</v>
      </c>
      <c r="N1206">
        <f t="shared" si="416"/>
        <v>0</v>
      </c>
      <c r="O1206">
        <f t="shared" si="417"/>
        <v>256.00510090741142</v>
      </c>
      <c r="P1206">
        <f t="shared" si="418"/>
        <v>819.21632290371656</v>
      </c>
      <c r="Q1206">
        <f t="shared" si="419"/>
        <v>3752.0107588990218</v>
      </c>
      <c r="R1206">
        <f t="shared" si="420"/>
        <v>0</v>
      </c>
      <c r="S1206">
        <f t="shared" si="421"/>
        <v>1.6533243630956522</v>
      </c>
      <c r="T1206">
        <f t="shared" si="422"/>
        <v>2424.880315795001</v>
      </c>
      <c r="U1206">
        <f t="shared" si="423"/>
        <v>0</v>
      </c>
      <c r="V1206">
        <f t="shared" si="424"/>
        <v>0.66989643076265981</v>
      </c>
      <c r="W1206">
        <f t="shared" si="425"/>
        <v>1564.7031767460985</v>
      </c>
      <c r="X1206">
        <f t="shared" si="426"/>
        <v>0</v>
      </c>
      <c r="Y1206">
        <f t="shared" si="427"/>
        <v>0.42232829824543816</v>
      </c>
      <c r="Z1206">
        <f t="shared" si="428"/>
        <v>1179.6715049813517</v>
      </c>
      <c r="AA1206">
        <f t="shared" si="429"/>
        <v>0</v>
      </c>
      <c r="AB1206">
        <f t="shared" si="430"/>
        <v>0.3514918151838039</v>
      </c>
      <c r="AC1206">
        <f t="shared" si="431"/>
        <v>6000</v>
      </c>
      <c r="AD1206">
        <f t="shared" si="432"/>
        <v>0</v>
      </c>
      <c r="AE1206">
        <f t="shared" si="433"/>
        <v>6.7000407999999982</v>
      </c>
      <c r="AF1206">
        <f t="shared" si="434"/>
        <v>6000</v>
      </c>
      <c r="AG1206">
        <f t="shared" si="435"/>
        <v>0</v>
      </c>
      <c r="AH1206">
        <f t="shared" si="436"/>
        <v>6.7000407999999982</v>
      </c>
      <c r="AI1206" cm="1">
        <f t="array" ref="AI1206">_xlfn.LET(
    _xlpm.vals,   _xlfn.HSTACK(S1206,V1206,Y1206,AB1206,AE1206,AH1206),
    _xlpm.ints,   _xlfn.HSTACK(R1206,U1206,X1206,AA1206,AD1206,AG1206),
    _xlpm.slopes, _xlfn.HSTACK(Q1206,T1206,W1206,Z1206,AC1206,AF1206),
    _xlpm.limit,  -0.00001*_xlpm.slopes + 0.1086*_xlpm.slopes + 63.253,
    _xlpm.mask,   (_xlpm.vals&gt;=0) * (_xlpm.ints&lt;=_xlpm.limit),
    _xlpm.validVals, _xlfn._xlws.FILTER(_xlpm.vals, _xlpm.mask),
    _xlpm.minVal, MIN(_xlpm.validVals),
    IFERROR( _xlfn.XMATCH(_xlpm.minVal, _xlpm.vals), "" )
)</f>
        <v>4</v>
      </c>
      <c r="AJ1206" cm="1">
        <f t="array" ref="AJ1206">_xlfn.LET(
    _xlpm.vals, CHOOSE({1,2,3,4,5,6}, S1206, V1206, Y1206, AB1206, AE1206, AH1206),
    _xlpm.slopes, CHOOSE({1,2,3,4,5,6}, Q1206, T1206, W1206, Z1206, AC1206, AF1206),
    _xlpm.ints, CHOOSE({1,2,3,4,5,6}, R1206, U1206, X1206, AA1206, AD1206, AG1206),
    _xlpm.limit, -0.00001*_xlpm.slopes + 0.1086*_xlpm.slopes + 63.253,
    _xlpm.valid, (_xlpm.vals &gt;= 0) * (_xlpm.ints &lt;= _xlpm.limit),
    _xlpm.target, MIN(_xlfn._xlws.FILTER(_xlpm.vals, _xlpm.valid)),
    IFERROR(
        _xlfn.XLOOKUP(_xlpm.target, _xlpm.vals, _xlpm.vals),
        CHOOSE({1,2,3,4,5,6}, S$1, V$1, Y$1, AB$1, AE$1, AH$1)
    )
)</f>
        <v>0.3514918151838039</v>
      </c>
    </row>
    <row r="1207" spans="9:36" x14ac:dyDescent="0.45">
      <c r="I1207">
        <v>1205</v>
      </c>
      <c r="J1207">
        <v>19.5</v>
      </c>
      <c r="K1207">
        <f t="shared" si="415"/>
        <v>19.5</v>
      </c>
      <c r="L1207">
        <f t="shared" si="414"/>
        <v>5.4166666666666669E-3</v>
      </c>
      <c r="M1207">
        <v>2.37</v>
      </c>
      <c r="N1207">
        <f t="shared" si="416"/>
        <v>2.37</v>
      </c>
      <c r="O1207">
        <f t="shared" si="417"/>
        <v>253.40606434997582</v>
      </c>
      <c r="P1207">
        <f t="shared" si="418"/>
        <v>810.89940591992263</v>
      </c>
      <c r="Q1207">
        <f t="shared" si="419"/>
        <v>3713.9192791132459</v>
      </c>
      <c r="R1207">
        <f t="shared" si="420"/>
        <v>6.0937869691856115</v>
      </c>
      <c r="S1207">
        <f t="shared" si="421"/>
        <v>1.7009698626264405</v>
      </c>
      <c r="T1207">
        <f t="shared" si="422"/>
        <v>2400.2622415229707</v>
      </c>
      <c r="U1207">
        <f t="shared" si="423"/>
        <v>9.4289001077263865</v>
      </c>
      <c r="V1207">
        <f t="shared" si="424"/>
        <v>0.78655587289566853</v>
      </c>
      <c r="W1207">
        <f t="shared" si="425"/>
        <v>1548.8178653070522</v>
      </c>
      <c r="X1207">
        <f t="shared" si="426"/>
        <v>14.612326868518378</v>
      </c>
      <c r="Y1207">
        <f t="shared" si="427"/>
        <v>0.56622276593736798</v>
      </c>
      <c r="Z1207">
        <f t="shared" si="428"/>
        <v>1167.6951445246884</v>
      </c>
      <c r="AA1207">
        <f t="shared" si="429"/>
        <v>19.38162799921535</v>
      </c>
      <c r="AB1207">
        <f t="shared" si="430"/>
        <v>0.50435491241567343</v>
      </c>
      <c r="AC1207">
        <f t="shared" si="431"/>
        <v>6000</v>
      </c>
      <c r="AD1207">
        <f t="shared" si="432"/>
        <v>3.7719721512779198</v>
      </c>
      <c r="AE1207">
        <f t="shared" si="433"/>
        <v>6.7249920368466931</v>
      </c>
      <c r="AF1207">
        <f t="shared" si="434"/>
        <v>6000</v>
      </c>
      <c r="AG1207">
        <f t="shared" si="435"/>
        <v>3.7719721512779198</v>
      </c>
      <c r="AH1207">
        <f t="shared" si="436"/>
        <v>6.7249920368466931</v>
      </c>
      <c r="AI1207" cm="1">
        <f t="array" ref="AI1207">_xlfn.LET(
    _xlpm.vals,   _xlfn.HSTACK(S1207,V1207,Y1207,AB1207,AE1207,AH1207),
    _xlpm.ints,   _xlfn.HSTACK(R1207,U1207,X1207,AA1207,AD1207,AG1207),
    _xlpm.slopes, _xlfn.HSTACK(Q1207,T1207,W1207,Z1207,AC1207,AF1207),
    _xlpm.limit,  -0.00001*_xlpm.slopes + 0.1086*_xlpm.slopes + 63.253,
    _xlpm.mask,   (_xlpm.vals&gt;=0) * (_xlpm.ints&lt;=_xlpm.limit),
    _xlpm.validVals, _xlfn._xlws.FILTER(_xlpm.vals, _xlpm.mask),
    _xlpm.minVal, MIN(_xlpm.validVals),
    IFERROR( _xlfn.XMATCH(_xlpm.minVal, _xlpm.vals), "" )
)</f>
        <v>4</v>
      </c>
      <c r="AJ1207" cm="1">
        <f t="array" ref="AJ1207">_xlfn.LET(
    _xlpm.vals, CHOOSE({1,2,3,4,5,6}, S1207, V1207, Y1207, AB1207, AE1207, AH1207),
    _xlpm.slopes, CHOOSE({1,2,3,4,5,6}, Q1207, T1207, W1207, Z1207, AC1207, AF1207),
    _xlpm.ints, CHOOSE({1,2,3,4,5,6}, R1207, U1207, X1207, AA1207, AD1207, AG1207),
    _xlpm.limit, -0.00001*_xlpm.slopes + 0.1086*_xlpm.slopes + 63.253,
    _xlpm.valid, (_xlpm.vals &gt;= 0) * (_xlpm.ints &lt;= _xlpm.limit),
    _xlpm.target, MIN(_xlfn._xlws.FILTER(_xlpm.vals, _xlpm.valid)),
    IFERROR(
        _xlfn.XLOOKUP(_xlpm.target, _xlpm.vals, _xlpm.vals),
        CHOOSE({1,2,3,4,5,6}, S$1, V$1, Y$1, AB$1, AE$1, AH$1)
    )
)</f>
        <v>0.50435491241567343</v>
      </c>
    </row>
    <row r="1208" spans="9:36" x14ac:dyDescent="0.45">
      <c r="I1208">
        <v>1206</v>
      </c>
      <c r="J1208">
        <v>19.7</v>
      </c>
      <c r="K1208">
        <f t="shared" si="415"/>
        <v>19.7</v>
      </c>
      <c r="L1208">
        <f t="shared" si="414"/>
        <v>5.4722222222222221E-3</v>
      </c>
      <c r="M1208">
        <v>5.37</v>
      </c>
      <c r="N1208">
        <f t="shared" si="416"/>
        <v>5.37</v>
      </c>
      <c r="O1208">
        <f t="shared" si="417"/>
        <v>256.00510090741142</v>
      </c>
      <c r="P1208">
        <f t="shared" si="418"/>
        <v>819.21632290371656</v>
      </c>
      <c r="Q1208">
        <f t="shared" si="419"/>
        <v>3752.0107588990218</v>
      </c>
      <c r="R1208">
        <f t="shared" si="420"/>
        <v>13.667264290909454</v>
      </c>
      <c r="S1208">
        <f t="shared" si="421"/>
        <v>1.869350614489685</v>
      </c>
      <c r="T1208">
        <f t="shared" si="422"/>
        <v>2424.880315795001</v>
      </c>
      <c r="U1208">
        <f t="shared" si="423"/>
        <v>21.147321098772061</v>
      </c>
      <c r="V1208">
        <f t="shared" si="424"/>
        <v>0.97648128710100679</v>
      </c>
      <c r="W1208">
        <f t="shared" si="425"/>
        <v>1564.7031767460985</v>
      </c>
      <c r="X1208">
        <f t="shared" si="426"/>
        <v>32.77281175516508</v>
      </c>
      <c r="Y1208">
        <f t="shared" si="427"/>
        <v>0.79121740794091788</v>
      </c>
      <c r="Z1208">
        <f t="shared" si="428"/>
        <v>1179.6715049813517</v>
      </c>
      <c r="AA1208">
        <f t="shared" si="429"/>
        <v>43.469493369698128</v>
      </c>
      <c r="AB1208">
        <f t="shared" si="430"/>
        <v>0.75230604535940993</v>
      </c>
      <c r="AC1208">
        <f t="shared" si="431"/>
        <v>6000</v>
      </c>
      <c r="AD1208">
        <f t="shared" si="432"/>
        <v>8.5466204440347795</v>
      </c>
      <c r="AE1208">
        <f t="shared" si="433"/>
        <v>6.7632290814230354</v>
      </c>
      <c r="AF1208">
        <f t="shared" si="434"/>
        <v>6000</v>
      </c>
      <c r="AG1208">
        <f t="shared" si="435"/>
        <v>8.5466204440347795</v>
      </c>
      <c r="AH1208">
        <f t="shared" si="436"/>
        <v>6.7632290814230354</v>
      </c>
      <c r="AI1208" cm="1">
        <f t="array" ref="AI1208">_xlfn.LET(
    _xlpm.vals,   _xlfn.HSTACK(S1208,V1208,Y1208,AB1208,AE1208,AH1208),
    _xlpm.ints,   _xlfn.HSTACK(R1208,U1208,X1208,AA1208,AD1208,AG1208),
    _xlpm.slopes, _xlfn.HSTACK(Q1208,T1208,W1208,Z1208,AC1208,AF1208),
    _xlpm.limit,  -0.00001*_xlpm.slopes + 0.1086*_xlpm.slopes + 63.253,
    _xlpm.mask,   (_xlpm.vals&gt;=0) * (_xlpm.ints&lt;=_xlpm.limit),
    _xlpm.validVals, _xlfn._xlws.FILTER(_xlpm.vals, _xlpm.mask),
    _xlpm.minVal, MIN(_xlpm.validVals),
    IFERROR( _xlfn.XMATCH(_xlpm.minVal, _xlpm.vals), "" )
)</f>
        <v>4</v>
      </c>
      <c r="AJ1208" cm="1">
        <f t="array" ref="AJ1208">_xlfn.LET(
    _xlpm.vals, CHOOSE({1,2,3,4,5,6}, S1208, V1208, Y1208, AB1208, AE1208, AH1208),
    _xlpm.slopes, CHOOSE({1,2,3,4,5,6}, Q1208, T1208, W1208, Z1208, AC1208, AF1208),
    _xlpm.ints, CHOOSE({1,2,3,4,5,6}, R1208, U1208, X1208, AA1208, AD1208, AG1208),
    _xlpm.limit, -0.00001*_xlpm.slopes + 0.1086*_xlpm.slopes + 63.253,
    _xlpm.valid, (_xlpm.vals &gt;= 0) * (_xlpm.ints &lt;= _xlpm.limit),
    _xlpm.target, MIN(_xlfn._xlws.FILTER(_xlpm.vals, _xlpm.valid)),
    IFERROR(
        _xlfn.XLOOKUP(_xlpm.target, _xlpm.vals, _xlpm.vals),
        CHOOSE({1,2,3,4,5,6}, S$1, V$1, Y$1, AB$1, AE$1, AH$1)
    )
)</f>
        <v>0.75230604535940993</v>
      </c>
    </row>
    <row r="1209" spans="9:36" x14ac:dyDescent="0.45">
      <c r="I1209">
        <v>1207</v>
      </c>
      <c r="J1209">
        <v>19.899999999999999</v>
      </c>
      <c r="K1209">
        <f t="shared" si="415"/>
        <v>19.899999999999999</v>
      </c>
      <c r="L1209">
        <f t="shared" si="414"/>
        <v>5.5277777777777773E-3</v>
      </c>
      <c r="M1209">
        <v>3.29</v>
      </c>
      <c r="N1209">
        <f t="shared" si="416"/>
        <v>3.29</v>
      </c>
      <c r="O1209">
        <f t="shared" si="417"/>
        <v>258.6041374648471</v>
      </c>
      <c r="P1209">
        <f t="shared" si="418"/>
        <v>827.53323988751072</v>
      </c>
      <c r="Q1209">
        <f t="shared" si="419"/>
        <v>3790.102238684799</v>
      </c>
      <c r="R1209">
        <f t="shared" si="420"/>
        <v>8.2892713145496035</v>
      </c>
      <c r="S1209">
        <f t="shared" si="421"/>
        <v>1.8236759234794155</v>
      </c>
      <c r="T1209">
        <f t="shared" si="422"/>
        <v>2449.4983900670318</v>
      </c>
      <c r="U1209">
        <f t="shared" si="423"/>
        <v>12.825967101566617</v>
      </c>
      <c r="V1209">
        <f t="shared" si="424"/>
        <v>0.85823885258297905</v>
      </c>
      <c r="W1209">
        <f t="shared" si="425"/>
        <v>1580.5884881851455</v>
      </c>
      <c r="X1209">
        <f t="shared" si="426"/>
        <v>19.876891424417376</v>
      </c>
      <c r="Y1209">
        <f t="shared" si="427"/>
        <v>0.63595095608939778</v>
      </c>
      <c r="Z1209">
        <f t="shared" si="428"/>
        <v>1191.6478654380153</v>
      </c>
      <c r="AA1209">
        <f t="shared" si="429"/>
        <v>26.364487930998049</v>
      </c>
      <c r="AB1209">
        <f t="shared" si="430"/>
        <v>0.57851026641184111</v>
      </c>
      <c r="AC1209">
        <f t="shared" si="431"/>
        <v>6000</v>
      </c>
      <c r="AD1209">
        <f t="shared" si="432"/>
        <v>5.2361976277233566</v>
      </c>
      <c r="AE1209">
        <f t="shared" si="433"/>
        <v>6.7359366012931412</v>
      </c>
      <c r="AF1209">
        <f t="shared" si="434"/>
        <v>6000</v>
      </c>
      <c r="AG1209">
        <f t="shared" si="435"/>
        <v>5.2361976277233566</v>
      </c>
      <c r="AH1209">
        <f t="shared" si="436"/>
        <v>6.7359366012931412</v>
      </c>
      <c r="AI1209" cm="1">
        <f t="array" ref="AI1209">_xlfn.LET(
    _xlpm.vals,   _xlfn.HSTACK(S1209,V1209,Y1209,AB1209,AE1209,AH1209),
    _xlpm.ints,   _xlfn.HSTACK(R1209,U1209,X1209,AA1209,AD1209,AG1209),
    _xlpm.slopes, _xlfn.HSTACK(Q1209,T1209,W1209,Z1209,AC1209,AF1209),
    _xlpm.limit,  -0.00001*_xlpm.slopes + 0.1086*_xlpm.slopes + 63.253,
    _xlpm.mask,   (_xlpm.vals&gt;=0) * (_xlpm.ints&lt;=_xlpm.limit),
    _xlpm.validVals, _xlfn._xlws.FILTER(_xlpm.vals, _xlpm.mask),
    _xlpm.minVal, MIN(_xlpm.validVals),
    IFERROR( _xlfn.XMATCH(_xlpm.minVal, _xlpm.vals), "" )
)</f>
        <v>4</v>
      </c>
      <c r="AJ1209" cm="1">
        <f t="array" ref="AJ1209">_xlfn.LET(
    _xlpm.vals, CHOOSE({1,2,3,4,5,6}, S1209, V1209, Y1209, AB1209, AE1209, AH1209),
    _xlpm.slopes, CHOOSE({1,2,3,4,5,6}, Q1209, T1209, W1209, Z1209, AC1209, AF1209),
    _xlpm.ints, CHOOSE({1,2,3,4,5,6}, R1209, U1209, X1209, AA1209, AD1209, AG1209),
    _xlpm.limit, -0.00001*_xlpm.slopes + 0.1086*_xlpm.slopes + 63.253,
    _xlpm.valid, (_xlpm.vals &gt;= 0) * (_xlpm.ints &lt;= _xlpm.limit),
    _xlpm.target, MIN(_xlfn._xlws.FILTER(_xlpm.vals, _xlpm.valid)),
    IFERROR(
        _xlfn.XLOOKUP(_xlpm.target, _xlpm.vals, _xlpm.vals),
        CHOOSE({1,2,3,4,5,6}, S$1, V$1, Y$1, AB$1, AE$1, AH$1)
    )
)</f>
        <v>0.57851026641184111</v>
      </c>
    </row>
    <row r="1210" spans="9:36" x14ac:dyDescent="0.45">
      <c r="I1210">
        <v>1208</v>
      </c>
      <c r="J1210">
        <v>20</v>
      </c>
      <c r="K1210">
        <f t="shared" si="415"/>
        <v>20</v>
      </c>
      <c r="L1210">
        <f t="shared" si="414"/>
        <v>5.5555555555555558E-3</v>
      </c>
      <c r="M1210">
        <v>4.8499999999999996</v>
      </c>
      <c r="N1210">
        <f t="shared" si="416"/>
        <v>4.8499999999999996</v>
      </c>
      <c r="O1210">
        <f t="shared" si="417"/>
        <v>259.90365574356491</v>
      </c>
      <c r="P1210">
        <f t="shared" si="418"/>
        <v>831.69169837940774</v>
      </c>
      <c r="Q1210">
        <f t="shared" si="419"/>
        <v>3809.1479785776874</v>
      </c>
      <c r="R1210">
        <f t="shared" si="420"/>
        <v>12.158647734403573</v>
      </c>
      <c r="S1210">
        <f t="shared" si="421"/>
        <v>1.9103985006451496</v>
      </c>
      <c r="T1210">
        <f t="shared" si="422"/>
        <v>2461.8074272030467</v>
      </c>
      <c r="U1210">
        <f t="shared" si="423"/>
        <v>18.813042778232553</v>
      </c>
      <c r="V1210">
        <f t="shared" si="424"/>
        <v>0.95681889863939418</v>
      </c>
      <c r="W1210">
        <f t="shared" si="425"/>
        <v>1588.5311439046686</v>
      </c>
      <c r="X1210">
        <f t="shared" si="426"/>
        <v>29.155291425952022</v>
      </c>
      <c r="Y1210">
        <f t="shared" si="427"/>
        <v>0.75349629073932733</v>
      </c>
      <c r="Z1210">
        <f t="shared" si="428"/>
        <v>1197.6360456663472</v>
      </c>
      <c r="AA1210">
        <f t="shared" si="429"/>
        <v>38.671254599700248</v>
      </c>
      <c r="AB1210">
        <f t="shared" si="430"/>
        <v>0.70856208508574192</v>
      </c>
      <c r="AC1210">
        <f t="shared" si="431"/>
        <v>6000</v>
      </c>
      <c r="AD1210">
        <f t="shared" si="432"/>
        <v>7.7190147399569238</v>
      </c>
      <c r="AE1210">
        <f t="shared" si="433"/>
        <v>6.7560775098399342</v>
      </c>
      <c r="AF1210">
        <f t="shared" si="434"/>
        <v>6000</v>
      </c>
      <c r="AG1210">
        <f t="shared" si="435"/>
        <v>7.7190147399569238</v>
      </c>
      <c r="AH1210">
        <f t="shared" si="436"/>
        <v>6.7560775098399342</v>
      </c>
      <c r="AI1210" cm="1">
        <f t="array" ref="AI1210">_xlfn.LET(
    _xlpm.vals,   _xlfn.HSTACK(S1210,V1210,Y1210,AB1210,AE1210,AH1210),
    _xlpm.ints,   _xlfn.HSTACK(R1210,U1210,X1210,AA1210,AD1210,AG1210),
    _xlpm.slopes, _xlfn.HSTACK(Q1210,T1210,W1210,Z1210,AC1210,AF1210),
    _xlpm.limit,  -0.00001*_xlpm.slopes + 0.1086*_xlpm.slopes + 63.253,
    _xlpm.mask,   (_xlpm.vals&gt;=0) * (_xlpm.ints&lt;=_xlpm.limit),
    _xlpm.validVals, _xlfn._xlws.FILTER(_xlpm.vals, _xlpm.mask),
    _xlpm.minVal, MIN(_xlpm.validVals),
    IFERROR( _xlfn.XMATCH(_xlpm.minVal, _xlpm.vals), "" )
)</f>
        <v>4</v>
      </c>
      <c r="AJ1210" cm="1">
        <f t="array" ref="AJ1210">_xlfn.LET(
    _xlpm.vals, CHOOSE({1,2,3,4,5,6}, S1210, V1210, Y1210, AB1210, AE1210, AH1210),
    _xlpm.slopes, CHOOSE({1,2,3,4,5,6}, Q1210, T1210, W1210, Z1210, AC1210, AF1210),
    _xlpm.ints, CHOOSE({1,2,3,4,5,6}, R1210, U1210, X1210, AA1210, AD1210, AG1210),
    _xlpm.limit, -0.00001*_xlpm.slopes + 0.1086*_xlpm.slopes + 63.253,
    _xlpm.valid, (_xlpm.vals &gt;= 0) * (_xlpm.ints &lt;= _xlpm.limit),
    _xlpm.target, MIN(_xlfn._xlws.FILTER(_xlpm.vals, _xlpm.valid)),
    IFERROR(
        _xlfn.XLOOKUP(_xlpm.target, _xlpm.vals, _xlpm.vals),
        CHOOSE({1,2,3,4,5,6}, S$1, V$1, Y$1, AB$1, AE$1, AH$1)
    )
)</f>
        <v>0.70856208508574192</v>
      </c>
    </row>
    <row r="1211" spans="9:36" x14ac:dyDescent="0.45">
      <c r="I1211">
        <v>1209</v>
      </c>
      <c r="J1211">
        <v>19.5</v>
      </c>
      <c r="K1211">
        <f t="shared" si="415"/>
        <v>19.5</v>
      </c>
      <c r="L1211">
        <f t="shared" si="414"/>
        <v>5.4166666666666669E-3</v>
      </c>
      <c r="M1211">
        <v>-0.11</v>
      </c>
      <c r="N1211">
        <f t="shared" si="416"/>
        <v>0</v>
      </c>
      <c r="O1211">
        <f t="shared" si="417"/>
        <v>253.40606434997582</v>
      </c>
      <c r="P1211">
        <f t="shared" si="418"/>
        <v>810.89940591992263</v>
      </c>
      <c r="Q1211">
        <f t="shared" si="419"/>
        <v>3713.9192791132459</v>
      </c>
      <c r="R1211">
        <f t="shared" si="420"/>
        <v>0</v>
      </c>
      <c r="S1211">
        <f t="shared" si="421"/>
        <v>1.6098447992209759</v>
      </c>
      <c r="T1211">
        <f t="shared" si="422"/>
        <v>2400.2622415229707</v>
      </c>
      <c r="U1211">
        <f t="shared" si="423"/>
        <v>0</v>
      </c>
      <c r="V1211">
        <f t="shared" si="424"/>
        <v>0.65988735415444788</v>
      </c>
      <c r="W1211">
        <f t="shared" si="425"/>
        <v>1548.8178653070522</v>
      </c>
      <c r="X1211">
        <f t="shared" si="426"/>
        <v>0</v>
      </c>
      <c r="Y1211">
        <f t="shared" si="427"/>
        <v>0.4191640658252721</v>
      </c>
      <c r="Z1211">
        <f t="shared" si="428"/>
        <v>1167.6951445246884</v>
      </c>
      <c r="AA1211">
        <f t="shared" si="429"/>
        <v>0</v>
      </c>
      <c r="AB1211">
        <f t="shared" si="430"/>
        <v>0.34939722887247371</v>
      </c>
      <c r="AC1211">
        <f t="shared" si="431"/>
        <v>6000</v>
      </c>
      <c r="AD1211">
        <f t="shared" si="432"/>
        <v>0</v>
      </c>
      <c r="AE1211">
        <f t="shared" si="433"/>
        <v>6.7000407999999982</v>
      </c>
      <c r="AF1211">
        <f t="shared" si="434"/>
        <v>6000</v>
      </c>
      <c r="AG1211">
        <f t="shared" si="435"/>
        <v>0</v>
      </c>
      <c r="AH1211">
        <f t="shared" si="436"/>
        <v>6.7000407999999982</v>
      </c>
      <c r="AI1211" cm="1">
        <f t="array" ref="AI1211">_xlfn.LET(
    _xlpm.vals,   _xlfn.HSTACK(S1211,V1211,Y1211,AB1211,AE1211,AH1211),
    _xlpm.ints,   _xlfn.HSTACK(R1211,U1211,X1211,AA1211,AD1211,AG1211),
    _xlpm.slopes, _xlfn.HSTACK(Q1211,T1211,W1211,Z1211,AC1211,AF1211),
    _xlpm.limit,  -0.00001*_xlpm.slopes + 0.1086*_xlpm.slopes + 63.253,
    _xlpm.mask,   (_xlpm.vals&gt;=0) * (_xlpm.ints&lt;=_xlpm.limit),
    _xlpm.validVals, _xlfn._xlws.FILTER(_xlpm.vals, _xlpm.mask),
    _xlpm.minVal, MIN(_xlpm.validVals),
    IFERROR( _xlfn.XMATCH(_xlpm.minVal, _xlpm.vals), "" )
)</f>
        <v>4</v>
      </c>
      <c r="AJ1211" cm="1">
        <f t="array" ref="AJ1211">_xlfn.LET(
    _xlpm.vals, CHOOSE({1,2,3,4,5,6}, S1211, V1211, Y1211, AB1211, AE1211, AH1211),
    _xlpm.slopes, CHOOSE({1,2,3,4,5,6}, Q1211, T1211, W1211, Z1211, AC1211, AF1211),
    _xlpm.ints, CHOOSE({1,2,3,4,5,6}, R1211, U1211, X1211, AA1211, AD1211, AG1211),
    _xlpm.limit, -0.00001*_xlpm.slopes + 0.1086*_xlpm.slopes + 63.253,
    _xlpm.valid, (_xlpm.vals &gt;= 0) * (_xlpm.ints &lt;= _xlpm.limit),
    _xlpm.target, MIN(_xlfn._xlws.FILTER(_xlpm.vals, _xlpm.valid)),
    IFERROR(
        _xlfn.XLOOKUP(_xlpm.target, _xlpm.vals, _xlpm.vals),
        CHOOSE({1,2,3,4,5,6}, S$1, V$1, Y$1, AB$1, AE$1, AH$1)
    )
)</f>
        <v>0.34939722887247371</v>
      </c>
    </row>
    <row r="1212" spans="9:36" x14ac:dyDescent="0.45">
      <c r="I1212">
        <v>1210</v>
      </c>
      <c r="J1212">
        <v>17.2</v>
      </c>
      <c r="K1212">
        <f t="shared" si="415"/>
        <v>17.2</v>
      </c>
      <c r="L1212">
        <f t="shared" si="414"/>
        <v>4.7777777777777775E-3</v>
      </c>
      <c r="M1212">
        <v>-0.45</v>
      </c>
      <c r="N1212">
        <f t="shared" si="416"/>
        <v>0</v>
      </c>
      <c r="O1212">
        <f t="shared" si="417"/>
        <v>223.51714393946583</v>
      </c>
      <c r="P1212">
        <f t="shared" si="418"/>
        <v>715.25486060629066</v>
      </c>
      <c r="Q1212">
        <f t="shared" si="419"/>
        <v>3275.8672615768114</v>
      </c>
      <c r="R1212">
        <f t="shared" si="420"/>
        <v>0</v>
      </c>
      <c r="S1212">
        <f t="shared" si="421"/>
        <v>1.1831658450192712</v>
      </c>
      <c r="T1212">
        <f t="shared" si="422"/>
        <v>2117.1543873946202</v>
      </c>
      <c r="U1212">
        <f t="shared" si="423"/>
        <v>0</v>
      </c>
      <c r="V1212">
        <f t="shared" si="424"/>
        <v>0.55948242811980942</v>
      </c>
      <c r="W1212">
        <f t="shared" si="425"/>
        <v>1366.1367837580151</v>
      </c>
      <c r="X1212">
        <f t="shared" si="426"/>
        <v>0</v>
      </c>
      <c r="Y1212">
        <f t="shared" si="427"/>
        <v>0.38459621873422722</v>
      </c>
      <c r="Z1212">
        <f t="shared" si="428"/>
        <v>1029.9669992730585</v>
      </c>
      <c r="AA1212">
        <f t="shared" si="429"/>
        <v>0</v>
      </c>
      <c r="AB1212">
        <f t="shared" si="430"/>
        <v>0.3252504997409702</v>
      </c>
      <c r="AC1212">
        <f t="shared" si="431"/>
        <v>6000</v>
      </c>
      <c r="AD1212">
        <f t="shared" si="432"/>
        <v>0</v>
      </c>
      <c r="AE1212">
        <f t="shared" si="433"/>
        <v>6.7000407999999982</v>
      </c>
      <c r="AF1212">
        <f t="shared" si="434"/>
        <v>6000</v>
      </c>
      <c r="AG1212">
        <f t="shared" si="435"/>
        <v>0</v>
      </c>
      <c r="AH1212">
        <f t="shared" si="436"/>
        <v>6.7000407999999982</v>
      </c>
      <c r="AI1212" cm="1">
        <f t="array" ref="AI1212">_xlfn.LET(
    _xlpm.vals,   _xlfn.HSTACK(S1212,V1212,Y1212,AB1212,AE1212,AH1212),
    _xlpm.ints,   _xlfn.HSTACK(R1212,U1212,X1212,AA1212,AD1212,AG1212),
    _xlpm.slopes, _xlfn.HSTACK(Q1212,T1212,W1212,Z1212,AC1212,AF1212),
    _xlpm.limit,  -0.00001*_xlpm.slopes + 0.1086*_xlpm.slopes + 63.253,
    _xlpm.mask,   (_xlpm.vals&gt;=0) * (_xlpm.ints&lt;=_xlpm.limit),
    _xlpm.validVals, _xlfn._xlws.FILTER(_xlpm.vals, _xlpm.mask),
    _xlpm.minVal, MIN(_xlpm.validVals),
    IFERROR( _xlfn.XMATCH(_xlpm.minVal, _xlpm.vals), "" )
)</f>
        <v>4</v>
      </c>
      <c r="AJ1212" cm="1">
        <f t="array" ref="AJ1212">_xlfn.LET(
    _xlpm.vals, CHOOSE({1,2,3,4,5,6}, S1212, V1212, Y1212, AB1212, AE1212, AH1212),
    _xlpm.slopes, CHOOSE({1,2,3,4,5,6}, Q1212, T1212, W1212, Z1212, AC1212, AF1212),
    _xlpm.ints, CHOOSE({1,2,3,4,5,6}, R1212, U1212, X1212, AA1212, AD1212, AG1212),
    _xlpm.limit, -0.00001*_xlpm.slopes + 0.1086*_xlpm.slopes + 63.253,
    _xlpm.valid, (_xlpm.vals &gt;= 0) * (_xlpm.ints &lt;= _xlpm.limit),
    _xlpm.target, MIN(_xlfn._xlws.FILTER(_xlpm.vals, _xlpm.valid)),
    IFERROR(
        _xlfn.XLOOKUP(_xlpm.target, _xlpm.vals, _xlpm.vals),
        CHOOSE({1,2,3,4,5,6}, S$1, V$1, Y$1, AB$1, AE$1, AH$1)
    )
)</f>
        <v>0.3252504997409702</v>
      </c>
    </row>
    <row r="1213" spans="9:36" x14ac:dyDescent="0.45">
      <c r="I1213">
        <v>1211</v>
      </c>
      <c r="J1213">
        <v>14.8</v>
      </c>
      <c r="K1213">
        <f t="shared" si="415"/>
        <v>14.8</v>
      </c>
      <c r="L1213">
        <f t="shared" si="414"/>
        <v>4.1111111111111114E-3</v>
      </c>
      <c r="M1213">
        <v>-0.26</v>
      </c>
      <c r="N1213">
        <f t="shared" si="416"/>
        <v>0</v>
      </c>
      <c r="O1213">
        <f t="shared" si="417"/>
        <v>192.32870525023804</v>
      </c>
      <c r="P1213">
        <f t="shared" si="418"/>
        <v>615.45185680076179</v>
      </c>
      <c r="Q1213">
        <f t="shared" si="419"/>
        <v>2818.769504147489</v>
      </c>
      <c r="R1213">
        <f t="shared" si="420"/>
        <v>0</v>
      </c>
      <c r="S1213">
        <f t="shared" si="421"/>
        <v>0.86342241351585036</v>
      </c>
      <c r="T1213">
        <f t="shared" si="422"/>
        <v>1821.7374961302548</v>
      </c>
      <c r="U1213">
        <f t="shared" si="423"/>
        <v>0</v>
      </c>
      <c r="V1213">
        <f t="shared" si="424"/>
        <v>0.47858710611421423</v>
      </c>
      <c r="W1213">
        <f t="shared" si="425"/>
        <v>1175.5130464894551</v>
      </c>
      <c r="X1213">
        <f t="shared" si="426"/>
        <v>0</v>
      </c>
      <c r="Y1213">
        <f t="shared" si="427"/>
        <v>0.35076439352937722</v>
      </c>
      <c r="Z1213">
        <f t="shared" si="428"/>
        <v>6000</v>
      </c>
      <c r="AA1213">
        <f t="shared" si="429"/>
        <v>0</v>
      </c>
      <c r="AB1213">
        <f t="shared" si="430"/>
        <v>6.7000407999999982</v>
      </c>
      <c r="AC1213">
        <f t="shared" si="431"/>
        <v>6000</v>
      </c>
      <c r="AD1213">
        <f t="shared" si="432"/>
        <v>0</v>
      </c>
      <c r="AE1213">
        <f t="shared" si="433"/>
        <v>6.7000407999999982</v>
      </c>
      <c r="AF1213">
        <f t="shared" si="434"/>
        <v>6000</v>
      </c>
      <c r="AG1213">
        <f t="shared" si="435"/>
        <v>0</v>
      </c>
      <c r="AH1213">
        <f t="shared" si="436"/>
        <v>6.7000407999999982</v>
      </c>
      <c r="AI1213" cm="1">
        <f t="array" ref="AI1213">_xlfn.LET(
    _xlpm.vals,   _xlfn.HSTACK(S1213,V1213,Y1213,AB1213,AE1213,AH1213),
    _xlpm.ints,   _xlfn.HSTACK(R1213,U1213,X1213,AA1213,AD1213,AG1213),
    _xlpm.slopes, _xlfn.HSTACK(Q1213,T1213,W1213,Z1213,AC1213,AF1213),
    _xlpm.limit,  -0.00001*_xlpm.slopes + 0.1086*_xlpm.slopes + 63.253,
    _xlpm.mask,   (_xlpm.vals&gt;=0) * (_xlpm.ints&lt;=_xlpm.limit),
    _xlpm.validVals, _xlfn._xlws.FILTER(_xlpm.vals, _xlpm.mask),
    _xlpm.minVal, MIN(_xlpm.validVals),
    IFERROR( _xlfn.XMATCH(_xlpm.minVal, _xlpm.vals), "" )
)</f>
        <v>3</v>
      </c>
      <c r="AJ1213" cm="1">
        <f t="array" ref="AJ1213">_xlfn.LET(
    _xlpm.vals, CHOOSE({1,2,3,4,5,6}, S1213, V1213, Y1213, AB1213, AE1213, AH1213),
    _xlpm.slopes, CHOOSE({1,2,3,4,5,6}, Q1213, T1213, W1213, Z1213, AC1213, AF1213),
    _xlpm.ints, CHOOSE({1,2,3,4,5,6}, R1213, U1213, X1213, AA1213, AD1213, AG1213),
    _xlpm.limit, -0.00001*_xlpm.slopes + 0.1086*_xlpm.slopes + 63.253,
    _xlpm.valid, (_xlpm.vals &gt;= 0) * (_xlpm.ints &lt;= _xlpm.limit),
    _xlpm.target, MIN(_xlfn._xlws.FILTER(_xlpm.vals, _xlpm.valid)),
    IFERROR(
        _xlfn.XLOOKUP(_xlpm.target, _xlpm.vals, _xlpm.vals),
        CHOOSE({1,2,3,4,5,6}, S$1, V$1, Y$1, AB$1, AE$1, AH$1)
    )
)</f>
        <v>0.35076439352937722</v>
      </c>
    </row>
    <row r="1214" spans="9:36" x14ac:dyDescent="0.45">
      <c r="I1214">
        <v>1212</v>
      </c>
      <c r="J1214">
        <v>12.2</v>
      </c>
      <c r="K1214">
        <f t="shared" si="415"/>
        <v>12.2</v>
      </c>
      <c r="L1214">
        <f t="shared" si="414"/>
        <v>3.3888888888888888E-3</v>
      </c>
      <c r="M1214">
        <v>-0.69</v>
      </c>
      <c r="N1214">
        <f t="shared" si="416"/>
        <v>0</v>
      </c>
      <c r="O1214">
        <f t="shared" si="417"/>
        <v>158.54123000357455</v>
      </c>
      <c r="P1214">
        <f t="shared" si="418"/>
        <v>507.33193601143859</v>
      </c>
      <c r="Q1214">
        <f t="shared" si="419"/>
        <v>2323.5802669323889</v>
      </c>
      <c r="R1214">
        <f t="shared" si="420"/>
        <v>0</v>
      </c>
      <c r="S1214">
        <f t="shared" si="421"/>
        <v>0.63009826643266986</v>
      </c>
      <c r="T1214">
        <f t="shared" si="422"/>
        <v>1501.7025305938582</v>
      </c>
      <c r="U1214">
        <f t="shared" si="423"/>
        <v>0</v>
      </c>
      <c r="V1214">
        <f t="shared" si="424"/>
        <v>0.40994741666783585</v>
      </c>
      <c r="W1214">
        <f t="shared" si="425"/>
        <v>6000</v>
      </c>
      <c r="X1214">
        <f t="shared" si="426"/>
        <v>0</v>
      </c>
      <c r="Y1214">
        <f t="shared" si="427"/>
        <v>6.7000407999999982</v>
      </c>
      <c r="Z1214">
        <f t="shared" si="428"/>
        <v>6000</v>
      </c>
      <c r="AA1214">
        <f t="shared" si="429"/>
        <v>0</v>
      </c>
      <c r="AB1214">
        <f t="shared" si="430"/>
        <v>6.7000407999999982</v>
      </c>
      <c r="AC1214">
        <f t="shared" si="431"/>
        <v>6000</v>
      </c>
      <c r="AD1214">
        <f t="shared" si="432"/>
        <v>0</v>
      </c>
      <c r="AE1214">
        <f t="shared" si="433"/>
        <v>6.7000407999999982</v>
      </c>
      <c r="AF1214">
        <f t="shared" si="434"/>
        <v>6000</v>
      </c>
      <c r="AG1214">
        <f t="shared" si="435"/>
        <v>0</v>
      </c>
      <c r="AH1214">
        <f t="shared" si="436"/>
        <v>6.7000407999999982</v>
      </c>
      <c r="AI1214" cm="1">
        <f t="array" ref="AI1214">_xlfn.LET(
    _xlpm.vals,   _xlfn.HSTACK(S1214,V1214,Y1214,AB1214,AE1214,AH1214),
    _xlpm.ints,   _xlfn.HSTACK(R1214,U1214,X1214,AA1214,AD1214,AG1214),
    _xlpm.slopes, _xlfn.HSTACK(Q1214,T1214,W1214,Z1214,AC1214,AF1214),
    _xlpm.limit,  -0.00001*_xlpm.slopes + 0.1086*_xlpm.slopes + 63.253,
    _xlpm.mask,   (_xlpm.vals&gt;=0) * (_xlpm.ints&lt;=_xlpm.limit),
    _xlpm.validVals, _xlfn._xlws.FILTER(_xlpm.vals, _xlpm.mask),
    _xlpm.minVal, MIN(_xlpm.validVals),
    IFERROR( _xlfn.XMATCH(_xlpm.minVal, _xlpm.vals), "" )
)</f>
        <v>2</v>
      </c>
      <c r="AJ1214" cm="1">
        <f t="array" ref="AJ1214">_xlfn.LET(
    _xlpm.vals, CHOOSE({1,2,3,4,5,6}, S1214, V1214, Y1214, AB1214, AE1214, AH1214),
    _xlpm.slopes, CHOOSE({1,2,3,4,5,6}, Q1214, T1214, W1214, Z1214, AC1214, AF1214),
    _xlpm.ints, CHOOSE({1,2,3,4,5,6}, R1214, U1214, X1214, AA1214, AD1214, AG1214),
    _xlpm.limit, -0.00001*_xlpm.slopes + 0.1086*_xlpm.slopes + 63.253,
    _xlpm.valid, (_xlpm.vals &gt;= 0) * (_xlpm.ints &lt;= _xlpm.limit),
    _xlpm.target, MIN(_xlfn._xlws.FILTER(_xlpm.vals, _xlpm.valid)),
    IFERROR(
        _xlfn.XLOOKUP(_xlpm.target, _xlpm.vals, _xlpm.vals),
        CHOOSE({1,2,3,4,5,6}, S$1, V$1, Y$1, AB$1, AE$1, AH$1)
    )
)</f>
        <v>0.40994741666783585</v>
      </c>
    </row>
    <row r="1215" spans="9:36" x14ac:dyDescent="0.45">
      <c r="I1215">
        <v>1213</v>
      </c>
      <c r="J1215">
        <v>9.8000000000000007</v>
      </c>
      <c r="K1215">
        <f t="shared" si="415"/>
        <v>9.8000000000000007</v>
      </c>
      <c r="L1215">
        <f t="shared" si="414"/>
        <v>2.7222222222222222E-3</v>
      </c>
      <c r="M1215">
        <v>-0.11</v>
      </c>
      <c r="N1215">
        <f t="shared" si="416"/>
        <v>0</v>
      </c>
      <c r="O1215">
        <f t="shared" si="417"/>
        <v>127.35279131434679</v>
      </c>
      <c r="P1215">
        <f t="shared" si="418"/>
        <v>407.52893220590977</v>
      </c>
      <c r="Q1215">
        <f t="shared" si="419"/>
        <v>1866.4825095030667</v>
      </c>
      <c r="R1215">
        <f t="shared" si="420"/>
        <v>0</v>
      </c>
      <c r="S1215">
        <f t="shared" si="421"/>
        <v>0.48956111474839642</v>
      </c>
      <c r="T1215">
        <f t="shared" si="422"/>
        <v>1206.2856393294928</v>
      </c>
      <c r="U1215">
        <f t="shared" si="423"/>
        <v>0</v>
      </c>
      <c r="V1215">
        <f t="shared" si="424"/>
        <v>0.35615222930181922</v>
      </c>
      <c r="W1215">
        <f t="shared" si="425"/>
        <v>6000</v>
      </c>
      <c r="X1215">
        <f t="shared" si="426"/>
        <v>0</v>
      </c>
      <c r="Y1215">
        <f t="shared" si="427"/>
        <v>6.7000407999999982</v>
      </c>
      <c r="Z1215">
        <f t="shared" si="428"/>
        <v>6000</v>
      </c>
      <c r="AA1215">
        <f t="shared" si="429"/>
        <v>0</v>
      </c>
      <c r="AB1215">
        <f t="shared" si="430"/>
        <v>6.7000407999999982</v>
      </c>
      <c r="AC1215">
        <f t="shared" si="431"/>
        <v>6000</v>
      </c>
      <c r="AD1215">
        <f t="shared" si="432"/>
        <v>0</v>
      </c>
      <c r="AE1215">
        <f t="shared" si="433"/>
        <v>6.7000407999999982</v>
      </c>
      <c r="AF1215">
        <f t="shared" si="434"/>
        <v>6000</v>
      </c>
      <c r="AG1215">
        <f t="shared" si="435"/>
        <v>0</v>
      </c>
      <c r="AH1215">
        <f t="shared" si="436"/>
        <v>6.7000407999999982</v>
      </c>
      <c r="AI1215" cm="1">
        <f t="array" ref="AI1215">_xlfn.LET(
    _xlpm.vals,   _xlfn.HSTACK(S1215,V1215,Y1215,AB1215,AE1215,AH1215),
    _xlpm.ints,   _xlfn.HSTACK(R1215,U1215,X1215,AA1215,AD1215,AG1215),
    _xlpm.slopes, _xlfn.HSTACK(Q1215,T1215,W1215,Z1215,AC1215,AF1215),
    _xlpm.limit,  -0.00001*_xlpm.slopes + 0.1086*_xlpm.slopes + 63.253,
    _xlpm.mask,   (_xlpm.vals&gt;=0) * (_xlpm.ints&lt;=_xlpm.limit),
    _xlpm.validVals, _xlfn._xlws.FILTER(_xlpm.vals, _xlpm.mask),
    _xlpm.minVal, MIN(_xlpm.validVals),
    IFERROR( _xlfn.XMATCH(_xlpm.minVal, _xlpm.vals), "" )
)</f>
        <v>2</v>
      </c>
      <c r="AJ1215" cm="1">
        <f t="array" ref="AJ1215">_xlfn.LET(
    _xlpm.vals, CHOOSE({1,2,3,4,5,6}, S1215, V1215, Y1215, AB1215, AE1215, AH1215),
    _xlpm.slopes, CHOOSE({1,2,3,4,5,6}, Q1215, T1215, W1215, Z1215, AC1215, AF1215),
    _xlpm.ints, CHOOSE({1,2,3,4,5,6}, R1215, U1215, X1215, AA1215, AD1215, AG1215),
    _xlpm.limit, -0.00001*_xlpm.slopes + 0.1086*_xlpm.slopes + 63.253,
    _xlpm.valid, (_xlpm.vals &gt;= 0) * (_xlpm.ints &lt;= _xlpm.limit),
    _xlpm.target, MIN(_xlfn._xlws.FILTER(_xlpm.vals, _xlpm.valid)),
    IFERROR(
        _xlfn.XLOOKUP(_xlpm.target, _xlpm.vals, _xlpm.vals),
        CHOOSE({1,2,3,4,5,6}, S$1, V$1, Y$1, AB$1, AE$1, AH$1)
    )
)</f>
        <v>0.35615222930181922</v>
      </c>
    </row>
    <row r="1216" spans="9:36" x14ac:dyDescent="0.45">
      <c r="I1216">
        <v>1214</v>
      </c>
      <c r="J1216">
        <v>7.5</v>
      </c>
      <c r="K1216">
        <f t="shared" si="415"/>
        <v>7.5</v>
      </c>
      <c r="L1216">
        <f t="shared" si="414"/>
        <v>2.0833333333333333E-3</v>
      </c>
      <c r="M1216">
        <v>0.61</v>
      </c>
      <c r="N1216">
        <f t="shared" si="416"/>
        <v>0.61</v>
      </c>
      <c r="O1216">
        <f t="shared" si="417"/>
        <v>97.463870903836835</v>
      </c>
      <c r="P1216">
        <f t="shared" si="418"/>
        <v>311.88438689227792</v>
      </c>
      <c r="Q1216">
        <f t="shared" si="419"/>
        <v>1428.4304919666329</v>
      </c>
      <c r="R1216">
        <f t="shared" si="420"/>
        <v>4.0779519549064895</v>
      </c>
      <c r="S1216">
        <f t="shared" si="421"/>
        <v>0.43133434699560463</v>
      </c>
      <c r="T1216">
        <f t="shared" si="422"/>
        <v>6000</v>
      </c>
      <c r="U1216">
        <f t="shared" si="423"/>
        <v>0.97084515286056161</v>
      </c>
      <c r="V1216">
        <f t="shared" si="424"/>
        <v>6.7060123018275641</v>
      </c>
      <c r="W1216">
        <f t="shared" si="425"/>
        <v>6000</v>
      </c>
      <c r="X1216">
        <f t="shared" si="426"/>
        <v>0.97084515286056161</v>
      </c>
      <c r="Y1216">
        <f t="shared" si="427"/>
        <v>6.7060123018275641</v>
      </c>
      <c r="Z1216">
        <f t="shared" si="428"/>
        <v>6000</v>
      </c>
      <c r="AA1216">
        <f t="shared" si="429"/>
        <v>0.97084515286056161</v>
      </c>
      <c r="AB1216">
        <f t="shared" si="430"/>
        <v>6.7060123018275641</v>
      </c>
      <c r="AC1216">
        <f t="shared" si="431"/>
        <v>6000</v>
      </c>
      <c r="AD1216">
        <f t="shared" si="432"/>
        <v>0.97084515286056161</v>
      </c>
      <c r="AE1216">
        <f t="shared" si="433"/>
        <v>6.7060123018275641</v>
      </c>
      <c r="AF1216">
        <f t="shared" si="434"/>
        <v>6000</v>
      </c>
      <c r="AG1216">
        <f t="shared" si="435"/>
        <v>0.97084515286056161</v>
      </c>
      <c r="AH1216">
        <f t="shared" si="436"/>
        <v>6.7060123018275641</v>
      </c>
      <c r="AI1216" cm="1">
        <f t="array" ref="AI1216">_xlfn.LET(
    _xlpm.vals,   _xlfn.HSTACK(S1216,V1216,Y1216,AB1216,AE1216,AH1216),
    _xlpm.ints,   _xlfn.HSTACK(R1216,U1216,X1216,AA1216,AD1216,AG1216),
    _xlpm.slopes, _xlfn.HSTACK(Q1216,T1216,W1216,Z1216,AC1216,AF1216),
    _xlpm.limit,  -0.00001*_xlpm.slopes + 0.1086*_xlpm.slopes + 63.253,
    _xlpm.mask,   (_xlpm.vals&gt;=0) * (_xlpm.ints&lt;=_xlpm.limit),
    _xlpm.validVals, _xlfn._xlws.FILTER(_xlpm.vals, _xlpm.mask),
    _xlpm.minVal, MIN(_xlpm.validVals),
    IFERROR( _xlfn.XMATCH(_xlpm.minVal, _xlpm.vals), "" )
)</f>
        <v>1</v>
      </c>
      <c r="AJ1216" cm="1">
        <f t="array" ref="AJ1216">_xlfn.LET(
    _xlpm.vals, CHOOSE({1,2,3,4,5,6}, S1216, V1216, Y1216, AB1216, AE1216, AH1216),
    _xlpm.slopes, CHOOSE({1,2,3,4,5,6}, Q1216, T1216, W1216, Z1216, AC1216, AF1216),
    _xlpm.ints, CHOOSE({1,2,3,4,5,6}, R1216, U1216, X1216, AA1216, AD1216, AG1216),
    _xlpm.limit, -0.00001*_xlpm.slopes + 0.1086*_xlpm.slopes + 63.253,
    _xlpm.valid, (_xlpm.vals &gt;= 0) * (_xlpm.ints &lt;= _xlpm.limit),
    _xlpm.target, MIN(_xlfn._xlws.FILTER(_xlpm.vals, _xlpm.valid)),
    IFERROR(
        _xlfn.XLOOKUP(_xlpm.target, _xlpm.vals, _xlpm.vals),
        CHOOSE({1,2,3,4,5,6}, S$1, V$1, Y$1, AB$1, AE$1, AH$1)
    )
)</f>
        <v>0.43133434699560463</v>
      </c>
    </row>
    <row r="1217" spans="9:36" x14ac:dyDescent="0.45">
      <c r="I1217">
        <v>1215</v>
      </c>
      <c r="J1217">
        <v>5.5</v>
      </c>
      <c r="K1217">
        <f t="shared" si="415"/>
        <v>5.5</v>
      </c>
      <c r="L1217">
        <f t="shared" si="414"/>
        <v>1.5277777777777779E-3</v>
      </c>
      <c r="M1217">
        <v>1.4</v>
      </c>
      <c r="N1217">
        <f t="shared" si="416"/>
        <v>1.4</v>
      </c>
      <c r="O1217">
        <f t="shared" si="417"/>
        <v>71.473505329480346</v>
      </c>
      <c r="P1217">
        <f t="shared" si="418"/>
        <v>228.71521705433713</v>
      </c>
      <c r="Q1217">
        <f t="shared" si="419"/>
        <v>1047.5156941088642</v>
      </c>
      <c r="R1217">
        <f t="shared" si="420"/>
        <v>12.762591811182755</v>
      </c>
      <c r="S1217">
        <f t="shared" si="421"/>
        <v>0.41508069016403615</v>
      </c>
      <c r="T1217">
        <f t="shared" si="422"/>
        <v>6000</v>
      </c>
      <c r="U1217">
        <f t="shared" si="423"/>
        <v>2.228169203286535</v>
      </c>
      <c r="V1217">
        <f t="shared" si="424"/>
        <v>6.7142115337577106</v>
      </c>
      <c r="W1217">
        <f t="shared" si="425"/>
        <v>6000</v>
      </c>
      <c r="X1217">
        <f t="shared" si="426"/>
        <v>2.228169203286535</v>
      </c>
      <c r="Y1217">
        <f t="shared" si="427"/>
        <v>6.7142115337577106</v>
      </c>
      <c r="Z1217">
        <f t="shared" si="428"/>
        <v>6000</v>
      </c>
      <c r="AA1217">
        <f t="shared" si="429"/>
        <v>2.228169203286535</v>
      </c>
      <c r="AB1217">
        <f t="shared" si="430"/>
        <v>6.7142115337577106</v>
      </c>
      <c r="AC1217">
        <f t="shared" si="431"/>
        <v>6000</v>
      </c>
      <c r="AD1217">
        <f t="shared" si="432"/>
        <v>2.228169203286535</v>
      </c>
      <c r="AE1217">
        <f t="shared" si="433"/>
        <v>6.7142115337577106</v>
      </c>
      <c r="AF1217">
        <f t="shared" si="434"/>
        <v>6000</v>
      </c>
      <c r="AG1217">
        <f t="shared" si="435"/>
        <v>2.228169203286535</v>
      </c>
      <c r="AH1217">
        <f t="shared" si="436"/>
        <v>6.7142115337577106</v>
      </c>
      <c r="AI1217" cm="1">
        <f t="array" ref="AI1217">_xlfn.LET(
    _xlpm.vals,   _xlfn.HSTACK(S1217,V1217,Y1217,AB1217,AE1217,AH1217),
    _xlpm.ints,   _xlfn.HSTACK(R1217,U1217,X1217,AA1217,AD1217,AG1217),
    _xlpm.slopes, _xlfn.HSTACK(Q1217,T1217,W1217,Z1217,AC1217,AF1217),
    _xlpm.limit,  -0.00001*_xlpm.slopes + 0.1086*_xlpm.slopes + 63.253,
    _xlpm.mask,   (_xlpm.vals&gt;=0) * (_xlpm.ints&lt;=_xlpm.limit),
    _xlpm.validVals, _xlfn._xlws.FILTER(_xlpm.vals, _xlpm.mask),
    _xlpm.minVal, MIN(_xlpm.validVals),
    IFERROR( _xlfn.XMATCH(_xlpm.minVal, _xlpm.vals), "" )
)</f>
        <v>1</v>
      </c>
      <c r="AJ1217" cm="1">
        <f t="array" ref="AJ1217">_xlfn.LET(
    _xlpm.vals, CHOOSE({1,2,3,4,5,6}, S1217, V1217, Y1217, AB1217, AE1217, AH1217),
    _xlpm.slopes, CHOOSE({1,2,3,4,5,6}, Q1217, T1217, W1217, Z1217, AC1217, AF1217),
    _xlpm.ints, CHOOSE({1,2,3,4,5,6}, R1217, U1217, X1217, AA1217, AD1217, AG1217),
    _xlpm.limit, -0.00001*_xlpm.slopes + 0.1086*_xlpm.slopes + 63.253,
    _xlpm.valid, (_xlpm.vals &gt;= 0) * (_xlpm.ints &lt;= _xlpm.limit),
    _xlpm.target, MIN(_xlfn._xlws.FILTER(_xlpm.vals, _xlpm.valid)),
    IFERROR(
        _xlfn.XLOOKUP(_xlpm.target, _xlpm.vals, _xlpm.vals),
        CHOOSE({1,2,3,4,5,6}, S$1, V$1, Y$1, AB$1, AE$1, AH$1)
    )
)</f>
        <v>0.41508069016403615</v>
      </c>
    </row>
    <row r="1218" spans="9:36" x14ac:dyDescent="0.45">
      <c r="I1218">
        <v>1216</v>
      </c>
      <c r="J1218">
        <v>3.4</v>
      </c>
      <c r="K1218">
        <f t="shared" si="415"/>
        <v>3.4</v>
      </c>
      <c r="L1218">
        <f t="shared" ref="L1218:L1281" si="437">K1218*(1/3600)</f>
        <v>9.4444444444444437E-4</v>
      </c>
      <c r="M1218">
        <v>0.67</v>
      </c>
      <c r="N1218">
        <f t="shared" si="416"/>
        <v>0.67</v>
      </c>
      <c r="O1218">
        <f t="shared" si="417"/>
        <v>44.183621476406032</v>
      </c>
      <c r="P1218">
        <f t="shared" si="418"/>
        <v>141.3875887244993</v>
      </c>
      <c r="Q1218">
        <f t="shared" si="419"/>
        <v>1000</v>
      </c>
      <c r="R1218">
        <f t="shared" si="420"/>
        <v>6.3980287122941935</v>
      </c>
      <c r="S1218">
        <f t="shared" si="421"/>
        <v>0.35888252262538883</v>
      </c>
      <c r="T1218">
        <f t="shared" si="422"/>
        <v>6000</v>
      </c>
      <c r="U1218">
        <f t="shared" si="423"/>
        <v>1.0663381187156988</v>
      </c>
      <c r="V1218">
        <f t="shared" si="424"/>
        <v>6.7066166287927214</v>
      </c>
      <c r="W1218">
        <f t="shared" si="425"/>
        <v>6000</v>
      </c>
      <c r="X1218">
        <f t="shared" si="426"/>
        <v>1.0663381187156988</v>
      </c>
      <c r="Y1218">
        <f t="shared" si="427"/>
        <v>6.7066166287927214</v>
      </c>
      <c r="Z1218">
        <f t="shared" si="428"/>
        <v>6000</v>
      </c>
      <c r="AA1218">
        <f t="shared" si="429"/>
        <v>1.0663381187156988</v>
      </c>
      <c r="AB1218">
        <f t="shared" si="430"/>
        <v>6.7066166287927214</v>
      </c>
      <c r="AC1218">
        <f t="shared" si="431"/>
        <v>6000</v>
      </c>
      <c r="AD1218">
        <f t="shared" si="432"/>
        <v>1.0663381187156988</v>
      </c>
      <c r="AE1218">
        <f t="shared" si="433"/>
        <v>6.7066166287927214</v>
      </c>
      <c r="AF1218">
        <f t="shared" si="434"/>
        <v>6000</v>
      </c>
      <c r="AG1218">
        <f t="shared" si="435"/>
        <v>1.0663381187156988</v>
      </c>
      <c r="AH1218">
        <f t="shared" si="436"/>
        <v>6.7066166287927214</v>
      </c>
      <c r="AI1218" cm="1">
        <f t="array" ref="AI1218">_xlfn.LET(
    _xlpm.vals,   _xlfn.HSTACK(S1218,V1218,Y1218,AB1218,AE1218,AH1218),
    _xlpm.ints,   _xlfn.HSTACK(R1218,U1218,X1218,AA1218,AD1218,AG1218),
    _xlpm.slopes, _xlfn.HSTACK(Q1218,T1218,W1218,Z1218,AC1218,AF1218),
    _xlpm.limit,  -0.00001*_xlpm.slopes + 0.1086*_xlpm.slopes + 63.253,
    _xlpm.mask,   (_xlpm.vals&gt;=0) * (_xlpm.ints&lt;=_xlpm.limit),
    _xlpm.validVals, _xlfn._xlws.FILTER(_xlpm.vals, _xlpm.mask),
    _xlpm.minVal, MIN(_xlpm.validVals),
    IFERROR( _xlfn.XMATCH(_xlpm.minVal, _xlpm.vals), "" )
)</f>
        <v>1</v>
      </c>
      <c r="AJ1218" cm="1">
        <f t="array" ref="AJ1218">_xlfn.LET(
    _xlpm.vals, CHOOSE({1,2,3,4,5,6}, S1218, V1218, Y1218, AB1218, AE1218, AH1218),
    _xlpm.slopes, CHOOSE({1,2,3,4,5,6}, Q1218, T1218, W1218, Z1218, AC1218, AF1218),
    _xlpm.ints, CHOOSE({1,2,3,4,5,6}, R1218, U1218, X1218, AA1218, AD1218, AG1218),
    _xlpm.limit, -0.00001*_xlpm.slopes + 0.1086*_xlpm.slopes + 63.253,
    _xlpm.valid, (_xlpm.vals &gt;= 0) * (_xlpm.ints &lt;= _xlpm.limit),
    _xlpm.target, MIN(_xlfn._xlws.FILTER(_xlpm.vals, _xlpm.valid)),
    IFERROR(
        _xlfn.XLOOKUP(_xlpm.target, _xlpm.vals, _xlpm.vals),
        CHOOSE({1,2,3,4,5,6}, S$1, V$1, Y$1, AB$1, AE$1, AH$1)
    )
)</f>
        <v>0.35888252262538883</v>
      </c>
    </row>
    <row r="1219" spans="9:36" x14ac:dyDescent="0.45">
      <c r="I1219">
        <v>1217</v>
      </c>
      <c r="J1219">
        <v>2.2000000000000002</v>
      </c>
      <c r="K1219">
        <f t="shared" ref="K1219:K1282" si="438">IF(J1219&lt;0,0,J1219)</f>
        <v>2.2000000000000002</v>
      </c>
      <c r="L1219">
        <f t="shared" si="437"/>
        <v>6.1111111111111121E-4</v>
      </c>
      <c r="M1219">
        <v>1.24</v>
      </c>
      <c r="N1219">
        <f t="shared" ref="N1219:N1282" si="439">IF(M1219&lt;0,0,M1219)</f>
        <v>1.24</v>
      </c>
      <c r="O1219">
        <f t="shared" ref="O1219:O1282" si="440">(K1219*0.44704*60)/(PI()*$B$2)</f>
        <v>28.589402131792141</v>
      </c>
      <c r="P1219">
        <f t="shared" ref="P1219:P1282" si="441">O1219*3.2</f>
        <v>91.486086821734858</v>
      </c>
      <c r="Q1219">
        <f t="shared" ref="Q1219:Q1282" si="442">IF(4.58*P1219&lt;1000,1000,4.58*P1219)</f>
        <v>1000</v>
      </c>
      <c r="R1219">
        <f t="shared" ref="R1219:R1282" si="443">(1000*N1219*60)/(Q1219*2*PI())</f>
        <v>11.841127766037014</v>
      </c>
      <c r="S1219">
        <f t="shared" ref="S1219:S1282" si="444">(0.072946 + (0.000364279 * Q1219) + (-0.00248749 * R1219) + (0.00000951906 * Q1219 * R1219) + (-0.000000165418 * Q1219^2) + (0.000045414 * R1219^2) + (-0.00000000135106 * Q1219^2 * R1219) + (0.0000000203184 * Q1219 * R1219^2) + (0.0000000000481318 * Q1219^3) + (-0.00000034778 * R1219^3))</f>
        <v>0.39584152677976886</v>
      </c>
      <c r="T1219">
        <f t="shared" ref="T1219:T1282" si="445">IF(2.96*P1219&lt;1000,6000,2.96*P1219)</f>
        <v>6000</v>
      </c>
      <c r="U1219">
        <f t="shared" ref="U1219:U1282" si="446">(1000*N1219*60)/(T1219*2*PI())</f>
        <v>1.9735212943395022</v>
      </c>
      <c r="V1219">
        <f t="shared" ref="V1219:V1282" si="447">(0.072946 + (0.000364279 * T1219) + (-0.00248749 * U1219) + (0.00000951906 * T1219 * U1219) + (-0.000000165418 * T1219^2) + (0.000045414 * U1219^2) + (-0.00000000135106 * T1219^2 * U1219) + (0.0000000203184 * T1219 * U1219^2) + (0.0000000000481318 * T1219^3) + (-0.00000034778 * U1219^3))</f>
        <v>6.7125086662998772</v>
      </c>
      <c r="W1219">
        <f t="shared" ref="W1219:W1282" si="448">IF(1.91*P1219&lt;1000,6000,1.91*P1219)</f>
        <v>6000</v>
      </c>
      <c r="X1219">
        <f t="shared" ref="X1219:X1282" si="449">(1000*N1219*60)/(W1219*2*PI())</f>
        <v>1.9735212943395022</v>
      </c>
      <c r="Y1219">
        <f t="shared" ref="Y1219:Y1282" si="450">(0.072946 + (0.000364279 * W1219) + (-0.00248749 * X1219) + (0.00000951906 * W1219 * X1219) + (-0.000000165418 * W1219^2) + (0.000045414 * X1219^2) + (-0.00000000135106 * W1219^2 * X1219) + (0.0000000203184 * W1219 * X1219^2) + (0.0000000000481318 * W1219^3) + (-0.00000034778 * X1219^3))</f>
        <v>6.7125086662998772</v>
      </c>
      <c r="Z1219">
        <f t="shared" ref="Z1219:Z1282" si="451">IF(1.44*P1219&lt;1000,6000,1.44*P1219)</f>
        <v>6000</v>
      </c>
      <c r="AA1219">
        <f t="shared" ref="AA1219:AA1282" si="452">(1000*N1219*60)/(Z1219*2*PI())</f>
        <v>1.9735212943395022</v>
      </c>
      <c r="AB1219">
        <f t="shared" ref="AB1219:AB1282" si="453">(0.072946 + (0.000364279 * Z1219) + (-0.00248749 * AA1219) + (0.00000951906 * Z1219 * AA1219) + (-0.000000165418 * Z1219^2) + (0.000045414 * AA1219^2) + (-0.00000000135106 * Z1219^2 * AA1219) + (0.0000000203184 * Z1219 * AA1219^2) + (0.0000000000481318 * Z1219^3) + (-0.00000034778 * AA1219^3))</f>
        <v>6.7125086662998772</v>
      </c>
      <c r="AC1219">
        <f t="shared" ref="AC1219:AC1282" si="454">IF(0.74*P1219&lt;1000,6000,0.74*P1219)</f>
        <v>6000</v>
      </c>
      <c r="AD1219">
        <f t="shared" ref="AD1219:AD1282" si="455">(1000*N1219*60)/(AC1219*2*PI())</f>
        <v>1.9735212943395022</v>
      </c>
      <c r="AE1219">
        <f t="shared" ref="AE1219:AE1282" si="456">(0.072946 + (0.000364279 * AC1219) + (-0.00248749 * AD1219) + (0.00000951906 * AC1219 * AD1219) + (-0.000000165418 * AC1219^2) + (0.000045414 * AD1219^2) + (-0.00000000135106 * AC1219^2 * AD1219) + (0.0000000203184 * AC1219 * AD1219^2) + (0.0000000000481318 * AC1219^3) + (-0.00000034778 * AD1219^3))</f>
        <v>6.7125086662998772</v>
      </c>
      <c r="AF1219">
        <f t="shared" ref="AF1219:AF1282" si="457">IF(0.68*P1219&lt;1000,6000,0.68*P1219)</f>
        <v>6000</v>
      </c>
      <c r="AG1219">
        <f t="shared" ref="AG1219:AG1282" si="458">(1000*N1219*60)/(AF1219*2*PI())</f>
        <v>1.9735212943395022</v>
      </c>
      <c r="AH1219">
        <f t="shared" ref="AH1219:AH1282" si="459">(0.072946 + (0.000364279 * AF1219) + (-0.00248749 * AG1219) + (0.00000951906 * AF1219 * AG1219) + (-0.000000165418 * AF1219^2) + (0.000045414 * AG1219^2) + (-0.00000000135106 * AF1219^2 * AG1219) + (0.0000000203184 * AF1219 * AG1219^2) + (0.0000000000481318 * AF1219^3) + (-0.00000034778 * AG1219^3))</f>
        <v>6.7125086662998772</v>
      </c>
      <c r="AI1219" cm="1">
        <f t="array" ref="AI1219">_xlfn.LET(
    _xlpm.vals,   _xlfn.HSTACK(S1219,V1219,Y1219,AB1219,AE1219,AH1219),
    _xlpm.ints,   _xlfn.HSTACK(R1219,U1219,X1219,AA1219,AD1219,AG1219),
    _xlpm.slopes, _xlfn.HSTACK(Q1219,T1219,W1219,Z1219,AC1219,AF1219),
    _xlpm.limit,  -0.00001*_xlpm.slopes + 0.1086*_xlpm.slopes + 63.253,
    _xlpm.mask,   (_xlpm.vals&gt;=0) * (_xlpm.ints&lt;=_xlpm.limit),
    _xlpm.validVals, _xlfn._xlws.FILTER(_xlpm.vals, _xlpm.mask),
    _xlpm.minVal, MIN(_xlpm.validVals),
    IFERROR( _xlfn.XMATCH(_xlpm.minVal, _xlpm.vals), "" )
)</f>
        <v>1</v>
      </c>
      <c r="AJ1219" cm="1">
        <f t="array" ref="AJ1219">_xlfn.LET(
    _xlpm.vals, CHOOSE({1,2,3,4,5,6}, S1219, V1219, Y1219, AB1219, AE1219, AH1219),
    _xlpm.slopes, CHOOSE({1,2,3,4,5,6}, Q1219, T1219, W1219, Z1219, AC1219, AF1219),
    _xlpm.ints, CHOOSE({1,2,3,4,5,6}, R1219, U1219, X1219, AA1219, AD1219, AG1219),
    _xlpm.limit, -0.00001*_xlpm.slopes + 0.1086*_xlpm.slopes + 63.253,
    _xlpm.valid, (_xlpm.vals &gt;= 0) * (_xlpm.ints &lt;= _xlpm.limit),
    _xlpm.target, MIN(_xlfn._xlws.FILTER(_xlpm.vals, _xlpm.valid)),
    IFERROR(
        _xlfn.XLOOKUP(_xlpm.target, _xlpm.vals, _xlpm.vals),
        CHOOSE({1,2,3,4,5,6}, S$1, V$1, Y$1, AB$1, AE$1, AH$1)
    )
)</f>
        <v>0.39584152677976886</v>
      </c>
    </row>
    <row r="1220" spans="9:36" x14ac:dyDescent="0.45">
      <c r="I1220">
        <v>1218</v>
      </c>
      <c r="J1220">
        <v>0.7</v>
      </c>
      <c r="K1220">
        <f t="shared" si="438"/>
        <v>0.7</v>
      </c>
      <c r="L1220">
        <f t="shared" si="437"/>
        <v>1.9444444444444443E-4</v>
      </c>
      <c r="M1220">
        <v>1.35</v>
      </c>
      <c r="N1220">
        <f t="shared" si="439"/>
        <v>1.35</v>
      </c>
      <c r="O1220">
        <f t="shared" si="440"/>
        <v>9.0966279510247716</v>
      </c>
      <c r="P1220">
        <f t="shared" si="441"/>
        <v>29.109209443279269</v>
      </c>
      <c r="Q1220">
        <f t="shared" si="442"/>
        <v>1000</v>
      </c>
      <c r="R1220">
        <f t="shared" si="443"/>
        <v>12.891550390443523</v>
      </c>
      <c r="S1220">
        <f t="shared" si="444"/>
        <v>0.4033484752058159</v>
      </c>
      <c r="T1220">
        <f t="shared" si="445"/>
        <v>6000</v>
      </c>
      <c r="U1220">
        <f t="shared" si="446"/>
        <v>2.1485917317405869</v>
      </c>
      <c r="V1220">
        <f t="shared" si="447"/>
        <v>6.7136770873381186</v>
      </c>
      <c r="W1220">
        <f t="shared" si="448"/>
        <v>6000</v>
      </c>
      <c r="X1220">
        <f t="shared" si="449"/>
        <v>2.1485917317405869</v>
      </c>
      <c r="Y1220">
        <f t="shared" si="450"/>
        <v>6.7136770873381186</v>
      </c>
      <c r="Z1220">
        <f t="shared" si="451"/>
        <v>6000</v>
      </c>
      <c r="AA1220">
        <f t="shared" si="452"/>
        <v>2.1485917317405869</v>
      </c>
      <c r="AB1220">
        <f t="shared" si="453"/>
        <v>6.7136770873381186</v>
      </c>
      <c r="AC1220">
        <f t="shared" si="454"/>
        <v>6000</v>
      </c>
      <c r="AD1220">
        <f t="shared" si="455"/>
        <v>2.1485917317405869</v>
      </c>
      <c r="AE1220">
        <f t="shared" si="456"/>
        <v>6.7136770873381186</v>
      </c>
      <c r="AF1220">
        <f t="shared" si="457"/>
        <v>6000</v>
      </c>
      <c r="AG1220">
        <f t="shared" si="458"/>
        <v>2.1485917317405869</v>
      </c>
      <c r="AH1220">
        <f t="shared" si="459"/>
        <v>6.7136770873381186</v>
      </c>
      <c r="AI1220" cm="1">
        <f t="array" ref="AI1220">_xlfn.LET(
    _xlpm.vals,   _xlfn.HSTACK(S1220,V1220,Y1220,AB1220,AE1220,AH1220),
    _xlpm.ints,   _xlfn.HSTACK(R1220,U1220,X1220,AA1220,AD1220,AG1220),
    _xlpm.slopes, _xlfn.HSTACK(Q1220,T1220,W1220,Z1220,AC1220,AF1220),
    _xlpm.limit,  -0.00001*_xlpm.slopes + 0.1086*_xlpm.slopes + 63.253,
    _xlpm.mask,   (_xlpm.vals&gt;=0) * (_xlpm.ints&lt;=_xlpm.limit),
    _xlpm.validVals, _xlfn._xlws.FILTER(_xlpm.vals, _xlpm.mask),
    _xlpm.minVal, MIN(_xlpm.validVals),
    IFERROR( _xlfn.XMATCH(_xlpm.minVal, _xlpm.vals), "" )
)</f>
        <v>1</v>
      </c>
      <c r="AJ1220" cm="1">
        <f t="array" ref="AJ1220">_xlfn.LET(
    _xlpm.vals, CHOOSE({1,2,3,4,5,6}, S1220, V1220, Y1220, AB1220, AE1220, AH1220),
    _xlpm.slopes, CHOOSE({1,2,3,4,5,6}, Q1220, T1220, W1220, Z1220, AC1220, AF1220),
    _xlpm.ints, CHOOSE({1,2,3,4,5,6}, R1220, U1220, X1220, AA1220, AD1220, AG1220),
    _xlpm.limit, -0.00001*_xlpm.slopes + 0.1086*_xlpm.slopes + 63.253,
    _xlpm.valid, (_xlpm.vals &gt;= 0) * (_xlpm.ints &lt;= _xlpm.limit),
    _xlpm.target, MIN(_xlfn._xlws.FILTER(_xlpm.vals, _xlpm.valid)),
    IFERROR(
        _xlfn.XLOOKUP(_xlpm.target, _xlpm.vals, _xlpm.vals),
        CHOOSE({1,2,3,4,5,6}, S$1, V$1, Y$1, AB$1, AE$1, AH$1)
    )
)</f>
        <v>0.4033484752058159</v>
      </c>
    </row>
    <row r="1221" spans="9:36" x14ac:dyDescent="0.45">
      <c r="I1221">
        <v>1219</v>
      </c>
      <c r="J1221">
        <v>0</v>
      </c>
      <c r="K1221">
        <f t="shared" si="438"/>
        <v>0</v>
      </c>
      <c r="L1221">
        <f t="shared" si="437"/>
        <v>0</v>
      </c>
      <c r="M1221">
        <v>0.52</v>
      </c>
      <c r="N1221">
        <f t="shared" si="439"/>
        <v>0.52</v>
      </c>
      <c r="O1221">
        <f t="shared" si="440"/>
        <v>0</v>
      </c>
      <c r="P1221">
        <f t="shared" si="441"/>
        <v>0</v>
      </c>
      <c r="Q1221">
        <f t="shared" si="442"/>
        <v>1000</v>
      </c>
      <c r="R1221">
        <f t="shared" si="443"/>
        <v>4.9656342244671352</v>
      </c>
      <c r="S1221">
        <f t="shared" si="444"/>
        <v>0.34972435078264946</v>
      </c>
      <c r="T1221">
        <f t="shared" si="445"/>
        <v>6000</v>
      </c>
      <c r="U1221">
        <f t="shared" si="446"/>
        <v>0.82760570407785583</v>
      </c>
      <c r="V1221">
        <f t="shared" si="447"/>
        <v>6.7051114991182601</v>
      </c>
      <c r="W1221">
        <f t="shared" si="448"/>
        <v>6000</v>
      </c>
      <c r="X1221">
        <f t="shared" si="449"/>
        <v>0.82760570407785583</v>
      </c>
      <c r="Y1221">
        <f t="shared" si="450"/>
        <v>6.7051114991182601</v>
      </c>
      <c r="Z1221">
        <f t="shared" si="451"/>
        <v>6000</v>
      </c>
      <c r="AA1221">
        <f t="shared" si="452"/>
        <v>0.82760570407785583</v>
      </c>
      <c r="AB1221">
        <f t="shared" si="453"/>
        <v>6.7051114991182601</v>
      </c>
      <c r="AC1221">
        <f t="shared" si="454"/>
        <v>6000</v>
      </c>
      <c r="AD1221">
        <f t="shared" si="455"/>
        <v>0.82760570407785583</v>
      </c>
      <c r="AE1221">
        <f t="shared" si="456"/>
        <v>6.7051114991182601</v>
      </c>
      <c r="AF1221">
        <f t="shared" si="457"/>
        <v>6000</v>
      </c>
      <c r="AG1221">
        <f t="shared" si="458"/>
        <v>0.82760570407785583</v>
      </c>
      <c r="AH1221">
        <f t="shared" si="459"/>
        <v>6.7051114991182601</v>
      </c>
      <c r="AI1221" cm="1">
        <f t="array" ref="AI1221">_xlfn.LET(
    _xlpm.vals,   _xlfn.HSTACK(S1221,V1221,Y1221,AB1221,AE1221,AH1221),
    _xlpm.ints,   _xlfn.HSTACK(R1221,U1221,X1221,AA1221,AD1221,AG1221),
    _xlpm.slopes, _xlfn.HSTACK(Q1221,T1221,W1221,Z1221,AC1221,AF1221),
    _xlpm.limit,  -0.00001*_xlpm.slopes + 0.1086*_xlpm.slopes + 63.253,
    _xlpm.mask,   (_xlpm.vals&gt;=0) * (_xlpm.ints&lt;=_xlpm.limit),
    _xlpm.validVals, _xlfn._xlws.FILTER(_xlpm.vals, _xlpm.mask),
    _xlpm.minVal, MIN(_xlpm.validVals),
    IFERROR( _xlfn.XMATCH(_xlpm.minVal, _xlpm.vals), "" )
)</f>
        <v>1</v>
      </c>
      <c r="AJ1221" cm="1">
        <f t="array" ref="AJ1221">_xlfn.LET(
    _xlpm.vals, CHOOSE({1,2,3,4,5,6}, S1221, V1221, Y1221, AB1221, AE1221, AH1221),
    _xlpm.slopes, CHOOSE({1,2,3,4,5,6}, Q1221, T1221, W1221, Z1221, AC1221, AF1221),
    _xlpm.ints, CHOOSE({1,2,3,4,5,6}, R1221, U1221, X1221, AA1221, AD1221, AG1221),
    _xlpm.limit, -0.00001*_xlpm.slopes + 0.1086*_xlpm.slopes + 63.253,
    _xlpm.valid, (_xlpm.vals &gt;= 0) * (_xlpm.ints &lt;= _xlpm.limit),
    _xlpm.target, MIN(_xlfn._xlws.FILTER(_xlpm.vals, _xlpm.valid)),
    IFERROR(
        _xlfn.XLOOKUP(_xlpm.target, _xlpm.vals, _xlpm.vals),
        CHOOSE({1,2,3,4,5,6}, S$1, V$1, Y$1, AB$1, AE$1, AH$1)
    )
)</f>
        <v>0.34972435078264946</v>
      </c>
    </row>
    <row r="1222" spans="9:36" x14ac:dyDescent="0.45">
      <c r="I1222">
        <v>1220</v>
      </c>
      <c r="J1222">
        <v>0</v>
      </c>
      <c r="K1222">
        <f t="shared" si="438"/>
        <v>0</v>
      </c>
      <c r="L1222">
        <f t="shared" si="437"/>
        <v>0</v>
      </c>
      <c r="M1222">
        <v>0.97</v>
      </c>
      <c r="N1222">
        <f t="shared" si="439"/>
        <v>0.97</v>
      </c>
      <c r="O1222">
        <f t="shared" si="440"/>
        <v>0</v>
      </c>
      <c r="P1222">
        <f t="shared" si="441"/>
        <v>0</v>
      </c>
      <c r="Q1222">
        <f t="shared" si="442"/>
        <v>1000</v>
      </c>
      <c r="R1222">
        <f t="shared" si="443"/>
        <v>9.26281768794831</v>
      </c>
      <c r="S1222">
        <f t="shared" si="444"/>
        <v>0.37791975732158206</v>
      </c>
      <c r="T1222">
        <f t="shared" si="445"/>
        <v>6000</v>
      </c>
      <c r="U1222">
        <f t="shared" si="446"/>
        <v>1.5438029479913848</v>
      </c>
      <c r="V1222">
        <f t="shared" si="447"/>
        <v>6.7096836973860823</v>
      </c>
      <c r="W1222">
        <f t="shared" si="448"/>
        <v>6000</v>
      </c>
      <c r="X1222">
        <f t="shared" si="449"/>
        <v>1.5438029479913848</v>
      </c>
      <c r="Y1222">
        <f t="shared" si="450"/>
        <v>6.7096836973860823</v>
      </c>
      <c r="Z1222">
        <f t="shared" si="451"/>
        <v>6000</v>
      </c>
      <c r="AA1222">
        <f t="shared" si="452"/>
        <v>1.5438029479913848</v>
      </c>
      <c r="AB1222">
        <f t="shared" si="453"/>
        <v>6.7096836973860823</v>
      </c>
      <c r="AC1222">
        <f t="shared" si="454"/>
        <v>6000</v>
      </c>
      <c r="AD1222">
        <f t="shared" si="455"/>
        <v>1.5438029479913848</v>
      </c>
      <c r="AE1222">
        <f t="shared" si="456"/>
        <v>6.7096836973860823</v>
      </c>
      <c r="AF1222">
        <f t="shared" si="457"/>
        <v>6000</v>
      </c>
      <c r="AG1222">
        <f t="shared" si="458"/>
        <v>1.5438029479913848</v>
      </c>
      <c r="AH1222">
        <f t="shared" si="459"/>
        <v>6.7096836973860823</v>
      </c>
      <c r="AI1222" cm="1">
        <f t="array" ref="AI1222">_xlfn.LET(
    _xlpm.vals,   _xlfn.HSTACK(S1222,V1222,Y1222,AB1222,AE1222,AH1222),
    _xlpm.ints,   _xlfn.HSTACK(R1222,U1222,X1222,AA1222,AD1222,AG1222),
    _xlpm.slopes, _xlfn.HSTACK(Q1222,T1222,W1222,Z1222,AC1222,AF1222),
    _xlpm.limit,  -0.00001*_xlpm.slopes + 0.1086*_xlpm.slopes + 63.253,
    _xlpm.mask,   (_xlpm.vals&gt;=0) * (_xlpm.ints&lt;=_xlpm.limit),
    _xlpm.validVals, _xlfn._xlws.FILTER(_xlpm.vals, _xlpm.mask),
    _xlpm.minVal, MIN(_xlpm.validVals),
    IFERROR( _xlfn.XMATCH(_xlpm.minVal, _xlpm.vals), "" )
)</f>
        <v>1</v>
      </c>
      <c r="AJ1222" cm="1">
        <f t="array" ref="AJ1222">_xlfn.LET(
    _xlpm.vals, CHOOSE({1,2,3,4,5,6}, S1222, V1222, Y1222, AB1222, AE1222, AH1222),
    _xlpm.slopes, CHOOSE({1,2,3,4,5,6}, Q1222, T1222, W1222, Z1222, AC1222, AF1222),
    _xlpm.ints, CHOOSE({1,2,3,4,5,6}, R1222, U1222, X1222, AA1222, AD1222, AG1222),
    _xlpm.limit, -0.00001*_xlpm.slopes + 0.1086*_xlpm.slopes + 63.253,
    _xlpm.valid, (_xlpm.vals &gt;= 0) * (_xlpm.ints &lt;= _xlpm.limit),
    _xlpm.target, MIN(_xlfn._xlws.FILTER(_xlpm.vals, _xlpm.valid)),
    IFERROR(
        _xlfn.XLOOKUP(_xlpm.target, _xlpm.vals, _xlpm.vals),
        CHOOSE({1,2,3,4,5,6}, S$1, V$1, Y$1, AB$1, AE$1, AH$1)
    )
)</f>
        <v>0.37791975732158206</v>
      </c>
    </row>
    <row r="1223" spans="9:36" x14ac:dyDescent="0.45">
      <c r="I1223">
        <v>1221</v>
      </c>
      <c r="J1223">
        <v>0</v>
      </c>
      <c r="K1223">
        <f t="shared" si="438"/>
        <v>0</v>
      </c>
      <c r="L1223">
        <f t="shared" si="437"/>
        <v>0</v>
      </c>
      <c r="M1223">
        <v>1.05</v>
      </c>
      <c r="N1223">
        <f t="shared" si="439"/>
        <v>1.05</v>
      </c>
      <c r="O1223">
        <f t="shared" si="440"/>
        <v>0</v>
      </c>
      <c r="P1223">
        <f t="shared" si="441"/>
        <v>0</v>
      </c>
      <c r="Q1223">
        <f t="shared" si="442"/>
        <v>1000</v>
      </c>
      <c r="R1223">
        <f t="shared" si="443"/>
        <v>10.026761414789407</v>
      </c>
      <c r="S1223">
        <f t="shared" si="444"/>
        <v>0.38315380779630781</v>
      </c>
      <c r="T1223">
        <f t="shared" si="445"/>
        <v>6000</v>
      </c>
      <c r="U1223">
        <f t="shared" si="446"/>
        <v>1.6711269024649011</v>
      </c>
      <c r="V1223">
        <f t="shared" si="447"/>
        <v>6.7105143523546333</v>
      </c>
      <c r="W1223">
        <f t="shared" si="448"/>
        <v>6000</v>
      </c>
      <c r="X1223">
        <f t="shared" si="449"/>
        <v>1.6711269024649011</v>
      </c>
      <c r="Y1223">
        <f t="shared" si="450"/>
        <v>6.7105143523546333</v>
      </c>
      <c r="Z1223">
        <f t="shared" si="451"/>
        <v>6000</v>
      </c>
      <c r="AA1223">
        <f t="shared" si="452"/>
        <v>1.6711269024649011</v>
      </c>
      <c r="AB1223">
        <f t="shared" si="453"/>
        <v>6.7105143523546333</v>
      </c>
      <c r="AC1223">
        <f t="shared" si="454"/>
        <v>6000</v>
      </c>
      <c r="AD1223">
        <f t="shared" si="455"/>
        <v>1.6711269024649011</v>
      </c>
      <c r="AE1223">
        <f t="shared" si="456"/>
        <v>6.7105143523546333</v>
      </c>
      <c r="AF1223">
        <f t="shared" si="457"/>
        <v>6000</v>
      </c>
      <c r="AG1223">
        <f t="shared" si="458"/>
        <v>1.6711269024649011</v>
      </c>
      <c r="AH1223">
        <f t="shared" si="459"/>
        <v>6.7105143523546333</v>
      </c>
      <c r="AI1223" cm="1">
        <f t="array" ref="AI1223">_xlfn.LET(
    _xlpm.vals,   _xlfn.HSTACK(S1223,V1223,Y1223,AB1223,AE1223,AH1223),
    _xlpm.ints,   _xlfn.HSTACK(R1223,U1223,X1223,AA1223,AD1223,AG1223),
    _xlpm.slopes, _xlfn.HSTACK(Q1223,T1223,W1223,Z1223,AC1223,AF1223),
    _xlpm.limit,  -0.00001*_xlpm.slopes + 0.1086*_xlpm.slopes + 63.253,
    _xlpm.mask,   (_xlpm.vals&gt;=0) * (_xlpm.ints&lt;=_xlpm.limit),
    _xlpm.validVals, _xlfn._xlws.FILTER(_xlpm.vals, _xlpm.mask),
    _xlpm.minVal, MIN(_xlpm.validVals),
    IFERROR( _xlfn.XMATCH(_xlpm.minVal, _xlpm.vals), "" )
)</f>
        <v>1</v>
      </c>
      <c r="AJ1223" cm="1">
        <f t="array" ref="AJ1223">_xlfn.LET(
    _xlpm.vals, CHOOSE({1,2,3,4,5,6}, S1223, V1223, Y1223, AB1223, AE1223, AH1223),
    _xlpm.slopes, CHOOSE({1,2,3,4,5,6}, Q1223, T1223, W1223, Z1223, AC1223, AF1223),
    _xlpm.ints, CHOOSE({1,2,3,4,5,6}, R1223, U1223, X1223, AA1223, AD1223, AG1223),
    _xlpm.limit, -0.00001*_xlpm.slopes + 0.1086*_xlpm.slopes + 63.253,
    _xlpm.valid, (_xlpm.vals &gt;= 0) * (_xlpm.ints &lt;= _xlpm.limit),
    _xlpm.target, MIN(_xlfn._xlws.FILTER(_xlpm.vals, _xlpm.valid)),
    IFERROR(
        _xlfn.XLOOKUP(_xlpm.target, _xlpm.vals, _xlpm.vals),
        CHOOSE({1,2,3,4,5,6}, S$1, V$1, Y$1, AB$1, AE$1, AH$1)
    )
)</f>
        <v>0.38315380779630781</v>
      </c>
    </row>
    <row r="1224" spans="9:36" x14ac:dyDescent="0.45">
      <c r="I1224">
        <v>1222</v>
      </c>
      <c r="J1224">
        <v>0</v>
      </c>
      <c r="K1224">
        <f t="shared" si="438"/>
        <v>0</v>
      </c>
      <c r="L1224">
        <f t="shared" si="437"/>
        <v>0</v>
      </c>
      <c r="M1224">
        <v>0.54</v>
      </c>
      <c r="N1224">
        <f t="shared" si="439"/>
        <v>0.54</v>
      </c>
      <c r="O1224">
        <f t="shared" si="440"/>
        <v>0</v>
      </c>
      <c r="P1224">
        <f t="shared" si="441"/>
        <v>0</v>
      </c>
      <c r="Q1224">
        <f t="shared" si="442"/>
        <v>1000</v>
      </c>
      <c r="R1224">
        <f t="shared" si="443"/>
        <v>5.156620156177409</v>
      </c>
      <c r="S1224">
        <f t="shared" si="444"/>
        <v>0.35093121795539134</v>
      </c>
      <c r="T1224">
        <f t="shared" si="445"/>
        <v>6000</v>
      </c>
      <c r="U1224">
        <f t="shared" si="446"/>
        <v>0.85943669269623491</v>
      </c>
      <c r="V1224">
        <f t="shared" si="447"/>
        <v>6.7053110874033912</v>
      </c>
      <c r="W1224">
        <f t="shared" si="448"/>
        <v>6000</v>
      </c>
      <c r="X1224">
        <f t="shared" si="449"/>
        <v>0.85943669269623491</v>
      </c>
      <c r="Y1224">
        <f t="shared" si="450"/>
        <v>6.7053110874033912</v>
      </c>
      <c r="Z1224">
        <f t="shared" si="451"/>
        <v>6000</v>
      </c>
      <c r="AA1224">
        <f t="shared" si="452"/>
        <v>0.85943669269623491</v>
      </c>
      <c r="AB1224">
        <f t="shared" si="453"/>
        <v>6.7053110874033912</v>
      </c>
      <c r="AC1224">
        <f t="shared" si="454"/>
        <v>6000</v>
      </c>
      <c r="AD1224">
        <f t="shared" si="455"/>
        <v>0.85943669269623491</v>
      </c>
      <c r="AE1224">
        <f t="shared" si="456"/>
        <v>6.7053110874033912</v>
      </c>
      <c r="AF1224">
        <f t="shared" si="457"/>
        <v>6000</v>
      </c>
      <c r="AG1224">
        <f t="shared" si="458"/>
        <v>0.85943669269623491</v>
      </c>
      <c r="AH1224">
        <f t="shared" si="459"/>
        <v>6.7053110874033912</v>
      </c>
      <c r="AI1224" cm="1">
        <f t="array" ref="AI1224">_xlfn.LET(
    _xlpm.vals,   _xlfn.HSTACK(S1224,V1224,Y1224,AB1224,AE1224,AH1224),
    _xlpm.ints,   _xlfn.HSTACK(R1224,U1224,X1224,AA1224,AD1224,AG1224),
    _xlpm.slopes, _xlfn.HSTACK(Q1224,T1224,W1224,Z1224,AC1224,AF1224),
    _xlpm.limit,  -0.00001*_xlpm.slopes + 0.1086*_xlpm.slopes + 63.253,
    _xlpm.mask,   (_xlpm.vals&gt;=0) * (_xlpm.ints&lt;=_xlpm.limit),
    _xlpm.validVals, _xlfn._xlws.FILTER(_xlpm.vals, _xlpm.mask),
    _xlpm.minVal, MIN(_xlpm.validVals),
    IFERROR( _xlfn.XMATCH(_xlpm.minVal, _xlpm.vals), "" )
)</f>
        <v>1</v>
      </c>
      <c r="AJ1224" cm="1">
        <f t="array" ref="AJ1224">_xlfn.LET(
    _xlpm.vals, CHOOSE({1,2,3,4,5,6}, S1224, V1224, Y1224, AB1224, AE1224, AH1224),
    _xlpm.slopes, CHOOSE({1,2,3,4,5,6}, Q1224, T1224, W1224, Z1224, AC1224, AF1224),
    _xlpm.ints, CHOOSE({1,2,3,4,5,6}, R1224, U1224, X1224, AA1224, AD1224, AG1224),
    _xlpm.limit, -0.00001*_xlpm.slopes + 0.1086*_xlpm.slopes + 63.253,
    _xlpm.valid, (_xlpm.vals &gt;= 0) * (_xlpm.ints &lt;= _xlpm.limit),
    _xlpm.target, MIN(_xlfn._xlws.FILTER(_xlpm.vals, _xlpm.valid)),
    IFERROR(
        _xlfn.XLOOKUP(_xlpm.target, _xlpm.vals, _xlpm.vals),
        CHOOSE({1,2,3,4,5,6}, S$1, V$1, Y$1, AB$1, AE$1, AH$1)
    )
)</f>
        <v>0.35093121795539134</v>
      </c>
    </row>
    <row r="1225" spans="9:36" x14ac:dyDescent="0.45">
      <c r="I1225">
        <v>1223</v>
      </c>
      <c r="J1225">
        <v>0</v>
      </c>
      <c r="K1225">
        <f t="shared" si="438"/>
        <v>0</v>
      </c>
      <c r="L1225">
        <f t="shared" si="437"/>
        <v>0</v>
      </c>
      <c r="M1225">
        <v>0.51</v>
      </c>
      <c r="N1225">
        <f t="shared" si="439"/>
        <v>0.51</v>
      </c>
      <c r="O1225">
        <f t="shared" si="440"/>
        <v>0</v>
      </c>
      <c r="P1225">
        <f t="shared" si="441"/>
        <v>0</v>
      </c>
      <c r="Q1225">
        <f t="shared" si="442"/>
        <v>1000</v>
      </c>
      <c r="R1225">
        <f t="shared" si="443"/>
        <v>4.8701412586119979</v>
      </c>
      <c r="S1225">
        <f t="shared" si="444"/>
        <v>0.34912257277966247</v>
      </c>
      <c r="T1225">
        <f t="shared" si="445"/>
        <v>6000</v>
      </c>
      <c r="U1225">
        <f t="shared" si="446"/>
        <v>0.81169020976866624</v>
      </c>
      <c r="V1225">
        <f t="shared" si="447"/>
        <v>6.7050118314666234</v>
      </c>
      <c r="W1225">
        <f t="shared" si="448"/>
        <v>6000</v>
      </c>
      <c r="X1225">
        <f t="shared" si="449"/>
        <v>0.81169020976866624</v>
      </c>
      <c r="Y1225">
        <f t="shared" si="450"/>
        <v>6.7050118314666234</v>
      </c>
      <c r="Z1225">
        <f t="shared" si="451"/>
        <v>6000</v>
      </c>
      <c r="AA1225">
        <f t="shared" si="452"/>
        <v>0.81169020976866624</v>
      </c>
      <c r="AB1225">
        <f t="shared" si="453"/>
        <v>6.7050118314666234</v>
      </c>
      <c r="AC1225">
        <f t="shared" si="454"/>
        <v>6000</v>
      </c>
      <c r="AD1225">
        <f t="shared" si="455"/>
        <v>0.81169020976866624</v>
      </c>
      <c r="AE1225">
        <f t="shared" si="456"/>
        <v>6.7050118314666234</v>
      </c>
      <c r="AF1225">
        <f t="shared" si="457"/>
        <v>6000</v>
      </c>
      <c r="AG1225">
        <f t="shared" si="458"/>
        <v>0.81169020976866624</v>
      </c>
      <c r="AH1225">
        <f t="shared" si="459"/>
        <v>6.7050118314666234</v>
      </c>
      <c r="AI1225" cm="1">
        <f t="array" ref="AI1225">_xlfn.LET(
    _xlpm.vals,   _xlfn.HSTACK(S1225,V1225,Y1225,AB1225,AE1225,AH1225),
    _xlpm.ints,   _xlfn.HSTACK(R1225,U1225,X1225,AA1225,AD1225,AG1225),
    _xlpm.slopes, _xlfn.HSTACK(Q1225,T1225,W1225,Z1225,AC1225,AF1225),
    _xlpm.limit,  -0.00001*_xlpm.slopes + 0.1086*_xlpm.slopes + 63.253,
    _xlpm.mask,   (_xlpm.vals&gt;=0) * (_xlpm.ints&lt;=_xlpm.limit),
    _xlpm.validVals, _xlfn._xlws.FILTER(_xlpm.vals, _xlpm.mask),
    _xlpm.minVal, MIN(_xlpm.validVals),
    IFERROR( _xlfn.XMATCH(_xlpm.minVal, _xlpm.vals), "" )
)</f>
        <v>1</v>
      </c>
      <c r="AJ1225" cm="1">
        <f t="array" ref="AJ1225">_xlfn.LET(
    _xlpm.vals, CHOOSE({1,2,3,4,5,6}, S1225, V1225, Y1225, AB1225, AE1225, AH1225),
    _xlpm.slopes, CHOOSE({1,2,3,4,5,6}, Q1225, T1225, W1225, Z1225, AC1225, AF1225),
    _xlpm.ints, CHOOSE({1,2,3,4,5,6}, R1225, U1225, X1225, AA1225, AD1225, AG1225),
    _xlpm.limit, -0.00001*_xlpm.slopes + 0.1086*_xlpm.slopes + 63.253,
    _xlpm.valid, (_xlpm.vals &gt;= 0) * (_xlpm.ints &lt;= _xlpm.limit),
    _xlpm.target, MIN(_xlfn._xlws.FILTER(_xlpm.vals, _xlpm.valid)),
    IFERROR(
        _xlfn.XLOOKUP(_xlpm.target, _xlpm.vals, _xlpm.vals),
        CHOOSE({1,2,3,4,5,6}, S$1, V$1, Y$1, AB$1, AE$1, AH$1)
    )
)</f>
        <v>0.34912257277966247</v>
      </c>
    </row>
    <row r="1226" spans="9:36" x14ac:dyDescent="0.45">
      <c r="I1226">
        <v>1224</v>
      </c>
      <c r="J1226">
        <v>0</v>
      </c>
      <c r="K1226">
        <f t="shared" si="438"/>
        <v>0</v>
      </c>
      <c r="L1226">
        <f t="shared" si="437"/>
        <v>0</v>
      </c>
      <c r="M1226">
        <v>0.66</v>
      </c>
      <c r="N1226">
        <f t="shared" si="439"/>
        <v>0.66</v>
      </c>
      <c r="O1226">
        <f t="shared" si="440"/>
        <v>0</v>
      </c>
      <c r="P1226">
        <f t="shared" si="441"/>
        <v>0</v>
      </c>
      <c r="Q1226">
        <f t="shared" si="442"/>
        <v>1000</v>
      </c>
      <c r="R1226">
        <f t="shared" si="443"/>
        <v>6.3025357464390561</v>
      </c>
      <c r="S1226">
        <f t="shared" si="444"/>
        <v>0.35826437049486692</v>
      </c>
      <c r="T1226">
        <f t="shared" si="445"/>
        <v>6000</v>
      </c>
      <c r="U1226">
        <f t="shared" si="446"/>
        <v>1.0504226244065094</v>
      </c>
      <c r="V1226">
        <f t="shared" si="447"/>
        <v>6.7065156970730264</v>
      </c>
      <c r="W1226">
        <f t="shared" si="448"/>
        <v>6000</v>
      </c>
      <c r="X1226">
        <f t="shared" si="449"/>
        <v>1.0504226244065094</v>
      </c>
      <c r="Y1226">
        <f t="shared" si="450"/>
        <v>6.7065156970730264</v>
      </c>
      <c r="Z1226">
        <f t="shared" si="451"/>
        <v>6000</v>
      </c>
      <c r="AA1226">
        <f t="shared" si="452"/>
        <v>1.0504226244065094</v>
      </c>
      <c r="AB1226">
        <f t="shared" si="453"/>
        <v>6.7065156970730264</v>
      </c>
      <c r="AC1226">
        <f t="shared" si="454"/>
        <v>6000</v>
      </c>
      <c r="AD1226">
        <f t="shared" si="455"/>
        <v>1.0504226244065094</v>
      </c>
      <c r="AE1226">
        <f t="shared" si="456"/>
        <v>6.7065156970730264</v>
      </c>
      <c r="AF1226">
        <f t="shared" si="457"/>
        <v>6000</v>
      </c>
      <c r="AG1226">
        <f t="shared" si="458"/>
        <v>1.0504226244065094</v>
      </c>
      <c r="AH1226">
        <f t="shared" si="459"/>
        <v>6.7065156970730264</v>
      </c>
      <c r="AI1226" cm="1">
        <f t="array" ref="AI1226">_xlfn.LET(
    _xlpm.vals,   _xlfn.HSTACK(S1226,V1226,Y1226,AB1226,AE1226,AH1226),
    _xlpm.ints,   _xlfn.HSTACK(R1226,U1226,X1226,AA1226,AD1226,AG1226),
    _xlpm.slopes, _xlfn.HSTACK(Q1226,T1226,W1226,Z1226,AC1226,AF1226),
    _xlpm.limit,  -0.00001*_xlpm.slopes + 0.1086*_xlpm.slopes + 63.253,
    _xlpm.mask,   (_xlpm.vals&gt;=0) * (_xlpm.ints&lt;=_xlpm.limit),
    _xlpm.validVals, _xlfn._xlws.FILTER(_xlpm.vals, _xlpm.mask),
    _xlpm.minVal, MIN(_xlpm.validVals),
    IFERROR( _xlfn.XMATCH(_xlpm.minVal, _xlpm.vals), "" )
)</f>
        <v>1</v>
      </c>
      <c r="AJ1226" cm="1">
        <f t="array" ref="AJ1226">_xlfn.LET(
    _xlpm.vals, CHOOSE({1,2,3,4,5,6}, S1226, V1226, Y1226, AB1226, AE1226, AH1226),
    _xlpm.slopes, CHOOSE({1,2,3,4,5,6}, Q1226, T1226, W1226, Z1226, AC1226, AF1226),
    _xlpm.ints, CHOOSE({1,2,3,4,5,6}, R1226, U1226, X1226, AA1226, AD1226, AG1226),
    _xlpm.limit, -0.00001*_xlpm.slopes + 0.1086*_xlpm.slopes + 63.253,
    _xlpm.valid, (_xlpm.vals &gt;= 0) * (_xlpm.ints &lt;= _xlpm.limit),
    _xlpm.target, MIN(_xlfn._xlws.FILTER(_xlpm.vals, _xlpm.valid)),
    IFERROR(
        _xlfn.XLOOKUP(_xlpm.target, _xlpm.vals, _xlpm.vals),
        CHOOSE({1,2,3,4,5,6}, S$1, V$1, Y$1, AB$1, AE$1, AH$1)
    )
)</f>
        <v>0.35826437049486692</v>
      </c>
    </row>
    <row r="1227" spans="9:36" x14ac:dyDescent="0.45">
      <c r="I1227">
        <v>1225</v>
      </c>
      <c r="J1227">
        <v>0</v>
      </c>
      <c r="K1227">
        <f t="shared" si="438"/>
        <v>0</v>
      </c>
      <c r="L1227">
        <f t="shared" si="437"/>
        <v>0</v>
      </c>
      <c r="M1227">
        <v>0.51</v>
      </c>
      <c r="N1227">
        <f t="shared" si="439"/>
        <v>0.51</v>
      </c>
      <c r="O1227">
        <f t="shared" si="440"/>
        <v>0</v>
      </c>
      <c r="P1227">
        <f t="shared" si="441"/>
        <v>0</v>
      </c>
      <c r="Q1227">
        <f t="shared" si="442"/>
        <v>1000</v>
      </c>
      <c r="R1227">
        <f t="shared" si="443"/>
        <v>4.8701412586119979</v>
      </c>
      <c r="S1227">
        <f t="shared" si="444"/>
        <v>0.34912257277966247</v>
      </c>
      <c r="T1227">
        <f t="shared" si="445"/>
        <v>6000</v>
      </c>
      <c r="U1227">
        <f t="shared" si="446"/>
        <v>0.81169020976866624</v>
      </c>
      <c r="V1227">
        <f t="shared" si="447"/>
        <v>6.7050118314666234</v>
      </c>
      <c r="W1227">
        <f t="shared" si="448"/>
        <v>6000</v>
      </c>
      <c r="X1227">
        <f t="shared" si="449"/>
        <v>0.81169020976866624</v>
      </c>
      <c r="Y1227">
        <f t="shared" si="450"/>
        <v>6.7050118314666234</v>
      </c>
      <c r="Z1227">
        <f t="shared" si="451"/>
        <v>6000</v>
      </c>
      <c r="AA1227">
        <f t="shared" si="452"/>
        <v>0.81169020976866624</v>
      </c>
      <c r="AB1227">
        <f t="shared" si="453"/>
        <v>6.7050118314666234</v>
      </c>
      <c r="AC1227">
        <f t="shared" si="454"/>
        <v>6000</v>
      </c>
      <c r="AD1227">
        <f t="shared" si="455"/>
        <v>0.81169020976866624</v>
      </c>
      <c r="AE1227">
        <f t="shared" si="456"/>
        <v>6.7050118314666234</v>
      </c>
      <c r="AF1227">
        <f t="shared" si="457"/>
        <v>6000</v>
      </c>
      <c r="AG1227">
        <f t="shared" si="458"/>
        <v>0.81169020976866624</v>
      </c>
      <c r="AH1227">
        <f t="shared" si="459"/>
        <v>6.7050118314666234</v>
      </c>
      <c r="AI1227" cm="1">
        <f t="array" ref="AI1227">_xlfn.LET(
    _xlpm.vals,   _xlfn.HSTACK(S1227,V1227,Y1227,AB1227,AE1227,AH1227),
    _xlpm.ints,   _xlfn.HSTACK(R1227,U1227,X1227,AA1227,AD1227,AG1227),
    _xlpm.slopes, _xlfn.HSTACK(Q1227,T1227,W1227,Z1227,AC1227,AF1227),
    _xlpm.limit,  -0.00001*_xlpm.slopes + 0.1086*_xlpm.slopes + 63.253,
    _xlpm.mask,   (_xlpm.vals&gt;=0) * (_xlpm.ints&lt;=_xlpm.limit),
    _xlpm.validVals, _xlfn._xlws.FILTER(_xlpm.vals, _xlpm.mask),
    _xlpm.minVal, MIN(_xlpm.validVals),
    IFERROR( _xlfn.XMATCH(_xlpm.minVal, _xlpm.vals), "" )
)</f>
        <v>1</v>
      </c>
      <c r="AJ1227" cm="1">
        <f t="array" ref="AJ1227">_xlfn.LET(
    _xlpm.vals, CHOOSE({1,2,3,4,5,6}, S1227, V1227, Y1227, AB1227, AE1227, AH1227),
    _xlpm.slopes, CHOOSE({1,2,3,4,5,6}, Q1227, T1227, W1227, Z1227, AC1227, AF1227),
    _xlpm.ints, CHOOSE({1,2,3,4,5,6}, R1227, U1227, X1227, AA1227, AD1227, AG1227),
    _xlpm.limit, -0.00001*_xlpm.slopes + 0.1086*_xlpm.slopes + 63.253,
    _xlpm.valid, (_xlpm.vals &gt;= 0) * (_xlpm.ints &lt;= _xlpm.limit),
    _xlpm.target, MIN(_xlfn._xlws.FILTER(_xlpm.vals, _xlpm.valid)),
    IFERROR(
        _xlfn.XLOOKUP(_xlpm.target, _xlpm.vals, _xlpm.vals),
        CHOOSE({1,2,3,4,5,6}, S$1, V$1, Y$1, AB$1, AE$1, AH$1)
    )
)</f>
        <v>0.34912257277966247</v>
      </c>
    </row>
    <row r="1228" spans="9:36" x14ac:dyDescent="0.45">
      <c r="I1228">
        <v>1226</v>
      </c>
      <c r="J1228">
        <v>0.2</v>
      </c>
      <c r="K1228">
        <f t="shared" si="438"/>
        <v>0.2</v>
      </c>
      <c r="L1228">
        <f t="shared" si="437"/>
        <v>5.5555555555555558E-5</v>
      </c>
      <c r="M1228">
        <v>0.54</v>
      </c>
      <c r="N1228">
        <f t="shared" si="439"/>
        <v>0.54</v>
      </c>
      <c r="O1228">
        <f t="shared" si="440"/>
        <v>2.5990365574356491</v>
      </c>
      <c r="P1228">
        <f t="shared" si="441"/>
        <v>8.3169169837940782</v>
      </c>
      <c r="Q1228">
        <f t="shared" si="442"/>
        <v>1000</v>
      </c>
      <c r="R1228">
        <f t="shared" si="443"/>
        <v>5.156620156177409</v>
      </c>
      <c r="S1228">
        <f t="shared" si="444"/>
        <v>0.35093121795539134</v>
      </c>
      <c r="T1228">
        <f t="shared" si="445"/>
        <v>6000</v>
      </c>
      <c r="U1228">
        <f t="shared" si="446"/>
        <v>0.85943669269623491</v>
      </c>
      <c r="V1228">
        <f t="shared" si="447"/>
        <v>6.7053110874033912</v>
      </c>
      <c r="W1228">
        <f t="shared" si="448"/>
        <v>6000</v>
      </c>
      <c r="X1228">
        <f t="shared" si="449"/>
        <v>0.85943669269623491</v>
      </c>
      <c r="Y1228">
        <f t="shared" si="450"/>
        <v>6.7053110874033912</v>
      </c>
      <c r="Z1228">
        <f t="shared" si="451"/>
        <v>6000</v>
      </c>
      <c r="AA1228">
        <f t="shared" si="452"/>
        <v>0.85943669269623491</v>
      </c>
      <c r="AB1228">
        <f t="shared" si="453"/>
        <v>6.7053110874033912</v>
      </c>
      <c r="AC1228">
        <f t="shared" si="454"/>
        <v>6000</v>
      </c>
      <c r="AD1228">
        <f t="shared" si="455"/>
        <v>0.85943669269623491</v>
      </c>
      <c r="AE1228">
        <f t="shared" si="456"/>
        <v>6.7053110874033912</v>
      </c>
      <c r="AF1228">
        <f t="shared" si="457"/>
        <v>6000</v>
      </c>
      <c r="AG1228">
        <f t="shared" si="458"/>
        <v>0.85943669269623491</v>
      </c>
      <c r="AH1228">
        <f t="shared" si="459"/>
        <v>6.7053110874033912</v>
      </c>
      <c r="AI1228" cm="1">
        <f t="array" ref="AI1228">_xlfn.LET(
    _xlpm.vals,   _xlfn.HSTACK(S1228,V1228,Y1228,AB1228,AE1228,AH1228),
    _xlpm.ints,   _xlfn.HSTACK(R1228,U1228,X1228,AA1228,AD1228,AG1228),
    _xlpm.slopes, _xlfn.HSTACK(Q1228,T1228,W1228,Z1228,AC1228,AF1228),
    _xlpm.limit,  -0.00001*_xlpm.slopes + 0.1086*_xlpm.slopes + 63.253,
    _xlpm.mask,   (_xlpm.vals&gt;=0) * (_xlpm.ints&lt;=_xlpm.limit),
    _xlpm.validVals, _xlfn._xlws.FILTER(_xlpm.vals, _xlpm.mask),
    _xlpm.minVal, MIN(_xlpm.validVals),
    IFERROR( _xlfn.XMATCH(_xlpm.minVal, _xlpm.vals), "" )
)</f>
        <v>1</v>
      </c>
      <c r="AJ1228" cm="1">
        <f t="array" ref="AJ1228">_xlfn.LET(
    _xlpm.vals, CHOOSE({1,2,3,4,5,6}, S1228, V1228, Y1228, AB1228, AE1228, AH1228),
    _xlpm.slopes, CHOOSE({1,2,3,4,5,6}, Q1228, T1228, W1228, Z1228, AC1228, AF1228),
    _xlpm.ints, CHOOSE({1,2,3,4,5,6}, R1228, U1228, X1228, AA1228, AD1228, AG1228),
    _xlpm.limit, -0.00001*_xlpm.slopes + 0.1086*_xlpm.slopes + 63.253,
    _xlpm.valid, (_xlpm.vals &gt;= 0) * (_xlpm.ints &lt;= _xlpm.limit),
    _xlpm.target, MIN(_xlfn._xlws.FILTER(_xlpm.vals, _xlpm.valid)),
    IFERROR(
        _xlfn.XLOOKUP(_xlpm.target, _xlpm.vals, _xlpm.vals),
        CHOOSE({1,2,3,4,5,6}, S$1, V$1, Y$1, AB$1, AE$1, AH$1)
    )
)</f>
        <v>0.35093121795539134</v>
      </c>
    </row>
    <row r="1229" spans="9:36" x14ac:dyDescent="0.45">
      <c r="I1229">
        <v>1227</v>
      </c>
      <c r="J1229">
        <v>0.7</v>
      </c>
      <c r="K1229">
        <f t="shared" si="438"/>
        <v>0.7</v>
      </c>
      <c r="L1229">
        <f t="shared" si="437"/>
        <v>1.9444444444444443E-4</v>
      </c>
      <c r="M1229">
        <v>0.82</v>
      </c>
      <c r="N1229">
        <f t="shared" si="439"/>
        <v>0.82</v>
      </c>
      <c r="O1229">
        <f t="shared" si="440"/>
        <v>9.0966279510247716</v>
      </c>
      <c r="P1229">
        <f t="shared" si="441"/>
        <v>29.109209443279269</v>
      </c>
      <c r="Q1229">
        <f t="shared" si="442"/>
        <v>1000</v>
      </c>
      <c r="R1229">
        <f t="shared" si="443"/>
        <v>7.8304232001212517</v>
      </c>
      <c r="S1229">
        <f t="shared" si="444"/>
        <v>0.36828303566764287</v>
      </c>
      <c r="T1229">
        <f t="shared" si="445"/>
        <v>6000</v>
      </c>
      <c r="U1229">
        <f t="shared" si="446"/>
        <v>1.3050705333535417</v>
      </c>
      <c r="V1229">
        <f t="shared" si="447"/>
        <v>6.7081407043458654</v>
      </c>
      <c r="W1229">
        <f t="shared" si="448"/>
        <v>6000</v>
      </c>
      <c r="X1229">
        <f t="shared" si="449"/>
        <v>1.3050705333535417</v>
      </c>
      <c r="Y1229">
        <f t="shared" si="450"/>
        <v>6.7081407043458654</v>
      </c>
      <c r="Z1229">
        <f t="shared" si="451"/>
        <v>6000</v>
      </c>
      <c r="AA1229">
        <f t="shared" si="452"/>
        <v>1.3050705333535417</v>
      </c>
      <c r="AB1229">
        <f t="shared" si="453"/>
        <v>6.7081407043458654</v>
      </c>
      <c r="AC1229">
        <f t="shared" si="454"/>
        <v>6000</v>
      </c>
      <c r="AD1229">
        <f t="shared" si="455"/>
        <v>1.3050705333535417</v>
      </c>
      <c r="AE1229">
        <f t="shared" si="456"/>
        <v>6.7081407043458654</v>
      </c>
      <c r="AF1229">
        <f t="shared" si="457"/>
        <v>6000</v>
      </c>
      <c r="AG1229">
        <f t="shared" si="458"/>
        <v>1.3050705333535417</v>
      </c>
      <c r="AH1229">
        <f t="shared" si="459"/>
        <v>6.7081407043458654</v>
      </c>
      <c r="AI1229" cm="1">
        <f t="array" ref="AI1229">_xlfn.LET(
    _xlpm.vals,   _xlfn.HSTACK(S1229,V1229,Y1229,AB1229,AE1229,AH1229),
    _xlpm.ints,   _xlfn.HSTACK(R1229,U1229,X1229,AA1229,AD1229,AG1229),
    _xlpm.slopes, _xlfn.HSTACK(Q1229,T1229,W1229,Z1229,AC1229,AF1229),
    _xlpm.limit,  -0.00001*_xlpm.slopes + 0.1086*_xlpm.slopes + 63.253,
    _xlpm.mask,   (_xlpm.vals&gt;=0) * (_xlpm.ints&lt;=_xlpm.limit),
    _xlpm.validVals, _xlfn._xlws.FILTER(_xlpm.vals, _xlpm.mask),
    _xlpm.minVal, MIN(_xlpm.validVals),
    IFERROR( _xlfn.XMATCH(_xlpm.minVal, _xlpm.vals), "" )
)</f>
        <v>1</v>
      </c>
      <c r="AJ1229" cm="1">
        <f t="array" ref="AJ1229">_xlfn.LET(
    _xlpm.vals, CHOOSE({1,2,3,4,5,6}, S1229, V1229, Y1229, AB1229, AE1229, AH1229),
    _xlpm.slopes, CHOOSE({1,2,3,4,5,6}, Q1229, T1229, W1229, Z1229, AC1229, AF1229),
    _xlpm.ints, CHOOSE({1,2,3,4,5,6}, R1229, U1229, X1229, AA1229, AD1229, AG1229),
    _xlpm.limit, -0.00001*_xlpm.slopes + 0.1086*_xlpm.slopes + 63.253,
    _xlpm.valid, (_xlpm.vals &gt;= 0) * (_xlpm.ints &lt;= _xlpm.limit),
    _xlpm.target, MIN(_xlfn._xlws.FILTER(_xlpm.vals, _xlpm.valid)),
    IFERROR(
        _xlfn.XLOOKUP(_xlpm.target, _xlpm.vals, _xlpm.vals),
        CHOOSE({1,2,3,4,5,6}, S$1, V$1, Y$1, AB$1, AE$1, AH$1)
    )
)</f>
        <v>0.36828303566764287</v>
      </c>
    </row>
    <row r="1230" spans="9:36" x14ac:dyDescent="0.45">
      <c r="I1230">
        <v>1228</v>
      </c>
      <c r="J1230">
        <v>0.9</v>
      </c>
      <c r="K1230">
        <f t="shared" si="438"/>
        <v>0.9</v>
      </c>
      <c r="L1230">
        <f t="shared" si="437"/>
        <v>2.5000000000000001E-4</v>
      </c>
      <c r="M1230">
        <v>0.53</v>
      </c>
      <c r="N1230">
        <f t="shared" si="439"/>
        <v>0.53</v>
      </c>
      <c r="O1230">
        <f t="shared" si="440"/>
        <v>11.695664508460421</v>
      </c>
      <c r="P1230">
        <f t="shared" si="441"/>
        <v>37.426126427073349</v>
      </c>
      <c r="Q1230">
        <f t="shared" si="442"/>
        <v>1000</v>
      </c>
      <c r="R1230">
        <f t="shared" si="443"/>
        <v>5.0611271903222725</v>
      </c>
      <c r="S1230">
        <f t="shared" si="444"/>
        <v>0.35032723311358005</v>
      </c>
      <c r="T1230">
        <f t="shared" si="445"/>
        <v>6000</v>
      </c>
      <c r="U1230">
        <f t="shared" si="446"/>
        <v>0.84352119838704531</v>
      </c>
      <c r="V1230">
        <f t="shared" si="447"/>
        <v>6.7052112510999864</v>
      </c>
      <c r="W1230">
        <f t="shared" si="448"/>
        <v>6000</v>
      </c>
      <c r="X1230">
        <f t="shared" si="449"/>
        <v>0.84352119838704531</v>
      </c>
      <c r="Y1230">
        <f t="shared" si="450"/>
        <v>6.7052112510999864</v>
      </c>
      <c r="Z1230">
        <f t="shared" si="451"/>
        <v>6000</v>
      </c>
      <c r="AA1230">
        <f t="shared" si="452"/>
        <v>0.84352119838704531</v>
      </c>
      <c r="AB1230">
        <f t="shared" si="453"/>
        <v>6.7052112510999864</v>
      </c>
      <c r="AC1230">
        <f t="shared" si="454"/>
        <v>6000</v>
      </c>
      <c r="AD1230">
        <f t="shared" si="455"/>
        <v>0.84352119838704531</v>
      </c>
      <c r="AE1230">
        <f t="shared" si="456"/>
        <v>6.7052112510999864</v>
      </c>
      <c r="AF1230">
        <f t="shared" si="457"/>
        <v>6000</v>
      </c>
      <c r="AG1230">
        <f t="shared" si="458"/>
        <v>0.84352119838704531</v>
      </c>
      <c r="AH1230">
        <f t="shared" si="459"/>
        <v>6.7052112510999864</v>
      </c>
      <c r="AI1230" cm="1">
        <f t="array" ref="AI1230">_xlfn.LET(
    _xlpm.vals,   _xlfn.HSTACK(S1230,V1230,Y1230,AB1230,AE1230,AH1230),
    _xlpm.ints,   _xlfn.HSTACK(R1230,U1230,X1230,AA1230,AD1230,AG1230),
    _xlpm.slopes, _xlfn.HSTACK(Q1230,T1230,W1230,Z1230,AC1230,AF1230),
    _xlpm.limit,  -0.00001*_xlpm.slopes + 0.1086*_xlpm.slopes + 63.253,
    _xlpm.mask,   (_xlpm.vals&gt;=0) * (_xlpm.ints&lt;=_xlpm.limit),
    _xlpm.validVals, _xlfn._xlws.FILTER(_xlpm.vals, _xlpm.mask),
    _xlpm.minVal, MIN(_xlpm.validVals),
    IFERROR( _xlfn.XMATCH(_xlpm.minVal, _xlpm.vals), "" )
)</f>
        <v>1</v>
      </c>
      <c r="AJ1230" cm="1">
        <f t="array" ref="AJ1230">_xlfn.LET(
    _xlpm.vals, CHOOSE({1,2,3,4,5,6}, S1230, V1230, Y1230, AB1230, AE1230, AH1230),
    _xlpm.slopes, CHOOSE({1,2,3,4,5,6}, Q1230, T1230, W1230, Z1230, AC1230, AF1230),
    _xlpm.ints, CHOOSE({1,2,3,4,5,6}, R1230, U1230, X1230, AA1230, AD1230, AG1230),
    _xlpm.limit, -0.00001*_xlpm.slopes + 0.1086*_xlpm.slopes + 63.253,
    _xlpm.valid, (_xlpm.vals &gt;= 0) * (_xlpm.ints &lt;= _xlpm.limit),
    _xlpm.target, MIN(_xlfn._xlws.FILTER(_xlpm.vals, _xlpm.valid)),
    IFERROR(
        _xlfn.XLOOKUP(_xlpm.target, _xlpm.vals, _xlpm.vals),
        CHOOSE({1,2,3,4,5,6}, S$1, V$1, Y$1, AB$1, AE$1, AH$1)
    )
)</f>
        <v>0.35032723311358005</v>
      </c>
    </row>
    <row r="1231" spans="9:36" x14ac:dyDescent="0.45">
      <c r="I1231">
        <v>1229</v>
      </c>
      <c r="J1231">
        <v>0.9</v>
      </c>
      <c r="K1231">
        <f t="shared" si="438"/>
        <v>0.9</v>
      </c>
      <c r="L1231">
        <f t="shared" si="437"/>
        <v>2.5000000000000001E-4</v>
      </c>
      <c r="M1231">
        <v>1.0900000000000001</v>
      </c>
      <c r="N1231">
        <f t="shared" si="439"/>
        <v>1.0900000000000001</v>
      </c>
      <c r="O1231">
        <f t="shared" si="440"/>
        <v>11.695664508460421</v>
      </c>
      <c r="P1231">
        <f t="shared" si="441"/>
        <v>37.426126427073349</v>
      </c>
      <c r="Q1231">
        <f t="shared" si="442"/>
        <v>1000</v>
      </c>
      <c r="R1231">
        <f t="shared" si="443"/>
        <v>10.408733278209956</v>
      </c>
      <c r="S1231">
        <f t="shared" si="444"/>
        <v>0.38579508374612576</v>
      </c>
      <c r="T1231">
        <f t="shared" si="445"/>
        <v>6000</v>
      </c>
      <c r="U1231">
        <f t="shared" si="446"/>
        <v>1.7347888797016593</v>
      </c>
      <c r="V1231">
        <f t="shared" si="447"/>
        <v>6.710931693329786</v>
      </c>
      <c r="W1231">
        <f t="shared" si="448"/>
        <v>6000</v>
      </c>
      <c r="X1231">
        <f t="shared" si="449"/>
        <v>1.7347888797016593</v>
      </c>
      <c r="Y1231">
        <f t="shared" si="450"/>
        <v>6.710931693329786</v>
      </c>
      <c r="Z1231">
        <f t="shared" si="451"/>
        <v>6000</v>
      </c>
      <c r="AA1231">
        <f t="shared" si="452"/>
        <v>1.7347888797016593</v>
      </c>
      <c r="AB1231">
        <f t="shared" si="453"/>
        <v>6.710931693329786</v>
      </c>
      <c r="AC1231">
        <f t="shared" si="454"/>
        <v>6000</v>
      </c>
      <c r="AD1231">
        <f t="shared" si="455"/>
        <v>1.7347888797016593</v>
      </c>
      <c r="AE1231">
        <f t="shared" si="456"/>
        <v>6.710931693329786</v>
      </c>
      <c r="AF1231">
        <f t="shared" si="457"/>
        <v>6000</v>
      </c>
      <c r="AG1231">
        <f t="shared" si="458"/>
        <v>1.7347888797016593</v>
      </c>
      <c r="AH1231">
        <f t="shared" si="459"/>
        <v>6.710931693329786</v>
      </c>
      <c r="AI1231" cm="1">
        <f t="array" ref="AI1231">_xlfn.LET(
    _xlpm.vals,   _xlfn.HSTACK(S1231,V1231,Y1231,AB1231,AE1231,AH1231),
    _xlpm.ints,   _xlfn.HSTACK(R1231,U1231,X1231,AA1231,AD1231,AG1231),
    _xlpm.slopes, _xlfn.HSTACK(Q1231,T1231,W1231,Z1231,AC1231,AF1231),
    _xlpm.limit,  -0.00001*_xlpm.slopes + 0.1086*_xlpm.slopes + 63.253,
    _xlpm.mask,   (_xlpm.vals&gt;=0) * (_xlpm.ints&lt;=_xlpm.limit),
    _xlpm.validVals, _xlfn._xlws.FILTER(_xlpm.vals, _xlpm.mask),
    _xlpm.minVal, MIN(_xlpm.validVals),
    IFERROR( _xlfn.XMATCH(_xlpm.minVal, _xlpm.vals), "" )
)</f>
        <v>1</v>
      </c>
      <c r="AJ1231" cm="1">
        <f t="array" ref="AJ1231">_xlfn.LET(
    _xlpm.vals, CHOOSE({1,2,3,4,5,6}, S1231, V1231, Y1231, AB1231, AE1231, AH1231),
    _xlpm.slopes, CHOOSE({1,2,3,4,5,6}, Q1231, T1231, W1231, Z1231, AC1231, AF1231),
    _xlpm.ints, CHOOSE({1,2,3,4,5,6}, R1231, U1231, X1231, AA1231, AD1231, AG1231),
    _xlpm.limit, -0.00001*_xlpm.slopes + 0.1086*_xlpm.slopes + 63.253,
    _xlpm.valid, (_xlpm.vals &gt;= 0) * (_xlpm.ints &lt;= _xlpm.limit),
    _xlpm.target, MIN(_xlfn._xlws.FILTER(_xlpm.vals, _xlpm.valid)),
    IFERROR(
        _xlfn.XLOOKUP(_xlpm.target, _xlpm.vals, _xlpm.vals),
        CHOOSE({1,2,3,4,5,6}, S$1, V$1, Y$1, AB$1, AE$1, AH$1)
    )
)</f>
        <v>0.38579508374612576</v>
      </c>
    </row>
    <row r="1232" spans="9:36" x14ac:dyDescent="0.45">
      <c r="I1232">
        <v>1230</v>
      </c>
      <c r="J1232">
        <v>0.8</v>
      </c>
      <c r="K1232">
        <f t="shared" si="438"/>
        <v>0.8</v>
      </c>
      <c r="L1232">
        <f t="shared" si="437"/>
        <v>2.2222222222222223E-4</v>
      </c>
      <c r="M1232">
        <v>0.56999999999999995</v>
      </c>
      <c r="N1232">
        <f t="shared" si="439"/>
        <v>0.56999999999999995</v>
      </c>
      <c r="O1232">
        <f t="shared" si="440"/>
        <v>10.396146229742596</v>
      </c>
      <c r="P1232">
        <f t="shared" si="441"/>
        <v>33.267667935176313</v>
      </c>
      <c r="Q1232">
        <f t="shared" si="442"/>
        <v>1000</v>
      </c>
      <c r="R1232">
        <f t="shared" si="443"/>
        <v>5.443099053742821</v>
      </c>
      <c r="S1232">
        <f t="shared" si="444"/>
        <v>0.35274976937547881</v>
      </c>
      <c r="T1232">
        <f t="shared" si="445"/>
        <v>6000</v>
      </c>
      <c r="U1232">
        <f t="shared" si="446"/>
        <v>0.90718317562380346</v>
      </c>
      <c r="V1232">
        <f t="shared" si="447"/>
        <v>6.7056111021595477</v>
      </c>
      <c r="W1232">
        <f t="shared" si="448"/>
        <v>6000</v>
      </c>
      <c r="X1232">
        <f t="shared" si="449"/>
        <v>0.90718317562380346</v>
      </c>
      <c r="Y1232">
        <f t="shared" si="450"/>
        <v>6.7056111021595477</v>
      </c>
      <c r="Z1232">
        <f t="shared" si="451"/>
        <v>6000</v>
      </c>
      <c r="AA1232">
        <f t="shared" si="452"/>
        <v>0.90718317562380346</v>
      </c>
      <c r="AB1232">
        <f t="shared" si="453"/>
        <v>6.7056111021595477</v>
      </c>
      <c r="AC1232">
        <f t="shared" si="454"/>
        <v>6000</v>
      </c>
      <c r="AD1232">
        <f t="shared" si="455"/>
        <v>0.90718317562380346</v>
      </c>
      <c r="AE1232">
        <f t="shared" si="456"/>
        <v>6.7056111021595477</v>
      </c>
      <c r="AF1232">
        <f t="shared" si="457"/>
        <v>6000</v>
      </c>
      <c r="AG1232">
        <f t="shared" si="458"/>
        <v>0.90718317562380346</v>
      </c>
      <c r="AH1232">
        <f t="shared" si="459"/>
        <v>6.7056111021595477</v>
      </c>
      <c r="AI1232" cm="1">
        <f t="array" ref="AI1232">_xlfn.LET(
    _xlpm.vals,   _xlfn.HSTACK(S1232,V1232,Y1232,AB1232,AE1232,AH1232),
    _xlpm.ints,   _xlfn.HSTACK(R1232,U1232,X1232,AA1232,AD1232,AG1232),
    _xlpm.slopes, _xlfn.HSTACK(Q1232,T1232,W1232,Z1232,AC1232,AF1232),
    _xlpm.limit,  -0.00001*_xlpm.slopes + 0.1086*_xlpm.slopes + 63.253,
    _xlpm.mask,   (_xlpm.vals&gt;=0) * (_xlpm.ints&lt;=_xlpm.limit),
    _xlpm.validVals, _xlfn._xlws.FILTER(_xlpm.vals, _xlpm.mask),
    _xlpm.minVal, MIN(_xlpm.validVals),
    IFERROR( _xlfn.XMATCH(_xlpm.minVal, _xlpm.vals), "" )
)</f>
        <v>1</v>
      </c>
      <c r="AJ1232" cm="1">
        <f t="array" ref="AJ1232">_xlfn.LET(
    _xlpm.vals, CHOOSE({1,2,3,4,5,6}, S1232, V1232, Y1232, AB1232, AE1232, AH1232),
    _xlpm.slopes, CHOOSE({1,2,3,4,5,6}, Q1232, T1232, W1232, Z1232, AC1232, AF1232),
    _xlpm.ints, CHOOSE({1,2,3,4,5,6}, R1232, U1232, X1232, AA1232, AD1232, AG1232),
    _xlpm.limit, -0.00001*_xlpm.slopes + 0.1086*_xlpm.slopes + 63.253,
    _xlpm.valid, (_xlpm.vals &gt;= 0) * (_xlpm.ints &lt;= _xlpm.limit),
    _xlpm.target, MIN(_xlfn._xlws.FILTER(_xlpm.vals, _xlpm.valid)),
    IFERROR(
        _xlfn.XLOOKUP(_xlpm.target, _xlpm.vals, _xlpm.vals),
        CHOOSE({1,2,3,4,5,6}, S$1, V$1, Y$1, AB$1, AE$1, AH$1)
    )
)</f>
        <v>0.35274976937547881</v>
      </c>
    </row>
    <row r="1233" spans="9:36" x14ac:dyDescent="0.45">
      <c r="I1233">
        <v>1231</v>
      </c>
      <c r="J1233">
        <v>0.8</v>
      </c>
      <c r="K1233">
        <f t="shared" si="438"/>
        <v>0.8</v>
      </c>
      <c r="L1233">
        <f t="shared" si="437"/>
        <v>2.2222222222222223E-4</v>
      </c>
      <c r="M1233">
        <v>0.94</v>
      </c>
      <c r="N1233">
        <f t="shared" si="439"/>
        <v>0.94</v>
      </c>
      <c r="O1233">
        <f t="shared" si="440"/>
        <v>10.396146229742596</v>
      </c>
      <c r="P1233">
        <f t="shared" si="441"/>
        <v>33.267667935176313</v>
      </c>
      <c r="Q1233">
        <f t="shared" si="442"/>
        <v>1000</v>
      </c>
      <c r="R1233">
        <f t="shared" si="443"/>
        <v>8.9763387903828971</v>
      </c>
      <c r="S1233">
        <f t="shared" si="444"/>
        <v>0.37597381066607521</v>
      </c>
      <c r="T1233">
        <f t="shared" si="445"/>
        <v>6000</v>
      </c>
      <c r="U1233">
        <f t="shared" si="446"/>
        <v>1.4960564650638162</v>
      </c>
      <c r="V1233">
        <f t="shared" si="447"/>
        <v>6.7093735867418705</v>
      </c>
      <c r="W1233">
        <f t="shared" si="448"/>
        <v>6000</v>
      </c>
      <c r="X1233">
        <f t="shared" si="449"/>
        <v>1.4960564650638162</v>
      </c>
      <c r="Y1233">
        <f t="shared" si="450"/>
        <v>6.7093735867418705</v>
      </c>
      <c r="Z1233">
        <f t="shared" si="451"/>
        <v>6000</v>
      </c>
      <c r="AA1233">
        <f t="shared" si="452"/>
        <v>1.4960564650638162</v>
      </c>
      <c r="AB1233">
        <f t="shared" si="453"/>
        <v>6.7093735867418705</v>
      </c>
      <c r="AC1233">
        <f t="shared" si="454"/>
        <v>6000</v>
      </c>
      <c r="AD1233">
        <f t="shared" si="455"/>
        <v>1.4960564650638162</v>
      </c>
      <c r="AE1233">
        <f t="shared" si="456"/>
        <v>6.7093735867418705</v>
      </c>
      <c r="AF1233">
        <f t="shared" si="457"/>
        <v>6000</v>
      </c>
      <c r="AG1233">
        <f t="shared" si="458"/>
        <v>1.4960564650638162</v>
      </c>
      <c r="AH1233">
        <f t="shared" si="459"/>
        <v>6.7093735867418705</v>
      </c>
      <c r="AI1233" cm="1">
        <f t="array" ref="AI1233">_xlfn.LET(
    _xlpm.vals,   _xlfn.HSTACK(S1233,V1233,Y1233,AB1233,AE1233,AH1233),
    _xlpm.ints,   _xlfn.HSTACK(R1233,U1233,X1233,AA1233,AD1233,AG1233),
    _xlpm.slopes, _xlfn.HSTACK(Q1233,T1233,W1233,Z1233,AC1233,AF1233),
    _xlpm.limit,  -0.00001*_xlpm.slopes + 0.1086*_xlpm.slopes + 63.253,
    _xlpm.mask,   (_xlpm.vals&gt;=0) * (_xlpm.ints&lt;=_xlpm.limit),
    _xlpm.validVals, _xlfn._xlws.FILTER(_xlpm.vals, _xlpm.mask),
    _xlpm.minVal, MIN(_xlpm.validVals),
    IFERROR( _xlfn.XMATCH(_xlpm.minVal, _xlpm.vals), "" )
)</f>
        <v>1</v>
      </c>
      <c r="AJ1233" cm="1">
        <f t="array" ref="AJ1233">_xlfn.LET(
    _xlpm.vals, CHOOSE({1,2,3,4,5,6}, S1233, V1233, Y1233, AB1233, AE1233, AH1233),
    _xlpm.slopes, CHOOSE({1,2,3,4,5,6}, Q1233, T1233, W1233, Z1233, AC1233, AF1233),
    _xlpm.ints, CHOOSE({1,2,3,4,5,6}, R1233, U1233, X1233, AA1233, AD1233, AG1233),
    _xlpm.limit, -0.00001*_xlpm.slopes + 0.1086*_xlpm.slopes + 63.253,
    _xlpm.valid, (_xlpm.vals &gt;= 0) * (_xlpm.ints &lt;= _xlpm.limit),
    _xlpm.target, MIN(_xlfn._xlws.FILTER(_xlpm.vals, _xlpm.valid)),
    IFERROR(
        _xlfn.XLOOKUP(_xlpm.target, _xlpm.vals, _xlpm.vals),
        CHOOSE({1,2,3,4,5,6}, S$1, V$1, Y$1, AB$1, AE$1, AH$1)
    )
)</f>
        <v>0.37597381066607521</v>
      </c>
    </row>
    <row r="1234" spans="9:36" x14ac:dyDescent="0.45">
      <c r="I1234">
        <v>1232</v>
      </c>
      <c r="J1234">
        <v>1.7</v>
      </c>
      <c r="K1234">
        <f t="shared" si="438"/>
        <v>1.7</v>
      </c>
      <c r="L1234">
        <f t="shared" si="437"/>
        <v>4.7222222222222218E-4</v>
      </c>
      <c r="M1234">
        <v>1.3</v>
      </c>
      <c r="N1234">
        <f t="shared" si="439"/>
        <v>1.3</v>
      </c>
      <c r="O1234">
        <f t="shared" si="440"/>
        <v>22.091810738203016</v>
      </c>
      <c r="P1234">
        <f t="shared" si="441"/>
        <v>70.693794362249648</v>
      </c>
      <c r="Q1234">
        <f t="shared" si="442"/>
        <v>1000</v>
      </c>
      <c r="R1234">
        <f t="shared" si="443"/>
        <v>12.414085561167838</v>
      </c>
      <c r="S1234">
        <f t="shared" si="444"/>
        <v>0.39992177788055827</v>
      </c>
      <c r="T1234">
        <f t="shared" si="445"/>
        <v>6000</v>
      </c>
      <c r="U1234">
        <f t="shared" si="446"/>
        <v>2.0690142601946393</v>
      </c>
      <c r="V1234">
        <f t="shared" si="447"/>
        <v>6.7131447317152011</v>
      </c>
      <c r="W1234">
        <f t="shared" si="448"/>
        <v>6000</v>
      </c>
      <c r="X1234">
        <f t="shared" si="449"/>
        <v>2.0690142601946393</v>
      </c>
      <c r="Y1234">
        <f t="shared" si="450"/>
        <v>6.7131447317152011</v>
      </c>
      <c r="Z1234">
        <f t="shared" si="451"/>
        <v>6000</v>
      </c>
      <c r="AA1234">
        <f t="shared" si="452"/>
        <v>2.0690142601946393</v>
      </c>
      <c r="AB1234">
        <f t="shared" si="453"/>
        <v>6.7131447317152011</v>
      </c>
      <c r="AC1234">
        <f t="shared" si="454"/>
        <v>6000</v>
      </c>
      <c r="AD1234">
        <f t="shared" si="455"/>
        <v>2.0690142601946393</v>
      </c>
      <c r="AE1234">
        <f t="shared" si="456"/>
        <v>6.7131447317152011</v>
      </c>
      <c r="AF1234">
        <f t="shared" si="457"/>
        <v>6000</v>
      </c>
      <c r="AG1234">
        <f t="shared" si="458"/>
        <v>2.0690142601946393</v>
      </c>
      <c r="AH1234">
        <f t="shared" si="459"/>
        <v>6.7131447317152011</v>
      </c>
      <c r="AI1234" cm="1">
        <f t="array" ref="AI1234">_xlfn.LET(
    _xlpm.vals,   _xlfn.HSTACK(S1234,V1234,Y1234,AB1234,AE1234,AH1234),
    _xlpm.ints,   _xlfn.HSTACK(R1234,U1234,X1234,AA1234,AD1234,AG1234),
    _xlpm.slopes, _xlfn.HSTACK(Q1234,T1234,W1234,Z1234,AC1234,AF1234),
    _xlpm.limit,  -0.00001*_xlpm.slopes + 0.1086*_xlpm.slopes + 63.253,
    _xlpm.mask,   (_xlpm.vals&gt;=0) * (_xlpm.ints&lt;=_xlpm.limit),
    _xlpm.validVals, _xlfn._xlws.FILTER(_xlpm.vals, _xlpm.mask),
    _xlpm.minVal, MIN(_xlpm.validVals),
    IFERROR( _xlfn.XMATCH(_xlpm.minVal, _xlpm.vals), "" )
)</f>
        <v>1</v>
      </c>
      <c r="AJ1234" cm="1">
        <f t="array" ref="AJ1234">_xlfn.LET(
    _xlpm.vals, CHOOSE({1,2,3,4,5,6}, S1234, V1234, Y1234, AB1234, AE1234, AH1234),
    _xlpm.slopes, CHOOSE({1,2,3,4,5,6}, Q1234, T1234, W1234, Z1234, AC1234, AF1234),
    _xlpm.ints, CHOOSE({1,2,3,4,5,6}, R1234, U1234, X1234, AA1234, AD1234, AG1234),
    _xlpm.limit, -0.00001*_xlpm.slopes + 0.1086*_xlpm.slopes + 63.253,
    _xlpm.valid, (_xlpm.vals &gt;= 0) * (_xlpm.ints &lt;= _xlpm.limit),
    _xlpm.target, MIN(_xlfn._xlws.FILTER(_xlpm.vals, _xlpm.valid)),
    IFERROR(
        _xlfn.XLOOKUP(_xlpm.target, _xlpm.vals, _xlpm.vals),
        CHOOSE({1,2,3,4,5,6}, S$1, V$1, Y$1, AB$1, AE$1, AH$1)
    )
)</f>
        <v>0.39992177788055827</v>
      </c>
    </row>
    <row r="1235" spans="9:36" x14ac:dyDescent="0.45">
      <c r="I1235">
        <v>1233</v>
      </c>
      <c r="J1235">
        <v>3</v>
      </c>
      <c r="K1235">
        <f t="shared" si="438"/>
        <v>3</v>
      </c>
      <c r="L1235">
        <f t="shared" si="437"/>
        <v>8.3333333333333328E-4</v>
      </c>
      <c r="M1235">
        <v>3.22</v>
      </c>
      <c r="N1235">
        <f t="shared" si="439"/>
        <v>3.22</v>
      </c>
      <c r="O1235">
        <f t="shared" si="440"/>
        <v>38.98554836153474</v>
      </c>
      <c r="P1235">
        <f t="shared" si="441"/>
        <v>124.75375475691118</v>
      </c>
      <c r="Q1235">
        <f t="shared" si="442"/>
        <v>1000</v>
      </c>
      <c r="R1235">
        <f t="shared" si="443"/>
        <v>30.748735005354181</v>
      </c>
      <c r="S1235">
        <f t="shared" si="444"/>
        <v>0.5466454558090188</v>
      </c>
      <c r="T1235">
        <f t="shared" si="445"/>
        <v>6000</v>
      </c>
      <c r="U1235">
        <f t="shared" si="446"/>
        <v>5.1247891675590305</v>
      </c>
      <c r="V1235">
        <f t="shared" si="447"/>
        <v>6.7350793851430826</v>
      </c>
      <c r="W1235">
        <f t="shared" si="448"/>
        <v>6000</v>
      </c>
      <c r="X1235">
        <f t="shared" si="449"/>
        <v>5.1247891675590305</v>
      </c>
      <c r="Y1235">
        <f t="shared" si="450"/>
        <v>6.7350793851430826</v>
      </c>
      <c r="Z1235">
        <f t="shared" si="451"/>
        <v>6000</v>
      </c>
      <c r="AA1235">
        <f t="shared" si="452"/>
        <v>5.1247891675590305</v>
      </c>
      <c r="AB1235">
        <f t="shared" si="453"/>
        <v>6.7350793851430826</v>
      </c>
      <c r="AC1235">
        <f t="shared" si="454"/>
        <v>6000</v>
      </c>
      <c r="AD1235">
        <f t="shared" si="455"/>
        <v>5.1247891675590305</v>
      </c>
      <c r="AE1235">
        <f t="shared" si="456"/>
        <v>6.7350793851430826</v>
      </c>
      <c r="AF1235">
        <f t="shared" si="457"/>
        <v>6000</v>
      </c>
      <c r="AG1235">
        <f t="shared" si="458"/>
        <v>5.1247891675590305</v>
      </c>
      <c r="AH1235">
        <f t="shared" si="459"/>
        <v>6.7350793851430826</v>
      </c>
      <c r="AI1235" cm="1">
        <f t="array" ref="AI1235">_xlfn.LET(
    _xlpm.vals,   _xlfn.HSTACK(S1235,V1235,Y1235,AB1235,AE1235,AH1235),
    _xlpm.ints,   _xlfn.HSTACK(R1235,U1235,X1235,AA1235,AD1235,AG1235),
    _xlpm.slopes, _xlfn.HSTACK(Q1235,T1235,W1235,Z1235,AC1235,AF1235),
    _xlpm.limit,  -0.00001*_xlpm.slopes + 0.1086*_xlpm.slopes + 63.253,
    _xlpm.mask,   (_xlpm.vals&gt;=0) * (_xlpm.ints&lt;=_xlpm.limit),
    _xlpm.validVals, _xlfn._xlws.FILTER(_xlpm.vals, _xlpm.mask),
    _xlpm.minVal, MIN(_xlpm.validVals),
    IFERROR( _xlfn.XMATCH(_xlpm.minVal, _xlpm.vals), "" )
)</f>
        <v>1</v>
      </c>
      <c r="AJ1235" cm="1">
        <f t="array" ref="AJ1235">_xlfn.LET(
    _xlpm.vals, CHOOSE({1,2,3,4,5,6}, S1235, V1235, Y1235, AB1235, AE1235, AH1235),
    _xlpm.slopes, CHOOSE({1,2,3,4,5,6}, Q1235, T1235, W1235, Z1235, AC1235, AF1235),
    _xlpm.ints, CHOOSE({1,2,3,4,5,6}, R1235, U1235, X1235, AA1235, AD1235, AG1235),
    _xlpm.limit, -0.00001*_xlpm.slopes + 0.1086*_xlpm.slopes + 63.253,
    _xlpm.valid, (_xlpm.vals &gt;= 0) * (_xlpm.ints &lt;= _xlpm.limit),
    _xlpm.target, MIN(_xlfn._xlws.FILTER(_xlpm.vals, _xlpm.valid)),
    IFERROR(
        _xlfn.XLOOKUP(_xlpm.target, _xlpm.vals, _xlpm.vals),
        CHOOSE({1,2,3,4,5,6}, S$1, V$1, Y$1, AB$1, AE$1, AH$1)
    )
)</f>
        <v>0.5466454558090188</v>
      </c>
    </row>
    <row r="1236" spans="9:36" x14ac:dyDescent="0.45">
      <c r="I1236">
        <v>1234</v>
      </c>
      <c r="J1236">
        <v>4.3</v>
      </c>
      <c r="K1236">
        <f t="shared" si="438"/>
        <v>4.3</v>
      </c>
      <c r="L1236">
        <f t="shared" si="437"/>
        <v>1.1944444444444444E-3</v>
      </c>
      <c r="M1236">
        <v>2.84</v>
      </c>
      <c r="N1236">
        <f t="shared" si="439"/>
        <v>2.84</v>
      </c>
      <c r="O1236">
        <f t="shared" si="440"/>
        <v>55.879285984866456</v>
      </c>
      <c r="P1236">
        <f t="shared" si="441"/>
        <v>178.81371515157267</v>
      </c>
      <c r="Q1236">
        <f t="shared" si="442"/>
        <v>1000</v>
      </c>
      <c r="R1236">
        <f t="shared" si="443"/>
        <v>27.120002302858968</v>
      </c>
      <c r="S1236">
        <f t="shared" si="444"/>
        <v>0.51540303144851274</v>
      </c>
      <c r="T1236">
        <f t="shared" si="445"/>
        <v>6000</v>
      </c>
      <c r="U1236">
        <f t="shared" si="446"/>
        <v>4.5200003838098279</v>
      </c>
      <c r="V1236">
        <f t="shared" si="447"/>
        <v>6.7304961606066644</v>
      </c>
      <c r="W1236">
        <f t="shared" si="448"/>
        <v>6000</v>
      </c>
      <c r="X1236">
        <f t="shared" si="449"/>
        <v>4.5200003838098279</v>
      </c>
      <c r="Y1236">
        <f t="shared" si="450"/>
        <v>6.7304961606066644</v>
      </c>
      <c r="Z1236">
        <f t="shared" si="451"/>
        <v>6000</v>
      </c>
      <c r="AA1236">
        <f t="shared" si="452"/>
        <v>4.5200003838098279</v>
      </c>
      <c r="AB1236">
        <f t="shared" si="453"/>
        <v>6.7304961606066644</v>
      </c>
      <c r="AC1236">
        <f t="shared" si="454"/>
        <v>6000</v>
      </c>
      <c r="AD1236">
        <f t="shared" si="455"/>
        <v>4.5200003838098279</v>
      </c>
      <c r="AE1236">
        <f t="shared" si="456"/>
        <v>6.7304961606066644</v>
      </c>
      <c r="AF1236">
        <f t="shared" si="457"/>
        <v>6000</v>
      </c>
      <c r="AG1236">
        <f t="shared" si="458"/>
        <v>4.5200003838098279</v>
      </c>
      <c r="AH1236">
        <f t="shared" si="459"/>
        <v>6.7304961606066644</v>
      </c>
      <c r="AI1236" cm="1">
        <f t="array" ref="AI1236">_xlfn.LET(
    _xlpm.vals,   _xlfn.HSTACK(S1236,V1236,Y1236,AB1236,AE1236,AH1236),
    _xlpm.ints,   _xlfn.HSTACK(R1236,U1236,X1236,AA1236,AD1236,AG1236),
    _xlpm.slopes, _xlfn.HSTACK(Q1236,T1236,W1236,Z1236,AC1236,AF1236),
    _xlpm.limit,  -0.00001*_xlpm.slopes + 0.1086*_xlpm.slopes + 63.253,
    _xlpm.mask,   (_xlpm.vals&gt;=0) * (_xlpm.ints&lt;=_xlpm.limit),
    _xlpm.validVals, _xlfn._xlws.FILTER(_xlpm.vals, _xlpm.mask),
    _xlpm.minVal, MIN(_xlpm.validVals),
    IFERROR( _xlfn.XMATCH(_xlpm.minVal, _xlpm.vals), "" )
)</f>
        <v>1</v>
      </c>
      <c r="AJ1236" cm="1">
        <f t="array" ref="AJ1236">_xlfn.LET(
    _xlpm.vals, CHOOSE({1,2,3,4,5,6}, S1236, V1236, Y1236, AB1236, AE1236, AH1236),
    _xlpm.slopes, CHOOSE({1,2,3,4,5,6}, Q1236, T1236, W1236, Z1236, AC1236, AF1236),
    _xlpm.ints, CHOOSE({1,2,3,4,5,6}, R1236, U1236, X1236, AA1236, AD1236, AG1236),
    _xlpm.limit, -0.00001*_xlpm.slopes + 0.1086*_xlpm.slopes + 63.253,
    _xlpm.valid, (_xlpm.vals &gt;= 0) * (_xlpm.ints &lt;= _xlpm.limit),
    _xlpm.target, MIN(_xlfn._xlws.FILTER(_xlpm.vals, _xlpm.valid)),
    IFERROR(
        _xlfn.XLOOKUP(_xlpm.target, _xlpm.vals, _xlpm.vals),
        CHOOSE({1,2,3,4,5,6}, S$1, V$1, Y$1, AB$1, AE$1, AH$1)
    )
)</f>
        <v>0.51540303144851274</v>
      </c>
    </row>
    <row r="1237" spans="9:36" x14ac:dyDescent="0.45">
      <c r="I1237">
        <v>1235</v>
      </c>
      <c r="J1237">
        <v>5.5</v>
      </c>
      <c r="K1237">
        <f t="shared" si="438"/>
        <v>5.5</v>
      </c>
      <c r="L1237">
        <f t="shared" si="437"/>
        <v>1.5277777777777779E-3</v>
      </c>
      <c r="M1237">
        <v>3.01</v>
      </c>
      <c r="N1237">
        <f t="shared" si="439"/>
        <v>3.01</v>
      </c>
      <c r="O1237">
        <f t="shared" si="440"/>
        <v>71.473505329480346</v>
      </c>
      <c r="P1237">
        <f t="shared" si="441"/>
        <v>228.71521705433713</v>
      </c>
      <c r="Q1237">
        <f t="shared" si="442"/>
        <v>1047.5156941088642</v>
      </c>
      <c r="R1237">
        <f t="shared" si="443"/>
        <v>27.439572394042923</v>
      </c>
      <c r="S1237">
        <f t="shared" si="444"/>
        <v>0.53605532973218784</v>
      </c>
      <c r="T1237">
        <f t="shared" si="445"/>
        <v>6000</v>
      </c>
      <c r="U1237">
        <f t="shared" si="446"/>
        <v>4.7905637870660502</v>
      </c>
      <c r="V1237">
        <f t="shared" si="447"/>
        <v>6.7325318735104673</v>
      </c>
      <c r="W1237">
        <f t="shared" si="448"/>
        <v>6000</v>
      </c>
      <c r="X1237">
        <f t="shared" si="449"/>
        <v>4.7905637870660502</v>
      </c>
      <c r="Y1237">
        <f t="shared" si="450"/>
        <v>6.7325318735104673</v>
      </c>
      <c r="Z1237">
        <f t="shared" si="451"/>
        <v>6000</v>
      </c>
      <c r="AA1237">
        <f t="shared" si="452"/>
        <v>4.7905637870660502</v>
      </c>
      <c r="AB1237">
        <f t="shared" si="453"/>
        <v>6.7325318735104673</v>
      </c>
      <c r="AC1237">
        <f t="shared" si="454"/>
        <v>6000</v>
      </c>
      <c r="AD1237">
        <f t="shared" si="455"/>
        <v>4.7905637870660502</v>
      </c>
      <c r="AE1237">
        <f t="shared" si="456"/>
        <v>6.7325318735104673</v>
      </c>
      <c r="AF1237">
        <f t="shared" si="457"/>
        <v>6000</v>
      </c>
      <c r="AG1237">
        <f t="shared" si="458"/>
        <v>4.7905637870660502</v>
      </c>
      <c r="AH1237">
        <f t="shared" si="459"/>
        <v>6.7325318735104673</v>
      </c>
      <c r="AI1237" cm="1">
        <f t="array" ref="AI1237">_xlfn.LET(
    _xlpm.vals,   _xlfn.HSTACK(S1237,V1237,Y1237,AB1237,AE1237,AH1237),
    _xlpm.ints,   _xlfn.HSTACK(R1237,U1237,X1237,AA1237,AD1237,AG1237),
    _xlpm.slopes, _xlfn.HSTACK(Q1237,T1237,W1237,Z1237,AC1237,AF1237),
    _xlpm.limit,  -0.00001*_xlpm.slopes + 0.1086*_xlpm.slopes + 63.253,
    _xlpm.mask,   (_xlpm.vals&gt;=0) * (_xlpm.ints&lt;=_xlpm.limit),
    _xlpm.validVals, _xlfn._xlws.FILTER(_xlpm.vals, _xlpm.mask),
    _xlpm.minVal, MIN(_xlpm.validVals),
    IFERROR( _xlfn.XMATCH(_xlpm.minVal, _xlpm.vals), "" )
)</f>
        <v>1</v>
      </c>
      <c r="AJ1237" cm="1">
        <f t="array" ref="AJ1237">_xlfn.LET(
    _xlpm.vals, CHOOSE({1,2,3,4,5,6}, S1237, V1237, Y1237, AB1237, AE1237, AH1237),
    _xlpm.slopes, CHOOSE({1,2,3,4,5,6}, Q1237, T1237, W1237, Z1237, AC1237, AF1237),
    _xlpm.ints, CHOOSE({1,2,3,4,5,6}, R1237, U1237, X1237, AA1237, AD1237, AG1237),
    _xlpm.limit, -0.00001*_xlpm.slopes + 0.1086*_xlpm.slopes + 63.253,
    _xlpm.valid, (_xlpm.vals &gt;= 0) * (_xlpm.ints &lt;= _xlpm.limit),
    _xlpm.target, MIN(_xlfn._xlws.FILTER(_xlpm.vals, _xlpm.valid)),
    IFERROR(
        _xlfn.XLOOKUP(_xlpm.target, _xlpm.vals, _xlpm.vals),
        CHOOSE({1,2,3,4,5,6}, S$1, V$1, Y$1, AB$1, AE$1, AH$1)
    )
)</f>
        <v>0.53605532973218784</v>
      </c>
    </row>
    <row r="1238" spans="9:36" x14ac:dyDescent="0.45">
      <c r="I1238">
        <v>1236</v>
      </c>
      <c r="J1238">
        <v>6.4</v>
      </c>
      <c r="K1238">
        <f t="shared" si="438"/>
        <v>6.4</v>
      </c>
      <c r="L1238">
        <f t="shared" si="437"/>
        <v>1.7777777777777779E-3</v>
      </c>
      <c r="M1238">
        <v>3.08</v>
      </c>
      <c r="N1238">
        <f t="shared" si="439"/>
        <v>3.08</v>
      </c>
      <c r="O1238">
        <f t="shared" si="440"/>
        <v>83.169169837940771</v>
      </c>
      <c r="P1238">
        <f t="shared" si="441"/>
        <v>266.1413434814105</v>
      </c>
      <c r="Q1238">
        <f t="shared" si="442"/>
        <v>1218.92735314486</v>
      </c>
      <c r="R1238">
        <f t="shared" si="443"/>
        <v>24.129275143017395</v>
      </c>
      <c r="S1238">
        <f t="shared" si="444"/>
        <v>0.56585981249898665</v>
      </c>
      <c r="T1238">
        <f t="shared" si="445"/>
        <v>6000</v>
      </c>
      <c r="U1238">
        <f t="shared" si="446"/>
        <v>4.9019722472303764</v>
      </c>
      <c r="V1238">
        <f t="shared" si="447"/>
        <v>6.7333770183663173</v>
      </c>
      <c r="W1238">
        <f t="shared" si="448"/>
        <v>6000</v>
      </c>
      <c r="X1238">
        <f t="shared" si="449"/>
        <v>4.9019722472303764</v>
      </c>
      <c r="Y1238">
        <f t="shared" si="450"/>
        <v>6.7333770183663173</v>
      </c>
      <c r="Z1238">
        <f t="shared" si="451"/>
        <v>6000</v>
      </c>
      <c r="AA1238">
        <f t="shared" si="452"/>
        <v>4.9019722472303764</v>
      </c>
      <c r="AB1238">
        <f t="shared" si="453"/>
        <v>6.7333770183663173</v>
      </c>
      <c r="AC1238">
        <f t="shared" si="454"/>
        <v>6000</v>
      </c>
      <c r="AD1238">
        <f t="shared" si="455"/>
        <v>4.9019722472303764</v>
      </c>
      <c r="AE1238">
        <f t="shared" si="456"/>
        <v>6.7333770183663173</v>
      </c>
      <c r="AF1238">
        <f t="shared" si="457"/>
        <v>6000</v>
      </c>
      <c r="AG1238">
        <f t="shared" si="458"/>
        <v>4.9019722472303764</v>
      </c>
      <c r="AH1238">
        <f t="shared" si="459"/>
        <v>6.7333770183663173</v>
      </c>
      <c r="AI1238" cm="1">
        <f t="array" ref="AI1238">_xlfn.LET(
    _xlpm.vals,   _xlfn.HSTACK(S1238,V1238,Y1238,AB1238,AE1238,AH1238),
    _xlpm.ints,   _xlfn.HSTACK(R1238,U1238,X1238,AA1238,AD1238,AG1238),
    _xlpm.slopes, _xlfn.HSTACK(Q1238,T1238,W1238,Z1238,AC1238,AF1238),
    _xlpm.limit,  -0.00001*_xlpm.slopes + 0.1086*_xlpm.slopes + 63.253,
    _xlpm.mask,   (_xlpm.vals&gt;=0) * (_xlpm.ints&lt;=_xlpm.limit),
    _xlpm.validVals, _xlfn._xlws.FILTER(_xlpm.vals, _xlpm.mask),
    _xlpm.minVal, MIN(_xlpm.validVals),
    IFERROR( _xlfn.XMATCH(_xlpm.minVal, _xlpm.vals), "" )
)</f>
        <v>1</v>
      </c>
      <c r="AJ1238" cm="1">
        <f t="array" ref="AJ1238">_xlfn.LET(
    _xlpm.vals, CHOOSE({1,2,3,4,5,6}, S1238, V1238, Y1238, AB1238, AE1238, AH1238),
    _xlpm.slopes, CHOOSE({1,2,3,4,5,6}, Q1238, T1238, W1238, Z1238, AC1238, AF1238),
    _xlpm.ints, CHOOSE({1,2,3,4,5,6}, R1238, U1238, X1238, AA1238, AD1238, AG1238),
    _xlpm.limit, -0.00001*_xlpm.slopes + 0.1086*_xlpm.slopes + 63.253,
    _xlpm.valid, (_xlpm.vals &gt;= 0) * (_xlpm.ints &lt;= _xlpm.limit),
    _xlpm.target, MIN(_xlfn._xlws.FILTER(_xlpm.vals, _xlpm.valid)),
    IFERROR(
        _xlfn.XLOOKUP(_xlpm.target, _xlpm.vals, _xlpm.vals),
        CHOOSE({1,2,3,4,5,6}, S$1, V$1, Y$1, AB$1, AE$1, AH$1)
    )
)</f>
        <v>0.56585981249898665</v>
      </c>
    </row>
    <row r="1239" spans="9:36" x14ac:dyDescent="0.45">
      <c r="I1239">
        <v>1237</v>
      </c>
      <c r="J1239">
        <v>8.1999999999999993</v>
      </c>
      <c r="K1239">
        <f t="shared" si="438"/>
        <v>8.1999999999999993</v>
      </c>
      <c r="L1239">
        <f t="shared" si="437"/>
        <v>2.2777777777777774E-3</v>
      </c>
      <c r="M1239">
        <v>7.91</v>
      </c>
      <c r="N1239">
        <f t="shared" si="439"/>
        <v>7.91</v>
      </c>
      <c r="O1239">
        <f t="shared" si="440"/>
        <v>106.56049885486161</v>
      </c>
      <c r="P1239">
        <f t="shared" si="441"/>
        <v>340.99359633555719</v>
      </c>
      <c r="Q1239">
        <f t="shared" si="442"/>
        <v>1561.750671216852</v>
      </c>
      <c r="R1239">
        <f t="shared" si="443"/>
        <v>48.365553723476111</v>
      </c>
      <c r="S1239">
        <f t="shared" si="444"/>
        <v>1.0021860218192269</v>
      </c>
      <c r="T1239">
        <f t="shared" si="445"/>
        <v>1009.3410451532493</v>
      </c>
      <c r="U1239">
        <f t="shared" si="446"/>
        <v>74.835890558621827</v>
      </c>
      <c r="V1239">
        <f t="shared" si="447"/>
        <v>0.97489343935329087</v>
      </c>
      <c r="W1239">
        <f t="shared" si="448"/>
        <v>6000</v>
      </c>
      <c r="X1239">
        <f t="shared" si="449"/>
        <v>12.589155998568922</v>
      </c>
      <c r="Y1239">
        <f t="shared" si="450"/>
        <v>6.8012584251930486</v>
      </c>
      <c r="Z1239">
        <f t="shared" si="451"/>
        <v>6000</v>
      </c>
      <c r="AA1239">
        <f t="shared" si="452"/>
        <v>12.589155998568922</v>
      </c>
      <c r="AB1239">
        <f t="shared" si="453"/>
        <v>6.8012584251930486</v>
      </c>
      <c r="AC1239">
        <f t="shared" si="454"/>
        <v>6000</v>
      </c>
      <c r="AD1239">
        <f t="shared" si="455"/>
        <v>12.589155998568922</v>
      </c>
      <c r="AE1239">
        <f t="shared" si="456"/>
        <v>6.8012584251930486</v>
      </c>
      <c r="AF1239">
        <f t="shared" si="457"/>
        <v>6000</v>
      </c>
      <c r="AG1239">
        <f t="shared" si="458"/>
        <v>12.589155998568922</v>
      </c>
      <c r="AH1239">
        <f t="shared" si="459"/>
        <v>6.8012584251930486</v>
      </c>
      <c r="AI1239" cm="1">
        <f t="array" ref="AI1239">_xlfn.LET(
    _xlpm.vals,   _xlfn.HSTACK(S1239,V1239,Y1239,AB1239,AE1239,AH1239),
    _xlpm.ints,   _xlfn.HSTACK(R1239,U1239,X1239,AA1239,AD1239,AG1239),
    _xlpm.slopes, _xlfn.HSTACK(Q1239,T1239,W1239,Z1239,AC1239,AF1239),
    _xlpm.limit,  -0.00001*_xlpm.slopes + 0.1086*_xlpm.slopes + 63.253,
    _xlpm.mask,   (_xlpm.vals&gt;=0) * (_xlpm.ints&lt;=_xlpm.limit),
    _xlpm.validVals, _xlfn._xlws.FILTER(_xlpm.vals, _xlpm.mask),
    _xlpm.minVal, MIN(_xlpm.validVals),
    IFERROR( _xlfn.XMATCH(_xlpm.minVal, _xlpm.vals), "" )
)</f>
        <v>2</v>
      </c>
      <c r="AJ1239" cm="1">
        <f t="array" ref="AJ1239">_xlfn.LET(
    _xlpm.vals, CHOOSE({1,2,3,4,5,6}, S1239, V1239, Y1239, AB1239, AE1239, AH1239),
    _xlpm.slopes, CHOOSE({1,2,3,4,5,6}, Q1239, T1239, W1239, Z1239, AC1239, AF1239),
    _xlpm.ints, CHOOSE({1,2,3,4,5,6}, R1239, U1239, X1239, AA1239, AD1239, AG1239),
    _xlpm.limit, -0.00001*_xlpm.slopes + 0.1086*_xlpm.slopes + 63.253,
    _xlpm.valid, (_xlpm.vals &gt;= 0) * (_xlpm.ints &lt;= _xlpm.limit),
    _xlpm.target, MIN(_xlfn._xlws.FILTER(_xlpm.vals, _xlpm.valid)),
    IFERROR(
        _xlfn.XLOOKUP(_xlpm.target, _xlpm.vals, _xlpm.vals),
        CHOOSE({1,2,3,4,5,6}, S$1, V$1, Y$1, AB$1, AE$1, AH$1)
    )
)</f>
        <v>0.97489343935329087</v>
      </c>
    </row>
    <row r="1240" spans="9:36" x14ac:dyDescent="0.45">
      <c r="I1240">
        <v>1238</v>
      </c>
      <c r="J1240">
        <v>9.8000000000000007</v>
      </c>
      <c r="K1240">
        <f t="shared" si="438"/>
        <v>9.8000000000000007</v>
      </c>
      <c r="L1240">
        <f t="shared" si="437"/>
        <v>2.7222222222222222E-3</v>
      </c>
      <c r="M1240">
        <v>5.0999999999999996</v>
      </c>
      <c r="N1240">
        <f t="shared" si="439"/>
        <v>5.0999999999999996</v>
      </c>
      <c r="O1240">
        <f t="shared" si="440"/>
        <v>127.35279131434679</v>
      </c>
      <c r="P1240">
        <f t="shared" si="441"/>
        <v>407.52893220590977</v>
      </c>
      <c r="Q1240">
        <f t="shared" si="442"/>
        <v>1866.4825095030667</v>
      </c>
      <c r="R1240">
        <f t="shared" si="443"/>
        <v>26.092616640209645</v>
      </c>
      <c r="S1240">
        <f t="shared" si="444"/>
        <v>0.8159962394525665</v>
      </c>
      <c r="T1240">
        <f t="shared" si="445"/>
        <v>1206.2856393294928</v>
      </c>
      <c r="U1240">
        <f t="shared" si="446"/>
        <v>40.373035206810876</v>
      </c>
      <c r="V1240">
        <f t="shared" si="447"/>
        <v>0.73103260828146133</v>
      </c>
      <c r="W1240">
        <f t="shared" si="448"/>
        <v>6000</v>
      </c>
      <c r="X1240">
        <f t="shared" si="449"/>
        <v>8.1169020976866619</v>
      </c>
      <c r="Y1240">
        <f t="shared" si="450"/>
        <v>6.7594886062318196</v>
      </c>
      <c r="Z1240">
        <f t="shared" si="451"/>
        <v>6000</v>
      </c>
      <c r="AA1240">
        <f t="shared" si="452"/>
        <v>8.1169020976866619</v>
      </c>
      <c r="AB1240">
        <f t="shared" si="453"/>
        <v>6.7594886062318196</v>
      </c>
      <c r="AC1240">
        <f t="shared" si="454"/>
        <v>6000</v>
      </c>
      <c r="AD1240">
        <f t="shared" si="455"/>
        <v>8.1169020976866619</v>
      </c>
      <c r="AE1240">
        <f t="shared" si="456"/>
        <v>6.7594886062318196</v>
      </c>
      <c r="AF1240">
        <f t="shared" si="457"/>
        <v>6000</v>
      </c>
      <c r="AG1240">
        <f t="shared" si="458"/>
        <v>8.1169020976866619</v>
      </c>
      <c r="AH1240">
        <f t="shared" si="459"/>
        <v>6.7594886062318196</v>
      </c>
      <c r="AI1240" cm="1">
        <f t="array" ref="AI1240">_xlfn.LET(
    _xlpm.vals,   _xlfn.HSTACK(S1240,V1240,Y1240,AB1240,AE1240,AH1240),
    _xlpm.ints,   _xlfn.HSTACK(R1240,U1240,X1240,AA1240,AD1240,AG1240),
    _xlpm.slopes, _xlfn.HSTACK(Q1240,T1240,W1240,Z1240,AC1240,AF1240),
    _xlpm.limit,  -0.00001*_xlpm.slopes + 0.1086*_xlpm.slopes + 63.253,
    _xlpm.mask,   (_xlpm.vals&gt;=0) * (_xlpm.ints&lt;=_xlpm.limit),
    _xlpm.validVals, _xlfn._xlws.FILTER(_xlpm.vals, _xlpm.mask),
    _xlpm.minVal, MIN(_xlpm.validVals),
    IFERROR( _xlfn.XMATCH(_xlpm.minVal, _xlpm.vals), "" )
)</f>
        <v>2</v>
      </c>
      <c r="AJ1240" cm="1">
        <f t="array" ref="AJ1240">_xlfn.LET(
    _xlpm.vals, CHOOSE({1,2,3,4,5,6}, S1240, V1240, Y1240, AB1240, AE1240, AH1240),
    _xlpm.slopes, CHOOSE({1,2,3,4,5,6}, Q1240, T1240, W1240, Z1240, AC1240, AF1240),
    _xlpm.ints, CHOOSE({1,2,3,4,5,6}, R1240, U1240, X1240, AA1240, AD1240, AG1240),
    _xlpm.limit, -0.00001*_xlpm.slopes + 0.1086*_xlpm.slopes + 63.253,
    _xlpm.valid, (_xlpm.vals &gt;= 0) * (_xlpm.ints &lt;= _xlpm.limit),
    _xlpm.target, MIN(_xlfn._xlws.FILTER(_xlpm.vals, _xlpm.valid)),
    IFERROR(
        _xlfn.XLOOKUP(_xlpm.target, _xlpm.vals, _xlpm.vals),
        CHOOSE({1,2,3,4,5,6}, S$1, V$1, Y$1, AB$1, AE$1, AH$1)
    )
)</f>
        <v>0.73103260828146133</v>
      </c>
    </row>
    <row r="1241" spans="9:36" x14ac:dyDescent="0.45">
      <c r="I1241">
        <v>1239</v>
      </c>
      <c r="J1241">
        <v>10.4</v>
      </c>
      <c r="K1241">
        <f t="shared" si="438"/>
        <v>10.4</v>
      </c>
      <c r="L1241">
        <f t="shared" si="437"/>
        <v>2.8888888888888892E-3</v>
      </c>
      <c r="M1241">
        <v>0.54</v>
      </c>
      <c r="N1241">
        <f t="shared" si="439"/>
        <v>0.54</v>
      </c>
      <c r="O1241">
        <f t="shared" si="440"/>
        <v>135.14990098665376</v>
      </c>
      <c r="P1241">
        <f t="shared" si="441"/>
        <v>432.47968315729207</v>
      </c>
      <c r="Q1241">
        <f t="shared" si="442"/>
        <v>1980.7569488603976</v>
      </c>
      <c r="R1241">
        <f t="shared" si="443"/>
        <v>2.6033583570887902</v>
      </c>
      <c r="S1241">
        <f t="shared" si="444"/>
        <v>0.54892508552249442</v>
      </c>
      <c r="T1241">
        <f t="shared" si="445"/>
        <v>1280.1398621455846</v>
      </c>
      <c r="U1241">
        <f t="shared" si="446"/>
        <v>4.0281693498198168</v>
      </c>
      <c r="V1241">
        <f t="shared" si="447"/>
        <v>0.40045052592137165</v>
      </c>
      <c r="W1241">
        <f t="shared" si="448"/>
        <v>6000</v>
      </c>
      <c r="X1241">
        <f t="shared" si="449"/>
        <v>0.85943669269623491</v>
      </c>
      <c r="Y1241">
        <f t="shared" si="450"/>
        <v>6.7053110874033912</v>
      </c>
      <c r="Z1241">
        <f t="shared" si="451"/>
        <v>6000</v>
      </c>
      <c r="AA1241">
        <f t="shared" si="452"/>
        <v>0.85943669269623491</v>
      </c>
      <c r="AB1241">
        <f t="shared" si="453"/>
        <v>6.7053110874033912</v>
      </c>
      <c r="AC1241">
        <f t="shared" si="454"/>
        <v>6000</v>
      </c>
      <c r="AD1241">
        <f t="shared" si="455"/>
        <v>0.85943669269623491</v>
      </c>
      <c r="AE1241">
        <f t="shared" si="456"/>
        <v>6.7053110874033912</v>
      </c>
      <c r="AF1241">
        <f t="shared" si="457"/>
        <v>6000</v>
      </c>
      <c r="AG1241">
        <f t="shared" si="458"/>
        <v>0.85943669269623491</v>
      </c>
      <c r="AH1241">
        <f t="shared" si="459"/>
        <v>6.7053110874033912</v>
      </c>
      <c r="AI1241" cm="1">
        <f t="array" ref="AI1241">_xlfn.LET(
    _xlpm.vals,   _xlfn.HSTACK(S1241,V1241,Y1241,AB1241,AE1241,AH1241),
    _xlpm.ints,   _xlfn.HSTACK(R1241,U1241,X1241,AA1241,AD1241,AG1241),
    _xlpm.slopes, _xlfn.HSTACK(Q1241,T1241,W1241,Z1241,AC1241,AF1241),
    _xlpm.limit,  -0.00001*_xlpm.slopes + 0.1086*_xlpm.slopes + 63.253,
    _xlpm.mask,   (_xlpm.vals&gt;=0) * (_xlpm.ints&lt;=_xlpm.limit),
    _xlpm.validVals, _xlfn._xlws.FILTER(_xlpm.vals, _xlpm.mask),
    _xlpm.minVal, MIN(_xlpm.validVals),
    IFERROR( _xlfn.XMATCH(_xlpm.minVal, _xlpm.vals), "" )
)</f>
        <v>2</v>
      </c>
      <c r="AJ1241" cm="1">
        <f t="array" ref="AJ1241">_xlfn.LET(
    _xlpm.vals, CHOOSE({1,2,3,4,5,6}, S1241, V1241, Y1241, AB1241, AE1241, AH1241),
    _xlpm.slopes, CHOOSE({1,2,3,4,5,6}, Q1241, T1241, W1241, Z1241, AC1241, AF1241),
    _xlpm.ints, CHOOSE({1,2,3,4,5,6}, R1241, U1241, X1241, AA1241, AD1241, AG1241),
    _xlpm.limit, -0.00001*_xlpm.slopes + 0.1086*_xlpm.slopes + 63.253,
    _xlpm.valid, (_xlpm.vals &gt;= 0) * (_xlpm.ints &lt;= _xlpm.limit),
    _xlpm.target, MIN(_xlfn._xlws.FILTER(_xlpm.vals, _xlpm.valid)),
    IFERROR(
        _xlfn.XLOOKUP(_xlpm.target, _xlpm.vals, _xlpm.vals),
        CHOOSE({1,2,3,4,5,6}, S$1, V$1, Y$1, AB$1, AE$1, AH$1)
    )
)</f>
        <v>0.40045052592137165</v>
      </c>
    </row>
    <row r="1242" spans="9:36" x14ac:dyDescent="0.45">
      <c r="I1242">
        <v>1240</v>
      </c>
      <c r="J1242">
        <v>9.6999999999999993</v>
      </c>
      <c r="K1242">
        <f t="shared" si="438"/>
        <v>9.6999999999999993</v>
      </c>
      <c r="L1242">
        <f t="shared" si="437"/>
        <v>2.6944444444444442E-3</v>
      </c>
      <c r="M1242">
        <v>0.56999999999999995</v>
      </c>
      <c r="N1242">
        <f t="shared" si="439"/>
        <v>0.56999999999999995</v>
      </c>
      <c r="O1242">
        <f t="shared" si="440"/>
        <v>126.05327303562898</v>
      </c>
      <c r="P1242">
        <f t="shared" si="441"/>
        <v>403.37047371401275</v>
      </c>
      <c r="Q1242">
        <f t="shared" si="442"/>
        <v>1847.4367696101783</v>
      </c>
      <c r="R1242">
        <f t="shared" si="443"/>
        <v>2.9462978886640605</v>
      </c>
      <c r="S1242">
        <f t="shared" si="444"/>
        <v>0.51645008616237231</v>
      </c>
      <c r="T1242">
        <f t="shared" si="445"/>
        <v>1193.9766021934777</v>
      </c>
      <c r="U1242">
        <f t="shared" si="446"/>
        <v>4.5587987601626336</v>
      </c>
      <c r="V1242">
        <f t="shared" si="447"/>
        <v>0.38710339999781873</v>
      </c>
      <c r="W1242">
        <f t="shared" si="448"/>
        <v>6000</v>
      </c>
      <c r="X1242">
        <f t="shared" si="449"/>
        <v>0.90718317562380346</v>
      </c>
      <c r="Y1242">
        <f t="shared" si="450"/>
        <v>6.7056111021595477</v>
      </c>
      <c r="Z1242">
        <f t="shared" si="451"/>
        <v>6000</v>
      </c>
      <c r="AA1242">
        <f t="shared" si="452"/>
        <v>0.90718317562380346</v>
      </c>
      <c r="AB1242">
        <f t="shared" si="453"/>
        <v>6.7056111021595477</v>
      </c>
      <c r="AC1242">
        <f t="shared" si="454"/>
        <v>6000</v>
      </c>
      <c r="AD1242">
        <f t="shared" si="455"/>
        <v>0.90718317562380346</v>
      </c>
      <c r="AE1242">
        <f t="shared" si="456"/>
        <v>6.7056111021595477</v>
      </c>
      <c r="AF1242">
        <f t="shared" si="457"/>
        <v>6000</v>
      </c>
      <c r="AG1242">
        <f t="shared" si="458"/>
        <v>0.90718317562380346</v>
      </c>
      <c r="AH1242">
        <f t="shared" si="459"/>
        <v>6.7056111021595477</v>
      </c>
      <c r="AI1242" cm="1">
        <f t="array" ref="AI1242">_xlfn.LET(
    _xlpm.vals,   _xlfn.HSTACK(S1242,V1242,Y1242,AB1242,AE1242,AH1242),
    _xlpm.ints,   _xlfn.HSTACK(R1242,U1242,X1242,AA1242,AD1242,AG1242),
    _xlpm.slopes, _xlfn.HSTACK(Q1242,T1242,W1242,Z1242,AC1242,AF1242),
    _xlpm.limit,  -0.00001*_xlpm.slopes + 0.1086*_xlpm.slopes + 63.253,
    _xlpm.mask,   (_xlpm.vals&gt;=0) * (_xlpm.ints&lt;=_xlpm.limit),
    _xlpm.validVals, _xlfn._xlws.FILTER(_xlpm.vals, _xlpm.mask),
    _xlpm.minVal, MIN(_xlpm.validVals),
    IFERROR( _xlfn.XMATCH(_xlpm.minVal, _xlpm.vals), "" )
)</f>
        <v>2</v>
      </c>
      <c r="AJ1242" cm="1">
        <f t="array" ref="AJ1242">_xlfn.LET(
    _xlpm.vals, CHOOSE({1,2,3,4,5,6}, S1242, V1242, Y1242, AB1242, AE1242, AH1242),
    _xlpm.slopes, CHOOSE({1,2,3,4,5,6}, Q1242, T1242, W1242, Z1242, AC1242, AF1242),
    _xlpm.ints, CHOOSE({1,2,3,4,5,6}, R1242, U1242, X1242, AA1242, AD1242, AG1242),
    _xlpm.limit, -0.00001*_xlpm.slopes + 0.1086*_xlpm.slopes + 63.253,
    _xlpm.valid, (_xlpm.vals &gt;= 0) * (_xlpm.ints &lt;= _xlpm.limit),
    _xlpm.target, MIN(_xlfn._xlws.FILTER(_xlpm.vals, _xlpm.valid)),
    IFERROR(
        _xlfn.XLOOKUP(_xlpm.target, _xlpm.vals, _xlpm.vals),
        CHOOSE({1,2,3,4,5,6}, S$1, V$1, Y$1, AB$1, AE$1, AH$1)
    )
)</f>
        <v>0.38710339999781873</v>
      </c>
    </row>
    <row r="1243" spans="9:36" x14ac:dyDescent="0.45">
      <c r="I1243">
        <v>1241</v>
      </c>
      <c r="J1243">
        <v>8.4</v>
      </c>
      <c r="K1243">
        <f t="shared" si="438"/>
        <v>8.4</v>
      </c>
      <c r="L1243">
        <f t="shared" si="437"/>
        <v>2.3333333333333335E-3</v>
      </c>
      <c r="M1243">
        <v>0.11</v>
      </c>
      <c r="N1243">
        <f t="shared" si="439"/>
        <v>0.11</v>
      </c>
      <c r="O1243">
        <f t="shared" si="440"/>
        <v>109.15953541229727</v>
      </c>
      <c r="P1243">
        <f t="shared" si="441"/>
        <v>349.31051331935129</v>
      </c>
      <c r="Q1243">
        <f t="shared" si="442"/>
        <v>1599.842151002629</v>
      </c>
      <c r="R1243">
        <f t="shared" si="443"/>
        <v>0.65657891545625557</v>
      </c>
      <c r="S1243">
        <f t="shared" si="444"/>
        <v>0.43556670432033617</v>
      </c>
      <c r="T1243">
        <f t="shared" si="445"/>
        <v>1033.9591194252798</v>
      </c>
      <c r="U1243">
        <f t="shared" si="446"/>
        <v>1.0159227813478551</v>
      </c>
      <c r="V1243">
        <f t="shared" si="447"/>
        <v>0.3320284265334485</v>
      </c>
      <c r="W1243">
        <f t="shared" si="448"/>
        <v>6000</v>
      </c>
      <c r="X1243">
        <f t="shared" si="449"/>
        <v>0.17507043740108488</v>
      </c>
      <c r="Y1243">
        <f t="shared" si="450"/>
        <v>6.7010943726486767</v>
      </c>
      <c r="Z1243">
        <f t="shared" si="451"/>
        <v>6000</v>
      </c>
      <c r="AA1243">
        <f t="shared" si="452"/>
        <v>0.17507043740108488</v>
      </c>
      <c r="AB1243">
        <f t="shared" si="453"/>
        <v>6.7010943726486767</v>
      </c>
      <c r="AC1243">
        <f t="shared" si="454"/>
        <v>6000</v>
      </c>
      <c r="AD1243">
        <f t="shared" si="455"/>
        <v>0.17507043740108488</v>
      </c>
      <c r="AE1243">
        <f t="shared" si="456"/>
        <v>6.7010943726486767</v>
      </c>
      <c r="AF1243">
        <f t="shared" si="457"/>
        <v>6000</v>
      </c>
      <c r="AG1243">
        <f t="shared" si="458"/>
        <v>0.17507043740108488</v>
      </c>
      <c r="AH1243">
        <f t="shared" si="459"/>
        <v>6.7010943726486767</v>
      </c>
      <c r="AI1243" cm="1">
        <f t="array" ref="AI1243">_xlfn.LET(
    _xlpm.vals,   _xlfn.HSTACK(S1243,V1243,Y1243,AB1243,AE1243,AH1243),
    _xlpm.ints,   _xlfn.HSTACK(R1243,U1243,X1243,AA1243,AD1243,AG1243),
    _xlpm.slopes, _xlfn.HSTACK(Q1243,T1243,W1243,Z1243,AC1243,AF1243),
    _xlpm.limit,  -0.00001*_xlpm.slopes + 0.1086*_xlpm.slopes + 63.253,
    _xlpm.mask,   (_xlpm.vals&gt;=0) * (_xlpm.ints&lt;=_xlpm.limit),
    _xlpm.validVals, _xlfn._xlws.FILTER(_xlpm.vals, _xlpm.mask),
    _xlpm.minVal, MIN(_xlpm.validVals),
    IFERROR( _xlfn.XMATCH(_xlpm.minVal, _xlpm.vals), "" )
)</f>
        <v>2</v>
      </c>
      <c r="AJ1243" cm="1">
        <f t="array" ref="AJ1243">_xlfn.LET(
    _xlpm.vals, CHOOSE({1,2,3,4,5,6}, S1243, V1243, Y1243, AB1243, AE1243, AH1243),
    _xlpm.slopes, CHOOSE({1,2,3,4,5,6}, Q1243, T1243, W1243, Z1243, AC1243, AF1243),
    _xlpm.ints, CHOOSE({1,2,3,4,5,6}, R1243, U1243, X1243, AA1243, AD1243, AG1243),
    _xlpm.limit, -0.00001*_xlpm.slopes + 0.1086*_xlpm.slopes + 63.253,
    _xlpm.valid, (_xlpm.vals &gt;= 0) * (_xlpm.ints &lt;= _xlpm.limit),
    _xlpm.target, MIN(_xlfn._xlws.FILTER(_xlpm.vals, _xlpm.valid)),
    IFERROR(
        _xlfn.XLOOKUP(_xlpm.target, _xlpm.vals, _xlpm.vals),
        CHOOSE({1,2,3,4,5,6}, S$1, V$1, Y$1, AB$1, AE$1, AH$1)
    )
)</f>
        <v>0.3320284265334485</v>
      </c>
    </row>
    <row r="1244" spans="9:36" x14ac:dyDescent="0.45">
      <c r="I1244">
        <v>1242</v>
      </c>
      <c r="J1244">
        <v>7.8</v>
      </c>
      <c r="K1244">
        <f t="shared" si="438"/>
        <v>7.8</v>
      </c>
      <c r="L1244">
        <f t="shared" si="437"/>
        <v>2.1666666666666666E-3</v>
      </c>
      <c r="M1244">
        <v>0.19</v>
      </c>
      <c r="N1244">
        <f t="shared" si="439"/>
        <v>0.19</v>
      </c>
      <c r="O1244">
        <f t="shared" si="440"/>
        <v>101.36242573999031</v>
      </c>
      <c r="P1244">
        <f t="shared" si="441"/>
        <v>324.35976236796904</v>
      </c>
      <c r="Q1244">
        <f t="shared" si="442"/>
        <v>1485.5677116452982</v>
      </c>
      <c r="R1244">
        <f t="shared" si="443"/>
        <v>1.2213286119675804</v>
      </c>
      <c r="S1244">
        <f t="shared" si="444"/>
        <v>0.41754869286145352</v>
      </c>
      <c r="T1244">
        <f t="shared" si="445"/>
        <v>6000</v>
      </c>
      <c r="U1244">
        <f t="shared" si="446"/>
        <v>0.30239439187460115</v>
      </c>
      <c r="V1244">
        <f t="shared" si="447"/>
        <v>6.7018670432412675</v>
      </c>
      <c r="W1244">
        <f t="shared" si="448"/>
        <v>6000</v>
      </c>
      <c r="X1244">
        <f t="shared" si="449"/>
        <v>0.30239439187460115</v>
      </c>
      <c r="Y1244">
        <f t="shared" si="450"/>
        <v>6.7018670432412675</v>
      </c>
      <c r="Z1244">
        <f t="shared" si="451"/>
        <v>6000</v>
      </c>
      <c r="AA1244">
        <f t="shared" si="452"/>
        <v>0.30239439187460115</v>
      </c>
      <c r="AB1244">
        <f t="shared" si="453"/>
        <v>6.7018670432412675</v>
      </c>
      <c r="AC1244">
        <f t="shared" si="454"/>
        <v>6000</v>
      </c>
      <c r="AD1244">
        <f t="shared" si="455"/>
        <v>0.30239439187460115</v>
      </c>
      <c r="AE1244">
        <f t="shared" si="456"/>
        <v>6.7018670432412675</v>
      </c>
      <c r="AF1244">
        <f t="shared" si="457"/>
        <v>6000</v>
      </c>
      <c r="AG1244">
        <f t="shared" si="458"/>
        <v>0.30239439187460115</v>
      </c>
      <c r="AH1244">
        <f t="shared" si="459"/>
        <v>6.7018670432412675</v>
      </c>
      <c r="AI1244" cm="1">
        <f t="array" ref="AI1244">_xlfn.LET(
    _xlpm.vals,   _xlfn.HSTACK(S1244,V1244,Y1244,AB1244,AE1244,AH1244),
    _xlpm.ints,   _xlfn.HSTACK(R1244,U1244,X1244,AA1244,AD1244,AG1244),
    _xlpm.slopes, _xlfn.HSTACK(Q1244,T1244,W1244,Z1244,AC1244,AF1244),
    _xlpm.limit,  -0.00001*_xlpm.slopes + 0.1086*_xlpm.slopes + 63.253,
    _xlpm.mask,   (_xlpm.vals&gt;=0) * (_xlpm.ints&lt;=_xlpm.limit),
    _xlpm.validVals, _xlfn._xlws.FILTER(_xlpm.vals, _xlpm.mask),
    _xlpm.minVal, MIN(_xlpm.validVals),
    IFERROR( _xlfn.XMATCH(_xlpm.minVal, _xlpm.vals), "" )
)</f>
        <v>1</v>
      </c>
      <c r="AJ1244" cm="1">
        <f t="array" ref="AJ1244">_xlfn.LET(
    _xlpm.vals, CHOOSE({1,2,3,4,5,6}, S1244, V1244, Y1244, AB1244, AE1244, AH1244),
    _xlpm.slopes, CHOOSE({1,2,3,4,5,6}, Q1244, T1244, W1244, Z1244, AC1244, AF1244),
    _xlpm.ints, CHOOSE({1,2,3,4,5,6}, R1244, U1244, X1244, AA1244, AD1244, AG1244),
    _xlpm.limit, -0.00001*_xlpm.slopes + 0.1086*_xlpm.slopes + 63.253,
    _xlpm.valid, (_xlpm.vals &gt;= 0) * (_xlpm.ints &lt;= _xlpm.limit),
    _xlpm.target, MIN(_xlfn._xlws.FILTER(_xlpm.vals, _xlpm.valid)),
    IFERROR(
        _xlfn.XLOOKUP(_xlpm.target, _xlpm.vals, _xlpm.vals),
        CHOOSE({1,2,3,4,5,6}, S$1, V$1, Y$1, AB$1, AE$1, AH$1)
    )
)</f>
        <v>0.41754869286145352</v>
      </c>
    </row>
    <row r="1245" spans="9:36" x14ac:dyDescent="0.45">
      <c r="I1245">
        <v>1243</v>
      </c>
      <c r="J1245">
        <v>9.8000000000000007</v>
      </c>
      <c r="K1245">
        <f t="shared" si="438"/>
        <v>9.8000000000000007</v>
      </c>
      <c r="L1245">
        <f t="shared" si="437"/>
        <v>2.7222222222222222E-3</v>
      </c>
      <c r="M1245">
        <v>6.31</v>
      </c>
      <c r="N1245">
        <f t="shared" si="439"/>
        <v>6.31</v>
      </c>
      <c r="O1245">
        <f t="shared" si="440"/>
        <v>127.35279131434679</v>
      </c>
      <c r="P1245">
        <f t="shared" si="441"/>
        <v>407.52893220590977</v>
      </c>
      <c r="Q1245">
        <f t="shared" si="442"/>
        <v>1866.4825095030667</v>
      </c>
      <c r="R1245">
        <f t="shared" si="443"/>
        <v>32.283217843082916</v>
      </c>
      <c r="S1245">
        <f t="shared" si="444"/>
        <v>0.90604247496844514</v>
      </c>
      <c r="T1245">
        <f t="shared" si="445"/>
        <v>1206.2856393294928</v>
      </c>
      <c r="U1245">
        <f t="shared" si="446"/>
        <v>49.951735716662078</v>
      </c>
      <c r="V1245">
        <f t="shared" si="447"/>
        <v>0.83840110891056807</v>
      </c>
      <c r="W1245">
        <f t="shared" si="448"/>
        <v>6000</v>
      </c>
      <c r="X1245">
        <f t="shared" si="449"/>
        <v>10.042676909098596</v>
      </c>
      <c r="Y1245">
        <f t="shared" si="450"/>
        <v>6.7767067904652878</v>
      </c>
      <c r="Z1245">
        <f t="shared" si="451"/>
        <v>6000</v>
      </c>
      <c r="AA1245">
        <f t="shared" si="452"/>
        <v>10.042676909098596</v>
      </c>
      <c r="AB1245">
        <f t="shared" si="453"/>
        <v>6.7767067904652878</v>
      </c>
      <c r="AC1245">
        <f t="shared" si="454"/>
        <v>6000</v>
      </c>
      <c r="AD1245">
        <f t="shared" si="455"/>
        <v>10.042676909098596</v>
      </c>
      <c r="AE1245">
        <f t="shared" si="456"/>
        <v>6.7767067904652878</v>
      </c>
      <c r="AF1245">
        <f t="shared" si="457"/>
        <v>6000</v>
      </c>
      <c r="AG1245">
        <f t="shared" si="458"/>
        <v>10.042676909098596</v>
      </c>
      <c r="AH1245">
        <f t="shared" si="459"/>
        <v>6.7767067904652878</v>
      </c>
      <c r="AI1245" cm="1">
        <f t="array" ref="AI1245">_xlfn.LET(
    _xlpm.vals,   _xlfn.HSTACK(S1245,V1245,Y1245,AB1245,AE1245,AH1245),
    _xlpm.ints,   _xlfn.HSTACK(R1245,U1245,X1245,AA1245,AD1245,AG1245),
    _xlpm.slopes, _xlfn.HSTACK(Q1245,T1245,W1245,Z1245,AC1245,AF1245),
    _xlpm.limit,  -0.00001*_xlpm.slopes + 0.1086*_xlpm.slopes + 63.253,
    _xlpm.mask,   (_xlpm.vals&gt;=0) * (_xlpm.ints&lt;=_xlpm.limit),
    _xlpm.validVals, _xlfn._xlws.FILTER(_xlpm.vals, _xlpm.mask),
    _xlpm.minVal, MIN(_xlpm.validVals),
    IFERROR( _xlfn.XMATCH(_xlpm.minVal, _xlpm.vals), "" )
)</f>
        <v>2</v>
      </c>
      <c r="AJ1245" cm="1">
        <f t="array" ref="AJ1245">_xlfn.LET(
    _xlpm.vals, CHOOSE({1,2,3,4,5,6}, S1245, V1245, Y1245, AB1245, AE1245, AH1245),
    _xlpm.slopes, CHOOSE({1,2,3,4,5,6}, Q1245, T1245, W1245, Z1245, AC1245, AF1245),
    _xlpm.ints, CHOOSE({1,2,3,4,5,6}, R1245, U1245, X1245, AA1245, AD1245, AG1245),
    _xlpm.limit, -0.00001*_xlpm.slopes + 0.1086*_xlpm.slopes + 63.253,
    _xlpm.valid, (_xlpm.vals &gt;= 0) * (_xlpm.ints &lt;= _xlpm.limit),
    _xlpm.target, MIN(_xlfn._xlws.FILTER(_xlpm.vals, _xlpm.valid)),
    IFERROR(
        _xlfn.XLOOKUP(_xlpm.target, _xlpm.vals, _xlpm.vals),
        CHOOSE({1,2,3,4,5,6}, S$1, V$1, Y$1, AB$1, AE$1, AH$1)
    )
)</f>
        <v>0.83840110891056807</v>
      </c>
    </row>
    <row r="1246" spans="9:36" x14ac:dyDescent="0.45">
      <c r="I1246">
        <v>1244</v>
      </c>
      <c r="J1246">
        <v>12</v>
      </c>
      <c r="K1246">
        <f t="shared" si="438"/>
        <v>12</v>
      </c>
      <c r="L1246">
        <f t="shared" si="437"/>
        <v>3.3333333333333331E-3</v>
      </c>
      <c r="M1246">
        <v>11.08</v>
      </c>
      <c r="N1246">
        <f t="shared" si="439"/>
        <v>11.08</v>
      </c>
      <c r="O1246">
        <f t="shared" si="440"/>
        <v>155.94219344613896</v>
      </c>
      <c r="P1246">
        <f t="shared" si="441"/>
        <v>499.01501902764471</v>
      </c>
      <c r="Q1246">
        <f t="shared" si="442"/>
        <v>2285.4887871466126</v>
      </c>
      <c r="R1246">
        <f t="shared" si="443"/>
        <v>46.294782438897442</v>
      </c>
      <c r="S1246">
        <f t="shared" si="444"/>
        <v>1.343708616750094</v>
      </c>
      <c r="T1246">
        <f t="shared" si="445"/>
        <v>1477.0844563218284</v>
      </c>
      <c r="U1246">
        <f t="shared" si="446"/>
        <v>71.631791746672391</v>
      </c>
      <c r="V1246">
        <f t="shared" si="447"/>
        <v>1.2822591225476758</v>
      </c>
      <c r="W1246">
        <f t="shared" si="448"/>
        <v>6000</v>
      </c>
      <c r="X1246">
        <f t="shared" si="449"/>
        <v>17.634367694582004</v>
      </c>
      <c r="Y1246">
        <f t="shared" si="450"/>
        <v>6.8557737899462037</v>
      </c>
      <c r="Z1246">
        <f t="shared" si="451"/>
        <v>6000</v>
      </c>
      <c r="AA1246">
        <f t="shared" si="452"/>
        <v>17.634367694582004</v>
      </c>
      <c r="AB1246">
        <f t="shared" si="453"/>
        <v>6.8557737899462037</v>
      </c>
      <c r="AC1246">
        <f t="shared" si="454"/>
        <v>6000</v>
      </c>
      <c r="AD1246">
        <f t="shared" si="455"/>
        <v>17.634367694582004</v>
      </c>
      <c r="AE1246">
        <f t="shared" si="456"/>
        <v>6.8557737899462037</v>
      </c>
      <c r="AF1246">
        <f t="shared" si="457"/>
        <v>6000</v>
      </c>
      <c r="AG1246">
        <f t="shared" si="458"/>
        <v>17.634367694582004</v>
      </c>
      <c r="AH1246">
        <f t="shared" si="459"/>
        <v>6.8557737899462037</v>
      </c>
      <c r="AI1246" cm="1">
        <f t="array" ref="AI1246">_xlfn.LET(
    _xlpm.vals,   _xlfn.HSTACK(S1246,V1246,Y1246,AB1246,AE1246,AH1246),
    _xlpm.ints,   _xlfn.HSTACK(R1246,U1246,X1246,AA1246,AD1246,AG1246),
    _xlpm.slopes, _xlfn.HSTACK(Q1246,T1246,W1246,Z1246,AC1246,AF1246),
    _xlpm.limit,  -0.00001*_xlpm.slopes + 0.1086*_xlpm.slopes + 63.253,
    _xlpm.mask,   (_xlpm.vals&gt;=0) * (_xlpm.ints&lt;=_xlpm.limit),
    _xlpm.validVals, _xlfn._xlws.FILTER(_xlpm.vals, _xlpm.mask),
    _xlpm.minVal, MIN(_xlpm.validVals),
    IFERROR( _xlfn.XMATCH(_xlpm.minVal, _xlpm.vals), "" )
)</f>
        <v>2</v>
      </c>
      <c r="AJ1246" cm="1">
        <f t="array" ref="AJ1246">_xlfn.LET(
    _xlpm.vals, CHOOSE({1,2,3,4,5,6}, S1246, V1246, Y1246, AB1246, AE1246, AH1246),
    _xlpm.slopes, CHOOSE({1,2,3,4,5,6}, Q1246, T1246, W1246, Z1246, AC1246, AF1246),
    _xlpm.ints, CHOOSE({1,2,3,4,5,6}, R1246, U1246, X1246, AA1246, AD1246, AG1246),
    _xlpm.limit, -0.00001*_xlpm.slopes + 0.1086*_xlpm.slopes + 63.253,
    _xlpm.valid, (_xlpm.vals &gt;= 0) * (_xlpm.ints &lt;= _xlpm.limit),
    _xlpm.target, MIN(_xlfn._xlws.FILTER(_xlpm.vals, _xlpm.valid)),
    IFERROR(
        _xlfn.XLOOKUP(_xlpm.target, _xlpm.vals, _xlpm.vals),
        CHOOSE({1,2,3,4,5,6}, S$1, V$1, Y$1, AB$1, AE$1, AH$1)
    )
)</f>
        <v>1.2822591225476758</v>
      </c>
    </row>
    <row r="1247" spans="9:36" x14ac:dyDescent="0.45">
      <c r="I1247">
        <v>1245</v>
      </c>
      <c r="J1247">
        <v>15.2</v>
      </c>
      <c r="K1247">
        <f t="shared" si="438"/>
        <v>15.2</v>
      </c>
      <c r="L1247">
        <f t="shared" si="437"/>
        <v>4.2222222222222218E-3</v>
      </c>
      <c r="M1247">
        <v>20.41</v>
      </c>
      <c r="N1247">
        <f t="shared" si="439"/>
        <v>20.41</v>
      </c>
      <c r="O1247">
        <f t="shared" si="440"/>
        <v>197.52677836510932</v>
      </c>
      <c r="P1247">
        <f t="shared" si="441"/>
        <v>632.08569076834988</v>
      </c>
      <c r="Q1247">
        <f t="shared" si="442"/>
        <v>2894.9524637190425</v>
      </c>
      <c r="R1247">
        <f t="shared" si="443"/>
        <v>67.324471041556393</v>
      </c>
      <c r="S1247">
        <f t="shared" si="444"/>
        <v>2.2007824961523097</v>
      </c>
      <c r="T1247">
        <f t="shared" si="445"/>
        <v>1870.9736446743157</v>
      </c>
      <c r="U1247">
        <f t="shared" si="446"/>
        <v>104.17097208457038</v>
      </c>
      <c r="V1247">
        <f t="shared" si="447"/>
        <v>2.1063676951532337</v>
      </c>
      <c r="W1247">
        <f t="shared" si="448"/>
        <v>1207.2836693675483</v>
      </c>
      <c r="X1247">
        <f t="shared" si="449"/>
        <v>161.43773684310383</v>
      </c>
      <c r="Y1247">
        <f t="shared" si="450"/>
        <v>1.8517605900874183</v>
      </c>
      <c r="Z1247">
        <f t="shared" si="451"/>
        <v>6000</v>
      </c>
      <c r="AA1247">
        <f t="shared" si="452"/>
        <v>32.483523885055838</v>
      </c>
      <c r="AB1247">
        <f t="shared" si="453"/>
        <v>7.0592119642269697</v>
      </c>
      <c r="AC1247">
        <f t="shared" si="454"/>
        <v>6000</v>
      </c>
      <c r="AD1247">
        <f t="shared" si="455"/>
        <v>32.483523885055838</v>
      </c>
      <c r="AE1247">
        <f t="shared" si="456"/>
        <v>7.0592119642269697</v>
      </c>
      <c r="AF1247">
        <f t="shared" si="457"/>
        <v>6000</v>
      </c>
      <c r="AG1247">
        <f t="shared" si="458"/>
        <v>32.483523885055838</v>
      </c>
      <c r="AH1247">
        <f t="shared" si="459"/>
        <v>7.0592119642269697</v>
      </c>
      <c r="AI1247" cm="1">
        <f t="array" ref="AI1247">_xlfn.LET(
    _xlpm.vals,   _xlfn.HSTACK(S1247,V1247,Y1247,AB1247,AE1247,AH1247),
    _xlpm.ints,   _xlfn.HSTACK(R1247,U1247,X1247,AA1247,AD1247,AG1247),
    _xlpm.slopes, _xlfn.HSTACK(Q1247,T1247,W1247,Z1247,AC1247,AF1247),
    _xlpm.limit,  -0.00001*_xlpm.slopes + 0.1086*_xlpm.slopes + 63.253,
    _xlpm.mask,   (_xlpm.vals&gt;=0) * (_xlpm.ints&lt;=_xlpm.limit),
    _xlpm.validVals, _xlfn._xlws.FILTER(_xlpm.vals, _xlpm.mask),
    _xlpm.minVal, MIN(_xlpm.validVals),
    IFERROR( _xlfn.XMATCH(_xlpm.minVal, _xlpm.vals), "" )
)</f>
        <v>3</v>
      </c>
      <c r="AJ1247" cm="1">
        <f t="array" ref="AJ1247">_xlfn.LET(
    _xlpm.vals, CHOOSE({1,2,3,4,5,6}, S1247, V1247, Y1247, AB1247, AE1247, AH1247),
    _xlpm.slopes, CHOOSE({1,2,3,4,5,6}, Q1247, T1247, W1247, Z1247, AC1247, AF1247),
    _xlpm.ints, CHOOSE({1,2,3,4,5,6}, R1247, U1247, X1247, AA1247, AD1247, AG1247),
    _xlpm.limit, -0.00001*_xlpm.slopes + 0.1086*_xlpm.slopes + 63.253,
    _xlpm.valid, (_xlpm.vals &gt;= 0) * (_xlpm.ints &lt;= _xlpm.limit),
    _xlpm.target, MIN(_xlfn._xlws.FILTER(_xlpm.vals, _xlpm.valid)),
    IFERROR(
        _xlfn.XLOOKUP(_xlpm.target, _xlpm.vals, _xlpm.vals),
        CHOOSE({1,2,3,4,5,6}, S$1, V$1, Y$1, AB$1, AE$1, AH$1)
    )
)</f>
        <v>1.8517605900874183</v>
      </c>
    </row>
    <row r="1248" spans="9:36" x14ac:dyDescent="0.45">
      <c r="I1248">
        <v>1246</v>
      </c>
      <c r="J1248">
        <v>18</v>
      </c>
      <c r="K1248">
        <f t="shared" si="438"/>
        <v>18</v>
      </c>
      <c r="L1248">
        <f t="shared" si="437"/>
        <v>5.0000000000000001E-3</v>
      </c>
      <c r="M1248">
        <v>20.84</v>
      </c>
      <c r="N1248">
        <f t="shared" si="439"/>
        <v>20.84</v>
      </c>
      <c r="O1248">
        <f t="shared" si="440"/>
        <v>233.91329016920844</v>
      </c>
      <c r="P1248">
        <f t="shared" si="441"/>
        <v>748.52252854146707</v>
      </c>
      <c r="Q1248">
        <f t="shared" si="442"/>
        <v>3428.2331807199193</v>
      </c>
      <c r="R1248">
        <f t="shared" si="443"/>
        <v>58.049534658641555</v>
      </c>
      <c r="S1248">
        <f t="shared" si="444"/>
        <v>2.4648901614231025</v>
      </c>
      <c r="T1248">
        <f t="shared" si="445"/>
        <v>2215.6266844827423</v>
      </c>
      <c r="U1248">
        <f t="shared" si="446"/>
        <v>89.819888086681871</v>
      </c>
      <c r="V1248">
        <f t="shared" si="447"/>
        <v>2.1442982843946203</v>
      </c>
      <c r="W1248">
        <f t="shared" si="448"/>
        <v>1429.6780295142021</v>
      </c>
      <c r="X1248">
        <f t="shared" si="449"/>
        <v>139.19731347464835</v>
      </c>
      <c r="Y1248">
        <f t="shared" si="450"/>
        <v>2.0647960066768669</v>
      </c>
      <c r="Z1248">
        <f t="shared" si="451"/>
        <v>1077.8724410997124</v>
      </c>
      <c r="AA1248">
        <f t="shared" si="452"/>
        <v>184.62976995595722</v>
      </c>
      <c r="AB1248">
        <f t="shared" si="453"/>
        <v>1.5847854805341104</v>
      </c>
      <c r="AC1248">
        <f t="shared" si="454"/>
        <v>6000</v>
      </c>
      <c r="AD1248">
        <f t="shared" si="455"/>
        <v>33.167890140350991</v>
      </c>
      <c r="AE1248">
        <f t="shared" si="456"/>
        <v>7.0700588447626078</v>
      </c>
      <c r="AF1248">
        <f t="shared" si="457"/>
        <v>6000</v>
      </c>
      <c r="AG1248">
        <f t="shared" si="458"/>
        <v>33.167890140350991</v>
      </c>
      <c r="AH1248">
        <f t="shared" si="459"/>
        <v>7.0700588447626078</v>
      </c>
      <c r="AI1248" cm="1">
        <f t="array" ref="AI1248">_xlfn.LET(
    _xlpm.vals,   _xlfn.HSTACK(S1248,V1248,Y1248,AB1248,AE1248,AH1248),
    _xlpm.ints,   _xlfn.HSTACK(R1248,U1248,X1248,AA1248,AD1248,AG1248),
    _xlpm.slopes, _xlfn.HSTACK(Q1248,T1248,W1248,Z1248,AC1248,AF1248),
    _xlpm.limit,  -0.00001*_xlpm.slopes + 0.1086*_xlpm.slopes + 63.253,
    _xlpm.mask,   (_xlpm.vals&gt;=0) * (_xlpm.ints&lt;=_xlpm.limit),
    _xlpm.validVals, _xlfn._xlws.FILTER(_xlpm.vals, _xlpm.mask),
    _xlpm.minVal, MIN(_xlpm.validVals),
    IFERROR( _xlfn.XMATCH(_xlpm.minVal, _xlpm.vals), "" )
)</f>
        <v>3</v>
      </c>
      <c r="AJ1248" cm="1">
        <f t="array" ref="AJ1248">_xlfn.LET(
    _xlpm.vals, CHOOSE({1,2,3,4,5,6}, S1248, V1248, Y1248, AB1248, AE1248, AH1248),
    _xlpm.slopes, CHOOSE({1,2,3,4,5,6}, Q1248, T1248, W1248, Z1248, AC1248, AF1248),
    _xlpm.ints, CHOOSE({1,2,3,4,5,6}, R1248, U1248, X1248, AA1248, AD1248, AG1248),
    _xlpm.limit, -0.00001*_xlpm.slopes + 0.1086*_xlpm.slopes + 63.253,
    _xlpm.valid, (_xlpm.vals &gt;= 0) * (_xlpm.ints &lt;= _xlpm.limit),
    _xlpm.target, MIN(_xlfn._xlws.FILTER(_xlpm.vals, _xlpm.valid)),
    IFERROR(
        _xlfn.XLOOKUP(_xlpm.target, _xlpm.vals, _xlpm.vals),
        CHOOSE({1,2,3,4,5,6}, S$1, V$1, Y$1, AB$1, AE$1, AH$1)
    )
)</f>
        <v>2.0647960066768669</v>
      </c>
    </row>
    <row r="1249" spans="9:36" x14ac:dyDescent="0.45">
      <c r="I1249">
        <v>1247</v>
      </c>
      <c r="J1249">
        <v>19.399999999999999</v>
      </c>
      <c r="K1249">
        <f t="shared" si="438"/>
        <v>19.399999999999999</v>
      </c>
      <c r="L1249">
        <f t="shared" si="437"/>
        <v>5.3888888888888884E-3</v>
      </c>
      <c r="M1249">
        <v>12.33</v>
      </c>
      <c r="N1249">
        <f t="shared" si="439"/>
        <v>12.33</v>
      </c>
      <c r="O1249">
        <f t="shared" si="440"/>
        <v>252.10654607125795</v>
      </c>
      <c r="P1249">
        <f t="shared" si="441"/>
        <v>806.74094742802549</v>
      </c>
      <c r="Q1249">
        <f t="shared" si="442"/>
        <v>3694.8735392203566</v>
      </c>
      <c r="R1249">
        <f t="shared" si="443"/>
        <v>31.866537690550761</v>
      </c>
      <c r="S1249">
        <f t="shared" si="444"/>
        <v>2.1533697803818423</v>
      </c>
      <c r="T1249">
        <f t="shared" si="445"/>
        <v>2387.9532043869553</v>
      </c>
      <c r="U1249">
        <f t="shared" si="446"/>
        <v>49.307007642811648</v>
      </c>
      <c r="V1249">
        <f t="shared" si="447"/>
        <v>1.4599250563361303</v>
      </c>
      <c r="W1249">
        <f t="shared" si="448"/>
        <v>1540.8752095875286</v>
      </c>
      <c r="X1249">
        <f t="shared" si="449"/>
        <v>76.412954252734281</v>
      </c>
      <c r="Y1249">
        <f t="shared" si="450"/>
        <v>1.3960054458691915</v>
      </c>
      <c r="Z1249">
        <f t="shared" si="451"/>
        <v>1161.7069642963568</v>
      </c>
      <c r="AA1249">
        <f t="shared" si="452"/>
        <v>101.35329348800171</v>
      </c>
      <c r="AB1249">
        <f t="shared" si="453"/>
        <v>1.3791300616189397</v>
      </c>
      <c r="AC1249">
        <f t="shared" si="454"/>
        <v>6000</v>
      </c>
      <c r="AD1249">
        <f t="shared" si="455"/>
        <v>19.623804483230696</v>
      </c>
      <c r="AE1249">
        <f t="shared" si="456"/>
        <v>6.8793694721585492</v>
      </c>
      <c r="AF1249">
        <f t="shared" si="457"/>
        <v>6000</v>
      </c>
      <c r="AG1249">
        <f t="shared" si="458"/>
        <v>19.623804483230696</v>
      </c>
      <c r="AH1249">
        <f t="shared" si="459"/>
        <v>6.8793694721585492</v>
      </c>
      <c r="AI1249" cm="1">
        <f t="array" ref="AI1249">_xlfn.LET(
    _xlpm.vals,   _xlfn.HSTACK(S1249,V1249,Y1249,AB1249,AE1249,AH1249),
    _xlpm.ints,   _xlfn.HSTACK(R1249,U1249,X1249,AA1249,AD1249,AG1249),
    _xlpm.slopes, _xlfn.HSTACK(Q1249,T1249,W1249,Z1249,AC1249,AF1249),
    _xlpm.limit,  -0.00001*_xlpm.slopes + 0.1086*_xlpm.slopes + 63.253,
    _xlpm.mask,   (_xlpm.vals&gt;=0) * (_xlpm.ints&lt;=_xlpm.limit),
    _xlpm.validVals, _xlfn._xlws.FILTER(_xlpm.vals, _xlpm.mask),
    _xlpm.minVal, MIN(_xlpm.validVals),
    IFERROR( _xlfn.XMATCH(_xlpm.minVal, _xlpm.vals), "" )
)</f>
        <v>4</v>
      </c>
      <c r="AJ1249" cm="1">
        <f t="array" ref="AJ1249">_xlfn.LET(
    _xlpm.vals, CHOOSE({1,2,3,4,5,6}, S1249, V1249, Y1249, AB1249, AE1249, AH1249),
    _xlpm.slopes, CHOOSE({1,2,3,4,5,6}, Q1249, T1249, W1249, Z1249, AC1249, AF1249),
    _xlpm.ints, CHOOSE({1,2,3,4,5,6}, R1249, U1249, X1249, AA1249, AD1249, AG1249),
    _xlpm.limit, -0.00001*_xlpm.slopes + 0.1086*_xlpm.slopes + 63.253,
    _xlpm.valid, (_xlpm.vals &gt;= 0) * (_xlpm.ints &lt;= _xlpm.limit),
    _xlpm.target, MIN(_xlfn._xlws.FILTER(_xlpm.vals, _xlpm.valid)),
    IFERROR(
        _xlfn.XLOOKUP(_xlpm.target, _xlpm.vals, _xlpm.vals),
        CHOOSE({1,2,3,4,5,6}, S$1, V$1, Y$1, AB$1, AE$1, AH$1)
    )
)</f>
        <v>1.3791300616189397</v>
      </c>
    </row>
    <row r="1250" spans="9:36" x14ac:dyDescent="0.45">
      <c r="I1250">
        <v>1248</v>
      </c>
      <c r="J1250">
        <v>20.8</v>
      </c>
      <c r="K1250">
        <f t="shared" si="438"/>
        <v>20.8</v>
      </c>
      <c r="L1250">
        <f t="shared" si="437"/>
        <v>5.7777777777777784E-3</v>
      </c>
      <c r="M1250">
        <v>14.58</v>
      </c>
      <c r="N1250">
        <f t="shared" si="439"/>
        <v>14.58</v>
      </c>
      <c r="O1250">
        <f t="shared" si="440"/>
        <v>270.29980197330752</v>
      </c>
      <c r="P1250">
        <f t="shared" si="441"/>
        <v>864.95936631458414</v>
      </c>
      <c r="Q1250">
        <f t="shared" si="442"/>
        <v>3961.5138977207953</v>
      </c>
      <c r="R1250">
        <f t="shared" si="443"/>
        <v>35.145337820698664</v>
      </c>
      <c r="S1250">
        <f t="shared" si="444"/>
        <v>2.5455495602447109</v>
      </c>
      <c r="T1250">
        <f t="shared" si="445"/>
        <v>2560.2797242911693</v>
      </c>
      <c r="U1250">
        <f t="shared" si="446"/>
        <v>54.38028622256752</v>
      </c>
      <c r="V1250">
        <f t="shared" si="447"/>
        <v>1.6697232277281209</v>
      </c>
      <c r="W1250">
        <f t="shared" si="448"/>
        <v>1652.0723896608556</v>
      </c>
      <c r="X1250">
        <f t="shared" si="449"/>
        <v>84.275207967958067</v>
      </c>
      <c r="Y1250">
        <f t="shared" si="450"/>
        <v>1.5980238791812602</v>
      </c>
      <c r="Z1250">
        <f t="shared" si="451"/>
        <v>1245.5414874930011</v>
      </c>
      <c r="AA1250">
        <f t="shared" si="452"/>
        <v>111.78169945749993</v>
      </c>
      <c r="AB1250">
        <f t="shared" si="453"/>
        <v>1.5739473046078234</v>
      </c>
      <c r="AC1250">
        <f t="shared" si="454"/>
        <v>6000</v>
      </c>
      <c r="AD1250">
        <f t="shared" si="455"/>
        <v>23.204790702798341</v>
      </c>
      <c r="AE1250">
        <f t="shared" si="456"/>
        <v>6.9247599671895035</v>
      </c>
      <c r="AF1250">
        <f t="shared" si="457"/>
        <v>6000</v>
      </c>
      <c r="AG1250">
        <f t="shared" si="458"/>
        <v>23.204790702798341</v>
      </c>
      <c r="AH1250">
        <f t="shared" si="459"/>
        <v>6.9247599671895035</v>
      </c>
      <c r="AI1250" cm="1">
        <f t="array" ref="AI1250">_xlfn.LET(
    _xlpm.vals,   _xlfn.HSTACK(S1250,V1250,Y1250,AB1250,AE1250,AH1250),
    _xlpm.ints,   _xlfn.HSTACK(R1250,U1250,X1250,AA1250,AD1250,AG1250),
    _xlpm.slopes, _xlfn.HSTACK(Q1250,T1250,W1250,Z1250,AC1250,AF1250),
    _xlpm.limit,  -0.00001*_xlpm.slopes + 0.1086*_xlpm.slopes + 63.253,
    _xlpm.mask,   (_xlpm.vals&gt;=0) * (_xlpm.ints&lt;=_xlpm.limit),
    _xlpm.validVals, _xlfn._xlws.FILTER(_xlpm.vals, _xlpm.mask),
    _xlpm.minVal, MIN(_xlpm.validVals),
    IFERROR( _xlfn.XMATCH(_xlpm.minVal, _xlpm.vals), "" )
)</f>
        <v>4</v>
      </c>
      <c r="AJ1250" cm="1">
        <f t="array" ref="AJ1250">_xlfn.LET(
    _xlpm.vals, CHOOSE({1,2,3,4,5,6}, S1250, V1250, Y1250, AB1250, AE1250, AH1250),
    _xlpm.slopes, CHOOSE({1,2,3,4,5,6}, Q1250, T1250, W1250, Z1250, AC1250, AF1250),
    _xlpm.ints, CHOOSE({1,2,3,4,5,6}, R1250, U1250, X1250, AA1250, AD1250, AG1250),
    _xlpm.limit, -0.00001*_xlpm.slopes + 0.1086*_xlpm.slopes + 63.253,
    _xlpm.valid, (_xlpm.vals &gt;= 0) * (_xlpm.ints &lt;= _xlpm.limit),
    _xlpm.target, MIN(_xlfn._xlws.FILTER(_xlpm.vals, _xlpm.valid)),
    IFERROR(
        _xlfn.XLOOKUP(_xlpm.target, _xlpm.vals, _xlpm.vals),
        CHOOSE({1,2,3,4,5,6}, S$1, V$1, Y$1, AB$1, AE$1, AH$1)
    )
)</f>
        <v>1.5739473046078234</v>
      </c>
    </row>
    <row r="1251" spans="9:36" x14ac:dyDescent="0.45">
      <c r="I1251">
        <v>1249</v>
      </c>
      <c r="J1251">
        <v>22.1</v>
      </c>
      <c r="K1251">
        <f t="shared" si="438"/>
        <v>22.1</v>
      </c>
      <c r="L1251">
        <f t="shared" si="437"/>
        <v>6.138888888888889E-3</v>
      </c>
      <c r="M1251">
        <v>13.7</v>
      </c>
      <c r="N1251">
        <f t="shared" si="439"/>
        <v>13.7</v>
      </c>
      <c r="O1251">
        <f t="shared" si="440"/>
        <v>287.19353959663925</v>
      </c>
      <c r="P1251">
        <f t="shared" si="441"/>
        <v>919.01932670924566</v>
      </c>
      <c r="Q1251">
        <f t="shared" si="442"/>
        <v>4209.1085163283451</v>
      </c>
      <c r="R1251">
        <f t="shared" si="443"/>
        <v>31.081489753478362</v>
      </c>
      <c r="S1251">
        <f t="shared" si="444"/>
        <v>2.8049289732565041</v>
      </c>
      <c r="T1251">
        <f t="shared" si="445"/>
        <v>2720.2972070593673</v>
      </c>
      <c r="U1251">
        <f t="shared" si="446"/>
        <v>48.092305091530704</v>
      </c>
      <c r="V1251">
        <f t="shared" si="447"/>
        <v>1.647776793740569</v>
      </c>
      <c r="W1251">
        <f t="shared" si="448"/>
        <v>1755.3269140146592</v>
      </c>
      <c r="X1251">
        <f t="shared" si="449"/>
        <v>74.530483283209904</v>
      </c>
      <c r="Y1251">
        <f t="shared" si="450"/>
        <v>1.5190920534285182</v>
      </c>
      <c r="Z1251">
        <f t="shared" si="451"/>
        <v>1323.3878304613138</v>
      </c>
      <c r="AA1251">
        <f t="shared" si="452"/>
        <v>98.856404910368667</v>
      </c>
      <c r="AB1251">
        <f t="shared" si="453"/>
        <v>1.5130006999748549</v>
      </c>
      <c r="AC1251">
        <f t="shared" si="454"/>
        <v>6000</v>
      </c>
      <c r="AD1251">
        <f t="shared" si="455"/>
        <v>21.804227203589662</v>
      </c>
      <c r="AE1251">
        <f t="shared" si="456"/>
        <v>6.9065649053510887</v>
      </c>
      <c r="AF1251">
        <f t="shared" si="457"/>
        <v>6000</v>
      </c>
      <c r="AG1251">
        <f t="shared" si="458"/>
        <v>21.804227203589662</v>
      </c>
      <c r="AH1251">
        <f t="shared" si="459"/>
        <v>6.9065649053510887</v>
      </c>
      <c r="AI1251" cm="1">
        <f t="array" ref="AI1251">_xlfn.LET(
    _xlpm.vals,   _xlfn.HSTACK(S1251,V1251,Y1251,AB1251,AE1251,AH1251),
    _xlpm.ints,   _xlfn.HSTACK(R1251,U1251,X1251,AA1251,AD1251,AG1251),
    _xlpm.slopes, _xlfn.HSTACK(Q1251,T1251,W1251,Z1251,AC1251,AF1251),
    _xlpm.limit,  -0.00001*_xlpm.slopes + 0.1086*_xlpm.slopes + 63.253,
    _xlpm.mask,   (_xlpm.vals&gt;=0) * (_xlpm.ints&lt;=_xlpm.limit),
    _xlpm.validVals, _xlfn._xlws.FILTER(_xlpm.vals, _xlpm.mask),
    _xlpm.minVal, MIN(_xlpm.validVals),
    IFERROR( _xlfn.XMATCH(_xlpm.minVal, _xlpm.vals), "" )
)</f>
        <v>4</v>
      </c>
      <c r="AJ1251" cm="1">
        <f t="array" ref="AJ1251">_xlfn.LET(
    _xlpm.vals, CHOOSE({1,2,3,4,5,6}, S1251, V1251, Y1251, AB1251, AE1251, AH1251),
    _xlpm.slopes, CHOOSE({1,2,3,4,5,6}, Q1251, T1251, W1251, Z1251, AC1251, AF1251),
    _xlpm.ints, CHOOSE({1,2,3,4,5,6}, R1251, U1251, X1251, AA1251, AD1251, AG1251),
    _xlpm.limit, -0.00001*_xlpm.slopes + 0.1086*_xlpm.slopes + 63.253,
    _xlpm.valid, (_xlpm.vals &gt;= 0) * (_xlpm.ints &lt;= _xlpm.limit),
    _xlpm.target, MIN(_xlfn._xlws.FILTER(_xlpm.vals, _xlpm.valid)),
    IFERROR(
        _xlfn.XLOOKUP(_xlpm.target, _xlpm.vals, _xlpm.vals),
        CHOOSE({1,2,3,4,5,6}, S$1, V$1, Y$1, AB$1, AE$1, AH$1)
    )
)</f>
        <v>1.5130006999748549</v>
      </c>
    </row>
    <row r="1252" spans="9:36" x14ac:dyDescent="0.45">
      <c r="I1252">
        <v>1250</v>
      </c>
      <c r="J1252">
        <v>22.6</v>
      </c>
      <c r="K1252">
        <f t="shared" si="438"/>
        <v>22.6</v>
      </c>
      <c r="L1252">
        <f t="shared" si="437"/>
        <v>6.277777777777778E-3</v>
      </c>
      <c r="M1252">
        <v>6.36</v>
      </c>
      <c r="N1252">
        <f t="shared" si="439"/>
        <v>6.36</v>
      </c>
      <c r="O1252">
        <f t="shared" si="440"/>
        <v>293.69113099022837</v>
      </c>
      <c r="P1252">
        <f t="shared" si="441"/>
        <v>939.81161916873089</v>
      </c>
      <c r="Q1252">
        <f t="shared" si="442"/>
        <v>4304.3372157927879</v>
      </c>
      <c r="R1252">
        <f t="shared" si="443"/>
        <v>14.109843917672967</v>
      </c>
      <c r="S1252">
        <f t="shared" si="444"/>
        <v>2.6298933726248079</v>
      </c>
      <c r="T1252">
        <f t="shared" si="445"/>
        <v>2781.8423927394433</v>
      </c>
      <c r="U1252">
        <f t="shared" si="446"/>
        <v>21.832123359102095</v>
      </c>
      <c r="V1252">
        <f t="shared" si="447"/>
        <v>1.1828920320199301</v>
      </c>
      <c r="W1252">
        <f t="shared" si="448"/>
        <v>1795.0401926122759</v>
      </c>
      <c r="X1252">
        <f t="shared" si="449"/>
        <v>33.834075991069213</v>
      </c>
      <c r="Y1252">
        <f t="shared" si="450"/>
        <v>0.89916903159686146</v>
      </c>
      <c r="Z1252">
        <f t="shared" si="451"/>
        <v>1353.3287316029723</v>
      </c>
      <c r="AA1252">
        <f t="shared" si="452"/>
        <v>44.877142460376533</v>
      </c>
      <c r="AB1252">
        <f t="shared" si="453"/>
        <v>0.85312861060467127</v>
      </c>
      <c r="AC1252">
        <f t="shared" si="454"/>
        <v>6000</v>
      </c>
      <c r="AD1252">
        <f t="shared" si="455"/>
        <v>10.122254380644543</v>
      </c>
      <c r="AE1252">
        <f t="shared" si="456"/>
        <v>6.7774434178395024</v>
      </c>
      <c r="AF1252">
        <f t="shared" si="457"/>
        <v>6000</v>
      </c>
      <c r="AG1252">
        <f t="shared" si="458"/>
        <v>10.122254380644543</v>
      </c>
      <c r="AH1252">
        <f t="shared" si="459"/>
        <v>6.7774434178395024</v>
      </c>
      <c r="AI1252" cm="1">
        <f t="array" ref="AI1252">_xlfn.LET(
    _xlpm.vals,   _xlfn.HSTACK(S1252,V1252,Y1252,AB1252,AE1252,AH1252),
    _xlpm.ints,   _xlfn.HSTACK(R1252,U1252,X1252,AA1252,AD1252,AG1252),
    _xlpm.slopes, _xlfn.HSTACK(Q1252,T1252,W1252,Z1252,AC1252,AF1252),
    _xlpm.limit,  -0.00001*_xlpm.slopes + 0.1086*_xlpm.slopes + 63.253,
    _xlpm.mask,   (_xlpm.vals&gt;=0) * (_xlpm.ints&lt;=_xlpm.limit),
    _xlpm.validVals, _xlfn._xlws.FILTER(_xlpm.vals, _xlpm.mask),
    _xlpm.minVal, MIN(_xlpm.validVals),
    IFERROR( _xlfn.XMATCH(_xlpm.minVal, _xlpm.vals), "" )
)</f>
        <v>4</v>
      </c>
      <c r="AJ1252" cm="1">
        <f t="array" ref="AJ1252">_xlfn.LET(
    _xlpm.vals, CHOOSE({1,2,3,4,5,6}, S1252, V1252, Y1252, AB1252, AE1252, AH1252),
    _xlpm.slopes, CHOOSE({1,2,3,4,5,6}, Q1252, T1252, W1252, Z1252, AC1252, AF1252),
    _xlpm.ints, CHOOSE({1,2,3,4,5,6}, R1252, U1252, X1252, AA1252, AD1252, AG1252),
    _xlpm.limit, -0.00001*_xlpm.slopes + 0.1086*_xlpm.slopes + 63.253,
    _xlpm.valid, (_xlpm.vals &gt;= 0) * (_xlpm.ints &lt;= _xlpm.limit),
    _xlpm.target, MIN(_xlfn._xlws.FILTER(_xlpm.vals, _xlpm.valid)),
    IFERROR(
        _xlfn.XLOOKUP(_xlpm.target, _xlpm.vals, _xlpm.vals),
        CHOOSE({1,2,3,4,5,6}, S$1, V$1, Y$1, AB$1, AE$1, AH$1)
    )
)</f>
        <v>0.85312861060467127</v>
      </c>
    </row>
    <row r="1253" spans="9:36" x14ac:dyDescent="0.45">
      <c r="I1253">
        <v>1251</v>
      </c>
      <c r="J1253">
        <v>23.1</v>
      </c>
      <c r="K1253">
        <f t="shared" si="438"/>
        <v>23.1</v>
      </c>
      <c r="L1253">
        <f t="shared" si="437"/>
        <v>6.4166666666666669E-3</v>
      </c>
      <c r="M1253">
        <v>16.04</v>
      </c>
      <c r="N1253">
        <f t="shared" si="439"/>
        <v>16.04</v>
      </c>
      <c r="O1253">
        <f t="shared" si="440"/>
        <v>300.18872238381749</v>
      </c>
      <c r="P1253">
        <f t="shared" si="441"/>
        <v>960.603911628216</v>
      </c>
      <c r="Q1253">
        <f t="shared" si="442"/>
        <v>4399.5659152572289</v>
      </c>
      <c r="R1253">
        <f t="shared" si="443"/>
        <v>34.814961335267249</v>
      </c>
      <c r="S1253">
        <f t="shared" si="444"/>
        <v>3.1823017130557973</v>
      </c>
      <c r="T1253">
        <f t="shared" si="445"/>
        <v>2843.3875784195193</v>
      </c>
      <c r="U1253">
        <f t="shared" si="446"/>
        <v>53.869095579568906</v>
      </c>
      <c r="V1253">
        <f t="shared" si="447"/>
        <v>1.8585185211510227</v>
      </c>
      <c r="W1253">
        <f t="shared" si="448"/>
        <v>1834.7534712098925</v>
      </c>
      <c r="X1253">
        <f t="shared" si="449"/>
        <v>83.482996290850252</v>
      </c>
      <c r="Y1253">
        <f t="shared" si="450"/>
        <v>1.726402305576078</v>
      </c>
      <c r="Z1253">
        <f t="shared" si="451"/>
        <v>1383.2696327446311</v>
      </c>
      <c r="AA1253">
        <f t="shared" si="452"/>
        <v>110.73091869133609</v>
      </c>
      <c r="AB1253">
        <f t="shared" si="453"/>
        <v>1.7133293064938235</v>
      </c>
      <c r="AC1253">
        <f t="shared" si="454"/>
        <v>6000</v>
      </c>
      <c r="AD1253">
        <f t="shared" si="455"/>
        <v>25.528452871940015</v>
      </c>
      <c r="AE1253">
        <f t="shared" si="456"/>
        <v>6.9561829359265834</v>
      </c>
      <c r="AF1253">
        <f t="shared" si="457"/>
        <v>6000</v>
      </c>
      <c r="AG1253">
        <f t="shared" si="458"/>
        <v>25.528452871940015</v>
      </c>
      <c r="AH1253">
        <f t="shared" si="459"/>
        <v>6.9561829359265834</v>
      </c>
      <c r="AI1253" cm="1">
        <f t="array" ref="AI1253">_xlfn.LET(
    _xlpm.vals,   _xlfn.HSTACK(S1253,V1253,Y1253,AB1253,AE1253,AH1253),
    _xlpm.ints,   _xlfn.HSTACK(R1253,U1253,X1253,AA1253,AD1253,AG1253),
    _xlpm.slopes, _xlfn.HSTACK(Q1253,T1253,W1253,Z1253,AC1253,AF1253),
    _xlpm.limit,  -0.00001*_xlpm.slopes + 0.1086*_xlpm.slopes + 63.253,
    _xlpm.mask,   (_xlpm.vals&gt;=0) * (_xlpm.ints&lt;=_xlpm.limit),
    _xlpm.validVals, _xlfn._xlws.FILTER(_xlpm.vals, _xlpm.mask),
    _xlpm.minVal, MIN(_xlpm.validVals),
    IFERROR( _xlfn.XMATCH(_xlpm.minVal, _xlpm.vals), "" )
)</f>
        <v>4</v>
      </c>
      <c r="AJ1253" cm="1">
        <f t="array" ref="AJ1253">_xlfn.LET(
    _xlpm.vals, CHOOSE({1,2,3,4,5,6}, S1253, V1253, Y1253, AB1253, AE1253, AH1253),
    _xlpm.slopes, CHOOSE({1,2,3,4,5,6}, Q1253, T1253, W1253, Z1253, AC1253, AF1253),
    _xlpm.ints, CHOOSE({1,2,3,4,5,6}, R1253, U1253, X1253, AA1253, AD1253, AG1253),
    _xlpm.limit, -0.00001*_xlpm.slopes + 0.1086*_xlpm.slopes + 63.253,
    _xlpm.valid, (_xlpm.vals &gt;= 0) * (_xlpm.ints &lt;= _xlpm.limit),
    _xlpm.target, MIN(_xlfn._xlws.FILTER(_xlpm.vals, _xlpm.valid)),
    IFERROR(
        _xlfn.XLOOKUP(_xlpm.target, _xlpm.vals, _xlpm.vals),
        CHOOSE({1,2,3,4,5,6}, S$1, V$1, Y$1, AB$1, AE$1, AH$1)
    )
)</f>
        <v>1.7133293064938235</v>
      </c>
    </row>
    <row r="1254" spans="9:36" x14ac:dyDescent="0.45">
      <c r="I1254">
        <v>1252</v>
      </c>
      <c r="J1254">
        <v>23.8</v>
      </c>
      <c r="K1254">
        <f t="shared" si="438"/>
        <v>23.8</v>
      </c>
      <c r="L1254">
        <f t="shared" si="437"/>
        <v>6.611111111111111E-3</v>
      </c>
      <c r="M1254">
        <v>6.08</v>
      </c>
      <c r="N1254">
        <f t="shared" si="439"/>
        <v>6.08</v>
      </c>
      <c r="O1254">
        <f t="shared" si="440"/>
        <v>309.28535033484224</v>
      </c>
      <c r="P1254">
        <f t="shared" si="441"/>
        <v>989.71312107149515</v>
      </c>
      <c r="Q1254">
        <f t="shared" si="442"/>
        <v>4532.8860945074475</v>
      </c>
      <c r="R1254">
        <f t="shared" si="443"/>
        <v>12.808555527189418</v>
      </c>
      <c r="S1254">
        <f t="shared" si="444"/>
        <v>2.9952753220773567</v>
      </c>
      <c r="T1254">
        <f t="shared" si="445"/>
        <v>2929.5508383716256</v>
      </c>
      <c r="U1254">
        <f t="shared" si="446"/>
        <v>19.818643349502548</v>
      </c>
      <c r="V1254">
        <f t="shared" si="447"/>
        <v>1.242682189167208</v>
      </c>
      <c r="W1254">
        <f t="shared" si="448"/>
        <v>1890.3520612465556</v>
      </c>
      <c r="X1254">
        <f t="shared" si="449"/>
        <v>30.713709065197662</v>
      </c>
      <c r="Y1254">
        <f t="shared" si="450"/>
        <v>0.89257128358036009</v>
      </c>
      <c r="Z1254">
        <f t="shared" si="451"/>
        <v>1425.1868943429529</v>
      </c>
      <c r="AA1254">
        <f t="shared" si="452"/>
        <v>40.738322440644119</v>
      </c>
      <c r="AB1254">
        <f t="shared" si="453"/>
        <v>0.83491007914698812</v>
      </c>
      <c r="AC1254">
        <f t="shared" si="454"/>
        <v>6000</v>
      </c>
      <c r="AD1254">
        <f t="shared" si="455"/>
        <v>9.6766205399872369</v>
      </c>
      <c r="AE1254">
        <f t="shared" si="456"/>
        <v>6.7733439067077672</v>
      </c>
      <c r="AF1254">
        <f t="shared" si="457"/>
        <v>6000</v>
      </c>
      <c r="AG1254">
        <f t="shared" si="458"/>
        <v>9.6766205399872369</v>
      </c>
      <c r="AH1254">
        <f t="shared" si="459"/>
        <v>6.7733439067077672</v>
      </c>
      <c r="AI1254" cm="1">
        <f t="array" ref="AI1254">_xlfn.LET(
    _xlpm.vals,   _xlfn.HSTACK(S1254,V1254,Y1254,AB1254,AE1254,AH1254),
    _xlpm.ints,   _xlfn.HSTACK(R1254,U1254,X1254,AA1254,AD1254,AG1254),
    _xlpm.slopes, _xlfn.HSTACK(Q1254,T1254,W1254,Z1254,AC1254,AF1254),
    _xlpm.limit,  -0.00001*_xlpm.slopes + 0.1086*_xlpm.slopes + 63.253,
    _xlpm.mask,   (_xlpm.vals&gt;=0) * (_xlpm.ints&lt;=_xlpm.limit),
    _xlpm.validVals, _xlfn._xlws.FILTER(_xlpm.vals, _xlpm.mask),
    _xlpm.minVal, MIN(_xlpm.validVals),
    IFERROR( _xlfn.XMATCH(_xlpm.minVal, _xlpm.vals), "" )
)</f>
        <v>4</v>
      </c>
      <c r="AJ1254" cm="1">
        <f t="array" ref="AJ1254">_xlfn.LET(
    _xlpm.vals, CHOOSE({1,2,3,4,5,6}, S1254, V1254, Y1254, AB1254, AE1254, AH1254),
    _xlpm.slopes, CHOOSE({1,2,3,4,5,6}, Q1254, T1254, W1254, Z1254, AC1254, AF1254),
    _xlpm.ints, CHOOSE({1,2,3,4,5,6}, R1254, U1254, X1254, AA1254, AD1254, AG1254),
    _xlpm.limit, -0.00001*_xlpm.slopes + 0.1086*_xlpm.slopes + 63.253,
    _xlpm.valid, (_xlpm.vals &gt;= 0) * (_xlpm.ints &lt;= _xlpm.limit),
    _xlpm.target, MIN(_xlfn._xlws.FILTER(_xlpm.vals, _xlpm.valid)),
    IFERROR(
        _xlfn.XLOOKUP(_xlpm.target, _xlpm.vals, _xlpm.vals),
        CHOOSE({1,2,3,4,5,6}, S$1, V$1, Y$1, AB$1, AE$1, AH$1)
    )
)</f>
        <v>0.83491007914698812</v>
      </c>
    </row>
    <row r="1255" spans="9:36" x14ac:dyDescent="0.45">
      <c r="I1255">
        <v>1253</v>
      </c>
      <c r="J1255">
        <v>24.1</v>
      </c>
      <c r="K1255">
        <f t="shared" si="438"/>
        <v>24.1</v>
      </c>
      <c r="L1255">
        <f t="shared" si="437"/>
        <v>6.6944444444444447E-3</v>
      </c>
      <c r="M1255">
        <v>3.56</v>
      </c>
      <c r="N1255">
        <f t="shared" si="439"/>
        <v>3.56</v>
      </c>
      <c r="O1255">
        <f t="shared" si="440"/>
        <v>313.18390517099573</v>
      </c>
      <c r="P1255">
        <f t="shared" si="441"/>
        <v>1002.1884965471863</v>
      </c>
      <c r="Q1255">
        <f t="shared" si="442"/>
        <v>4590.0233141861136</v>
      </c>
      <c r="R1255">
        <f t="shared" si="443"/>
        <v>7.4063884903070054</v>
      </c>
      <c r="S1255">
        <f t="shared" si="444"/>
        <v>3.0162848528136532</v>
      </c>
      <c r="T1255">
        <f t="shared" si="445"/>
        <v>2966.4779497796717</v>
      </c>
      <c r="U1255">
        <f t="shared" si="446"/>
        <v>11.459884893785839</v>
      </c>
      <c r="V1255">
        <f t="shared" si="447"/>
        <v>1.1265794514156164</v>
      </c>
      <c r="W1255">
        <f t="shared" si="448"/>
        <v>1914.1800284051258</v>
      </c>
      <c r="X1255">
        <f t="shared" si="449"/>
        <v>17.759821615500567</v>
      </c>
      <c r="Y1255">
        <f t="shared" si="450"/>
        <v>0.71787169298329856</v>
      </c>
      <c r="Z1255">
        <f t="shared" si="451"/>
        <v>1443.1514350279483</v>
      </c>
      <c r="AA1255">
        <f t="shared" si="452"/>
        <v>23.556430059448669</v>
      </c>
      <c r="AB1255">
        <f t="shared" si="453"/>
        <v>0.63445901251054515</v>
      </c>
      <c r="AC1255">
        <f t="shared" si="454"/>
        <v>6000</v>
      </c>
      <c r="AD1255">
        <f t="shared" si="455"/>
        <v>5.6659159740714742</v>
      </c>
      <c r="AE1255">
        <f t="shared" si="456"/>
        <v>6.7392806186442948</v>
      </c>
      <c r="AF1255">
        <f t="shared" si="457"/>
        <v>6000</v>
      </c>
      <c r="AG1255">
        <f t="shared" si="458"/>
        <v>5.6659159740714742</v>
      </c>
      <c r="AH1255">
        <f t="shared" si="459"/>
        <v>6.7392806186442948</v>
      </c>
      <c r="AI1255" cm="1">
        <f t="array" ref="AI1255">_xlfn.LET(
    _xlpm.vals,   _xlfn.HSTACK(S1255,V1255,Y1255,AB1255,AE1255,AH1255),
    _xlpm.ints,   _xlfn.HSTACK(R1255,U1255,X1255,AA1255,AD1255,AG1255),
    _xlpm.slopes, _xlfn.HSTACK(Q1255,T1255,W1255,Z1255,AC1255,AF1255),
    _xlpm.limit,  -0.00001*_xlpm.slopes + 0.1086*_xlpm.slopes + 63.253,
    _xlpm.mask,   (_xlpm.vals&gt;=0) * (_xlpm.ints&lt;=_xlpm.limit),
    _xlpm.validVals, _xlfn._xlws.FILTER(_xlpm.vals, _xlpm.mask),
    _xlpm.minVal, MIN(_xlpm.validVals),
    IFERROR( _xlfn.XMATCH(_xlpm.minVal, _xlpm.vals), "" )
)</f>
        <v>4</v>
      </c>
      <c r="AJ1255" cm="1">
        <f t="array" ref="AJ1255">_xlfn.LET(
    _xlpm.vals, CHOOSE({1,2,3,4,5,6}, S1255, V1255, Y1255, AB1255, AE1255, AH1255),
    _xlpm.slopes, CHOOSE({1,2,3,4,5,6}, Q1255, T1255, W1255, Z1255, AC1255, AF1255),
    _xlpm.ints, CHOOSE({1,2,3,4,5,6}, R1255, U1255, X1255, AA1255, AD1255, AG1255),
    _xlpm.limit, -0.00001*_xlpm.slopes + 0.1086*_xlpm.slopes + 63.253,
    _xlpm.valid, (_xlpm.vals &gt;= 0) * (_xlpm.ints &lt;= _xlpm.limit),
    _xlpm.target, MIN(_xlfn._xlws.FILTER(_xlpm.vals, _xlpm.valid)),
    IFERROR(
        _xlfn.XLOOKUP(_xlpm.target, _xlpm.vals, _xlpm.vals),
        CHOOSE({1,2,3,4,5,6}, S$1, V$1, Y$1, AB$1, AE$1, AH$1)
    )
)</f>
        <v>0.63445901251054515</v>
      </c>
    </row>
    <row r="1256" spans="9:36" x14ac:dyDescent="0.45">
      <c r="I1256">
        <v>1254</v>
      </c>
      <c r="J1256">
        <v>24.5</v>
      </c>
      <c r="K1256">
        <f t="shared" si="438"/>
        <v>24.5</v>
      </c>
      <c r="L1256">
        <f t="shared" si="437"/>
        <v>6.8055555555555551E-3</v>
      </c>
      <c r="M1256">
        <v>4.58</v>
      </c>
      <c r="N1256">
        <f t="shared" si="439"/>
        <v>4.58</v>
      </c>
      <c r="O1256">
        <f t="shared" si="440"/>
        <v>318.38197828586698</v>
      </c>
      <c r="P1256">
        <f t="shared" si="441"/>
        <v>1018.8223305147744</v>
      </c>
      <c r="Q1256">
        <f t="shared" si="442"/>
        <v>4666.2062737576671</v>
      </c>
      <c r="R1256">
        <f t="shared" si="443"/>
        <v>9.3728771931106021</v>
      </c>
      <c r="S1256">
        <f t="shared" si="444"/>
        <v>3.1905070986288342</v>
      </c>
      <c r="T1256">
        <f t="shared" si="445"/>
        <v>3015.7140983237323</v>
      </c>
      <c r="U1256">
        <f t="shared" si="446"/>
        <v>14.502627548799511</v>
      </c>
      <c r="V1256">
        <f t="shared" si="447"/>
        <v>1.2106246384085462</v>
      </c>
      <c r="W1256">
        <f t="shared" si="448"/>
        <v>1945.950651283219</v>
      </c>
      <c r="X1256">
        <f t="shared" si="449"/>
        <v>22.47527620128092</v>
      </c>
      <c r="Y1256">
        <f t="shared" si="450"/>
        <v>0.79449051631155254</v>
      </c>
      <c r="Z1256">
        <f t="shared" si="451"/>
        <v>1467.1041559412752</v>
      </c>
      <c r="AA1256">
        <f t="shared" si="452"/>
        <v>29.810956628087883</v>
      </c>
      <c r="AB1256">
        <f t="shared" si="453"/>
        <v>0.71644144101277218</v>
      </c>
      <c r="AC1256">
        <f t="shared" si="454"/>
        <v>6000</v>
      </c>
      <c r="AD1256">
        <f t="shared" si="455"/>
        <v>7.2892963936088071</v>
      </c>
      <c r="AE1256">
        <f t="shared" si="456"/>
        <v>6.752450172334993</v>
      </c>
      <c r="AF1256">
        <f t="shared" si="457"/>
        <v>6000</v>
      </c>
      <c r="AG1256">
        <f t="shared" si="458"/>
        <v>7.2892963936088071</v>
      </c>
      <c r="AH1256">
        <f t="shared" si="459"/>
        <v>6.752450172334993</v>
      </c>
      <c r="AI1256" cm="1">
        <f t="array" ref="AI1256">_xlfn.LET(
    _xlpm.vals,   _xlfn.HSTACK(S1256,V1256,Y1256,AB1256,AE1256,AH1256),
    _xlpm.ints,   _xlfn.HSTACK(R1256,U1256,X1256,AA1256,AD1256,AG1256),
    _xlpm.slopes, _xlfn.HSTACK(Q1256,T1256,W1256,Z1256,AC1256,AF1256),
    _xlpm.limit,  -0.00001*_xlpm.slopes + 0.1086*_xlpm.slopes + 63.253,
    _xlpm.mask,   (_xlpm.vals&gt;=0) * (_xlpm.ints&lt;=_xlpm.limit),
    _xlpm.validVals, _xlfn._xlws.FILTER(_xlpm.vals, _xlpm.mask),
    _xlpm.minVal, MIN(_xlpm.validVals),
    IFERROR( _xlfn.XMATCH(_xlpm.minVal, _xlpm.vals), "" )
)</f>
        <v>4</v>
      </c>
      <c r="AJ1256" cm="1">
        <f t="array" ref="AJ1256">_xlfn.LET(
    _xlpm.vals, CHOOSE({1,2,3,4,5,6}, S1256, V1256, Y1256, AB1256, AE1256, AH1256),
    _xlpm.slopes, CHOOSE({1,2,3,4,5,6}, Q1256, T1256, W1256, Z1256, AC1256, AF1256),
    _xlpm.ints, CHOOSE({1,2,3,4,5,6}, R1256, U1256, X1256, AA1256, AD1256, AG1256),
    _xlpm.limit, -0.00001*_xlpm.slopes + 0.1086*_xlpm.slopes + 63.253,
    _xlpm.valid, (_xlpm.vals &gt;= 0) * (_xlpm.ints &lt;= _xlpm.limit),
    _xlpm.target, MIN(_xlfn._xlws.FILTER(_xlpm.vals, _xlpm.valid)),
    IFERROR(
        _xlfn.XLOOKUP(_xlpm.target, _xlpm.vals, _xlpm.vals),
        CHOOSE({1,2,3,4,5,6}, S$1, V$1, Y$1, AB$1, AE$1, AH$1)
    )
)</f>
        <v>0.71644144101277218</v>
      </c>
    </row>
    <row r="1257" spans="9:36" x14ac:dyDescent="0.45">
      <c r="I1257">
        <v>1255</v>
      </c>
      <c r="J1257">
        <v>24.5</v>
      </c>
      <c r="K1257">
        <f t="shared" si="438"/>
        <v>24.5</v>
      </c>
      <c r="L1257">
        <f t="shared" si="437"/>
        <v>6.8055555555555551E-3</v>
      </c>
      <c r="M1257">
        <v>5.24</v>
      </c>
      <c r="N1257">
        <f t="shared" si="439"/>
        <v>5.24</v>
      </c>
      <c r="O1257">
        <f t="shared" si="440"/>
        <v>318.38197828586698</v>
      </c>
      <c r="P1257">
        <f t="shared" si="441"/>
        <v>1018.8223305147744</v>
      </c>
      <c r="Q1257">
        <f t="shared" si="442"/>
        <v>4666.2062737576671</v>
      </c>
      <c r="R1257">
        <f t="shared" si="443"/>
        <v>10.723553819192041</v>
      </c>
      <c r="S1257">
        <f t="shared" si="444"/>
        <v>3.2110719957310168</v>
      </c>
      <c r="T1257">
        <f t="shared" si="445"/>
        <v>3015.7140983237323</v>
      </c>
      <c r="U1257">
        <f t="shared" si="446"/>
        <v>16.592525841857956</v>
      </c>
      <c r="V1257">
        <f t="shared" si="447"/>
        <v>1.2461464874657826</v>
      </c>
      <c r="W1257">
        <f t="shared" si="448"/>
        <v>1945.950651283219</v>
      </c>
      <c r="X1257">
        <f t="shared" si="449"/>
        <v>25.714071461727517</v>
      </c>
      <c r="Y1257">
        <f t="shared" si="450"/>
        <v>0.84115256446016817</v>
      </c>
      <c r="Z1257">
        <f t="shared" si="451"/>
        <v>1467.1041559412752</v>
      </c>
      <c r="AA1257">
        <f t="shared" si="452"/>
        <v>34.106858674930244</v>
      </c>
      <c r="AB1257">
        <f t="shared" si="453"/>
        <v>0.76932746988774336</v>
      </c>
      <c r="AC1257">
        <f t="shared" si="454"/>
        <v>6000</v>
      </c>
      <c r="AD1257">
        <f t="shared" si="455"/>
        <v>8.339719018015316</v>
      </c>
      <c r="AE1257">
        <f t="shared" si="456"/>
        <v>6.7614207989194961</v>
      </c>
      <c r="AF1257">
        <f t="shared" si="457"/>
        <v>6000</v>
      </c>
      <c r="AG1257">
        <f t="shared" si="458"/>
        <v>8.339719018015316</v>
      </c>
      <c r="AH1257">
        <f t="shared" si="459"/>
        <v>6.7614207989194961</v>
      </c>
      <c r="AI1257" cm="1">
        <f t="array" ref="AI1257">_xlfn.LET(
    _xlpm.vals,   _xlfn.HSTACK(S1257,V1257,Y1257,AB1257,AE1257,AH1257),
    _xlpm.ints,   _xlfn.HSTACK(R1257,U1257,X1257,AA1257,AD1257,AG1257),
    _xlpm.slopes, _xlfn.HSTACK(Q1257,T1257,W1257,Z1257,AC1257,AF1257),
    _xlpm.limit,  -0.00001*_xlpm.slopes + 0.1086*_xlpm.slopes + 63.253,
    _xlpm.mask,   (_xlpm.vals&gt;=0) * (_xlpm.ints&lt;=_xlpm.limit),
    _xlpm.validVals, _xlfn._xlws.FILTER(_xlpm.vals, _xlpm.mask),
    _xlpm.minVal, MIN(_xlpm.validVals),
    IFERROR( _xlfn.XMATCH(_xlpm.minVal, _xlpm.vals), "" )
)</f>
        <v>4</v>
      </c>
      <c r="AJ1257" cm="1">
        <f t="array" ref="AJ1257">_xlfn.LET(
    _xlpm.vals, CHOOSE({1,2,3,4,5,6}, S1257, V1257, Y1257, AB1257, AE1257, AH1257),
    _xlpm.slopes, CHOOSE({1,2,3,4,5,6}, Q1257, T1257, W1257, Z1257, AC1257, AF1257),
    _xlpm.ints, CHOOSE({1,2,3,4,5,6}, R1257, U1257, X1257, AA1257, AD1257, AG1257),
    _xlpm.limit, -0.00001*_xlpm.slopes + 0.1086*_xlpm.slopes + 63.253,
    _xlpm.valid, (_xlpm.vals &gt;= 0) * (_xlpm.ints &lt;= _xlpm.limit),
    _xlpm.target, MIN(_xlfn._xlws.FILTER(_xlpm.vals, _xlpm.valid)),
    IFERROR(
        _xlfn.XLOOKUP(_xlpm.target, _xlpm.vals, _xlpm.vals),
        CHOOSE({1,2,3,4,5,6}, S$1, V$1, Y$1, AB$1, AE$1, AH$1)
    )
)</f>
        <v>0.76932746988774336</v>
      </c>
    </row>
    <row r="1258" spans="9:36" x14ac:dyDescent="0.45">
      <c r="I1258">
        <v>1256</v>
      </c>
      <c r="J1258">
        <v>24.4</v>
      </c>
      <c r="K1258">
        <f t="shared" si="438"/>
        <v>24.4</v>
      </c>
      <c r="L1258">
        <f t="shared" si="437"/>
        <v>6.7777777777777775E-3</v>
      </c>
      <c r="M1258">
        <v>6.15</v>
      </c>
      <c r="N1258">
        <f t="shared" si="439"/>
        <v>6.15</v>
      </c>
      <c r="O1258">
        <f t="shared" si="440"/>
        <v>317.08246000714911</v>
      </c>
      <c r="P1258">
        <f t="shared" si="441"/>
        <v>1014.6638720228772</v>
      </c>
      <c r="Q1258">
        <f t="shared" si="442"/>
        <v>4647.1605338647778</v>
      </c>
      <c r="R1258">
        <f t="shared" si="443"/>
        <v>12.637431733409157</v>
      </c>
      <c r="S1258">
        <f t="shared" si="444"/>
        <v>3.2044609293452759</v>
      </c>
      <c r="T1258">
        <f t="shared" si="445"/>
        <v>3003.4050611877165</v>
      </c>
      <c r="U1258">
        <f t="shared" si="446"/>
        <v>19.553863965883089</v>
      </c>
      <c r="V1258">
        <f t="shared" si="447"/>
        <v>1.2890564856084554</v>
      </c>
      <c r="W1258">
        <f t="shared" si="448"/>
        <v>1938.0079955636952</v>
      </c>
      <c r="X1258">
        <f t="shared" si="449"/>
        <v>30.303370334562278</v>
      </c>
      <c r="Y1258">
        <f t="shared" si="450"/>
        <v>0.90605095891307563</v>
      </c>
      <c r="Z1258">
        <f t="shared" si="451"/>
        <v>1461.1159757129431</v>
      </c>
      <c r="AA1258">
        <f t="shared" si="452"/>
        <v>40.194053707648571</v>
      </c>
      <c r="AB1258">
        <f t="shared" si="453"/>
        <v>0.84406186397416294</v>
      </c>
      <c r="AC1258">
        <f t="shared" si="454"/>
        <v>6000</v>
      </c>
      <c r="AD1258">
        <f t="shared" si="455"/>
        <v>9.788029000151564</v>
      </c>
      <c r="AE1258">
        <f t="shared" si="456"/>
        <v>6.7743629372208805</v>
      </c>
      <c r="AF1258">
        <f t="shared" si="457"/>
        <v>6000</v>
      </c>
      <c r="AG1258">
        <f t="shared" si="458"/>
        <v>9.788029000151564</v>
      </c>
      <c r="AH1258">
        <f t="shared" si="459"/>
        <v>6.7743629372208805</v>
      </c>
      <c r="AI1258" cm="1">
        <f t="array" ref="AI1258">_xlfn.LET(
    _xlpm.vals,   _xlfn.HSTACK(S1258,V1258,Y1258,AB1258,AE1258,AH1258),
    _xlpm.ints,   _xlfn.HSTACK(R1258,U1258,X1258,AA1258,AD1258,AG1258),
    _xlpm.slopes, _xlfn.HSTACK(Q1258,T1258,W1258,Z1258,AC1258,AF1258),
    _xlpm.limit,  -0.00001*_xlpm.slopes + 0.1086*_xlpm.slopes + 63.253,
    _xlpm.mask,   (_xlpm.vals&gt;=0) * (_xlpm.ints&lt;=_xlpm.limit),
    _xlpm.validVals, _xlfn._xlws.FILTER(_xlpm.vals, _xlpm.mask),
    _xlpm.minVal, MIN(_xlpm.validVals),
    IFERROR( _xlfn.XMATCH(_xlpm.minVal, _xlpm.vals), "" )
)</f>
        <v>4</v>
      </c>
      <c r="AJ1258" cm="1">
        <f t="array" ref="AJ1258">_xlfn.LET(
    _xlpm.vals, CHOOSE({1,2,3,4,5,6}, S1258, V1258, Y1258, AB1258, AE1258, AH1258),
    _xlpm.slopes, CHOOSE({1,2,3,4,5,6}, Q1258, T1258, W1258, Z1258, AC1258, AF1258),
    _xlpm.ints, CHOOSE({1,2,3,4,5,6}, R1258, U1258, X1258, AA1258, AD1258, AG1258),
    _xlpm.limit, -0.00001*_xlpm.slopes + 0.1086*_xlpm.slopes + 63.253,
    _xlpm.valid, (_xlpm.vals &gt;= 0) * (_xlpm.ints &lt;= _xlpm.limit),
    _xlpm.target, MIN(_xlfn._xlws.FILTER(_xlpm.vals, _xlpm.valid)),
    IFERROR(
        _xlfn.XLOOKUP(_xlpm.target, _xlpm.vals, _xlpm.vals),
        CHOOSE({1,2,3,4,5,6}, S$1, V$1, Y$1, AB$1, AE$1, AH$1)
    )
)</f>
        <v>0.84406186397416294</v>
      </c>
    </row>
    <row r="1259" spans="9:36" x14ac:dyDescent="0.45">
      <c r="I1259">
        <v>1257</v>
      </c>
      <c r="J1259">
        <v>23.9</v>
      </c>
      <c r="K1259">
        <f t="shared" si="438"/>
        <v>23.9</v>
      </c>
      <c r="L1259">
        <f t="shared" si="437"/>
        <v>6.6388888888888886E-3</v>
      </c>
      <c r="M1259">
        <v>-1.0900000000000001</v>
      </c>
      <c r="N1259">
        <f t="shared" si="439"/>
        <v>0</v>
      </c>
      <c r="O1259">
        <f t="shared" si="440"/>
        <v>310.58486861356005</v>
      </c>
      <c r="P1259">
        <f t="shared" si="441"/>
        <v>993.87157956339217</v>
      </c>
      <c r="Q1259">
        <f t="shared" si="442"/>
        <v>4551.9318344003359</v>
      </c>
      <c r="R1259">
        <f t="shared" si="443"/>
        <v>0</v>
      </c>
      <c r="S1259">
        <f t="shared" si="444"/>
        <v>2.8432628721745821</v>
      </c>
      <c r="T1259">
        <f t="shared" si="445"/>
        <v>2941.8598755076409</v>
      </c>
      <c r="U1259">
        <f t="shared" si="446"/>
        <v>0</v>
      </c>
      <c r="V1259">
        <f t="shared" si="447"/>
        <v>0.93844408406416391</v>
      </c>
      <c r="W1259">
        <f t="shared" si="448"/>
        <v>1898.294716966079</v>
      </c>
      <c r="X1259">
        <f t="shared" si="449"/>
        <v>0</v>
      </c>
      <c r="Y1259">
        <f t="shared" si="450"/>
        <v>0.49761526663057365</v>
      </c>
      <c r="Z1259">
        <f t="shared" si="451"/>
        <v>1431.1750745712848</v>
      </c>
      <c r="AA1259">
        <f t="shared" si="452"/>
        <v>0</v>
      </c>
      <c r="AB1259">
        <f t="shared" si="453"/>
        <v>0.39656820673730608</v>
      </c>
      <c r="AC1259">
        <f t="shared" si="454"/>
        <v>6000</v>
      </c>
      <c r="AD1259">
        <f t="shared" si="455"/>
        <v>0</v>
      </c>
      <c r="AE1259">
        <f t="shared" si="456"/>
        <v>6.7000407999999982</v>
      </c>
      <c r="AF1259">
        <f t="shared" si="457"/>
        <v>6000</v>
      </c>
      <c r="AG1259">
        <f t="shared" si="458"/>
        <v>0</v>
      </c>
      <c r="AH1259">
        <f t="shared" si="459"/>
        <v>6.7000407999999982</v>
      </c>
      <c r="AI1259" cm="1">
        <f t="array" ref="AI1259">_xlfn.LET(
    _xlpm.vals,   _xlfn.HSTACK(S1259,V1259,Y1259,AB1259,AE1259,AH1259),
    _xlpm.ints,   _xlfn.HSTACK(R1259,U1259,X1259,AA1259,AD1259,AG1259),
    _xlpm.slopes, _xlfn.HSTACK(Q1259,T1259,W1259,Z1259,AC1259,AF1259),
    _xlpm.limit,  -0.00001*_xlpm.slopes + 0.1086*_xlpm.slopes + 63.253,
    _xlpm.mask,   (_xlpm.vals&gt;=0) * (_xlpm.ints&lt;=_xlpm.limit),
    _xlpm.validVals, _xlfn._xlws.FILTER(_xlpm.vals, _xlpm.mask),
    _xlpm.minVal, MIN(_xlpm.validVals),
    IFERROR( _xlfn.XMATCH(_xlpm.minVal, _xlpm.vals), "" )
)</f>
        <v>4</v>
      </c>
      <c r="AJ1259" cm="1">
        <f t="array" ref="AJ1259">_xlfn.LET(
    _xlpm.vals, CHOOSE({1,2,3,4,5,6}, S1259, V1259, Y1259, AB1259, AE1259, AH1259),
    _xlpm.slopes, CHOOSE({1,2,3,4,5,6}, Q1259, T1259, W1259, Z1259, AC1259, AF1259),
    _xlpm.ints, CHOOSE({1,2,3,4,5,6}, R1259, U1259, X1259, AA1259, AD1259, AG1259),
    _xlpm.limit, -0.00001*_xlpm.slopes + 0.1086*_xlpm.slopes + 63.253,
    _xlpm.valid, (_xlpm.vals &gt;= 0) * (_xlpm.ints &lt;= _xlpm.limit),
    _xlpm.target, MIN(_xlfn._xlws.FILTER(_xlpm.vals, _xlpm.valid)),
    IFERROR(
        _xlfn.XLOOKUP(_xlpm.target, _xlpm.vals, _xlpm.vals),
        CHOOSE({1,2,3,4,5,6}, S$1, V$1, Y$1, AB$1, AE$1, AH$1)
    )
)</f>
        <v>0.39656820673730608</v>
      </c>
    </row>
    <row r="1260" spans="9:36" x14ac:dyDescent="0.45">
      <c r="I1260">
        <v>1258</v>
      </c>
      <c r="J1260">
        <v>23.6</v>
      </c>
      <c r="K1260">
        <f t="shared" si="438"/>
        <v>23.6</v>
      </c>
      <c r="L1260">
        <f t="shared" si="437"/>
        <v>6.5555555555555558E-3</v>
      </c>
      <c r="M1260">
        <v>0.26</v>
      </c>
      <c r="N1260">
        <f t="shared" si="439"/>
        <v>0.26</v>
      </c>
      <c r="O1260">
        <f t="shared" si="440"/>
        <v>306.68631377740667</v>
      </c>
      <c r="P1260">
        <f t="shared" si="441"/>
        <v>981.39620408770134</v>
      </c>
      <c r="Q1260">
        <f t="shared" si="442"/>
        <v>4494.7946147216726</v>
      </c>
      <c r="R1260">
        <f t="shared" si="443"/>
        <v>0.55237609836535517</v>
      </c>
      <c r="S1260">
        <f t="shared" si="444"/>
        <v>2.7463674004177863</v>
      </c>
      <c r="T1260">
        <f t="shared" si="445"/>
        <v>2904.9327640995957</v>
      </c>
      <c r="U1260">
        <f t="shared" si="446"/>
        <v>0.85469004409234028</v>
      </c>
      <c r="V1260">
        <f t="shared" si="447"/>
        <v>0.92697654409127073</v>
      </c>
      <c r="W1260">
        <f t="shared" si="448"/>
        <v>1874.4667498075094</v>
      </c>
      <c r="X1260">
        <f t="shared" si="449"/>
        <v>1.3245458274938886</v>
      </c>
      <c r="Y1260">
        <f t="shared" si="450"/>
        <v>0.50575958115106789</v>
      </c>
      <c r="Z1260">
        <f t="shared" si="451"/>
        <v>1413.2105338862898</v>
      </c>
      <c r="AA1260">
        <f t="shared" si="452"/>
        <v>1.7568628684120329</v>
      </c>
      <c r="AB1260">
        <f t="shared" si="453"/>
        <v>0.40798017125881558</v>
      </c>
      <c r="AC1260">
        <f t="shared" si="454"/>
        <v>6000</v>
      </c>
      <c r="AD1260">
        <f t="shared" si="455"/>
        <v>0.41380285203892792</v>
      </c>
      <c r="AE1260">
        <f t="shared" si="456"/>
        <v>6.7025475720610972</v>
      </c>
      <c r="AF1260">
        <f t="shared" si="457"/>
        <v>6000</v>
      </c>
      <c r="AG1260">
        <f t="shared" si="458"/>
        <v>0.41380285203892792</v>
      </c>
      <c r="AH1260">
        <f t="shared" si="459"/>
        <v>6.7025475720610972</v>
      </c>
      <c r="AI1260" cm="1">
        <f t="array" ref="AI1260">_xlfn.LET(
    _xlpm.vals,   _xlfn.HSTACK(S1260,V1260,Y1260,AB1260,AE1260,AH1260),
    _xlpm.ints,   _xlfn.HSTACK(R1260,U1260,X1260,AA1260,AD1260,AG1260),
    _xlpm.slopes, _xlfn.HSTACK(Q1260,T1260,W1260,Z1260,AC1260,AF1260),
    _xlpm.limit,  -0.00001*_xlpm.slopes + 0.1086*_xlpm.slopes + 63.253,
    _xlpm.mask,   (_xlpm.vals&gt;=0) * (_xlpm.ints&lt;=_xlpm.limit),
    _xlpm.validVals, _xlfn._xlws.FILTER(_xlpm.vals, _xlpm.mask),
    _xlpm.minVal, MIN(_xlpm.validVals),
    IFERROR( _xlfn.XMATCH(_xlpm.minVal, _xlpm.vals), "" )
)</f>
        <v>4</v>
      </c>
      <c r="AJ1260" cm="1">
        <f t="array" ref="AJ1260">_xlfn.LET(
    _xlpm.vals, CHOOSE({1,2,3,4,5,6}, S1260, V1260, Y1260, AB1260, AE1260, AH1260),
    _xlpm.slopes, CHOOSE({1,2,3,4,5,6}, Q1260, T1260, W1260, Z1260, AC1260, AF1260),
    _xlpm.ints, CHOOSE({1,2,3,4,5,6}, R1260, U1260, X1260, AA1260, AD1260, AG1260),
    _xlpm.limit, -0.00001*_xlpm.slopes + 0.1086*_xlpm.slopes + 63.253,
    _xlpm.valid, (_xlpm.vals &gt;= 0) * (_xlpm.ints &lt;= _xlpm.limit),
    _xlpm.target, MIN(_xlfn._xlws.FILTER(_xlpm.vals, _xlpm.valid)),
    IFERROR(
        _xlfn.XLOOKUP(_xlpm.target, _xlpm.vals, _xlpm.vals),
        CHOOSE({1,2,3,4,5,6}, S$1, V$1, Y$1, AB$1, AE$1, AH$1)
    )
)</f>
        <v>0.40798017125881558</v>
      </c>
    </row>
    <row r="1261" spans="9:36" x14ac:dyDescent="0.45">
      <c r="I1261">
        <v>1259</v>
      </c>
      <c r="J1261">
        <v>23.7</v>
      </c>
      <c r="K1261">
        <f t="shared" si="438"/>
        <v>23.7</v>
      </c>
      <c r="L1261">
        <f t="shared" si="437"/>
        <v>6.5833333333333334E-3</v>
      </c>
      <c r="M1261">
        <v>1.81</v>
      </c>
      <c r="N1261">
        <f t="shared" si="439"/>
        <v>1.81</v>
      </c>
      <c r="O1261">
        <f t="shared" si="440"/>
        <v>307.98583205612437</v>
      </c>
      <c r="P1261">
        <f t="shared" si="441"/>
        <v>985.55466257959802</v>
      </c>
      <c r="Q1261">
        <f t="shared" si="442"/>
        <v>4513.8403546145591</v>
      </c>
      <c r="R1261">
        <f t="shared" si="443"/>
        <v>3.8291621904859663</v>
      </c>
      <c r="S1261">
        <f t="shared" si="444"/>
        <v>2.8250846093848758</v>
      </c>
      <c r="T1261">
        <f t="shared" si="445"/>
        <v>2917.2418012356102</v>
      </c>
      <c r="U1261">
        <f t="shared" si="446"/>
        <v>5.9248523082519347</v>
      </c>
      <c r="V1261">
        <f t="shared" si="447"/>
        <v>1.0080988939139184</v>
      </c>
      <c r="W1261">
        <f t="shared" si="448"/>
        <v>1882.409405527032</v>
      </c>
      <c r="X1261">
        <f t="shared" si="449"/>
        <v>9.1819700693328414</v>
      </c>
      <c r="Y1261">
        <f t="shared" si="450"/>
        <v>0.5980821574420182</v>
      </c>
      <c r="Z1261">
        <f t="shared" si="451"/>
        <v>1419.198714114621</v>
      </c>
      <c r="AA1261">
        <f t="shared" si="452"/>
        <v>12.178863078073421</v>
      </c>
      <c r="AB1261">
        <f t="shared" si="453"/>
        <v>0.50581826869544633</v>
      </c>
      <c r="AC1261">
        <f t="shared" si="454"/>
        <v>6000</v>
      </c>
      <c r="AD1261">
        <f t="shared" si="455"/>
        <v>2.8807044699633058</v>
      </c>
      <c r="AE1261">
        <f t="shared" si="456"/>
        <v>6.7186727243907782</v>
      </c>
      <c r="AF1261">
        <f t="shared" si="457"/>
        <v>6000</v>
      </c>
      <c r="AG1261">
        <f t="shared" si="458"/>
        <v>2.8807044699633058</v>
      </c>
      <c r="AH1261">
        <f t="shared" si="459"/>
        <v>6.7186727243907782</v>
      </c>
      <c r="AI1261" cm="1">
        <f t="array" ref="AI1261">_xlfn.LET(
    _xlpm.vals,   _xlfn.HSTACK(S1261,V1261,Y1261,AB1261,AE1261,AH1261),
    _xlpm.ints,   _xlfn.HSTACK(R1261,U1261,X1261,AA1261,AD1261,AG1261),
    _xlpm.slopes, _xlfn.HSTACK(Q1261,T1261,W1261,Z1261,AC1261,AF1261),
    _xlpm.limit,  -0.00001*_xlpm.slopes + 0.1086*_xlpm.slopes + 63.253,
    _xlpm.mask,   (_xlpm.vals&gt;=0) * (_xlpm.ints&lt;=_xlpm.limit),
    _xlpm.validVals, _xlfn._xlws.FILTER(_xlpm.vals, _xlpm.mask),
    _xlpm.minVal, MIN(_xlpm.validVals),
    IFERROR( _xlfn.XMATCH(_xlpm.minVal, _xlpm.vals), "" )
)</f>
        <v>4</v>
      </c>
      <c r="AJ1261" cm="1">
        <f t="array" ref="AJ1261">_xlfn.LET(
    _xlpm.vals, CHOOSE({1,2,3,4,5,6}, S1261, V1261, Y1261, AB1261, AE1261, AH1261),
    _xlpm.slopes, CHOOSE({1,2,3,4,5,6}, Q1261, T1261, W1261, Z1261, AC1261, AF1261),
    _xlpm.ints, CHOOSE({1,2,3,4,5,6}, R1261, U1261, X1261, AA1261, AD1261, AG1261),
    _xlpm.limit, -0.00001*_xlpm.slopes + 0.1086*_xlpm.slopes + 63.253,
    _xlpm.valid, (_xlpm.vals &gt;= 0) * (_xlpm.ints &lt;= _xlpm.limit),
    _xlpm.target, MIN(_xlfn._xlws.FILTER(_xlpm.vals, _xlpm.valid)),
    IFERROR(
        _xlfn.XLOOKUP(_xlpm.target, _xlpm.vals, _xlpm.vals),
        CHOOSE({1,2,3,4,5,6}, S$1, V$1, Y$1, AB$1, AE$1, AH$1)
    )
)</f>
        <v>0.50581826869544633</v>
      </c>
    </row>
    <row r="1262" spans="9:36" x14ac:dyDescent="0.45">
      <c r="I1262">
        <v>1260</v>
      </c>
      <c r="J1262">
        <v>23.7</v>
      </c>
      <c r="K1262">
        <f t="shared" si="438"/>
        <v>23.7</v>
      </c>
      <c r="L1262">
        <f t="shared" si="437"/>
        <v>6.5833333333333334E-3</v>
      </c>
      <c r="M1262">
        <v>8.9499999999999993</v>
      </c>
      <c r="N1262">
        <f t="shared" si="439"/>
        <v>8.9499999999999993</v>
      </c>
      <c r="O1262">
        <f t="shared" si="440"/>
        <v>307.98583205612437</v>
      </c>
      <c r="P1262">
        <f t="shared" si="441"/>
        <v>985.55466257959802</v>
      </c>
      <c r="Q1262">
        <f t="shared" si="442"/>
        <v>4513.8403546145591</v>
      </c>
      <c r="R1262">
        <f t="shared" si="443"/>
        <v>18.934255030303532</v>
      </c>
      <c r="S1262">
        <f t="shared" si="444"/>
        <v>3.065542851300608</v>
      </c>
      <c r="T1262">
        <f t="shared" si="445"/>
        <v>2917.2418012356102</v>
      </c>
      <c r="U1262">
        <f t="shared" si="446"/>
        <v>29.296921634726417</v>
      </c>
      <c r="V1262">
        <f t="shared" si="447"/>
        <v>1.4077657486545077</v>
      </c>
      <c r="W1262">
        <f t="shared" si="448"/>
        <v>1882.409405527032</v>
      </c>
      <c r="X1262">
        <f t="shared" si="449"/>
        <v>45.40255918261267</v>
      </c>
      <c r="Y1262">
        <f t="shared" si="450"/>
        <v>1.1167339756962689</v>
      </c>
      <c r="Z1262">
        <f t="shared" si="451"/>
        <v>1419.198714114621</v>
      </c>
      <c r="AA1262">
        <f t="shared" si="452"/>
        <v>60.221450026937632</v>
      </c>
      <c r="AB1262">
        <f t="shared" si="453"/>
        <v>1.0875435176895838</v>
      </c>
      <c r="AC1262">
        <f t="shared" si="454"/>
        <v>6000</v>
      </c>
      <c r="AD1262">
        <f t="shared" si="455"/>
        <v>14.244367406724633</v>
      </c>
      <c r="AE1262">
        <f t="shared" si="456"/>
        <v>6.8182914839438107</v>
      </c>
      <c r="AF1262">
        <f t="shared" si="457"/>
        <v>6000</v>
      </c>
      <c r="AG1262">
        <f t="shared" si="458"/>
        <v>14.244367406724633</v>
      </c>
      <c r="AH1262">
        <f t="shared" si="459"/>
        <v>6.8182914839438107</v>
      </c>
      <c r="AI1262" cm="1">
        <f t="array" ref="AI1262">_xlfn.LET(
    _xlpm.vals,   _xlfn.HSTACK(S1262,V1262,Y1262,AB1262,AE1262,AH1262),
    _xlpm.ints,   _xlfn.HSTACK(R1262,U1262,X1262,AA1262,AD1262,AG1262),
    _xlpm.slopes, _xlfn.HSTACK(Q1262,T1262,W1262,Z1262,AC1262,AF1262),
    _xlpm.limit,  -0.00001*_xlpm.slopes + 0.1086*_xlpm.slopes + 63.253,
    _xlpm.mask,   (_xlpm.vals&gt;=0) * (_xlpm.ints&lt;=_xlpm.limit),
    _xlpm.validVals, _xlfn._xlws.FILTER(_xlpm.vals, _xlpm.mask),
    _xlpm.minVal, MIN(_xlpm.validVals),
    IFERROR( _xlfn.XMATCH(_xlpm.minVal, _xlpm.vals), "" )
)</f>
        <v>4</v>
      </c>
      <c r="AJ1262" cm="1">
        <f t="array" ref="AJ1262">_xlfn.LET(
    _xlpm.vals, CHOOSE({1,2,3,4,5,6}, S1262, V1262, Y1262, AB1262, AE1262, AH1262),
    _xlpm.slopes, CHOOSE({1,2,3,4,5,6}, Q1262, T1262, W1262, Z1262, AC1262, AF1262),
    _xlpm.ints, CHOOSE({1,2,3,4,5,6}, R1262, U1262, X1262, AA1262, AD1262, AG1262),
    _xlpm.limit, -0.00001*_xlpm.slopes + 0.1086*_xlpm.slopes + 63.253,
    _xlpm.valid, (_xlpm.vals &gt;= 0) * (_xlpm.ints &lt;= _xlpm.limit),
    _xlpm.target, MIN(_xlfn._xlws.FILTER(_xlpm.vals, _xlpm.valid)),
    IFERROR(
        _xlfn.XLOOKUP(_xlpm.target, _xlpm.vals, _xlpm.vals),
        CHOOSE({1,2,3,4,5,6}, S$1, V$1, Y$1, AB$1, AE$1, AH$1)
    )
)</f>
        <v>1.0875435176895838</v>
      </c>
    </row>
    <row r="1263" spans="9:36" x14ac:dyDescent="0.45">
      <c r="I1263">
        <v>1261</v>
      </c>
      <c r="J1263">
        <v>23.6</v>
      </c>
      <c r="K1263">
        <f t="shared" si="438"/>
        <v>23.6</v>
      </c>
      <c r="L1263">
        <f t="shared" si="437"/>
        <v>6.5555555555555558E-3</v>
      </c>
      <c r="M1263">
        <v>4.29</v>
      </c>
      <c r="N1263">
        <f t="shared" si="439"/>
        <v>4.29</v>
      </c>
      <c r="O1263">
        <f t="shared" si="440"/>
        <v>306.68631377740667</v>
      </c>
      <c r="P1263">
        <f t="shared" si="441"/>
        <v>981.39620408770134</v>
      </c>
      <c r="Q1263">
        <f t="shared" si="442"/>
        <v>4494.7946147216726</v>
      </c>
      <c r="R1263">
        <f t="shared" si="443"/>
        <v>9.1142056230283597</v>
      </c>
      <c r="S1263">
        <f t="shared" si="444"/>
        <v>2.8687510036975983</v>
      </c>
      <c r="T1263">
        <f t="shared" si="445"/>
        <v>2904.9327640995957</v>
      </c>
      <c r="U1263">
        <f t="shared" si="446"/>
        <v>14.102385727523615</v>
      </c>
      <c r="V1263">
        <f t="shared" si="447"/>
        <v>1.1290318211246468</v>
      </c>
      <c r="W1263">
        <f t="shared" si="448"/>
        <v>1874.4667498075094</v>
      </c>
      <c r="X1263">
        <f t="shared" si="449"/>
        <v>21.85500615364916</v>
      </c>
      <c r="Y1263">
        <f t="shared" si="450"/>
        <v>0.75966506277346912</v>
      </c>
      <c r="Z1263">
        <f t="shared" si="451"/>
        <v>1413.2105338862898</v>
      </c>
      <c r="AA1263">
        <f t="shared" si="452"/>
        <v>28.988237328798544</v>
      </c>
      <c r="AB1263">
        <f t="shared" si="453"/>
        <v>0.68668524495022532</v>
      </c>
      <c r="AC1263">
        <f t="shared" si="454"/>
        <v>6000</v>
      </c>
      <c r="AD1263">
        <f t="shared" si="455"/>
        <v>6.8277470586423101</v>
      </c>
      <c r="AE1263">
        <f t="shared" si="456"/>
        <v>6.748619850440809</v>
      </c>
      <c r="AF1263">
        <f t="shared" si="457"/>
        <v>6000</v>
      </c>
      <c r="AG1263">
        <f t="shared" si="458"/>
        <v>6.8277470586423101</v>
      </c>
      <c r="AH1263">
        <f t="shared" si="459"/>
        <v>6.748619850440809</v>
      </c>
      <c r="AI1263" cm="1">
        <f t="array" ref="AI1263">_xlfn.LET(
    _xlpm.vals,   _xlfn.HSTACK(S1263,V1263,Y1263,AB1263,AE1263,AH1263),
    _xlpm.ints,   _xlfn.HSTACK(R1263,U1263,X1263,AA1263,AD1263,AG1263),
    _xlpm.slopes, _xlfn.HSTACK(Q1263,T1263,W1263,Z1263,AC1263,AF1263),
    _xlpm.limit,  -0.00001*_xlpm.slopes + 0.1086*_xlpm.slopes + 63.253,
    _xlpm.mask,   (_xlpm.vals&gt;=0) * (_xlpm.ints&lt;=_xlpm.limit),
    _xlpm.validVals, _xlfn._xlws.FILTER(_xlpm.vals, _xlpm.mask),
    _xlpm.minVal, MIN(_xlpm.validVals),
    IFERROR( _xlfn.XMATCH(_xlpm.minVal, _xlpm.vals), "" )
)</f>
        <v>4</v>
      </c>
      <c r="AJ1263" cm="1">
        <f t="array" ref="AJ1263">_xlfn.LET(
    _xlpm.vals, CHOOSE({1,2,3,4,5,6}, S1263, V1263, Y1263, AB1263, AE1263, AH1263),
    _xlpm.slopes, CHOOSE({1,2,3,4,5,6}, Q1263, T1263, W1263, Z1263, AC1263, AF1263),
    _xlpm.ints, CHOOSE({1,2,3,4,5,6}, R1263, U1263, X1263, AA1263, AD1263, AG1263),
    _xlpm.limit, -0.00001*_xlpm.slopes + 0.1086*_xlpm.slopes + 63.253,
    _xlpm.valid, (_xlpm.vals &gt;= 0) * (_xlpm.ints &lt;= _xlpm.limit),
    _xlpm.target, MIN(_xlfn._xlws.FILTER(_xlpm.vals, _xlpm.valid)),
    IFERROR(
        _xlfn.XLOOKUP(_xlpm.target, _xlpm.vals, _xlpm.vals),
        CHOOSE({1,2,3,4,5,6}, S$1, V$1, Y$1, AB$1, AE$1, AH$1)
    )
)</f>
        <v>0.68668524495022532</v>
      </c>
    </row>
    <row r="1264" spans="9:36" x14ac:dyDescent="0.45">
      <c r="I1264">
        <v>1262</v>
      </c>
      <c r="J1264">
        <v>23.6</v>
      </c>
      <c r="K1264">
        <f t="shared" si="438"/>
        <v>23.6</v>
      </c>
      <c r="L1264">
        <f t="shared" si="437"/>
        <v>6.5555555555555558E-3</v>
      </c>
      <c r="M1264">
        <v>3.52</v>
      </c>
      <c r="N1264">
        <f t="shared" si="439"/>
        <v>3.52</v>
      </c>
      <c r="O1264">
        <f t="shared" si="440"/>
        <v>306.68631377740667</v>
      </c>
      <c r="P1264">
        <f t="shared" si="441"/>
        <v>981.39620408770134</v>
      </c>
      <c r="Q1264">
        <f t="shared" si="442"/>
        <v>4494.7946147216726</v>
      </c>
      <c r="R1264">
        <f t="shared" si="443"/>
        <v>7.4783225624848084</v>
      </c>
      <c r="S1264">
        <f t="shared" si="444"/>
        <v>2.8438858119921981</v>
      </c>
      <c r="T1264">
        <f t="shared" si="445"/>
        <v>2904.9327640995957</v>
      </c>
      <c r="U1264">
        <f t="shared" si="446"/>
        <v>11.571188289250145</v>
      </c>
      <c r="V1264">
        <f t="shared" si="447"/>
        <v>1.0878430571862083</v>
      </c>
      <c r="W1264">
        <f t="shared" si="448"/>
        <v>1874.4667498075094</v>
      </c>
      <c r="X1264">
        <f t="shared" si="449"/>
        <v>17.932312741455721</v>
      </c>
      <c r="Y1264">
        <f t="shared" si="450"/>
        <v>0.70664377144418533</v>
      </c>
      <c r="Z1264">
        <f t="shared" si="451"/>
        <v>1413.2105338862898</v>
      </c>
      <c r="AA1264">
        <f t="shared" si="452"/>
        <v>23.785220372347521</v>
      </c>
      <c r="AB1264">
        <f t="shared" si="453"/>
        <v>0.62711138449675585</v>
      </c>
      <c r="AC1264">
        <f t="shared" si="454"/>
        <v>6000</v>
      </c>
      <c r="AD1264">
        <f t="shared" si="455"/>
        <v>5.6022539968347163</v>
      </c>
      <c r="AE1264">
        <f t="shared" si="456"/>
        <v>6.7387814431215451</v>
      </c>
      <c r="AF1264">
        <f t="shared" si="457"/>
        <v>6000</v>
      </c>
      <c r="AG1264">
        <f t="shared" si="458"/>
        <v>5.6022539968347163</v>
      </c>
      <c r="AH1264">
        <f t="shared" si="459"/>
        <v>6.7387814431215451</v>
      </c>
      <c r="AI1264" cm="1">
        <f t="array" ref="AI1264">_xlfn.LET(
    _xlpm.vals,   _xlfn.HSTACK(S1264,V1264,Y1264,AB1264,AE1264,AH1264),
    _xlpm.ints,   _xlfn.HSTACK(R1264,U1264,X1264,AA1264,AD1264,AG1264),
    _xlpm.slopes, _xlfn.HSTACK(Q1264,T1264,W1264,Z1264,AC1264,AF1264),
    _xlpm.limit,  -0.00001*_xlpm.slopes + 0.1086*_xlpm.slopes + 63.253,
    _xlpm.mask,   (_xlpm.vals&gt;=0) * (_xlpm.ints&lt;=_xlpm.limit),
    _xlpm.validVals, _xlfn._xlws.FILTER(_xlpm.vals, _xlpm.mask),
    _xlpm.minVal, MIN(_xlpm.validVals),
    IFERROR( _xlfn.XMATCH(_xlpm.minVal, _xlpm.vals), "" )
)</f>
        <v>4</v>
      </c>
      <c r="AJ1264" cm="1">
        <f t="array" ref="AJ1264">_xlfn.LET(
    _xlpm.vals, CHOOSE({1,2,3,4,5,6}, S1264, V1264, Y1264, AB1264, AE1264, AH1264),
    _xlpm.slopes, CHOOSE({1,2,3,4,5,6}, Q1264, T1264, W1264, Z1264, AC1264, AF1264),
    _xlpm.ints, CHOOSE({1,2,3,4,5,6}, R1264, U1264, X1264, AA1264, AD1264, AG1264),
    _xlpm.limit, -0.00001*_xlpm.slopes + 0.1086*_xlpm.slopes + 63.253,
    _xlpm.valid, (_xlpm.vals &gt;= 0) * (_xlpm.ints &lt;= _xlpm.limit),
    _xlpm.target, MIN(_xlfn._xlws.FILTER(_xlpm.vals, _xlpm.valid)),
    IFERROR(
        _xlfn.XLOOKUP(_xlpm.target, _xlpm.vals, _xlpm.vals),
        CHOOSE({1,2,3,4,5,6}, S$1, V$1, Y$1, AB$1, AE$1, AH$1)
    )
)</f>
        <v>0.62711138449675585</v>
      </c>
    </row>
    <row r="1265" spans="9:36" x14ac:dyDescent="0.45">
      <c r="I1265">
        <v>1263</v>
      </c>
      <c r="J1265">
        <v>23.8</v>
      </c>
      <c r="K1265">
        <f t="shared" si="438"/>
        <v>23.8</v>
      </c>
      <c r="L1265">
        <f t="shared" si="437"/>
        <v>6.611111111111111E-3</v>
      </c>
      <c r="M1265">
        <v>9.01</v>
      </c>
      <c r="N1265">
        <f t="shared" si="439"/>
        <v>9.01</v>
      </c>
      <c r="O1265">
        <f t="shared" si="440"/>
        <v>309.28535033484224</v>
      </c>
      <c r="P1265">
        <f t="shared" si="441"/>
        <v>989.71312107149515</v>
      </c>
      <c r="Q1265">
        <f t="shared" si="442"/>
        <v>4532.8860945074475</v>
      </c>
      <c r="R1265">
        <f t="shared" si="443"/>
        <v>18.981099555917211</v>
      </c>
      <c r="S1265">
        <f t="shared" si="444"/>
        <v>3.1002435387676517</v>
      </c>
      <c r="T1265">
        <f t="shared" si="445"/>
        <v>2929.5508383716256</v>
      </c>
      <c r="U1265">
        <f t="shared" si="446"/>
        <v>29.369404042601634</v>
      </c>
      <c r="V1265">
        <f t="shared" si="447"/>
        <v>1.4177151033994382</v>
      </c>
      <c r="W1265">
        <f t="shared" si="448"/>
        <v>1890.3520612465556</v>
      </c>
      <c r="X1265">
        <f t="shared" si="449"/>
        <v>45.514887940366926</v>
      </c>
      <c r="Y1265">
        <f t="shared" si="450"/>
        <v>1.1224922366562813</v>
      </c>
      <c r="Z1265">
        <f t="shared" si="451"/>
        <v>1425.1868943429529</v>
      </c>
      <c r="AA1265">
        <f t="shared" si="452"/>
        <v>60.370441643125581</v>
      </c>
      <c r="AB1265">
        <f t="shared" si="453"/>
        <v>1.0931573351273434</v>
      </c>
      <c r="AC1265">
        <f t="shared" si="454"/>
        <v>6000</v>
      </c>
      <c r="AD1265">
        <f t="shared" si="455"/>
        <v>14.339860372579771</v>
      </c>
      <c r="AE1265">
        <f t="shared" si="456"/>
        <v>6.8192997397990709</v>
      </c>
      <c r="AF1265">
        <f t="shared" si="457"/>
        <v>6000</v>
      </c>
      <c r="AG1265">
        <f t="shared" si="458"/>
        <v>14.339860372579771</v>
      </c>
      <c r="AH1265">
        <f t="shared" si="459"/>
        <v>6.8192997397990709</v>
      </c>
      <c r="AI1265" cm="1">
        <f t="array" ref="AI1265">_xlfn.LET(
    _xlpm.vals,   _xlfn.HSTACK(S1265,V1265,Y1265,AB1265,AE1265,AH1265),
    _xlpm.ints,   _xlfn.HSTACK(R1265,U1265,X1265,AA1265,AD1265,AG1265),
    _xlpm.slopes, _xlfn.HSTACK(Q1265,T1265,W1265,Z1265,AC1265,AF1265),
    _xlpm.limit,  -0.00001*_xlpm.slopes + 0.1086*_xlpm.slopes + 63.253,
    _xlpm.mask,   (_xlpm.vals&gt;=0) * (_xlpm.ints&lt;=_xlpm.limit),
    _xlpm.validVals, _xlfn._xlws.FILTER(_xlpm.vals, _xlpm.mask),
    _xlpm.minVal, MIN(_xlpm.validVals),
    IFERROR( _xlfn.XMATCH(_xlpm.minVal, _xlpm.vals), "" )
)</f>
        <v>4</v>
      </c>
      <c r="AJ1265" cm="1">
        <f t="array" ref="AJ1265">_xlfn.LET(
    _xlpm.vals, CHOOSE({1,2,3,4,5,6}, S1265, V1265, Y1265, AB1265, AE1265, AH1265),
    _xlpm.slopes, CHOOSE({1,2,3,4,5,6}, Q1265, T1265, W1265, Z1265, AC1265, AF1265),
    _xlpm.ints, CHOOSE({1,2,3,4,5,6}, R1265, U1265, X1265, AA1265, AD1265, AG1265),
    _xlpm.limit, -0.00001*_xlpm.slopes + 0.1086*_xlpm.slopes + 63.253,
    _xlpm.valid, (_xlpm.vals &gt;= 0) * (_xlpm.ints &lt;= _xlpm.limit),
    _xlpm.target, MIN(_xlfn._xlws.FILTER(_xlpm.vals, _xlpm.valid)),
    IFERROR(
        _xlfn.XLOOKUP(_xlpm.target, _xlpm.vals, _xlpm.vals),
        CHOOSE({1,2,3,4,5,6}, S$1, V$1, Y$1, AB$1, AE$1, AH$1)
    )
)</f>
        <v>1.0931573351273434</v>
      </c>
    </row>
    <row r="1266" spans="9:36" x14ac:dyDescent="0.45">
      <c r="I1266">
        <v>1264</v>
      </c>
      <c r="J1266">
        <v>24.1</v>
      </c>
      <c r="K1266">
        <f t="shared" si="438"/>
        <v>24.1</v>
      </c>
      <c r="L1266">
        <f t="shared" si="437"/>
        <v>6.6944444444444447E-3</v>
      </c>
      <c r="M1266">
        <v>9.9</v>
      </c>
      <c r="N1266">
        <f t="shared" si="439"/>
        <v>9.9</v>
      </c>
      <c r="O1266">
        <f t="shared" si="440"/>
        <v>313.18390517099573</v>
      </c>
      <c r="P1266">
        <f t="shared" si="441"/>
        <v>1002.1884965471863</v>
      </c>
      <c r="Q1266">
        <f t="shared" si="442"/>
        <v>4590.0233141861136</v>
      </c>
      <c r="R1266">
        <f t="shared" si="443"/>
        <v>20.596417430909931</v>
      </c>
      <c r="S1266">
        <f t="shared" si="444"/>
        <v>3.2326582303124605</v>
      </c>
      <c r="T1266">
        <f t="shared" si="445"/>
        <v>2966.4779497796717</v>
      </c>
      <c r="U1266">
        <f t="shared" si="446"/>
        <v>31.868781024853881</v>
      </c>
      <c r="V1266">
        <f t="shared" si="447"/>
        <v>1.4921986961868074</v>
      </c>
      <c r="W1266">
        <f t="shared" si="448"/>
        <v>1914.1800284051258</v>
      </c>
      <c r="X1266">
        <f t="shared" si="449"/>
        <v>49.388267975689786</v>
      </c>
      <c r="Y1266">
        <f t="shared" si="450"/>
        <v>1.1980332091920423</v>
      </c>
      <c r="Z1266">
        <f t="shared" si="451"/>
        <v>1443.1514350279483</v>
      </c>
      <c r="AA1266">
        <f t="shared" si="452"/>
        <v>65.508049884421865</v>
      </c>
      <c r="AB1266">
        <f t="shared" si="453"/>
        <v>1.1743933330687804</v>
      </c>
      <c r="AC1266">
        <f t="shared" si="454"/>
        <v>6000</v>
      </c>
      <c r="AD1266">
        <f t="shared" si="455"/>
        <v>15.75633936609764</v>
      </c>
      <c r="AE1266">
        <f t="shared" si="456"/>
        <v>6.8345808634391831</v>
      </c>
      <c r="AF1266">
        <f t="shared" si="457"/>
        <v>6000</v>
      </c>
      <c r="AG1266">
        <f t="shared" si="458"/>
        <v>15.75633936609764</v>
      </c>
      <c r="AH1266">
        <f t="shared" si="459"/>
        <v>6.8345808634391831</v>
      </c>
      <c r="AI1266" cm="1">
        <f t="array" ref="AI1266">_xlfn.LET(
    _xlpm.vals,   _xlfn.HSTACK(S1266,V1266,Y1266,AB1266,AE1266,AH1266),
    _xlpm.ints,   _xlfn.HSTACK(R1266,U1266,X1266,AA1266,AD1266,AG1266),
    _xlpm.slopes, _xlfn.HSTACK(Q1266,T1266,W1266,Z1266,AC1266,AF1266),
    _xlpm.limit,  -0.00001*_xlpm.slopes + 0.1086*_xlpm.slopes + 63.253,
    _xlpm.mask,   (_xlpm.vals&gt;=0) * (_xlpm.ints&lt;=_xlpm.limit),
    _xlpm.validVals, _xlfn._xlws.FILTER(_xlpm.vals, _xlpm.mask),
    _xlpm.minVal, MIN(_xlpm.validVals),
    IFERROR( _xlfn.XMATCH(_xlpm.minVal, _xlpm.vals), "" )
)</f>
        <v>4</v>
      </c>
      <c r="AJ1266" cm="1">
        <f t="array" ref="AJ1266">_xlfn.LET(
    _xlpm.vals, CHOOSE({1,2,3,4,5,6}, S1266, V1266, Y1266, AB1266, AE1266, AH1266),
    _xlpm.slopes, CHOOSE({1,2,3,4,5,6}, Q1266, T1266, W1266, Z1266, AC1266, AF1266),
    _xlpm.ints, CHOOSE({1,2,3,4,5,6}, R1266, U1266, X1266, AA1266, AD1266, AG1266),
    _xlpm.limit, -0.00001*_xlpm.slopes + 0.1086*_xlpm.slopes + 63.253,
    _xlpm.valid, (_xlpm.vals &gt;= 0) * (_xlpm.ints &lt;= _xlpm.limit),
    _xlpm.target, MIN(_xlfn._xlws.FILTER(_xlpm.vals, _xlpm.valid)),
    IFERROR(
        _xlfn.XLOOKUP(_xlpm.target, _xlpm.vals, _xlpm.vals),
        CHOOSE({1,2,3,4,5,6}, S$1, V$1, Y$1, AB$1, AE$1, AH$1)
    )
)</f>
        <v>1.1743933330687804</v>
      </c>
    </row>
    <row r="1267" spans="9:36" x14ac:dyDescent="0.45">
      <c r="I1267">
        <v>1265</v>
      </c>
      <c r="J1267">
        <v>24.5</v>
      </c>
      <c r="K1267">
        <f t="shared" si="438"/>
        <v>24.5</v>
      </c>
      <c r="L1267">
        <f t="shared" si="437"/>
        <v>6.8055555555555551E-3</v>
      </c>
      <c r="M1267">
        <v>6.25</v>
      </c>
      <c r="N1267">
        <f t="shared" si="439"/>
        <v>6.25</v>
      </c>
      <c r="O1267">
        <f t="shared" si="440"/>
        <v>318.38197828586698</v>
      </c>
      <c r="P1267">
        <f t="shared" si="441"/>
        <v>1018.8223305147744</v>
      </c>
      <c r="Q1267">
        <f t="shared" si="442"/>
        <v>4666.2062737576671</v>
      </c>
      <c r="R1267">
        <f t="shared" si="443"/>
        <v>12.790498353043944</v>
      </c>
      <c r="S1267">
        <f t="shared" si="444"/>
        <v>3.2434522717189198</v>
      </c>
      <c r="T1267">
        <f t="shared" si="445"/>
        <v>3015.7140983237323</v>
      </c>
      <c r="U1267">
        <f t="shared" si="446"/>
        <v>19.790703532750424</v>
      </c>
      <c r="V1267">
        <f t="shared" si="447"/>
        <v>1.3020107217000572</v>
      </c>
      <c r="W1267">
        <f t="shared" si="448"/>
        <v>1945.950651283219</v>
      </c>
      <c r="X1267">
        <f t="shared" si="449"/>
        <v>30.670409663320033</v>
      </c>
      <c r="Y1267">
        <f t="shared" si="450"/>
        <v>0.91489625151671972</v>
      </c>
      <c r="Z1267">
        <f t="shared" si="451"/>
        <v>1467.1041559412752</v>
      </c>
      <c r="AA1267">
        <f t="shared" si="452"/>
        <v>40.680890595098091</v>
      </c>
      <c r="AB1267">
        <f t="shared" si="453"/>
        <v>0.85303501861870445</v>
      </c>
      <c r="AC1267">
        <f t="shared" si="454"/>
        <v>6000</v>
      </c>
      <c r="AD1267">
        <f t="shared" si="455"/>
        <v>9.9471839432434592</v>
      </c>
      <c r="AE1267">
        <f t="shared" si="456"/>
        <v>6.7758254598673711</v>
      </c>
      <c r="AF1267">
        <f t="shared" si="457"/>
        <v>6000</v>
      </c>
      <c r="AG1267">
        <f t="shared" si="458"/>
        <v>9.9471839432434592</v>
      </c>
      <c r="AH1267">
        <f t="shared" si="459"/>
        <v>6.7758254598673711</v>
      </c>
      <c r="AI1267" cm="1">
        <f t="array" ref="AI1267">_xlfn.LET(
    _xlpm.vals,   _xlfn.HSTACK(S1267,V1267,Y1267,AB1267,AE1267,AH1267),
    _xlpm.ints,   _xlfn.HSTACK(R1267,U1267,X1267,AA1267,AD1267,AG1267),
    _xlpm.slopes, _xlfn.HSTACK(Q1267,T1267,W1267,Z1267,AC1267,AF1267),
    _xlpm.limit,  -0.00001*_xlpm.slopes + 0.1086*_xlpm.slopes + 63.253,
    _xlpm.mask,   (_xlpm.vals&gt;=0) * (_xlpm.ints&lt;=_xlpm.limit),
    _xlpm.validVals, _xlfn._xlws.FILTER(_xlpm.vals, _xlpm.mask),
    _xlpm.minVal, MIN(_xlpm.validVals),
    IFERROR( _xlfn.XMATCH(_xlpm.minVal, _xlpm.vals), "" )
)</f>
        <v>4</v>
      </c>
      <c r="AJ1267" cm="1">
        <f t="array" ref="AJ1267">_xlfn.LET(
    _xlpm.vals, CHOOSE({1,2,3,4,5,6}, S1267, V1267, Y1267, AB1267, AE1267, AH1267),
    _xlpm.slopes, CHOOSE({1,2,3,4,5,6}, Q1267, T1267, W1267, Z1267, AC1267, AF1267),
    _xlpm.ints, CHOOSE({1,2,3,4,5,6}, R1267, U1267, X1267, AA1267, AD1267, AG1267),
    _xlpm.limit, -0.00001*_xlpm.slopes + 0.1086*_xlpm.slopes + 63.253,
    _xlpm.valid, (_xlpm.vals &gt;= 0) * (_xlpm.ints &lt;= _xlpm.limit),
    _xlpm.target, MIN(_xlfn._xlws.FILTER(_xlpm.vals, _xlpm.valid)),
    IFERROR(
        _xlfn.XLOOKUP(_xlpm.target, _xlpm.vals, _xlpm.vals),
        CHOOSE({1,2,3,4,5,6}, S$1, V$1, Y$1, AB$1, AE$1, AH$1)
    )
)</f>
        <v>0.85303501861870445</v>
      </c>
    </row>
    <row r="1268" spans="9:36" x14ac:dyDescent="0.45">
      <c r="I1268">
        <v>1266</v>
      </c>
      <c r="J1268">
        <v>24.9</v>
      </c>
      <c r="K1268">
        <f t="shared" si="438"/>
        <v>24.9</v>
      </c>
      <c r="L1268">
        <f t="shared" si="437"/>
        <v>6.9166666666666664E-3</v>
      </c>
      <c r="M1268">
        <v>10.57</v>
      </c>
      <c r="N1268">
        <f t="shared" si="439"/>
        <v>10.57</v>
      </c>
      <c r="O1268">
        <f t="shared" si="440"/>
        <v>323.58005140073828</v>
      </c>
      <c r="P1268">
        <f t="shared" si="441"/>
        <v>1035.4561644823625</v>
      </c>
      <c r="Q1268">
        <f t="shared" si="442"/>
        <v>4742.3892333292206</v>
      </c>
      <c r="R1268">
        <f t="shared" si="443"/>
        <v>21.283800199171242</v>
      </c>
      <c r="S1268">
        <f t="shared" si="444"/>
        <v>3.5358452423002205</v>
      </c>
      <c r="T1268">
        <f t="shared" si="445"/>
        <v>3064.9502468677929</v>
      </c>
      <c r="U1268">
        <f t="shared" si="446"/>
        <v>32.932366524393352</v>
      </c>
      <c r="V1268">
        <f t="shared" si="447"/>
        <v>1.5866250807961511</v>
      </c>
      <c r="W1268">
        <f t="shared" si="448"/>
        <v>1977.7212741613123</v>
      </c>
      <c r="X1268">
        <f t="shared" si="449"/>
        <v>51.036547074452514</v>
      </c>
      <c r="Y1268">
        <f t="shared" si="450"/>
        <v>1.259592554334011</v>
      </c>
      <c r="Z1268">
        <f t="shared" si="451"/>
        <v>1491.056876854602</v>
      </c>
      <c r="AA1268">
        <f t="shared" si="452"/>
        <v>67.694308966808549</v>
      </c>
      <c r="AB1268">
        <f t="shared" si="453"/>
        <v>1.2360457666930551</v>
      </c>
      <c r="AC1268">
        <f t="shared" si="454"/>
        <v>6000</v>
      </c>
      <c r="AD1268">
        <f t="shared" si="455"/>
        <v>16.822677484813337</v>
      </c>
      <c r="AE1268">
        <f t="shared" si="456"/>
        <v>6.8464844249835908</v>
      </c>
      <c r="AF1268">
        <f t="shared" si="457"/>
        <v>6000</v>
      </c>
      <c r="AG1268">
        <f t="shared" si="458"/>
        <v>16.822677484813337</v>
      </c>
      <c r="AH1268">
        <f t="shared" si="459"/>
        <v>6.8464844249835908</v>
      </c>
      <c r="AI1268" cm="1">
        <f t="array" ref="AI1268">_xlfn.LET(
    _xlpm.vals,   _xlfn.HSTACK(S1268,V1268,Y1268,AB1268,AE1268,AH1268),
    _xlpm.ints,   _xlfn.HSTACK(R1268,U1268,X1268,AA1268,AD1268,AG1268),
    _xlpm.slopes, _xlfn.HSTACK(Q1268,T1268,W1268,Z1268,AC1268,AF1268),
    _xlpm.limit,  -0.00001*_xlpm.slopes + 0.1086*_xlpm.slopes + 63.253,
    _xlpm.mask,   (_xlpm.vals&gt;=0) * (_xlpm.ints&lt;=_xlpm.limit),
    _xlpm.validVals, _xlfn._xlws.FILTER(_xlpm.vals, _xlpm.mask),
    _xlpm.minVal, MIN(_xlpm.validVals),
    IFERROR( _xlfn.XMATCH(_xlpm.minVal, _xlpm.vals), "" )
)</f>
        <v>4</v>
      </c>
      <c r="AJ1268" cm="1">
        <f t="array" ref="AJ1268">_xlfn.LET(
    _xlpm.vals, CHOOSE({1,2,3,4,5,6}, S1268, V1268, Y1268, AB1268, AE1268, AH1268),
    _xlpm.slopes, CHOOSE({1,2,3,4,5,6}, Q1268, T1268, W1268, Z1268, AC1268, AF1268),
    _xlpm.ints, CHOOSE({1,2,3,4,5,6}, R1268, U1268, X1268, AA1268, AD1268, AG1268),
    _xlpm.limit, -0.00001*_xlpm.slopes + 0.1086*_xlpm.slopes + 63.253,
    _xlpm.valid, (_xlpm.vals &gt;= 0) * (_xlpm.ints &lt;= _xlpm.limit),
    _xlpm.target, MIN(_xlfn._xlws.FILTER(_xlpm.vals, _xlpm.valid)),
    IFERROR(
        _xlfn.XLOOKUP(_xlpm.target, _xlpm.vals, _xlpm.vals),
        CHOOSE({1,2,3,4,5,6}, S$1, V$1, Y$1, AB$1, AE$1, AH$1)
    )
)</f>
        <v>1.2360457666930551</v>
      </c>
    </row>
    <row r="1269" spans="9:36" x14ac:dyDescent="0.45">
      <c r="I1269">
        <v>1267</v>
      </c>
      <c r="J1269">
        <v>25.1</v>
      </c>
      <c r="K1269">
        <f t="shared" si="438"/>
        <v>25.1</v>
      </c>
      <c r="L1269">
        <f t="shared" si="437"/>
        <v>6.9722222222222225E-3</v>
      </c>
      <c r="M1269">
        <v>8.8000000000000007</v>
      </c>
      <c r="N1269">
        <f t="shared" si="439"/>
        <v>8.8000000000000007</v>
      </c>
      <c r="O1269">
        <f t="shared" si="440"/>
        <v>326.17908795817397</v>
      </c>
      <c r="P1269">
        <f t="shared" si="441"/>
        <v>1043.7730814661568</v>
      </c>
      <c r="Q1269">
        <f t="shared" si="442"/>
        <v>4780.4807131149983</v>
      </c>
      <c r="R1269">
        <f t="shared" si="443"/>
        <v>17.57852713890852</v>
      </c>
      <c r="S1269">
        <f t="shared" si="444"/>
        <v>3.5479996065249511</v>
      </c>
      <c r="T1269">
        <f t="shared" si="445"/>
        <v>3089.5683211398241</v>
      </c>
      <c r="U1269">
        <f t="shared" si="446"/>
        <v>27.199207532500342</v>
      </c>
      <c r="V1269">
        <f t="shared" si="447"/>
        <v>1.4934240251836501</v>
      </c>
      <c r="W1269">
        <f t="shared" si="448"/>
        <v>1993.6065856003593</v>
      </c>
      <c r="X1269">
        <f t="shared" si="449"/>
        <v>42.15165146397959</v>
      </c>
      <c r="Y1269">
        <f t="shared" si="450"/>
        <v>1.1184420902766057</v>
      </c>
      <c r="Z1269">
        <f t="shared" si="451"/>
        <v>1503.0332373112658</v>
      </c>
      <c r="AA1269">
        <f t="shared" si="452"/>
        <v>55.909482150139596</v>
      </c>
      <c r="AB1269">
        <f t="shared" si="453"/>
        <v>1.0770464928202801</v>
      </c>
      <c r="AC1269">
        <f t="shared" si="454"/>
        <v>6000</v>
      </c>
      <c r="AD1269">
        <f t="shared" si="455"/>
        <v>14.00563499208679</v>
      </c>
      <c r="AE1269">
        <f t="shared" si="456"/>
        <v>6.8157830133437409</v>
      </c>
      <c r="AF1269">
        <f t="shared" si="457"/>
        <v>6000</v>
      </c>
      <c r="AG1269">
        <f t="shared" si="458"/>
        <v>14.00563499208679</v>
      </c>
      <c r="AH1269">
        <f t="shared" si="459"/>
        <v>6.8157830133437409</v>
      </c>
      <c r="AI1269" cm="1">
        <f t="array" ref="AI1269">_xlfn.LET(
    _xlpm.vals,   _xlfn.HSTACK(S1269,V1269,Y1269,AB1269,AE1269,AH1269),
    _xlpm.ints,   _xlfn.HSTACK(R1269,U1269,X1269,AA1269,AD1269,AG1269),
    _xlpm.slopes, _xlfn.HSTACK(Q1269,T1269,W1269,Z1269,AC1269,AF1269),
    _xlpm.limit,  -0.00001*_xlpm.slopes + 0.1086*_xlpm.slopes + 63.253,
    _xlpm.mask,   (_xlpm.vals&gt;=0) * (_xlpm.ints&lt;=_xlpm.limit),
    _xlpm.validVals, _xlfn._xlws.FILTER(_xlpm.vals, _xlpm.mask),
    _xlpm.minVal, MIN(_xlpm.validVals),
    IFERROR( _xlfn.XMATCH(_xlpm.minVal, _xlpm.vals), "" )
)</f>
        <v>4</v>
      </c>
      <c r="AJ1269" cm="1">
        <f t="array" ref="AJ1269">_xlfn.LET(
    _xlpm.vals, CHOOSE({1,2,3,4,5,6}, S1269, V1269, Y1269, AB1269, AE1269, AH1269),
    _xlpm.slopes, CHOOSE({1,2,3,4,5,6}, Q1269, T1269, W1269, Z1269, AC1269, AF1269),
    _xlpm.ints, CHOOSE({1,2,3,4,5,6}, R1269, U1269, X1269, AA1269, AD1269, AG1269),
    _xlpm.limit, -0.00001*_xlpm.slopes + 0.1086*_xlpm.slopes + 63.253,
    _xlpm.valid, (_xlpm.vals &gt;= 0) * (_xlpm.ints &lt;= _xlpm.limit),
    _xlpm.target, MIN(_xlfn._xlws.FILTER(_xlpm.vals, _xlpm.valid)),
    IFERROR(
        _xlfn.XLOOKUP(_xlpm.target, _xlpm.vals, _xlpm.vals),
        CHOOSE({1,2,3,4,5,6}, S$1, V$1, Y$1, AB$1, AE$1, AH$1)
    )
)</f>
        <v>1.0770464928202801</v>
      </c>
    </row>
    <row r="1270" spans="9:36" x14ac:dyDescent="0.45">
      <c r="I1270">
        <v>1268</v>
      </c>
      <c r="J1270">
        <v>25.3</v>
      </c>
      <c r="K1270">
        <f t="shared" si="438"/>
        <v>25.3</v>
      </c>
      <c r="L1270">
        <f t="shared" si="437"/>
        <v>7.0277777777777778E-3</v>
      </c>
      <c r="M1270">
        <v>5.26</v>
      </c>
      <c r="N1270">
        <f t="shared" si="439"/>
        <v>5.26</v>
      </c>
      <c r="O1270">
        <f t="shared" si="440"/>
        <v>328.77812451560959</v>
      </c>
      <c r="P1270">
        <f t="shared" si="441"/>
        <v>1052.0899984499508</v>
      </c>
      <c r="Q1270">
        <f t="shared" si="442"/>
        <v>4818.572192900775</v>
      </c>
      <c r="R1270">
        <f t="shared" si="443"/>
        <v>10.424104491742437</v>
      </c>
      <c r="S1270">
        <f t="shared" si="444"/>
        <v>3.512872213978004</v>
      </c>
      <c r="T1270">
        <f t="shared" si="445"/>
        <v>3114.1863954118544</v>
      </c>
      <c r="U1270">
        <f t="shared" si="446"/>
        <v>16.12918870681769</v>
      </c>
      <c r="V1270">
        <f t="shared" si="447"/>
        <v>1.3102926986791159</v>
      </c>
      <c r="W1270">
        <f t="shared" si="448"/>
        <v>2009.491897039406</v>
      </c>
      <c r="X1270">
        <f t="shared" si="449"/>
        <v>24.996020194858829</v>
      </c>
      <c r="Y1270">
        <f t="shared" si="450"/>
        <v>0.85559936514640833</v>
      </c>
      <c r="Z1270">
        <f t="shared" si="451"/>
        <v>1515.0095977679291</v>
      </c>
      <c r="AA1270">
        <f t="shared" si="452"/>
        <v>33.154443452903024</v>
      </c>
      <c r="AB1270">
        <f t="shared" si="453"/>
        <v>0.77645977678201183</v>
      </c>
      <c r="AC1270">
        <f t="shared" si="454"/>
        <v>6000</v>
      </c>
      <c r="AD1270">
        <f t="shared" si="455"/>
        <v>8.3715500066336954</v>
      </c>
      <c r="AE1270">
        <f t="shared" si="456"/>
        <v>6.7616981127362328</v>
      </c>
      <c r="AF1270">
        <f t="shared" si="457"/>
        <v>6000</v>
      </c>
      <c r="AG1270">
        <f t="shared" si="458"/>
        <v>8.3715500066336954</v>
      </c>
      <c r="AH1270">
        <f t="shared" si="459"/>
        <v>6.7616981127362328</v>
      </c>
      <c r="AI1270" cm="1">
        <f t="array" ref="AI1270">_xlfn.LET(
    _xlpm.vals,   _xlfn.HSTACK(S1270,V1270,Y1270,AB1270,AE1270,AH1270),
    _xlpm.ints,   _xlfn.HSTACK(R1270,U1270,X1270,AA1270,AD1270,AG1270),
    _xlpm.slopes, _xlfn.HSTACK(Q1270,T1270,W1270,Z1270,AC1270,AF1270),
    _xlpm.limit,  -0.00001*_xlpm.slopes + 0.1086*_xlpm.slopes + 63.253,
    _xlpm.mask,   (_xlpm.vals&gt;=0) * (_xlpm.ints&lt;=_xlpm.limit),
    _xlpm.validVals, _xlfn._xlws.FILTER(_xlpm.vals, _xlpm.mask),
    _xlpm.minVal, MIN(_xlpm.validVals),
    IFERROR( _xlfn.XMATCH(_xlpm.minVal, _xlpm.vals), "" )
)</f>
        <v>4</v>
      </c>
      <c r="AJ1270" cm="1">
        <f t="array" ref="AJ1270">_xlfn.LET(
    _xlpm.vals, CHOOSE({1,2,3,4,5,6}, S1270, V1270, Y1270, AB1270, AE1270, AH1270),
    _xlpm.slopes, CHOOSE({1,2,3,4,5,6}, Q1270, T1270, W1270, Z1270, AC1270, AF1270),
    _xlpm.ints, CHOOSE({1,2,3,4,5,6}, R1270, U1270, X1270, AA1270, AD1270, AG1270),
    _xlpm.limit, -0.00001*_xlpm.slopes + 0.1086*_xlpm.slopes + 63.253,
    _xlpm.valid, (_xlpm.vals &gt;= 0) * (_xlpm.ints &lt;= _xlpm.limit),
    _xlpm.target, MIN(_xlfn._xlws.FILTER(_xlpm.vals, _xlpm.valid)),
    IFERROR(
        _xlfn.XLOOKUP(_xlpm.target, _xlpm.vals, _xlpm.vals),
        CHOOSE({1,2,3,4,5,6}, S$1, V$1, Y$1, AB$1, AE$1, AH$1)
    )
)</f>
        <v>0.77645977678201183</v>
      </c>
    </row>
    <row r="1271" spans="9:36" x14ac:dyDescent="0.45">
      <c r="I1271">
        <v>1269</v>
      </c>
      <c r="J1271">
        <v>25.6</v>
      </c>
      <c r="K1271">
        <f t="shared" si="438"/>
        <v>25.6</v>
      </c>
      <c r="L1271">
        <f t="shared" si="437"/>
        <v>7.1111111111111115E-3</v>
      </c>
      <c r="M1271">
        <v>9.08</v>
      </c>
      <c r="N1271">
        <f t="shared" si="439"/>
        <v>9.08</v>
      </c>
      <c r="O1271">
        <f t="shared" si="440"/>
        <v>332.67667935176308</v>
      </c>
      <c r="P1271">
        <f t="shared" si="441"/>
        <v>1064.565373925642</v>
      </c>
      <c r="Q1271">
        <f t="shared" si="442"/>
        <v>4875.7094125794401</v>
      </c>
      <c r="R1271">
        <f t="shared" si="443"/>
        <v>17.783589147613469</v>
      </c>
      <c r="S1271">
        <f t="shared" si="444"/>
        <v>3.7492189363050024</v>
      </c>
      <c r="T1271">
        <f t="shared" si="445"/>
        <v>3151.1135068199005</v>
      </c>
      <c r="U1271">
        <f t="shared" si="446"/>
        <v>27.51649942434787</v>
      </c>
      <c r="V1271">
        <f t="shared" si="447"/>
        <v>1.5477083579511417</v>
      </c>
      <c r="W1271">
        <f t="shared" si="448"/>
        <v>2033.3198641979761</v>
      </c>
      <c r="X1271">
        <f t="shared" si="449"/>
        <v>42.643370835638585</v>
      </c>
      <c r="Y1271">
        <f t="shared" si="450"/>
        <v>1.1462054496942671</v>
      </c>
      <c r="Z1271">
        <f t="shared" si="451"/>
        <v>1532.9741384529245</v>
      </c>
      <c r="AA1271">
        <f t="shared" si="452"/>
        <v>56.561693261159505</v>
      </c>
      <c r="AB1271">
        <f t="shared" si="453"/>
        <v>1.1031378000019605</v>
      </c>
      <c r="AC1271">
        <f t="shared" si="454"/>
        <v>6000</v>
      </c>
      <c r="AD1271">
        <f t="shared" si="455"/>
        <v>14.451268832744097</v>
      </c>
      <c r="AE1271">
        <f t="shared" si="456"/>
        <v>6.8204795502243298</v>
      </c>
      <c r="AF1271">
        <f t="shared" si="457"/>
        <v>6000</v>
      </c>
      <c r="AG1271">
        <f t="shared" si="458"/>
        <v>14.451268832744097</v>
      </c>
      <c r="AH1271">
        <f t="shared" si="459"/>
        <v>6.8204795502243298</v>
      </c>
      <c r="AI1271" cm="1">
        <f t="array" ref="AI1271">_xlfn.LET(
    _xlpm.vals,   _xlfn.HSTACK(S1271,V1271,Y1271,AB1271,AE1271,AH1271),
    _xlpm.ints,   _xlfn.HSTACK(R1271,U1271,X1271,AA1271,AD1271,AG1271),
    _xlpm.slopes, _xlfn.HSTACK(Q1271,T1271,W1271,Z1271,AC1271,AF1271),
    _xlpm.limit,  -0.00001*_xlpm.slopes + 0.1086*_xlpm.slopes + 63.253,
    _xlpm.mask,   (_xlpm.vals&gt;=0) * (_xlpm.ints&lt;=_xlpm.limit),
    _xlpm.validVals, _xlfn._xlws.FILTER(_xlpm.vals, _xlpm.mask),
    _xlpm.minVal, MIN(_xlpm.validVals),
    IFERROR( _xlfn.XMATCH(_xlpm.minVal, _xlpm.vals), "" )
)</f>
        <v>4</v>
      </c>
      <c r="AJ1271" cm="1">
        <f t="array" ref="AJ1271">_xlfn.LET(
    _xlpm.vals, CHOOSE({1,2,3,4,5,6}, S1271, V1271, Y1271, AB1271, AE1271, AH1271),
    _xlpm.slopes, CHOOSE({1,2,3,4,5,6}, Q1271, T1271, W1271, Z1271, AC1271, AF1271),
    _xlpm.ints, CHOOSE({1,2,3,4,5,6}, R1271, U1271, X1271, AA1271, AD1271, AG1271),
    _xlpm.limit, -0.00001*_xlpm.slopes + 0.1086*_xlpm.slopes + 63.253,
    _xlpm.valid, (_xlpm.vals &gt;= 0) * (_xlpm.ints &lt;= _xlpm.limit),
    _xlpm.target, MIN(_xlfn._xlws.FILTER(_xlpm.vals, _xlpm.valid)),
    IFERROR(
        _xlfn.XLOOKUP(_xlpm.target, _xlpm.vals, _xlpm.vals),
        CHOOSE({1,2,3,4,5,6}, S$1, V$1, Y$1, AB$1, AE$1, AH$1)
    )
)</f>
        <v>1.1031378000019605</v>
      </c>
    </row>
    <row r="1272" spans="9:36" x14ac:dyDescent="0.45">
      <c r="I1272">
        <v>1270</v>
      </c>
      <c r="J1272">
        <v>25.8</v>
      </c>
      <c r="K1272">
        <f t="shared" si="438"/>
        <v>25.8</v>
      </c>
      <c r="L1272">
        <f t="shared" si="437"/>
        <v>7.1666666666666667E-3</v>
      </c>
      <c r="M1272">
        <v>6.05</v>
      </c>
      <c r="N1272">
        <f t="shared" si="439"/>
        <v>6.05</v>
      </c>
      <c r="O1272">
        <f t="shared" si="440"/>
        <v>335.27571590919877</v>
      </c>
      <c r="P1272">
        <f t="shared" si="441"/>
        <v>1072.8822909094361</v>
      </c>
      <c r="Q1272">
        <f t="shared" si="442"/>
        <v>4913.8008923652169</v>
      </c>
      <c r="R1272">
        <f t="shared" si="443"/>
        <v>11.757343369798066</v>
      </c>
      <c r="S1272">
        <f t="shared" si="444"/>
        <v>3.7361574483632367</v>
      </c>
      <c r="T1272">
        <f t="shared" si="445"/>
        <v>3175.7315810919308</v>
      </c>
      <c r="U1272">
        <f t="shared" si="446"/>
        <v>18.192105619484845</v>
      </c>
      <c r="V1272">
        <f t="shared" si="447"/>
        <v>1.3941868958846715</v>
      </c>
      <c r="W1272">
        <f t="shared" si="448"/>
        <v>2049.2051756370229</v>
      </c>
      <c r="X1272">
        <f t="shared" si="449"/>
        <v>28.193001378887509</v>
      </c>
      <c r="Y1272">
        <f t="shared" si="450"/>
        <v>0.9202420936217347</v>
      </c>
      <c r="Z1272">
        <f t="shared" si="451"/>
        <v>1544.9504989095878</v>
      </c>
      <c r="AA1272">
        <f t="shared" si="452"/>
        <v>37.394883773385523</v>
      </c>
      <c r="AB1272">
        <f t="shared" si="453"/>
        <v>0.84395058766687026</v>
      </c>
      <c r="AC1272">
        <f t="shared" si="454"/>
        <v>6000</v>
      </c>
      <c r="AD1272">
        <f t="shared" si="455"/>
        <v>9.6288740570596687</v>
      </c>
      <c r="AE1272">
        <f t="shared" si="456"/>
        <v>6.7729083739692886</v>
      </c>
      <c r="AF1272">
        <f t="shared" si="457"/>
        <v>6000</v>
      </c>
      <c r="AG1272">
        <f t="shared" si="458"/>
        <v>9.6288740570596687</v>
      </c>
      <c r="AH1272">
        <f t="shared" si="459"/>
        <v>6.7729083739692886</v>
      </c>
      <c r="AI1272" cm="1">
        <f t="array" ref="AI1272">_xlfn.LET(
    _xlpm.vals,   _xlfn.HSTACK(S1272,V1272,Y1272,AB1272,AE1272,AH1272),
    _xlpm.ints,   _xlfn.HSTACK(R1272,U1272,X1272,AA1272,AD1272,AG1272),
    _xlpm.slopes, _xlfn.HSTACK(Q1272,T1272,W1272,Z1272,AC1272,AF1272),
    _xlpm.limit,  -0.00001*_xlpm.slopes + 0.1086*_xlpm.slopes + 63.253,
    _xlpm.mask,   (_xlpm.vals&gt;=0) * (_xlpm.ints&lt;=_xlpm.limit),
    _xlpm.validVals, _xlfn._xlws.FILTER(_xlpm.vals, _xlpm.mask),
    _xlpm.minVal, MIN(_xlpm.validVals),
    IFERROR( _xlfn.XMATCH(_xlpm.minVal, _xlpm.vals), "" )
)</f>
        <v>4</v>
      </c>
      <c r="AJ1272" cm="1">
        <f t="array" ref="AJ1272">_xlfn.LET(
    _xlpm.vals, CHOOSE({1,2,3,4,5,6}, S1272, V1272, Y1272, AB1272, AE1272, AH1272),
    _xlpm.slopes, CHOOSE({1,2,3,4,5,6}, Q1272, T1272, W1272, Z1272, AC1272, AF1272),
    _xlpm.ints, CHOOSE({1,2,3,4,5,6}, R1272, U1272, X1272, AA1272, AD1272, AG1272),
    _xlpm.limit, -0.00001*_xlpm.slopes + 0.1086*_xlpm.slopes + 63.253,
    _xlpm.valid, (_xlpm.vals &gt;= 0) * (_xlpm.ints &lt;= _xlpm.limit),
    _xlpm.target, MIN(_xlfn._xlws.FILTER(_xlpm.vals, _xlpm.valid)),
    IFERROR(
        _xlfn.XLOOKUP(_xlpm.target, _xlpm.vals, _xlpm.vals),
        CHOOSE({1,2,3,4,5,6}, S$1, V$1, Y$1, AB$1, AE$1, AH$1)
    )
)</f>
        <v>0.84395058766687026</v>
      </c>
    </row>
    <row r="1273" spans="9:36" x14ac:dyDescent="0.45">
      <c r="I1273">
        <v>1271</v>
      </c>
      <c r="J1273">
        <v>26</v>
      </c>
      <c r="K1273">
        <f t="shared" si="438"/>
        <v>26</v>
      </c>
      <c r="L1273">
        <f t="shared" si="437"/>
        <v>7.2222222222222219E-3</v>
      </c>
      <c r="M1273">
        <v>6.34</v>
      </c>
      <c r="N1273">
        <f t="shared" si="439"/>
        <v>6.34</v>
      </c>
      <c r="O1273">
        <f t="shared" si="440"/>
        <v>337.87475246663439</v>
      </c>
      <c r="P1273">
        <f t="shared" si="441"/>
        <v>1081.1992078932301</v>
      </c>
      <c r="Q1273">
        <f t="shared" si="442"/>
        <v>4951.8923721509937</v>
      </c>
      <c r="R1273">
        <f t="shared" si="443"/>
        <v>12.226142210328096</v>
      </c>
      <c r="S1273">
        <f t="shared" si="444"/>
        <v>3.8270800180277211</v>
      </c>
      <c r="T1273">
        <f t="shared" si="445"/>
        <v>3200.3496553639611</v>
      </c>
      <c r="U1273">
        <f t="shared" si="446"/>
        <v>18.917476798413066</v>
      </c>
      <c r="V1273">
        <f t="shared" si="447"/>
        <v>1.4268576313626897</v>
      </c>
      <c r="W1273">
        <f t="shared" si="448"/>
        <v>2065.0904870760696</v>
      </c>
      <c r="X1273">
        <f t="shared" si="449"/>
        <v>29.317136818483075</v>
      </c>
      <c r="Y1273">
        <f t="shared" si="450"/>
        <v>0.94445815730942151</v>
      </c>
      <c r="Z1273">
        <f t="shared" si="451"/>
        <v>1556.9268593662514</v>
      </c>
      <c r="AA1273">
        <f t="shared" si="452"/>
        <v>38.885924530071307</v>
      </c>
      <c r="AB1273">
        <f t="shared" si="453"/>
        <v>0.86906034747430116</v>
      </c>
      <c r="AC1273">
        <f t="shared" si="454"/>
        <v>6000</v>
      </c>
      <c r="AD1273">
        <f t="shared" si="455"/>
        <v>10.090423392026166</v>
      </c>
      <c r="AE1273">
        <f t="shared" si="456"/>
        <v>6.7771485285790609</v>
      </c>
      <c r="AF1273">
        <f t="shared" si="457"/>
        <v>6000</v>
      </c>
      <c r="AG1273">
        <f t="shared" si="458"/>
        <v>10.090423392026166</v>
      </c>
      <c r="AH1273">
        <f t="shared" si="459"/>
        <v>6.7771485285790609</v>
      </c>
      <c r="AI1273" cm="1">
        <f t="array" ref="AI1273">_xlfn.LET(
    _xlpm.vals,   _xlfn.HSTACK(S1273,V1273,Y1273,AB1273,AE1273,AH1273),
    _xlpm.ints,   _xlfn.HSTACK(R1273,U1273,X1273,AA1273,AD1273,AG1273),
    _xlpm.slopes, _xlfn.HSTACK(Q1273,T1273,W1273,Z1273,AC1273,AF1273),
    _xlpm.limit,  -0.00001*_xlpm.slopes + 0.1086*_xlpm.slopes + 63.253,
    _xlpm.mask,   (_xlpm.vals&gt;=0) * (_xlpm.ints&lt;=_xlpm.limit),
    _xlpm.validVals, _xlfn._xlws.FILTER(_xlpm.vals, _xlpm.mask),
    _xlpm.minVal, MIN(_xlpm.validVals),
    IFERROR( _xlfn.XMATCH(_xlpm.minVal, _xlpm.vals), "" )
)</f>
        <v>4</v>
      </c>
      <c r="AJ1273" cm="1">
        <f t="array" ref="AJ1273">_xlfn.LET(
    _xlpm.vals, CHOOSE({1,2,3,4,5,6}, S1273, V1273, Y1273, AB1273, AE1273, AH1273),
    _xlpm.slopes, CHOOSE({1,2,3,4,5,6}, Q1273, T1273, W1273, Z1273, AC1273, AF1273),
    _xlpm.ints, CHOOSE({1,2,3,4,5,6}, R1273, U1273, X1273, AA1273, AD1273, AG1273),
    _xlpm.limit, -0.00001*_xlpm.slopes + 0.1086*_xlpm.slopes + 63.253,
    _xlpm.valid, (_xlpm.vals &gt;= 0) * (_xlpm.ints &lt;= _xlpm.limit),
    _xlpm.target, MIN(_xlfn._xlws.FILTER(_xlpm.vals, _xlpm.valid)),
    IFERROR(
        _xlfn.XLOOKUP(_xlpm.target, _xlpm.vals, _xlpm.vals),
        CHOOSE({1,2,3,4,5,6}, S$1, V$1, Y$1, AB$1, AE$1, AH$1)
    )
)</f>
        <v>0.86906034747430116</v>
      </c>
    </row>
    <row r="1274" spans="9:36" x14ac:dyDescent="0.45">
      <c r="I1274">
        <v>1272</v>
      </c>
      <c r="J1274">
        <v>26.3</v>
      </c>
      <c r="K1274">
        <f t="shared" si="438"/>
        <v>26.3</v>
      </c>
      <c r="L1274">
        <f t="shared" si="437"/>
        <v>7.3055555555555556E-3</v>
      </c>
      <c r="M1274">
        <v>8.4499999999999993</v>
      </c>
      <c r="N1274">
        <f t="shared" si="439"/>
        <v>8.4499999999999993</v>
      </c>
      <c r="O1274">
        <f t="shared" si="440"/>
        <v>341.77330730278788</v>
      </c>
      <c r="P1274">
        <f t="shared" si="441"/>
        <v>1093.6745833689213</v>
      </c>
      <c r="Q1274">
        <f t="shared" si="442"/>
        <v>5009.0295918296597</v>
      </c>
      <c r="R1274">
        <f t="shared" si="443"/>
        <v>16.109219294533364</v>
      </c>
      <c r="S1274">
        <f t="shared" si="444"/>
        <v>4.015058907931456</v>
      </c>
      <c r="T1274">
        <f t="shared" si="445"/>
        <v>3237.2767667720068</v>
      </c>
      <c r="U1274">
        <f t="shared" si="446"/>
        <v>24.925751476000951</v>
      </c>
      <c r="V1274">
        <f t="shared" si="447"/>
        <v>1.5684649807898108</v>
      </c>
      <c r="W1274">
        <f t="shared" si="448"/>
        <v>2088.9184542346397</v>
      </c>
      <c r="X1274">
        <f t="shared" si="449"/>
        <v>38.628389721970059</v>
      </c>
      <c r="Y1274">
        <f t="shared" si="450"/>
        <v>1.1061484838121165</v>
      </c>
      <c r="Z1274">
        <f t="shared" si="451"/>
        <v>1574.8914000512466</v>
      </c>
      <c r="AA1274">
        <f t="shared" si="452"/>
        <v>51.236266922890842</v>
      </c>
      <c r="AB1274">
        <f t="shared" si="453"/>
        <v>1.0497828260033792</v>
      </c>
      <c r="AC1274">
        <f t="shared" si="454"/>
        <v>6000</v>
      </c>
      <c r="AD1274">
        <f t="shared" si="455"/>
        <v>13.448592691265157</v>
      </c>
      <c r="AE1274">
        <f t="shared" si="456"/>
        <v>6.8099976584453987</v>
      </c>
      <c r="AF1274">
        <f t="shared" si="457"/>
        <v>6000</v>
      </c>
      <c r="AG1274">
        <f t="shared" si="458"/>
        <v>13.448592691265157</v>
      </c>
      <c r="AH1274">
        <f t="shared" si="459"/>
        <v>6.8099976584453987</v>
      </c>
      <c r="AI1274" cm="1">
        <f t="array" ref="AI1274">_xlfn.LET(
    _xlpm.vals,   _xlfn.HSTACK(S1274,V1274,Y1274,AB1274,AE1274,AH1274),
    _xlpm.ints,   _xlfn.HSTACK(R1274,U1274,X1274,AA1274,AD1274,AG1274),
    _xlpm.slopes, _xlfn.HSTACK(Q1274,T1274,W1274,Z1274,AC1274,AF1274),
    _xlpm.limit,  -0.00001*_xlpm.slopes + 0.1086*_xlpm.slopes + 63.253,
    _xlpm.mask,   (_xlpm.vals&gt;=0) * (_xlpm.ints&lt;=_xlpm.limit),
    _xlpm.validVals, _xlfn._xlws.FILTER(_xlpm.vals, _xlpm.mask),
    _xlpm.minVal, MIN(_xlpm.validVals),
    IFERROR( _xlfn.XMATCH(_xlpm.minVal, _xlpm.vals), "" )
)</f>
        <v>4</v>
      </c>
      <c r="AJ1274" cm="1">
        <f t="array" ref="AJ1274">_xlfn.LET(
    _xlpm.vals, CHOOSE({1,2,3,4,5,6}, S1274, V1274, Y1274, AB1274, AE1274, AH1274),
    _xlpm.slopes, CHOOSE({1,2,3,4,5,6}, Q1274, T1274, W1274, Z1274, AC1274, AF1274),
    _xlpm.ints, CHOOSE({1,2,3,4,5,6}, R1274, U1274, X1274, AA1274, AD1274, AG1274),
    _xlpm.limit, -0.00001*_xlpm.slopes + 0.1086*_xlpm.slopes + 63.253,
    _xlpm.valid, (_xlpm.vals &gt;= 0) * (_xlpm.ints &lt;= _xlpm.limit),
    _xlpm.target, MIN(_xlfn._xlws.FILTER(_xlpm.vals, _xlpm.valid)),
    IFERROR(
        _xlfn.XLOOKUP(_xlpm.target, _xlpm.vals, _xlpm.vals),
        CHOOSE({1,2,3,4,5,6}, S$1, V$1, Y$1, AB$1, AE$1, AH$1)
    )
)</f>
        <v>1.0497828260033792</v>
      </c>
    </row>
    <row r="1275" spans="9:36" x14ac:dyDescent="0.45">
      <c r="I1275">
        <v>1273</v>
      </c>
      <c r="J1275">
        <v>27.1</v>
      </c>
      <c r="K1275">
        <f t="shared" si="438"/>
        <v>27.1</v>
      </c>
      <c r="L1275">
        <f t="shared" si="437"/>
        <v>7.5277777777777782E-3</v>
      </c>
      <c r="M1275">
        <v>11.18</v>
      </c>
      <c r="N1275">
        <f t="shared" si="439"/>
        <v>11.18</v>
      </c>
      <c r="O1275">
        <f t="shared" si="440"/>
        <v>352.1694535325305</v>
      </c>
      <c r="P1275">
        <f t="shared" si="441"/>
        <v>1126.9422513040977</v>
      </c>
      <c r="Q1275">
        <f t="shared" si="442"/>
        <v>5161.3955109727676</v>
      </c>
      <c r="R1275">
        <f t="shared" si="443"/>
        <v>20.684548510005996</v>
      </c>
      <c r="S1275">
        <f t="shared" si="444"/>
        <v>4.4460524661046659</v>
      </c>
      <c r="T1275">
        <f t="shared" si="445"/>
        <v>3335.7490638601289</v>
      </c>
      <c r="U1275">
        <f t="shared" si="446"/>
        <v>32.005146005347122</v>
      </c>
      <c r="V1275">
        <f t="shared" si="447"/>
        <v>1.7940301996615462</v>
      </c>
      <c r="W1275">
        <f t="shared" si="448"/>
        <v>2152.4596999908263</v>
      </c>
      <c r="X1275">
        <f t="shared" si="449"/>
        <v>49.599597997815437</v>
      </c>
      <c r="Y1275">
        <f t="shared" si="450"/>
        <v>1.3299366270698048</v>
      </c>
      <c r="Z1275">
        <f t="shared" si="451"/>
        <v>1622.7968418779005</v>
      </c>
      <c r="AA1275">
        <f t="shared" si="452"/>
        <v>65.788355677657961</v>
      </c>
      <c r="AB1275">
        <f t="shared" si="453"/>
        <v>1.292952601349068</v>
      </c>
      <c r="AC1275">
        <f t="shared" si="454"/>
        <v>6000</v>
      </c>
      <c r="AD1275">
        <f t="shared" si="455"/>
        <v>17.793522637673899</v>
      </c>
      <c r="AE1275">
        <f t="shared" si="456"/>
        <v>6.8576182803565011</v>
      </c>
      <c r="AF1275">
        <f t="shared" si="457"/>
        <v>6000</v>
      </c>
      <c r="AG1275">
        <f t="shared" si="458"/>
        <v>17.793522637673899</v>
      </c>
      <c r="AH1275">
        <f t="shared" si="459"/>
        <v>6.8576182803565011</v>
      </c>
      <c r="AI1275" cm="1">
        <f t="array" ref="AI1275">_xlfn.LET(
    _xlpm.vals,   _xlfn.HSTACK(S1275,V1275,Y1275,AB1275,AE1275,AH1275),
    _xlpm.ints,   _xlfn.HSTACK(R1275,U1275,X1275,AA1275,AD1275,AG1275),
    _xlpm.slopes, _xlfn.HSTACK(Q1275,T1275,W1275,Z1275,AC1275,AF1275),
    _xlpm.limit,  -0.00001*_xlpm.slopes + 0.1086*_xlpm.slopes + 63.253,
    _xlpm.mask,   (_xlpm.vals&gt;=0) * (_xlpm.ints&lt;=_xlpm.limit),
    _xlpm.validVals, _xlfn._xlws.FILTER(_xlpm.vals, _xlpm.mask),
    _xlpm.minVal, MIN(_xlpm.validVals),
    IFERROR( _xlfn.XMATCH(_xlpm.minVal, _xlpm.vals), "" )
)</f>
        <v>4</v>
      </c>
      <c r="AJ1275" cm="1">
        <f t="array" ref="AJ1275">_xlfn.LET(
    _xlpm.vals, CHOOSE({1,2,3,4,5,6}, S1275, V1275, Y1275, AB1275, AE1275, AH1275),
    _xlpm.slopes, CHOOSE({1,2,3,4,5,6}, Q1275, T1275, W1275, Z1275, AC1275, AF1275),
    _xlpm.ints, CHOOSE({1,2,3,4,5,6}, R1275, U1275, X1275, AA1275, AD1275, AG1275),
    _xlpm.limit, -0.00001*_xlpm.slopes + 0.1086*_xlpm.slopes + 63.253,
    _xlpm.valid, (_xlpm.vals &gt;= 0) * (_xlpm.ints &lt;= _xlpm.limit),
    _xlpm.target, MIN(_xlfn._xlws.FILTER(_xlpm.vals, _xlpm.valid)),
    IFERROR(
        _xlfn.XLOOKUP(_xlpm.target, _xlpm.vals, _xlpm.vals),
        CHOOSE({1,2,3,4,5,6}, S$1, V$1, Y$1, AB$1, AE$1, AH$1)
    )
)</f>
        <v>1.292952601349068</v>
      </c>
    </row>
    <row r="1276" spans="9:36" x14ac:dyDescent="0.45">
      <c r="I1276">
        <v>1274</v>
      </c>
      <c r="J1276">
        <v>27.6</v>
      </c>
      <c r="K1276">
        <f t="shared" si="438"/>
        <v>27.6</v>
      </c>
      <c r="L1276">
        <f t="shared" si="437"/>
        <v>7.6666666666666671E-3</v>
      </c>
      <c r="M1276">
        <v>10.77</v>
      </c>
      <c r="N1276">
        <f t="shared" si="439"/>
        <v>10.77</v>
      </c>
      <c r="O1276">
        <f t="shared" si="440"/>
        <v>358.66704492611962</v>
      </c>
      <c r="P1276">
        <f t="shared" si="441"/>
        <v>1147.7345437635829</v>
      </c>
      <c r="Q1276">
        <f t="shared" si="442"/>
        <v>5256.6242104372095</v>
      </c>
      <c r="R1276">
        <f t="shared" si="443"/>
        <v>19.565013611164868</v>
      </c>
      <c r="S1276">
        <f t="shared" si="444"/>
        <v>4.6637754308028034</v>
      </c>
      <c r="T1276">
        <f t="shared" si="445"/>
        <v>3397.2942495402053</v>
      </c>
      <c r="U1276">
        <f t="shared" si="446"/>
        <v>30.272892682140228</v>
      </c>
      <c r="V1276">
        <f t="shared" si="447"/>
        <v>1.8154452377866965</v>
      </c>
      <c r="W1276">
        <f t="shared" si="448"/>
        <v>2192.1729785884431</v>
      </c>
      <c r="X1276">
        <f t="shared" si="449"/>
        <v>46.915058816301091</v>
      </c>
      <c r="Y1276">
        <f t="shared" si="450"/>
        <v>1.3034018455221421</v>
      </c>
      <c r="Z1276">
        <f t="shared" si="451"/>
        <v>1652.7377430195593</v>
      </c>
      <c r="AA1276">
        <f t="shared" si="452"/>
        <v>62.227612735510476</v>
      </c>
      <c r="AB1276">
        <f t="shared" si="453"/>
        <v>1.25709434689253</v>
      </c>
      <c r="AC1276">
        <f t="shared" si="454"/>
        <v>6000</v>
      </c>
      <c r="AD1276">
        <f t="shared" si="455"/>
        <v>17.140987370997127</v>
      </c>
      <c r="AE1276">
        <f t="shared" si="456"/>
        <v>6.8501038534558116</v>
      </c>
      <c r="AF1276">
        <f t="shared" si="457"/>
        <v>6000</v>
      </c>
      <c r="AG1276">
        <f t="shared" si="458"/>
        <v>17.140987370997127</v>
      </c>
      <c r="AH1276">
        <f t="shared" si="459"/>
        <v>6.8501038534558116</v>
      </c>
      <c r="AI1276" cm="1">
        <f t="array" ref="AI1276">_xlfn.LET(
    _xlpm.vals,   _xlfn.HSTACK(S1276,V1276,Y1276,AB1276,AE1276,AH1276),
    _xlpm.ints,   _xlfn.HSTACK(R1276,U1276,X1276,AA1276,AD1276,AG1276),
    _xlpm.slopes, _xlfn.HSTACK(Q1276,T1276,W1276,Z1276,AC1276,AF1276),
    _xlpm.limit,  -0.00001*_xlpm.slopes + 0.1086*_xlpm.slopes + 63.253,
    _xlpm.mask,   (_xlpm.vals&gt;=0) * (_xlpm.ints&lt;=_xlpm.limit),
    _xlpm.validVals, _xlfn._xlws.FILTER(_xlpm.vals, _xlpm.mask),
    _xlpm.minVal, MIN(_xlpm.validVals),
    IFERROR( _xlfn.XMATCH(_xlpm.minVal, _xlpm.vals), "" )
)</f>
        <v>4</v>
      </c>
      <c r="AJ1276" cm="1">
        <f t="array" ref="AJ1276">_xlfn.LET(
    _xlpm.vals, CHOOSE({1,2,3,4,5,6}, S1276, V1276, Y1276, AB1276, AE1276, AH1276),
    _xlpm.slopes, CHOOSE({1,2,3,4,5,6}, Q1276, T1276, W1276, Z1276, AC1276, AF1276),
    _xlpm.ints, CHOOSE({1,2,3,4,5,6}, R1276, U1276, X1276, AA1276, AD1276, AG1276),
    _xlpm.limit, -0.00001*_xlpm.slopes + 0.1086*_xlpm.slopes + 63.253,
    _xlpm.valid, (_xlpm.vals &gt;= 0) * (_xlpm.ints &lt;= _xlpm.limit),
    _xlpm.target, MIN(_xlfn._xlws.FILTER(_xlpm.vals, _xlpm.valid)),
    IFERROR(
        _xlfn.XLOOKUP(_xlpm.target, _xlpm.vals, _xlpm.vals),
        CHOOSE({1,2,3,4,5,6}, S$1, V$1, Y$1, AB$1, AE$1, AH$1)
    )
)</f>
        <v>1.25709434689253</v>
      </c>
    </row>
    <row r="1277" spans="9:36" x14ac:dyDescent="0.45">
      <c r="I1277">
        <v>1275</v>
      </c>
      <c r="J1277">
        <v>28.2</v>
      </c>
      <c r="K1277">
        <f t="shared" si="438"/>
        <v>28.2</v>
      </c>
      <c r="L1277">
        <f t="shared" si="437"/>
        <v>7.8333333333333328E-3</v>
      </c>
      <c r="M1277">
        <v>10.45</v>
      </c>
      <c r="N1277">
        <f t="shared" si="439"/>
        <v>10.45</v>
      </c>
      <c r="O1277">
        <f t="shared" si="440"/>
        <v>366.46415459842649</v>
      </c>
      <c r="P1277">
        <f t="shared" si="441"/>
        <v>1172.6852947149648</v>
      </c>
      <c r="Q1277">
        <f t="shared" si="442"/>
        <v>5370.8986497945389</v>
      </c>
      <c r="R1277">
        <f t="shared" si="443"/>
        <v>18.579786330996175</v>
      </c>
      <c r="S1277">
        <f t="shared" si="444"/>
        <v>4.945556367402463</v>
      </c>
      <c r="T1277">
        <f t="shared" si="445"/>
        <v>3471.1484723562958</v>
      </c>
      <c r="U1277">
        <f t="shared" si="446"/>
        <v>28.748453174311646</v>
      </c>
      <c r="V1277">
        <f t="shared" si="447"/>
        <v>1.8553168865785541</v>
      </c>
      <c r="W1277">
        <f t="shared" si="448"/>
        <v>2239.8289129055829</v>
      </c>
      <c r="X1277">
        <f t="shared" si="449"/>
        <v>44.552576647100771</v>
      </c>
      <c r="Y1277">
        <f t="shared" si="450"/>
        <v>1.2866707956774381</v>
      </c>
      <c r="Z1277">
        <f t="shared" si="451"/>
        <v>1688.6668243895492</v>
      </c>
      <c r="AA1277">
        <f t="shared" si="452"/>
        <v>59.094042636085064</v>
      </c>
      <c r="AB1277">
        <f t="shared" si="453"/>
        <v>1.2300419372367282</v>
      </c>
      <c r="AC1277">
        <f t="shared" si="454"/>
        <v>6000</v>
      </c>
      <c r="AD1277">
        <f t="shared" si="455"/>
        <v>16.631691553103064</v>
      </c>
      <c r="AE1277">
        <f t="shared" si="456"/>
        <v>6.8443273317274631</v>
      </c>
      <c r="AF1277">
        <f t="shared" si="457"/>
        <v>6000</v>
      </c>
      <c r="AG1277">
        <f t="shared" si="458"/>
        <v>16.631691553103064</v>
      </c>
      <c r="AH1277">
        <f t="shared" si="459"/>
        <v>6.8443273317274631</v>
      </c>
      <c r="AI1277" cm="1">
        <f t="array" ref="AI1277">_xlfn.LET(
    _xlpm.vals,   _xlfn.HSTACK(S1277,V1277,Y1277,AB1277,AE1277,AH1277),
    _xlpm.ints,   _xlfn.HSTACK(R1277,U1277,X1277,AA1277,AD1277,AG1277),
    _xlpm.slopes, _xlfn.HSTACK(Q1277,T1277,W1277,Z1277,AC1277,AF1277),
    _xlpm.limit,  -0.00001*_xlpm.slopes + 0.1086*_xlpm.slopes + 63.253,
    _xlpm.mask,   (_xlpm.vals&gt;=0) * (_xlpm.ints&lt;=_xlpm.limit),
    _xlpm.validVals, _xlfn._xlws.FILTER(_xlpm.vals, _xlpm.mask),
    _xlpm.minVal, MIN(_xlpm.validVals),
    IFERROR( _xlfn.XMATCH(_xlpm.minVal, _xlpm.vals), "" )
)</f>
        <v>4</v>
      </c>
      <c r="AJ1277" cm="1">
        <f t="array" ref="AJ1277">_xlfn.LET(
    _xlpm.vals, CHOOSE({1,2,3,4,5,6}, S1277, V1277, Y1277, AB1277, AE1277, AH1277),
    _xlpm.slopes, CHOOSE({1,2,3,4,5,6}, Q1277, T1277, W1277, Z1277, AC1277, AF1277),
    _xlpm.ints, CHOOSE({1,2,3,4,5,6}, R1277, U1277, X1277, AA1277, AD1277, AG1277),
    _xlpm.limit, -0.00001*_xlpm.slopes + 0.1086*_xlpm.slopes + 63.253,
    _xlpm.valid, (_xlpm.vals &gt;= 0) * (_xlpm.ints &lt;= _xlpm.limit),
    _xlpm.target, MIN(_xlfn._xlws.FILTER(_xlpm.vals, _xlpm.valid)),
    IFERROR(
        _xlfn.XLOOKUP(_xlpm.target, _xlpm.vals, _xlpm.vals),
        CHOOSE({1,2,3,4,5,6}, S$1, V$1, Y$1, AB$1, AE$1, AH$1)
    )
)</f>
        <v>1.2300419372367282</v>
      </c>
    </row>
    <row r="1278" spans="9:36" x14ac:dyDescent="0.45">
      <c r="I1278">
        <v>1276</v>
      </c>
      <c r="J1278">
        <v>28.6</v>
      </c>
      <c r="K1278">
        <f t="shared" si="438"/>
        <v>28.6</v>
      </c>
      <c r="L1278">
        <f t="shared" si="437"/>
        <v>7.9444444444444449E-3</v>
      </c>
      <c r="M1278">
        <v>7.18</v>
      </c>
      <c r="N1278">
        <f t="shared" si="439"/>
        <v>7.18</v>
      </c>
      <c r="O1278">
        <f t="shared" si="440"/>
        <v>371.6622277132978</v>
      </c>
      <c r="P1278">
        <f t="shared" si="441"/>
        <v>1189.3191286825529</v>
      </c>
      <c r="Q1278">
        <f t="shared" si="442"/>
        <v>5447.0816093660924</v>
      </c>
      <c r="R1278">
        <f t="shared" si="443"/>
        <v>12.587281484106072</v>
      </c>
      <c r="S1278">
        <f t="shared" si="444"/>
        <v>5.0689413747828604</v>
      </c>
      <c r="T1278">
        <f t="shared" si="445"/>
        <v>3520.3846209003564</v>
      </c>
      <c r="U1278">
        <f t="shared" si="446"/>
        <v>19.476266620677638</v>
      </c>
      <c r="V1278">
        <f t="shared" si="447"/>
        <v>1.7251235012796424</v>
      </c>
      <c r="W1278">
        <f t="shared" si="448"/>
        <v>2271.5995357836759</v>
      </c>
      <c r="X1278">
        <f t="shared" si="449"/>
        <v>30.183114762934977</v>
      </c>
      <c r="Y1278">
        <f t="shared" si="450"/>
        <v>1.0520657600262679</v>
      </c>
      <c r="Z1278">
        <f t="shared" si="451"/>
        <v>1712.6195453028761</v>
      </c>
      <c r="AA1278">
        <f t="shared" si="452"/>
        <v>40.034548053615147</v>
      </c>
      <c r="AB1278">
        <f t="shared" si="453"/>
        <v>0.95408920887577398</v>
      </c>
      <c r="AC1278">
        <f t="shared" si="454"/>
        <v>6000</v>
      </c>
      <c r="AD1278">
        <f t="shared" si="455"/>
        <v>11.427324913998087</v>
      </c>
      <c r="AE1278">
        <f t="shared" si="456"/>
        <v>6.7898066180763514</v>
      </c>
      <c r="AF1278">
        <f t="shared" si="457"/>
        <v>6000</v>
      </c>
      <c r="AG1278">
        <f t="shared" si="458"/>
        <v>11.427324913998087</v>
      </c>
      <c r="AH1278">
        <f t="shared" si="459"/>
        <v>6.7898066180763514</v>
      </c>
      <c r="AI1278" cm="1">
        <f t="array" ref="AI1278">_xlfn.LET(
    _xlpm.vals,   _xlfn.HSTACK(S1278,V1278,Y1278,AB1278,AE1278,AH1278),
    _xlpm.ints,   _xlfn.HSTACK(R1278,U1278,X1278,AA1278,AD1278,AG1278),
    _xlpm.slopes, _xlfn.HSTACK(Q1278,T1278,W1278,Z1278,AC1278,AF1278),
    _xlpm.limit,  -0.00001*_xlpm.slopes + 0.1086*_xlpm.slopes + 63.253,
    _xlpm.mask,   (_xlpm.vals&gt;=0) * (_xlpm.ints&lt;=_xlpm.limit),
    _xlpm.validVals, _xlfn._xlws.FILTER(_xlpm.vals, _xlpm.mask),
    _xlpm.minVal, MIN(_xlpm.validVals),
    IFERROR( _xlfn.XMATCH(_xlpm.minVal, _xlpm.vals), "" )
)</f>
        <v>4</v>
      </c>
      <c r="AJ1278" cm="1">
        <f t="array" ref="AJ1278">_xlfn.LET(
    _xlpm.vals, CHOOSE({1,2,3,4,5,6}, S1278, V1278, Y1278, AB1278, AE1278, AH1278),
    _xlpm.slopes, CHOOSE({1,2,3,4,5,6}, Q1278, T1278, W1278, Z1278, AC1278, AF1278),
    _xlpm.ints, CHOOSE({1,2,3,4,5,6}, R1278, U1278, X1278, AA1278, AD1278, AG1278),
    _xlpm.limit, -0.00001*_xlpm.slopes + 0.1086*_xlpm.slopes + 63.253,
    _xlpm.valid, (_xlpm.vals &gt;= 0) * (_xlpm.ints &lt;= _xlpm.limit),
    _xlpm.target, MIN(_xlfn._xlws.FILTER(_xlpm.vals, _xlpm.valid)),
    IFERROR(
        _xlfn.XLOOKUP(_xlpm.target, _xlpm.vals, _xlpm.vals),
        CHOOSE({1,2,3,4,5,6}, S$1, V$1, Y$1, AB$1, AE$1, AH$1)
    )
)</f>
        <v>0.95408920887577398</v>
      </c>
    </row>
    <row r="1279" spans="9:36" x14ac:dyDescent="0.45">
      <c r="I1279">
        <v>1277</v>
      </c>
      <c r="J1279">
        <v>28.7</v>
      </c>
      <c r="K1279">
        <f t="shared" si="438"/>
        <v>28.7</v>
      </c>
      <c r="L1279">
        <f t="shared" si="437"/>
        <v>7.9722222222222226E-3</v>
      </c>
      <c r="M1279">
        <v>4.25</v>
      </c>
      <c r="N1279">
        <f t="shared" si="439"/>
        <v>4.25</v>
      </c>
      <c r="O1279">
        <f t="shared" si="440"/>
        <v>372.96174599201561</v>
      </c>
      <c r="P1279">
        <f t="shared" si="441"/>
        <v>1193.47758717445</v>
      </c>
      <c r="Q1279">
        <f t="shared" si="442"/>
        <v>5466.1273492589817</v>
      </c>
      <c r="R1279">
        <f t="shared" si="443"/>
        <v>7.4247283122547758</v>
      </c>
      <c r="S1279">
        <f t="shared" si="444"/>
        <v>5.0591967211957245</v>
      </c>
      <c r="T1279">
        <f t="shared" si="445"/>
        <v>3532.6936580363722</v>
      </c>
      <c r="U1279">
        <f t="shared" si="446"/>
        <v>11.488262050718539</v>
      </c>
      <c r="V1279">
        <f t="shared" si="447"/>
        <v>1.5964349422341888</v>
      </c>
      <c r="W1279">
        <f t="shared" si="448"/>
        <v>2279.5421915031993</v>
      </c>
      <c r="X1279">
        <f t="shared" si="449"/>
        <v>17.803798780171142</v>
      </c>
      <c r="Y1279">
        <f t="shared" si="450"/>
        <v>0.8580643848066879</v>
      </c>
      <c r="Z1279">
        <f t="shared" si="451"/>
        <v>1718.607725531208</v>
      </c>
      <c r="AA1279">
        <f t="shared" si="452"/>
        <v>23.614760882032556</v>
      </c>
      <c r="AB1279">
        <f t="shared" si="453"/>
        <v>0.72830850613019704</v>
      </c>
      <c r="AC1279">
        <f t="shared" si="454"/>
        <v>6000</v>
      </c>
      <c r="AD1279">
        <f t="shared" si="455"/>
        <v>6.7640850814055522</v>
      </c>
      <c r="AE1279">
        <f t="shared" si="456"/>
        <v>6.7480968820231455</v>
      </c>
      <c r="AF1279">
        <f t="shared" si="457"/>
        <v>6000</v>
      </c>
      <c r="AG1279">
        <f t="shared" si="458"/>
        <v>6.7640850814055522</v>
      </c>
      <c r="AH1279">
        <f t="shared" si="459"/>
        <v>6.7480968820231455</v>
      </c>
      <c r="AI1279" cm="1">
        <f t="array" ref="AI1279">_xlfn.LET(
    _xlpm.vals,   _xlfn.HSTACK(S1279,V1279,Y1279,AB1279,AE1279,AH1279),
    _xlpm.ints,   _xlfn.HSTACK(R1279,U1279,X1279,AA1279,AD1279,AG1279),
    _xlpm.slopes, _xlfn.HSTACK(Q1279,T1279,W1279,Z1279,AC1279,AF1279),
    _xlpm.limit,  -0.00001*_xlpm.slopes + 0.1086*_xlpm.slopes + 63.253,
    _xlpm.mask,   (_xlpm.vals&gt;=0) * (_xlpm.ints&lt;=_xlpm.limit),
    _xlpm.validVals, _xlfn._xlws.FILTER(_xlpm.vals, _xlpm.mask),
    _xlpm.minVal, MIN(_xlpm.validVals),
    IFERROR( _xlfn.XMATCH(_xlpm.minVal, _xlpm.vals), "" )
)</f>
        <v>4</v>
      </c>
      <c r="AJ1279" cm="1">
        <f t="array" ref="AJ1279">_xlfn.LET(
    _xlpm.vals, CHOOSE({1,2,3,4,5,6}, S1279, V1279, Y1279, AB1279, AE1279, AH1279),
    _xlpm.slopes, CHOOSE({1,2,3,4,5,6}, Q1279, T1279, W1279, Z1279, AC1279, AF1279),
    _xlpm.ints, CHOOSE({1,2,3,4,5,6}, R1279, U1279, X1279, AA1279, AD1279, AG1279),
    _xlpm.limit, -0.00001*_xlpm.slopes + 0.1086*_xlpm.slopes + 63.253,
    _xlpm.valid, (_xlpm.vals &gt;= 0) * (_xlpm.ints &lt;= _xlpm.limit),
    _xlpm.target, MIN(_xlfn._xlws.FILTER(_xlpm.vals, _xlpm.valid)),
    IFERROR(
        _xlfn.XLOOKUP(_xlpm.target, _xlpm.vals, _xlpm.vals),
        CHOOSE({1,2,3,4,5,6}, S$1, V$1, Y$1, AB$1, AE$1, AH$1)
    )
)</f>
        <v>0.72830850613019704</v>
      </c>
    </row>
    <row r="1280" spans="9:36" x14ac:dyDescent="0.45">
      <c r="I1280">
        <v>1278</v>
      </c>
      <c r="J1280">
        <v>28.7</v>
      </c>
      <c r="K1280">
        <f t="shared" si="438"/>
        <v>28.7</v>
      </c>
      <c r="L1280">
        <f t="shared" si="437"/>
        <v>7.9722222222222226E-3</v>
      </c>
      <c r="M1280">
        <v>3.98</v>
      </c>
      <c r="N1280">
        <f t="shared" si="439"/>
        <v>3.98</v>
      </c>
      <c r="O1280">
        <f t="shared" si="440"/>
        <v>372.96174599201561</v>
      </c>
      <c r="P1280">
        <f t="shared" si="441"/>
        <v>1193.47758717445</v>
      </c>
      <c r="Q1280">
        <f t="shared" si="442"/>
        <v>5466.1273492589817</v>
      </c>
      <c r="R1280">
        <f t="shared" si="443"/>
        <v>6.9530396900644726</v>
      </c>
      <c r="S1280">
        <f t="shared" si="444"/>
        <v>5.0538321861555344</v>
      </c>
      <c r="T1280">
        <f t="shared" si="445"/>
        <v>3532.6936580363722</v>
      </c>
      <c r="U1280">
        <f t="shared" si="446"/>
        <v>10.758419520437597</v>
      </c>
      <c r="V1280">
        <f t="shared" si="447"/>
        <v>1.584204739598486</v>
      </c>
      <c r="W1280">
        <f t="shared" si="448"/>
        <v>2279.5421915031993</v>
      </c>
      <c r="X1280">
        <f t="shared" si="449"/>
        <v>16.672733916489683</v>
      </c>
      <c r="Y1280">
        <f t="shared" si="450"/>
        <v>0.84104922674014804</v>
      </c>
      <c r="Z1280">
        <f t="shared" si="451"/>
        <v>1718.607725531208</v>
      </c>
      <c r="AA1280">
        <f t="shared" si="452"/>
        <v>22.11452901423284</v>
      </c>
      <c r="AB1280">
        <f t="shared" si="453"/>
        <v>0.70879127816625687</v>
      </c>
      <c r="AC1280">
        <f t="shared" si="454"/>
        <v>6000</v>
      </c>
      <c r="AD1280">
        <f t="shared" si="455"/>
        <v>6.3343667350574346</v>
      </c>
      <c r="AE1280">
        <f t="shared" si="456"/>
        <v>6.7446008511688529</v>
      </c>
      <c r="AF1280">
        <f t="shared" si="457"/>
        <v>6000</v>
      </c>
      <c r="AG1280">
        <f t="shared" si="458"/>
        <v>6.3343667350574346</v>
      </c>
      <c r="AH1280">
        <f t="shared" si="459"/>
        <v>6.7446008511688529</v>
      </c>
      <c r="AI1280" cm="1">
        <f t="array" ref="AI1280">_xlfn.LET(
    _xlpm.vals,   _xlfn.HSTACK(S1280,V1280,Y1280,AB1280,AE1280,AH1280),
    _xlpm.ints,   _xlfn.HSTACK(R1280,U1280,X1280,AA1280,AD1280,AG1280),
    _xlpm.slopes, _xlfn.HSTACK(Q1280,T1280,W1280,Z1280,AC1280,AF1280),
    _xlpm.limit,  -0.00001*_xlpm.slopes + 0.1086*_xlpm.slopes + 63.253,
    _xlpm.mask,   (_xlpm.vals&gt;=0) * (_xlpm.ints&lt;=_xlpm.limit),
    _xlpm.validVals, _xlfn._xlws.FILTER(_xlpm.vals, _xlpm.mask),
    _xlpm.minVal, MIN(_xlpm.validVals),
    IFERROR( _xlfn.XMATCH(_xlpm.minVal, _xlpm.vals), "" )
)</f>
        <v>4</v>
      </c>
      <c r="AJ1280" cm="1">
        <f t="array" ref="AJ1280">_xlfn.LET(
    _xlpm.vals, CHOOSE({1,2,3,4,5,6}, S1280, V1280, Y1280, AB1280, AE1280, AH1280),
    _xlpm.slopes, CHOOSE({1,2,3,4,5,6}, Q1280, T1280, W1280, Z1280, AC1280, AF1280),
    _xlpm.ints, CHOOSE({1,2,3,4,5,6}, R1280, U1280, X1280, AA1280, AD1280, AG1280),
    _xlpm.limit, -0.00001*_xlpm.slopes + 0.1086*_xlpm.slopes + 63.253,
    _xlpm.valid, (_xlpm.vals &gt;= 0) * (_xlpm.ints &lt;= _xlpm.limit),
    _xlpm.target, MIN(_xlfn._xlws.FILTER(_xlpm.vals, _xlpm.valid)),
    IFERROR(
        _xlfn.XLOOKUP(_xlpm.target, _xlpm.vals, _xlpm.vals),
        CHOOSE({1,2,3,4,5,6}, S$1, V$1, Y$1, AB$1, AE$1, AH$1)
    )
)</f>
        <v>0.70879127816625687</v>
      </c>
    </row>
    <row r="1281" spans="9:36" x14ac:dyDescent="0.45">
      <c r="I1281">
        <v>1279</v>
      </c>
      <c r="J1281">
        <v>27.6</v>
      </c>
      <c r="K1281">
        <f t="shared" si="438"/>
        <v>27.6</v>
      </c>
      <c r="L1281">
        <f t="shared" si="437"/>
        <v>7.6666666666666671E-3</v>
      </c>
      <c r="M1281">
        <v>0.49</v>
      </c>
      <c r="N1281">
        <f t="shared" si="439"/>
        <v>0.49</v>
      </c>
      <c r="O1281">
        <f t="shared" si="440"/>
        <v>358.66704492611962</v>
      </c>
      <c r="P1281">
        <f t="shared" si="441"/>
        <v>1147.7345437635829</v>
      </c>
      <c r="Q1281">
        <f t="shared" si="442"/>
        <v>5256.6242104372095</v>
      </c>
      <c r="R1281">
        <f t="shared" si="443"/>
        <v>0.89014453755531897</v>
      </c>
      <c r="S1281">
        <f t="shared" si="444"/>
        <v>4.4174121147948942</v>
      </c>
      <c r="T1281">
        <f t="shared" si="445"/>
        <v>3397.2942495402053</v>
      </c>
      <c r="U1281">
        <f t="shared" si="446"/>
        <v>1.3773182371632973</v>
      </c>
      <c r="V1281">
        <f t="shared" si="447"/>
        <v>1.3084327975155225</v>
      </c>
      <c r="W1281">
        <f t="shared" si="448"/>
        <v>2192.1729785884431</v>
      </c>
      <c r="X1281">
        <f t="shared" si="449"/>
        <v>2.1344827130907649</v>
      </c>
      <c r="Y1281">
        <f t="shared" si="450"/>
        <v>0.60940847462717451</v>
      </c>
      <c r="Z1281">
        <f t="shared" si="451"/>
        <v>1652.7377430195593</v>
      </c>
      <c r="AA1281">
        <f t="shared" si="452"/>
        <v>2.8311541541690004</v>
      </c>
      <c r="AB1281">
        <f t="shared" si="453"/>
        <v>0.4681252003861418</v>
      </c>
      <c r="AC1281">
        <f t="shared" si="454"/>
        <v>6000</v>
      </c>
      <c r="AD1281">
        <f t="shared" si="455"/>
        <v>0.77985922115028716</v>
      </c>
      <c r="AE1281">
        <f t="shared" si="456"/>
        <v>6.7048127491872718</v>
      </c>
      <c r="AF1281">
        <f t="shared" si="457"/>
        <v>6000</v>
      </c>
      <c r="AG1281">
        <f t="shared" si="458"/>
        <v>0.77985922115028716</v>
      </c>
      <c r="AH1281">
        <f t="shared" si="459"/>
        <v>6.7048127491872718</v>
      </c>
      <c r="AI1281" cm="1">
        <f t="array" ref="AI1281">_xlfn.LET(
    _xlpm.vals,   _xlfn.HSTACK(S1281,V1281,Y1281,AB1281,AE1281,AH1281),
    _xlpm.ints,   _xlfn.HSTACK(R1281,U1281,X1281,AA1281,AD1281,AG1281),
    _xlpm.slopes, _xlfn.HSTACK(Q1281,T1281,W1281,Z1281,AC1281,AF1281),
    _xlpm.limit,  -0.00001*_xlpm.slopes + 0.1086*_xlpm.slopes + 63.253,
    _xlpm.mask,   (_xlpm.vals&gt;=0) * (_xlpm.ints&lt;=_xlpm.limit),
    _xlpm.validVals, _xlfn._xlws.FILTER(_xlpm.vals, _xlpm.mask),
    _xlpm.minVal, MIN(_xlpm.validVals),
    IFERROR( _xlfn.XMATCH(_xlpm.minVal, _xlpm.vals), "" )
)</f>
        <v>4</v>
      </c>
      <c r="AJ1281" cm="1">
        <f t="array" ref="AJ1281">_xlfn.LET(
    _xlpm.vals, CHOOSE({1,2,3,4,5,6}, S1281, V1281, Y1281, AB1281, AE1281, AH1281),
    _xlpm.slopes, CHOOSE({1,2,3,4,5,6}, Q1281, T1281, W1281, Z1281, AC1281, AF1281),
    _xlpm.ints, CHOOSE({1,2,3,4,5,6}, R1281, U1281, X1281, AA1281, AD1281, AG1281),
    _xlpm.limit, -0.00001*_xlpm.slopes + 0.1086*_xlpm.slopes + 63.253,
    _xlpm.valid, (_xlpm.vals &gt;= 0) * (_xlpm.ints &lt;= _xlpm.limit),
    _xlpm.target, MIN(_xlfn._xlws.FILTER(_xlpm.vals, _xlpm.valid)),
    IFERROR(
        _xlfn.XLOOKUP(_xlpm.target, _xlpm.vals, _xlpm.vals),
        CHOOSE({1,2,3,4,5,6}, S$1, V$1, Y$1, AB$1, AE$1, AH$1)
    )
)</f>
        <v>0.4681252003861418</v>
      </c>
    </row>
    <row r="1282" spans="9:36" x14ac:dyDescent="0.45">
      <c r="I1282">
        <v>1280</v>
      </c>
      <c r="J1282">
        <v>24.9</v>
      </c>
      <c r="K1282">
        <f t="shared" si="438"/>
        <v>24.9</v>
      </c>
      <c r="L1282">
        <f t="shared" ref="L1282:L1345" si="460">K1282*(1/3600)</f>
        <v>6.9166666666666664E-3</v>
      </c>
      <c r="M1282">
        <v>-0.3</v>
      </c>
      <c r="N1282">
        <f t="shared" si="439"/>
        <v>0</v>
      </c>
      <c r="O1282">
        <f t="shared" si="440"/>
        <v>323.58005140073828</v>
      </c>
      <c r="P1282">
        <f t="shared" si="441"/>
        <v>1035.4561644823625</v>
      </c>
      <c r="Q1282">
        <f t="shared" si="442"/>
        <v>4742.3892333292206</v>
      </c>
      <c r="R1282">
        <f t="shared" si="443"/>
        <v>0</v>
      </c>
      <c r="S1282">
        <f t="shared" si="444"/>
        <v>3.213825382378749</v>
      </c>
      <c r="T1282">
        <f t="shared" si="445"/>
        <v>3064.9502468677929</v>
      </c>
      <c r="U1282">
        <f t="shared" si="446"/>
        <v>0</v>
      </c>
      <c r="V1282">
        <f t="shared" si="447"/>
        <v>1.0213254005234986</v>
      </c>
      <c r="W1282">
        <f t="shared" si="448"/>
        <v>1977.7212741613123</v>
      </c>
      <c r="X1282">
        <f t="shared" si="449"/>
        <v>0</v>
      </c>
      <c r="Y1282">
        <f t="shared" si="450"/>
        <v>0.51870485781884934</v>
      </c>
      <c r="Z1282">
        <f t="shared" si="451"/>
        <v>1491.056876854602</v>
      </c>
      <c r="AA1282">
        <f t="shared" si="452"/>
        <v>0</v>
      </c>
      <c r="AB1282">
        <f t="shared" si="453"/>
        <v>0.40789762405788776</v>
      </c>
      <c r="AC1282">
        <f t="shared" si="454"/>
        <v>6000</v>
      </c>
      <c r="AD1282">
        <f t="shared" si="455"/>
        <v>0</v>
      </c>
      <c r="AE1282">
        <f t="shared" si="456"/>
        <v>6.7000407999999982</v>
      </c>
      <c r="AF1282">
        <f t="shared" si="457"/>
        <v>6000</v>
      </c>
      <c r="AG1282">
        <f t="shared" si="458"/>
        <v>0</v>
      </c>
      <c r="AH1282">
        <f t="shared" si="459"/>
        <v>6.7000407999999982</v>
      </c>
      <c r="AI1282" cm="1">
        <f t="array" ref="AI1282">_xlfn.LET(
    _xlpm.vals,   _xlfn.HSTACK(S1282,V1282,Y1282,AB1282,AE1282,AH1282),
    _xlpm.ints,   _xlfn.HSTACK(R1282,U1282,X1282,AA1282,AD1282,AG1282),
    _xlpm.slopes, _xlfn.HSTACK(Q1282,T1282,W1282,Z1282,AC1282,AF1282),
    _xlpm.limit,  -0.00001*_xlpm.slopes + 0.1086*_xlpm.slopes + 63.253,
    _xlpm.mask,   (_xlpm.vals&gt;=0) * (_xlpm.ints&lt;=_xlpm.limit),
    _xlpm.validVals, _xlfn._xlws.FILTER(_xlpm.vals, _xlpm.mask),
    _xlpm.minVal, MIN(_xlpm.validVals),
    IFERROR( _xlfn.XMATCH(_xlpm.minVal, _xlpm.vals), "" )
)</f>
        <v>4</v>
      </c>
      <c r="AJ1282" cm="1">
        <f t="array" ref="AJ1282">_xlfn.LET(
    _xlpm.vals, CHOOSE({1,2,3,4,5,6}, S1282, V1282, Y1282, AB1282, AE1282, AH1282),
    _xlpm.slopes, CHOOSE({1,2,3,4,5,6}, Q1282, T1282, W1282, Z1282, AC1282, AF1282),
    _xlpm.ints, CHOOSE({1,2,3,4,5,6}, R1282, U1282, X1282, AA1282, AD1282, AG1282),
    _xlpm.limit, -0.00001*_xlpm.slopes + 0.1086*_xlpm.slopes + 63.253,
    _xlpm.valid, (_xlpm.vals &gt;= 0) * (_xlpm.ints &lt;= _xlpm.limit),
    _xlpm.target, MIN(_xlfn._xlws.FILTER(_xlpm.vals, _xlpm.valid)),
    IFERROR(
        _xlfn.XLOOKUP(_xlpm.target, _xlpm.vals, _xlpm.vals),
        CHOOSE({1,2,3,4,5,6}, S$1, V$1, Y$1, AB$1, AE$1, AH$1)
    )
)</f>
        <v>0.40789762405788776</v>
      </c>
    </row>
    <row r="1283" spans="9:36" x14ac:dyDescent="0.45">
      <c r="I1283">
        <v>1281</v>
      </c>
      <c r="J1283">
        <v>21</v>
      </c>
      <c r="K1283">
        <f t="shared" ref="K1283:K1346" si="461">IF(J1283&lt;0,0,J1283)</f>
        <v>21</v>
      </c>
      <c r="L1283">
        <f t="shared" si="460"/>
        <v>5.8333333333333336E-3</v>
      </c>
      <c r="M1283">
        <v>-0.73</v>
      </c>
      <c r="N1283">
        <f t="shared" ref="N1283:N1346" si="462">IF(M1283&lt;0,0,M1283)</f>
        <v>0</v>
      </c>
      <c r="O1283">
        <f t="shared" ref="O1283:O1346" si="463">(K1283*0.44704*60)/(PI()*$B$2)</f>
        <v>272.89883853074315</v>
      </c>
      <c r="P1283">
        <f t="shared" ref="P1283:P1346" si="464">O1283*3.2</f>
        <v>873.27628329837808</v>
      </c>
      <c r="Q1283">
        <f t="shared" ref="Q1283:Q1346" si="465">IF(4.58*P1283&lt;1000,1000,4.58*P1283)</f>
        <v>3999.6053775065716</v>
      </c>
      <c r="R1283">
        <f t="shared" ref="R1283:R1346" si="466">(1000*N1283*60)/(Q1283*2*PI())</f>
        <v>0</v>
      </c>
      <c r="S1283">
        <f t="shared" ref="S1283:S1346" si="467">(0.072946 + (0.000364279 * Q1283) + (-0.00248749 * R1283) + (0.00000951906 * Q1283 * R1283) + (-0.000000165418 * Q1283^2) + (0.000045414 * R1283^2) + (-0.00000000135106 * Q1283^2 * R1283) + (0.0000000203184 * Q1283 * R1283^2) + (0.0000000000481318 * Q1283^3) + (-0.00000034778 * R1283^3))</f>
        <v>1.9632760260390651</v>
      </c>
      <c r="T1283">
        <f t="shared" ref="T1283:T1346" si="468">IF(2.96*P1283&lt;1000,6000,2.96*P1283)</f>
        <v>2584.8977985631991</v>
      </c>
      <c r="U1283">
        <f t="shared" ref="U1283:U1346" si="469">(1000*N1283*60)/(T1283*2*PI())</f>
        <v>0</v>
      </c>
      <c r="V1283">
        <f t="shared" ref="V1283:V1346" si="470">(0.072946 + (0.000364279 * T1283) + (-0.00248749 * U1283) + (0.00000951906 * T1283 * U1283) + (-0.000000165418 * T1283^2) + (0.000045414 * U1283^2) + (-0.00000000135106 * T1283^2 * U1283) + (0.0000000203184 * T1283 * U1283^2) + (0.0000000000481318 * T1283^3) + (-0.00000034778 * U1283^3))</f>
        <v>0.74060561580385209</v>
      </c>
      <c r="W1283">
        <f t="shared" ref="W1283:W1346" si="471">IF(1.91*P1283&lt;1000,6000,1.91*P1283)</f>
        <v>1667.9577010999021</v>
      </c>
      <c r="X1283">
        <f t="shared" ref="X1283:X1346" si="472">(1000*N1283*60)/(W1283*2*PI())</f>
        <v>0</v>
      </c>
      <c r="Y1283">
        <f t="shared" ref="Y1283:Y1346" si="473">(0.072946 + (0.000364279 * W1283) + (-0.00248749 * X1283) + (0.00000951906 * W1283 * X1283) + (-0.000000165418 * W1283^2) + (0.000045414 * X1283^2) + (-0.00000000135106 * W1283^2 * X1283) + (0.0000000203184 * W1283 * X1283^2) + (0.0000000000481318 * W1283^3) + (-0.00000034778 * X1283^3))</f>
        <v>0.44369201585479845</v>
      </c>
      <c r="Z1283">
        <f t="shared" ref="Z1283:Z1346" si="474">IF(1.44*P1283&lt;1000,6000,1.44*P1283)</f>
        <v>1257.5178479496644</v>
      </c>
      <c r="AA1283">
        <f t="shared" ref="AA1283:AA1346" si="475">(1000*N1283*60)/(Z1283*2*PI())</f>
        <v>0</v>
      </c>
      <c r="AB1283">
        <f t="shared" ref="AB1283:AB1346" si="476">(0.072946 + (0.000364279 * Z1283) + (-0.00248749 * AA1283) + (0.00000951906 * Z1283 * AA1283) + (-0.000000165418 * Z1283^2) + (0.000045414 * AA1283^2) + (-0.00000000135106 * Z1283^2 * AA1283) + (0.0000000203184 * Z1283 * AA1283^2) + (0.0000000000481318 * Z1283^3) + (-0.00000034778 * AA1283^3))</f>
        <v>0.36516320551800369</v>
      </c>
      <c r="AC1283">
        <f t="shared" ref="AC1283:AC1346" si="477">IF(0.74*P1283&lt;1000,6000,0.74*P1283)</f>
        <v>6000</v>
      </c>
      <c r="AD1283">
        <f t="shared" ref="AD1283:AD1346" si="478">(1000*N1283*60)/(AC1283*2*PI())</f>
        <v>0</v>
      </c>
      <c r="AE1283">
        <f t="shared" ref="AE1283:AE1346" si="479">(0.072946 + (0.000364279 * AC1283) + (-0.00248749 * AD1283) + (0.00000951906 * AC1283 * AD1283) + (-0.000000165418 * AC1283^2) + (0.000045414 * AD1283^2) + (-0.00000000135106 * AC1283^2 * AD1283) + (0.0000000203184 * AC1283 * AD1283^2) + (0.0000000000481318 * AC1283^3) + (-0.00000034778 * AD1283^3))</f>
        <v>6.7000407999999982</v>
      </c>
      <c r="AF1283">
        <f t="shared" ref="AF1283:AF1346" si="480">IF(0.68*P1283&lt;1000,6000,0.68*P1283)</f>
        <v>6000</v>
      </c>
      <c r="AG1283">
        <f t="shared" ref="AG1283:AG1346" si="481">(1000*N1283*60)/(AF1283*2*PI())</f>
        <v>0</v>
      </c>
      <c r="AH1283">
        <f t="shared" ref="AH1283:AH1346" si="482">(0.072946 + (0.000364279 * AF1283) + (-0.00248749 * AG1283) + (0.00000951906 * AF1283 * AG1283) + (-0.000000165418 * AF1283^2) + (0.000045414 * AG1283^2) + (-0.00000000135106 * AF1283^2 * AG1283) + (0.0000000203184 * AF1283 * AG1283^2) + (0.0000000000481318 * AF1283^3) + (-0.00000034778 * AG1283^3))</f>
        <v>6.7000407999999982</v>
      </c>
      <c r="AI1283" cm="1">
        <f t="array" ref="AI1283">_xlfn.LET(
    _xlpm.vals,   _xlfn.HSTACK(S1283,V1283,Y1283,AB1283,AE1283,AH1283),
    _xlpm.ints,   _xlfn.HSTACK(R1283,U1283,X1283,AA1283,AD1283,AG1283),
    _xlpm.slopes, _xlfn.HSTACK(Q1283,T1283,W1283,Z1283,AC1283,AF1283),
    _xlpm.limit,  -0.00001*_xlpm.slopes + 0.1086*_xlpm.slopes + 63.253,
    _xlpm.mask,   (_xlpm.vals&gt;=0) * (_xlpm.ints&lt;=_xlpm.limit),
    _xlpm.validVals, _xlfn._xlws.FILTER(_xlpm.vals, _xlpm.mask),
    _xlpm.minVal, MIN(_xlpm.validVals),
    IFERROR( _xlfn.XMATCH(_xlpm.minVal, _xlpm.vals), "" )
)</f>
        <v>4</v>
      </c>
      <c r="AJ1283" cm="1">
        <f t="array" ref="AJ1283">_xlfn.LET(
    _xlpm.vals, CHOOSE({1,2,3,4,5,6}, S1283, V1283, Y1283, AB1283, AE1283, AH1283),
    _xlpm.slopes, CHOOSE({1,2,3,4,5,6}, Q1283, T1283, W1283, Z1283, AC1283, AF1283),
    _xlpm.ints, CHOOSE({1,2,3,4,5,6}, R1283, U1283, X1283, AA1283, AD1283, AG1283),
    _xlpm.limit, -0.00001*_xlpm.slopes + 0.1086*_xlpm.slopes + 63.253,
    _xlpm.valid, (_xlpm.vals &gt;= 0) * (_xlpm.ints &lt;= _xlpm.limit),
    _xlpm.target, MIN(_xlfn._xlws.FILTER(_xlpm.vals, _xlpm.valid)),
    IFERROR(
        _xlfn.XLOOKUP(_xlpm.target, _xlpm.vals, _xlpm.vals),
        CHOOSE({1,2,3,4,5,6}, S$1, V$1, Y$1, AB$1, AE$1, AH$1)
    )
)</f>
        <v>0.36516320551800369</v>
      </c>
    </row>
    <row r="1284" spans="9:36" x14ac:dyDescent="0.45">
      <c r="I1284">
        <v>1282</v>
      </c>
      <c r="J1284">
        <v>17.399999999999999</v>
      </c>
      <c r="K1284">
        <f t="shared" si="461"/>
        <v>17.399999999999999</v>
      </c>
      <c r="L1284">
        <f t="shared" si="460"/>
        <v>4.8333333333333327E-3</v>
      </c>
      <c r="M1284">
        <v>-0.8</v>
      </c>
      <c r="N1284">
        <f t="shared" si="462"/>
        <v>0</v>
      </c>
      <c r="O1284">
        <f t="shared" si="463"/>
        <v>226.11618049690145</v>
      </c>
      <c r="P1284">
        <f t="shared" si="464"/>
        <v>723.57177759008471</v>
      </c>
      <c r="Q1284">
        <f t="shared" si="465"/>
        <v>3313.9587413625882</v>
      </c>
      <c r="R1284">
        <f t="shared" si="466"/>
        <v>0</v>
      </c>
      <c r="S1284">
        <f t="shared" si="467"/>
        <v>1.2152328641838128</v>
      </c>
      <c r="T1284">
        <f t="shared" si="468"/>
        <v>2141.7724616666505</v>
      </c>
      <c r="U1284">
        <f t="shared" si="469"/>
        <v>0</v>
      </c>
      <c r="V1284">
        <f t="shared" si="470"/>
        <v>0.56722630438816424</v>
      </c>
      <c r="W1284">
        <f t="shared" si="471"/>
        <v>1382.0220951970618</v>
      </c>
      <c r="X1284">
        <f t="shared" si="472"/>
        <v>0</v>
      </c>
      <c r="Y1284">
        <f t="shared" si="473"/>
        <v>0.38749241638156479</v>
      </c>
      <c r="Z1284">
        <f t="shared" si="474"/>
        <v>1041.943359729722</v>
      </c>
      <c r="AA1284">
        <f t="shared" si="475"/>
        <v>0</v>
      </c>
      <c r="AB1284">
        <f t="shared" si="476"/>
        <v>0.32736450765328284</v>
      </c>
      <c r="AC1284">
        <f t="shared" si="477"/>
        <v>6000</v>
      </c>
      <c r="AD1284">
        <f t="shared" si="478"/>
        <v>0</v>
      </c>
      <c r="AE1284">
        <f t="shared" si="479"/>
        <v>6.7000407999999982</v>
      </c>
      <c r="AF1284">
        <f t="shared" si="480"/>
        <v>6000</v>
      </c>
      <c r="AG1284">
        <f t="shared" si="481"/>
        <v>0</v>
      </c>
      <c r="AH1284">
        <f t="shared" si="482"/>
        <v>6.7000407999999982</v>
      </c>
      <c r="AI1284" cm="1">
        <f t="array" ref="AI1284">_xlfn.LET(
    _xlpm.vals,   _xlfn.HSTACK(S1284,V1284,Y1284,AB1284,AE1284,AH1284),
    _xlpm.ints,   _xlfn.HSTACK(R1284,U1284,X1284,AA1284,AD1284,AG1284),
    _xlpm.slopes, _xlfn.HSTACK(Q1284,T1284,W1284,Z1284,AC1284,AF1284),
    _xlpm.limit,  -0.00001*_xlpm.slopes + 0.1086*_xlpm.slopes + 63.253,
    _xlpm.mask,   (_xlpm.vals&gt;=0) * (_xlpm.ints&lt;=_xlpm.limit),
    _xlpm.validVals, _xlfn._xlws.FILTER(_xlpm.vals, _xlpm.mask),
    _xlpm.minVal, MIN(_xlpm.validVals),
    IFERROR( _xlfn.XMATCH(_xlpm.minVal, _xlpm.vals), "" )
)</f>
        <v>4</v>
      </c>
      <c r="AJ1284" cm="1">
        <f t="array" ref="AJ1284">_xlfn.LET(
    _xlpm.vals, CHOOSE({1,2,3,4,5,6}, S1284, V1284, Y1284, AB1284, AE1284, AH1284),
    _xlpm.slopes, CHOOSE({1,2,3,4,5,6}, Q1284, T1284, W1284, Z1284, AC1284, AF1284),
    _xlpm.ints, CHOOSE({1,2,3,4,5,6}, R1284, U1284, X1284, AA1284, AD1284, AG1284),
    _xlpm.limit, -0.00001*_xlpm.slopes + 0.1086*_xlpm.slopes + 63.253,
    _xlpm.valid, (_xlpm.vals &gt;= 0) * (_xlpm.ints &lt;= _xlpm.limit),
    _xlpm.target, MIN(_xlfn._xlws.FILTER(_xlpm.vals, _xlpm.valid)),
    IFERROR(
        _xlfn.XLOOKUP(_xlpm.target, _xlpm.vals, _xlpm.vals),
        CHOOSE({1,2,3,4,5,6}, S$1, V$1, Y$1, AB$1, AE$1, AH$1)
    )
)</f>
        <v>0.32736450765328284</v>
      </c>
    </row>
    <row r="1285" spans="9:36" x14ac:dyDescent="0.45">
      <c r="I1285">
        <v>1283</v>
      </c>
      <c r="J1285">
        <v>13.9</v>
      </c>
      <c r="K1285">
        <f t="shared" si="461"/>
        <v>13.9</v>
      </c>
      <c r="L1285">
        <f t="shared" si="460"/>
        <v>3.8611111111111112E-3</v>
      </c>
      <c r="M1285">
        <v>-0.21</v>
      </c>
      <c r="N1285">
        <f t="shared" si="462"/>
        <v>0</v>
      </c>
      <c r="O1285">
        <f t="shared" si="463"/>
        <v>180.63304074177762</v>
      </c>
      <c r="P1285">
        <f t="shared" si="464"/>
        <v>578.02573037368836</v>
      </c>
      <c r="Q1285">
        <f t="shared" si="465"/>
        <v>2647.3578451114927</v>
      </c>
      <c r="R1285">
        <f t="shared" si="466"/>
        <v>0</v>
      </c>
      <c r="S1285">
        <f t="shared" si="467"/>
        <v>0.77102845633233252</v>
      </c>
      <c r="T1285">
        <f t="shared" si="468"/>
        <v>1710.9561619061176</v>
      </c>
      <c r="U1285">
        <f t="shared" si="469"/>
        <v>0</v>
      </c>
      <c r="V1285">
        <f t="shared" si="470"/>
        <v>0.45304464419003243</v>
      </c>
      <c r="W1285">
        <f t="shared" si="471"/>
        <v>1104.0291450137447</v>
      </c>
      <c r="X1285">
        <f t="shared" si="472"/>
        <v>0</v>
      </c>
      <c r="Y1285">
        <f t="shared" si="473"/>
        <v>0.33826585606068105</v>
      </c>
      <c r="Z1285">
        <f t="shared" si="474"/>
        <v>6000</v>
      </c>
      <c r="AA1285">
        <f t="shared" si="475"/>
        <v>0</v>
      </c>
      <c r="AB1285">
        <f t="shared" si="476"/>
        <v>6.7000407999999982</v>
      </c>
      <c r="AC1285">
        <f t="shared" si="477"/>
        <v>6000</v>
      </c>
      <c r="AD1285">
        <f t="shared" si="478"/>
        <v>0</v>
      </c>
      <c r="AE1285">
        <f t="shared" si="479"/>
        <v>6.7000407999999982</v>
      </c>
      <c r="AF1285">
        <f t="shared" si="480"/>
        <v>6000</v>
      </c>
      <c r="AG1285">
        <f t="shared" si="481"/>
        <v>0</v>
      </c>
      <c r="AH1285">
        <f t="shared" si="482"/>
        <v>6.7000407999999982</v>
      </c>
      <c r="AI1285" cm="1">
        <f t="array" ref="AI1285">_xlfn.LET(
    _xlpm.vals,   _xlfn.HSTACK(S1285,V1285,Y1285,AB1285,AE1285,AH1285),
    _xlpm.ints,   _xlfn.HSTACK(R1285,U1285,X1285,AA1285,AD1285,AG1285),
    _xlpm.slopes, _xlfn.HSTACK(Q1285,T1285,W1285,Z1285,AC1285,AF1285),
    _xlpm.limit,  -0.00001*_xlpm.slopes + 0.1086*_xlpm.slopes + 63.253,
    _xlpm.mask,   (_xlpm.vals&gt;=0) * (_xlpm.ints&lt;=_xlpm.limit),
    _xlpm.validVals, _xlfn._xlws.FILTER(_xlpm.vals, _xlpm.mask),
    _xlpm.minVal, MIN(_xlpm.validVals),
    IFERROR( _xlfn.XMATCH(_xlpm.minVal, _xlpm.vals), "" )
)</f>
        <v>3</v>
      </c>
      <c r="AJ1285" cm="1">
        <f t="array" ref="AJ1285">_xlfn.LET(
    _xlpm.vals, CHOOSE({1,2,3,4,5,6}, S1285, V1285, Y1285, AB1285, AE1285, AH1285),
    _xlpm.slopes, CHOOSE({1,2,3,4,5,6}, Q1285, T1285, W1285, Z1285, AC1285, AF1285),
    _xlpm.ints, CHOOSE({1,2,3,4,5,6}, R1285, U1285, X1285, AA1285, AD1285, AG1285),
    _xlpm.limit, -0.00001*_xlpm.slopes + 0.1086*_xlpm.slopes + 63.253,
    _xlpm.valid, (_xlpm.vals &gt;= 0) * (_xlpm.ints &lt;= _xlpm.limit),
    _xlpm.target, MIN(_xlfn._xlws.FILTER(_xlpm.vals, _xlpm.valid)),
    IFERROR(
        _xlfn.XLOOKUP(_xlpm.target, _xlpm.vals, _xlpm.vals),
        CHOOSE({1,2,3,4,5,6}, S$1, V$1, Y$1, AB$1, AE$1, AH$1)
    )
)</f>
        <v>0.33826585606068105</v>
      </c>
    </row>
    <row r="1286" spans="9:36" x14ac:dyDescent="0.45">
      <c r="I1286">
        <v>1284</v>
      </c>
      <c r="J1286">
        <v>10.4</v>
      </c>
      <c r="K1286">
        <f t="shared" si="461"/>
        <v>10.4</v>
      </c>
      <c r="L1286">
        <f t="shared" si="460"/>
        <v>2.8888888888888892E-3</v>
      </c>
      <c r="M1286">
        <v>-0.82</v>
      </c>
      <c r="N1286">
        <f t="shared" si="462"/>
        <v>0</v>
      </c>
      <c r="O1286">
        <f t="shared" si="463"/>
        <v>135.14990098665376</v>
      </c>
      <c r="P1286">
        <f t="shared" si="464"/>
        <v>432.47968315729207</v>
      </c>
      <c r="Q1286">
        <f t="shared" si="465"/>
        <v>1980.7569488603976</v>
      </c>
      <c r="R1286">
        <f t="shared" si="466"/>
        <v>0</v>
      </c>
      <c r="S1286">
        <f t="shared" si="467"/>
        <v>0.51954005780631896</v>
      </c>
      <c r="T1286">
        <f t="shared" si="468"/>
        <v>1280.1398621455846</v>
      </c>
      <c r="U1286">
        <f t="shared" si="469"/>
        <v>0</v>
      </c>
      <c r="V1286">
        <f t="shared" si="470"/>
        <v>0.36916677944796156</v>
      </c>
      <c r="W1286">
        <f t="shared" si="471"/>
        <v>6000</v>
      </c>
      <c r="X1286">
        <f t="shared" si="472"/>
        <v>0</v>
      </c>
      <c r="Y1286">
        <f t="shared" si="473"/>
        <v>6.7000407999999982</v>
      </c>
      <c r="Z1286">
        <f t="shared" si="474"/>
        <v>6000</v>
      </c>
      <c r="AA1286">
        <f t="shared" si="475"/>
        <v>0</v>
      </c>
      <c r="AB1286">
        <f t="shared" si="476"/>
        <v>6.7000407999999982</v>
      </c>
      <c r="AC1286">
        <f t="shared" si="477"/>
        <v>6000</v>
      </c>
      <c r="AD1286">
        <f t="shared" si="478"/>
        <v>0</v>
      </c>
      <c r="AE1286">
        <f t="shared" si="479"/>
        <v>6.7000407999999982</v>
      </c>
      <c r="AF1286">
        <f t="shared" si="480"/>
        <v>6000</v>
      </c>
      <c r="AG1286">
        <f t="shared" si="481"/>
        <v>0</v>
      </c>
      <c r="AH1286">
        <f t="shared" si="482"/>
        <v>6.7000407999999982</v>
      </c>
      <c r="AI1286" cm="1">
        <f t="array" ref="AI1286">_xlfn.LET(
    _xlpm.vals,   _xlfn.HSTACK(S1286,V1286,Y1286,AB1286,AE1286,AH1286),
    _xlpm.ints,   _xlfn.HSTACK(R1286,U1286,X1286,AA1286,AD1286,AG1286),
    _xlpm.slopes, _xlfn.HSTACK(Q1286,T1286,W1286,Z1286,AC1286,AF1286),
    _xlpm.limit,  -0.00001*_xlpm.slopes + 0.1086*_xlpm.slopes + 63.253,
    _xlpm.mask,   (_xlpm.vals&gt;=0) * (_xlpm.ints&lt;=_xlpm.limit),
    _xlpm.validVals, _xlfn._xlws.FILTER(_xlpm.vals, _xlpm.mask),
    _xlpm.minVal, MIN(_xlpm.validVals),
    IFERROR( _xlfn.XMATCH(_xlpm.minVal, _xlpm.vals), "" )
)</f>
        <v>2</v>
      </c>
      <c r="AJ1286" cm="1">
        <f t="array" ref="AJ1286">_xlfn.LET(
    _xlpm.vals, CHOOSE({1,2,3,4,5,6}, S1286, V1286, Y1286, AB1286, AE1286, AH1286),
    _xlpm.slopes, CHOOSE({1,2,3,4,5,6}, Q1286, T1286, W1286, Z1286, AC1286, AF1286),
    _xlpm.ints, CHOOSE({1,2,3,4,5,6}, R1286, U1286, X1286, AA1286, AD1286, AG1286),
    _xlpm.limit, -0.00001*_xlpm.slopes + 0.1086*_xlpm.slopes + 63.253,
    _xlpm.valid, (_xlpm.vals &gt;= 0) * (_xlpm.ints &lt;= _xlpm.limit),
    _xlpm.target, MIN(_xlfn._xlws.FILTER(_xlpm.vals, _xlpm.valid)),
    IFERROR(
        _xlfn.XLOOKUP(_xlpm.target, _xlpm.vals, _xlpm.vals),
        CHOOSE({1,2,3,4,5,6}, S$1, V$1, Y$1, AB$1, AE$1, AH$1)
    )
)</f>
        <v>0.36916677944796156</v>
      </c>
    </row>
    <row r="1287" spans="9:36" x14ac:dyDescent="0.45">
      <c r="I1287">
        <v>1285</v>
      </c>
      <c r="J1287">
        <v>7</v>
      </c>
      <c r="K1287">
        <f t="shared" si="461"/>
        <v>7</v>
      </c>
      <c r="L1287">
        <f t="shared" si="460"/>
        <v>1.9444444444444444E-3</v>
      </c>
      <c r="M1287">
        <v>0.08</v>
      </c>
      <c r="N1287">
        <f t="shared" si="462"/>
        <v>0.08</v>
      </c>
      <c r="O1287">
        <f t="shared" si="463"/>
        <v>90.966279510247716</v>
      </c>
      <c r="P1287">
        <f t="shared" si="464"/>
        <v>291.09209443279269</v>
      </c>
      <c r="Q1287">
        <f t="shared" si="465"/>
        <v>1333.2017925021905</v>
      </c>
      <c r="R1287">
        <f t="shared" si="466"/>
        <v>0.57301432621636861</v>
      </c>
      <c r="S1287">
        <f t="shared" si="467"/>
        <v>0.38313577861808673</v>
      </c>
      <c r="T1287">
        <f t="shared" si="468"/>
        <v>6000</v>
      </c>
      <c r="U1287">
        <f t="shared" si="469"/>
        <v>0.12732395447351627</v>
      </c>
      <c r="V1287">
        <f t="shared" si="470"/>
        <v>6.7008060180825435</v>
      </c>
      <c r="W1287">
        <f t="shared" si="471"/>
        <v>6000</v>
      </c>
      <c r="X1287">
        <f t="shared" si="472"/>
        <v>0.12732395447351627</v>
      </c>
      <c r="Y1287">
        <f t="shared" si="473"/>
        <v>6.7008060180825435</v>
      </c>
      <c r="Z1287">
        <f t="shared" si="474"/>
        <v>6000</v>
      </c>
      <c r="AA1287">
        <f t="shared" si="475"/>
        <v>0.12732395447351627</v>
      </c>
      <c r="AB1287">
        <f t="shared" si="476"/>
        <v>6.7008060180825435</v>
      </c>
      <c r="AC1287">
        <f t="shared" si="477"/>
        <v>6000</v>
      </c>
      <c r="AD1287">
        <f t="shared" si="478"/>
        <v>0.12732395447351627</v>
      </c>
      <c r="AE1287">
        <f t="shared" si="479"/>
        <v>6.7008060180825435</v>
      </c>
      <c r="AF1287">
        <f t="shared" si="480"/>
        <v>6000</v>
      </c>
      <c r="AG1287">
        <f t="shared" si="481"/>
        <v>0.12732395447351627</v>
      </c>
      <c r="AH1287">
        <f t="shared" si="482"/>
        <v>6.7008060180825435</v>
      </c>
      <c r="AI1287" cm="1">
        <f t="array" ref="AI1287">_xlfn.LET(
    _xlpm.vals,   _xlfn.HSTACK(S1287,V1287,Y1287,AB1287,AE1287,AH1287),
    _xlpm.ints,   _xlfn.HSTACK(R1287,U1287,X1287,AA1287,AD1287,AG1287),
    _xlpm.slopes, _xlfn.HSTACK(Q1287,T1287,W1287,Z1287,AC1287,AF1287),
    _xlpm.limit,  -0.00001*_xlpm.slopes + 0.1086*_xlpm.slopes + 63.253,
    _xlpm.mask,   (_xlpm.vals&gt;=0) * (_xlpm.ints&lt;=_xlpm.limit),
    _xlpm.validVals, _xlfn._xlws.FILTER(_xlpm.vals, _xlpm.mask),
    _xlpm.minVal, MIN(_xlpm.validVals),
    IFERROR( _xlfn.XMATCH(_xlpm.minVal, _xlpm.vals), "" )
)</f>
        <v>1</v>
      </c>
      <c r="AJ1287" cm="1">
        <f t="array" ref="AJ1287">_xlfn.LET(
    _xlpm.vals, CHOOSE({1,2,3,4,5,6}, S1287, V1287, Y1287, AB1287, AE1287, AH1287),
    _xlpm.slopes, CHOOSE({1,2,3,4,5,6}, Q1287, T1287, W1287, Z1287, AC1287, AF1287),
    _xlpm.ints, CHOOSE({1,2,3,4,5,6}, R1287, U1287, X1287, AA1287, AD1287, AG1287),
    _xlpm.limit, -0.00001*_xlpm.slopes + 0.1086*_xlpm.slopes + 63.253,
    _xlpm.valid, (_xlpm.vals &gt;= 0) * (_xlpm.ints &lt;= _xlpm.limit),
    _xlpm.target, MIN(_xlfn._xlws.FILTER(_xlpm.vals, _xlpm.valid)),
    IFERROR(
        _xlfn.XLOOKUP(_xlpm.target, _xlpm.vals, _xlpm.vals),
        CHOOSE({1,2,3,4,5,6}, S$1, V$1, Y$1, AB$1, AE$1, AH$1)
    )
)</f>
        <v>0.38313577861808673</v>
      </c>
    </row>
    <row r="1288" spans="9:36" x14ac:dyDescent="0.45">
      <c r="I1288">
        <v>1286</v>
      </c>
      <c r="J1288">
        <v>3.7</v>
      </c>
      <c r="K1288">
        <f t="shared" si="461"/>
        <v>3.7</v>
      </c>
      <c r="L1288">
        <f t="shared" si="460"/>
        <v>1.0277777777777778E-3</v>
      </c>
      <c r="M1288">
        <v>0.17</v>
      </c>
      <c r="N1288">
        <f t="shared" si="462"/>
        <v>0.17</v>
      </c>
      <c r="O1288">
        <f t="shared" si="463"/>
        <v>48.082176312559511</v>
      </c>
      <c r="P1288">
        <f t="shared" si="464"/>
        <v>153.86296420019045</v>
      </c>
      <c r="Q1288">
        <f t="shared" si="465"/>
        <v>1000</v>
      </c>
      <c r="R1288">
        <f t="shared" si="466"/>
        <v>1.6233804195373327</v>
      </c>
      <c r="S1288">
        <f t="shared" si="467"/>
        <v>0.32933216963489198</v>
      </c>
      <c r="T1288">
        <f t="shared" si="468"/>
        <v>6000</v>
      </c>
      <c r="U1288">
        <f t="shared" si="469"/>
        <v>0.27056340325622208</v>
      </c>
      <c r="V1288">
        <f t="shared" si="470"/>
        <v>6.7016733677786915</v>
      </c>
      <c r="W1288">
        <f t="shared" si="471"/>
        <v>6000</v>
      </c>
      <c r="X1288">
        <f t="shared" si="472"/>
        <v>0.27056340325622208</v>
      </c>
      <c r="Y1288">
        <f t="shared" si="473"/>
        <v>6.7016733677786915</v>
      </c>
      <c r="Z1288">
        <f t="shared" si="474"/>
        <v>6000</v>
      </c>
      <c r="AA1288">
        <f t="shared" si="475"/>
        <v>0.27056340325622208</v>
      </c>
      <c r="AB1288">
        <f t="shared" si="476"/>
        <v>6.7016733677786915</v>
      </c>
      <c r="AC1288">
        <f t="shared" si="477"/>
        <v>6000</v>
      </c>
      <c r="AD1288">
        <f t="shared" si="478"/>
        <v>0.27056340325622208</v>
      </c>
      <c r="AE1288">
        <f t="shared" si="479"/>
        <v>6.7016733677786915</v>
      </c>
      <c r="AF1288">
        <f t="shared" si="480"/>
        <v>6000</v>
      </c>
      <c r="AG1288">
        <f t="shared" si="481"/>
        <v>0.27056340325622208</v>
      </c>
      <c r="AH1288">
        <f t="shared" si="482"/>
        <v>6.7016733677786915</v>
      </c>
      <c r="AI1288" cm="1">
        <f t="array" ref="AI1288">_xlfn.LET(
    _xlpm.vals,   _xlfn.HSTACK(S1288,V1288,Y1288,AB1288,AE1288,AH1288),
    _xlpm.ints,   _xlfn.HSTACK(R1288,U1288,X1288,AA1288,AD1288,AG1288),
    _xlpm.slopes, _xlfn.HSTACK(Q1288,T1288,W1288,Z1288,AC1288,AF1288),
    _xlpm.limit,  -0.00001*_xlpm.slopes + 0.1086*_xlpm.slopes + 63.253,
    _xlpm.mask,   (_xlpm.vals&gt;=0) * (_xlpm.ints&lt;=_xlpm.limit),
    _xlpm.validVals, _xlfn._xlws.FILTER(_xlpm.vals, _xlpm.mask),
    _xlpm.minVal, MIN(_xlpm.validVals),
    IFERROR( _xlfn.XMATCH(_xlpm.minVal, _xlpm.vals), "" )
)</f>
        <v>1</v>
      </c>
      <c r="AJ1288" cm="1">
        <f t="array" ref="AJ1288">_xlfn.LET(
    _xlpm.vals, CHOOSE({1,2,3,4,5,6}, S1288, V1288, Y1288, AB1288, AE1288, AH1288),
    _xlpm.slopes, CHOOSE({1,2,3,4,5,6}, Q1288, T1288, W1288, Z1288, AC1288, AF1288),
    _xlpm.ints, CHOOSE({1,2,3,4,5,6}, R1288, U1288, X1288, AA1288, AD1288, AG1288),
    _xlpm.limit, -0.00001*_xlpm.slopes + 0.1086*_xlpm.slopes + 63.253,
    _xlpm.valid, (_xlpm.vals &gt;= 0) * (_xlpm.ints &lt;= _xlpm.limit),
    _xlpm.target, MIN(_xlfn._xlws.FILTER(_xlpm.vals, _xlpm.valid)),
    IFERROR(
        _xlfn.XLOOKUP(_xlpm.target, _xlpm.vals, _xlpm.vals),
        CHOOSE({1,2,3,4,5,6}, S$1, V$1, Y$1, AB$1, AE$1, AH$1)
    )
)</f>
        <v>0.32933216963489198</v>
      </c>
    </row>
    <row r="1289" spans="9:36" x14ac:dyDescent="0.45">
      <c r="I1289">
        <v>1287</v>
      </c>
      <c r="J1289">
        <v>1.5</v>
      </c>
      <c r="K1289">
        <f t="shared" si="461"/>
        <v>1.5</v>
      </c>
      <c r="L1289">
        <f t="shared" si="460"/>
        <v>4.1666666666666664E-4</v>
      </c>
      <c r="M1289">
        <v>1.62</v>
      </c>
      <c r="N1289">
        <f t="shared" si="462"/>
        <v>1.62</v>
      </c>
      <c r="O1289">
        <f t="shared" si="463"/>
        <v>19.49277418076737</v>
      </c>
      <c r="P1289">
        <f t="shared" si="464"/>
        <v>62.376877378455589</v>
      </c>
      <c r="Q1289">
        <f t="shared" si="465"/>
        <v>1000</v>
      </c>
      <c r="R1289">
        <f t="shared" si="466"/>
        <v>15.469860468532229</v>
      </c>
      <c r="S1289">
        <f t="shared" si="467"/>
        <v>0.42225880136503335</v>
      </c>
      <c r="T1289">
        <f t="shared" si="468"/>
        <v>6000</v>
      </c>
      <c r="U1289">
        <f t="shared" si="469"/>
        <v>2.5783100780887045</v>
      </c>
      <c r="V1289">
        <f t="shared" si="470"/>
        <v>6.7165879100181138</v>
      </c>
      <c r="W1289">
        <f t="shared" si="471"/>
        <v>6000</v>
      </c>
      <c r="X1289">
        <f t="shared" si="472"/>
        <v>2.5783100780887045</v>
      </c>
      <c r="Y1289">
        <f t="shared" si="473"/>
        <v>6.7165879100181138</v>
      </c>
      <c r="Z1289">
        <f t="shared" si="474"/>
        <v>6000</v>
      </c>
      <c r="AA1289">
        <f t="shared" si="475"/>
        <v>2.5783100780887045</v>
      </c>
      <c r="AB1289">
        <f t="shared" si="476"/>
        <v>6.7165879100181138</v>
      </c>
      <c r="AC1289">
        <f t="shared" si="477"/>
        <v>6000</v>
      </c>
      <c r="AD1289">
        <f t="shared" si="478"/>
        <v>2.5783100780887045</v>
      </c>
      <c r="AE1289">
        <f t="shared" si="479"/>
        <v>6.7165879100181138</v>
      </c>
      <c r="AF1289">
        <f t="shared" si="480"/>
        <v>6000</v>
      </c>
      <c r="AG1289">
        <f t="shared" si="481"/>
        <v>2.5783100780887045</v>
      </c>
      <c r="AH1289">
        <f t="shared" si="482"/>
        <v>6.7165879100181138</v>
      </c>
      <c r="AI1289" cm="1">
        <f t="array" ref="AI1289">_xlfn.LET(
    _xlpm.vals,   _xlfn.HSTACK(S1289,V1289,Y1289,AB1289,AE1289,AH1289),
    _xlpm.ints,   _xlfn.HSTACK(R1289,U1289,X1289,AA1289,AD1289,AG1289),
    _xlpm.slopes, _xlfn.HSTACK(Q1289,T1289,W1289,Z1289,AC1289,AF1289),
    _xlpm.limit,  -0.00001*_xlpm.slopes + 0.1086*_xlpm.slopes + 63.253,
    _xlpm.mask,   (_xlpm.vals&gt;=0) * (_xlpm.ints&lt;=_xlpm.limit),
    _xlpm.validVals, _xlfn._xlws.FILTER(_xlpm.vals, _xlpm.mask),
    _xlpm.minVal, MIN(_xlpm.validVals),
    IFERROR( _xlfn.XMATCH(_xlpm.minVal, _xlpm.vals), "" )
)</f>
        <v>1</v>
      </c>
      <c r="AJ1289" cm="1">
        <f t="array" ref="AJ1289">_xlfn.LET(
    _xlpm.vals, CHOOSE({1,2,3,4,5,6}, S1289, V1289, Y1289, AB1289, AE1289, AH1289),
    _xlpm.slopes, CHOOSE({1,2,3,4,5,6}, Q1289, T1289, W1289, Z1289, AC1289, AF1289),
    _xlpm.ints, CHOOSE({1,2,3,4,5,6}, R1289, U1289, X1289, AA1289, AD1289, AG1289),
    _xlpm.limit, -0.00001*_xlpm.slopes + 0.1086*_xlpm.slopes + 63.253,
    _xlpm.valid, (_xlpm.vals &gt;= 0) * (_xlpm.ints &lt;= _xlpm.limit),
    _xlpm.target, MIN(_xlfn._xlws.FILTER(_xlpm.vals, _xlpm.valid)),
    IFERROR(
        _xlfn.XLOOKUP(_xlpm.target, _xlpm.vals, _xlpm.vals),
        CHOOSE({1,2,3,4,5,6}, S$1, V$1, Y$1, AB$1, AE$1, AH$1)
    )
)</f>
        <v>0.42225880136503335</v>
      </c>
    </row>
    <row r="1290" spans="9:36" x14ac:dyDescent="0.45">
      <c r="I1290">
        <v>1288</v>
      </c>
      <c r="J1290">
        <v>-0.2</v>
      </c>
      <c r="K1290">
        <f t="shared" si="461"/>
        <v>0</v>
      </c>
      <c r="L1290">
        <f t="shared" si="460"/>
        <v>0</v>
      </c>
      <c r="M1290">
        <v>1.02</v>
      </c>
      <c r="N1290">
        <f t="shared" si="462"/>
        <v>1.02</v>
      </c>
      <c r="O1290">
        <f t="shared" si="463"/>
        <v>0</v>
      </c>
      <c r="P1290">
        <f t="shared" si="464"/>
        <v>0</v>
      </c>
      <c r="Q1290">
        <f t="shared" si="465"/>
        <v>1000</v>
      </c>
      <c r="R1290">
        <f t="shared" si="466"/>
        <v>9.7402825172239957</v>
      </c>
      <c r="S1290">
        <f t="shared" si="467"/>
        <v>0.38118342872203997</v>
      </c>
      <c r="T1290">
        <f t="shared" si="468"/>
        <v>6000</v>
      </c>
      <c r="U1290">
        <f t="shared" si="469"/>
        <v>1.6233804195373325</v>
      </c>
      <c r="V1290">
        <f t="shared" si="470"/>
        <v>6.7102022273783124</v>
      </c>
      <c r="W1290">
        <f t="shared" si="471"/>
        <v>6000</v>
      </c>
      <c r="X1290">
        <f t="shared" si="472"/>
        <v>1.6233804195373325</v>
      </c>
      <c r="Y1290">
        <f t="shared" si="473"/>
        <v>6.7102022273783124</v>
      </c>
      <c r="Z1290">
        <f t="shared" si="474"/>
        <v>6000</v>
      </c>
      <c r="AA1290">
        <f t="shared" si="475"/>
        <v>1.6233804195373325</v>
      </c>
      <c r="AB1290">
        <f t="shared" si="476"/>
        <v>6.7102022273783124</v>
      </c>
      <c r="AC1290">
        <f t="shared" si="477"/>
        <v>6000</v>
      </c>
      <c r="AD1290">
        <f t="shared" si="478"/>
        <v>1.6233804195373325</v>
      </c>
      <c r="AE1290">
        <f t="shared" si="479"/>
        <v>6.7102022273783124</v>
      </c>
      <c r="AF1290">
        <f t="shared" si="480"/>
        <v>6000</v>
      </c>
      <c r="AG1290">
        <f t="shared" si="481"/>
        <v>1.6233804195373325</v>
      </c>
      <c r="AH1290">
        <f t="shared" si="482"/>
        <v>6.7102022273783124</v>
      </c>
      <c r="AI1290" cm="1">
        <f t="array" ref="AI1290">_xlfn.LET(
    _xlpm.vals,   _xlfn.HSTACK(S1290,V1290,Y1290,AB1290,AE1290,AH1290),
    _xlpm.ints,   _xlfn.HSTACK(R1290,U1290,X1290,AA1290,AD1290,AG1290),
    _xlpm.slopes, _xlfn.HSTACK(Q1290,T1290,W1290,Z1290,AC1290,AF1290),
    _xlpm.limit,  -0.00001*_xlpm.slopes + 0.1086*_xlpm.slopes + 63.253,
    _xlpm.mask,   (_xlpm.vals&gt;=0) * (_xlpm.ints&lt;=_xlpm.limit),
    _xlpm.validVals, _xlfn._xlws.FILTER(_xlpm.vals, _xlpm.mask),
    _xlpm.minVal, MIN(_xlpm.validVals),
    IFERROR( _xlfn.XMATCH(_xlpm.minVal, _xlpm.vals), "" )
)</f>
        <v>1</v>
      </c>
      <c r="AJ1290" cm="1">
        <f t="array" ref="AJ1290">_xlfn.LET(
    _xlpm.vals, CHOOSE({1,2,3,4,5,6}, S1290, V1290, Y1290, AB1290, AE1290, AH1290),
    _xlpm.slopes, CHOOSE({1,2,3,4,5,6}, Q1290, T1290, W1290, Z1290, AC1290, AF1290),
    _xlpm.ints, CHOOSE({1,2,3,4,5,6}, R1290, U1290, X1290, AA1290, AD1290, AG1290),
    _xlpm.limit, -0.00001*_xlpm.slopes + 0.1086*_xlpm.slopes + 63.253,
    _xlpm.valid, (_xlpm.vals &gt;= 0) * (_xlpm.ints &lt;= _xlpm.limit),
    _xlpm.target, MIN(_xlfn._xlws.FILTER(_xlpm.vals, _xlpm.valid)),
    IFERROR(
        _xlfn.XLOOKUP(_xlpm.target, _xlpm.vals, _xlpm.vals),
        CHOOSE({1,2,3,4,5,6}, S$1, V$1, Y$1, AB$1, AE$1, AH$1)
    )
)</f>
        <v>0.38118342872203997</v>
      </c>
    </row>
    <row r="1291" spans="9:36" x14ac:dyDescent="0.45">
      <c r="I1291">
        <v>1289</v>
      </c>
      <c r="J1291">
        <v>0</v>
      </c>
      <c r="K1291">
        <f t="shared" si="461"/>
        <v>0</v>
      </c>
      <c r="L1291">
        <f t="shared" si="460"/>
        <v>0</v>
      </c>
      <c r="M1291">
        <v>0.98</v>
      </c>
      <c r="N1291">
        <f t="shared" si="462"/>
        <v>0.98</v>
      </c>
      <c r="O1291">
        <f t="shared" si="463"/>
        <v>0</v>
      </c>
      <c r="P1291">
        <f t="shared" si="464"/>
        <v>0</v>
      </c>
      <c r="Q1291">
        <f t="shared" si="465"/>
        <v>1000</v>
      </c>
      <c r="R1291">
        <f t="shared" si="466"/>
        <v>9.3583106538034464</v>
      </c>
      <c r="S1291">
        <f t="shared" si="467"/>
        <v>0.37857045374971388</v>
      </c>
      <c r="T1291">
        <f t="shared" si="468"/>
        <v>6000</v>
      </c>
      <c r="U1291">
        <f t="shared" si="469"/>
        <v>1.5597184423005743</v>
      </c>
      <c r="V1291">
        <f t="shared" si="470"/>
        <v>6.7097872355151065</v>
      </c>
      <c r="W1291">
        <f t="shared" si="471"/>
        <v>6000</v>
      </c>
      <c r="X1291">
        <f t="shared" si="472"/>
        <v>1.5597184423005743</v>
      </c>
      <c r="Y1291">
        <f t="shared" si="473"/>
        <v>6.7097872355151065</v>
      </c>
      <c r="Z1291">
        <f t="shared" si="474"/>
        <v>6000</v>
      </c>
      <c r="AA1291">
        <f t="shared" si="475"/>
        <v>1.5597184423005743</v>
      </c>
      <c r="AB1291">
        <f t="shared" si="476"/>
        <v>6.7097872355151065</v>
      </c>
      <c r="AC1291">
        <f t="shared" si="477"/>
        <v>6000</v>
      </c>
      <c r="AD1291">
        <f t="shared" si="478"/>
        <v>1.5597184423005743</v>
      </c>
      <c r="AE1291">
        <f t="shared" si="479"/>
        <v>6.7097872355151065</v>
      </c>
      <c r="AF1291">
        <f t="shared" si="480"/>
        <v>6000</v>
      </c>
      <c r="AG1291">
        <f t="shared" si="481"/>
        <v>1.5597184423005743</v>
      </c>
      <c r="AH1291">
        <f t="shared" si="482"/>
        <v>6.7097872355151065</v>
      </c>
      <c r="AI1291" cm="1">
        <f t="array" ref="AI1291">_xlfn.LET(
    _xlpm.vals,   _xlfn.HSTACK(S1291,V1291,Y1291,AB1291,AE1291,AH1291),
    _xlpm.ints,   _xlfn.HSTACK(R1291,U1291,X1291,AA1291,AD1291,AG1291),
    _xlpm.slopes, _xlfn.HSTACK(Q1291,T1291,W1291,Z1291,AC1291,AF1291),
    _xlpm.limit,  -0.00001*_xlpm.slopes + 0.1086*_xlpm.slopes + 63.253,
    _xlpm.mask,   (_xlpm.vals&gt;=0) * (_xlpm.ints&lt;=_xlpm.limit),
    _xlpm.validVals, _xlfn._xlws.FILTER(_xlpm.vals, _xlpm.mask),
    _xlpm.minVal, MIN(_xlpm.validVals),
    IFERROR( _xlfn.XMATCH(_xlpm.minVal, _xlpm.vals), "" )
)</f>
        <v>1</v>
      </c>
      <c r="AJ1291" cm="1">
        <f t="array" ref="AJ1291">_xlfn.LET(
    _xlpm.vals, CHOOSE({1,2,3,4,5,6}, S1291, V1291, Y1291, AB1291, AE1291, AH1291),
    _xlpm.slopes, CHOOSE({1,2,3,4,5,6}, Q1291, T1291, W1291, Z1291, AC1291, AF1291),
    _xlpm.ints, CHOOSE({1,2,3,4,5,6}, R1291, U1291, X1291, AA1291, AD1291, AG1291),
    _xlpm.limit, -0.00001*_xlpm.slopes + 0.1086*_xlpm.slopes + 63.253,
    _xlpm.valid, (_xlpm.vals &gt;= 0) * (_xlpm.ints &lt;= _xlpm.limit),
    _xlpm.target, MIN(_xlfn._xlws.FILTER(_xlpm.vals, _xlpm.valid)),
    IFERROR(
        _xlfn.XLOOKUP(_xlpm.target, _xlpm.vals, _xlpm.vals),
        CHOOSE({1,2,3,4,5,6}, S$1, V$1, Y$1, AB$1, AE$1, AH$1)
    )
)</f>
        <v>0.37857045374971388</v>
      </c>
    </row>
    <row r="1292" spans="9:36" x14ac:dyDescent="0.45">
      <c r="I1292">
        <v>1290</v>
      </c>
      <c r="J1292">
        <v>0</v>
      </c>
      <c r="K1292">
        <f t="shared" si="461"/>
        <v>0</v>
      </c>
      <c r="L1292">
        <f t="shared" si="460"/>
        <v>0</v>
      </c>
      <c r="M1292">
        <v>1.22</v>
      </c>
      <c r="N1292">
        <f t="shared" si="462"/>
        <v>1.22</v>
      </c>
      <c r="O1292">
        <f t="shared" si="463"/>
        <v>0</v>
      </c>
      <c r="P1292">
        <f t="shared" si="464"/>
        <v>0</v>
      </c>
      <c r="Q1292">
        <f t="shared" si="465"/>
        <v>1000</v>
      </c>
      <c r="R1292">
        <f t="shared" si="466"/>
        <v>11.650141834326739</v>
      </c>
      <c r="S1292">
        <f t="shared" si="467"/>
        <v>0.39448921169272683</v>
      </c>
      <c r="T1292">
        <f t="shared" si="468"/>
        <v>6000</v>
      </c>
      <c r="U1292">
        <f t="shared" si="469"/>
        <v>1.9416903057211232</v>
      </c>
      <c r="V1292">
        <f t="shared" si="470"/>
        <v>6.7122973142002573</v>
      </c>
      <c r="W1292">
        <f t="shared" si="471"/>
        <v>6000</v>
      </c>
      <c r="X1292">
        <f t="shared" si="472"/>
        <v>1.9416903057211232</v>
      </c>
      <c r="Y1292">
        <f t="shared" si="473"/>
        <v>6.7122973142002573</v>
      </c>
      <c r="Z1292">
        <f t="shared" si="474"/>
        <v>6000</v>
      </c>
      <c r="AA1292">
        <f t="shared" si="475"/>
        <v>1.9416903057211232</v>
      </c>
      <c r="AB1292">
        <f t="shared" si="476"/>
        <v>6.7122973142002573</v>
      </c>
      <c r="AC1292">
        <f t="shared" si="477"/>
        <v>6000</v>
      </c>
      <c r="AD1292">
        <f t="shared" si="478"/>
        <v>1.9416903057211232</v>
      </c>
      <c r="AE1292">
        <f t="shared" si="479"/>
        <v>6.7122973142002573</v>
      </c>
      <c r="AF1292">
        <f t="shared" si="480"/>
        <v>6000</v>
      </c>
      <c r="AG1292">
        <f t="shared" si="481"/>
        <v>1.9416903057211232</v>
      </c>
      <c r="AH1292">
        <f t="shared" si="482"/>
        <v>6.7122973142002573</v>
      </c>
      <c r="AI1292" cm="1">
        <f t="array" ref="AI1292">_xlfn.LET(
    _xlpm.vals,   _xlfn.HSTACK(S1292,V1292,Y1292,AB1292,AE1292,AH1292),
    _xlpm.ints,   _xlfn.HSTACK(R1292,U1292,X1292,AA1292,AD1292,AG1292),
    _xlpm.slopes, _xlfn.HSTACK(Q1292,T1292,W1292,Z1292,AC1292,AF1292),
    _xlpm.limit,  -0.00001*_xlpm.slopes + 0.1086*_xlpm.slopes + 63.253,
    _xlpm.mask,   (_xlpm.vals&gt;=0) * (_xlpm.ints&lt;=_xlpm.limit),
    _xlpm.validVals, _xlfn._xlws.FILTER(_xlpm.vals, _xlpm.mask),
    _xlpm.minVal, MIN(_xlpm.validVals),
    IFERROR( _xlfn.XMATCH(_xlpm.minVal, _xlpm.vals), "" )
)</f>
        <v>1</v>
      </c>
      <c r="AJ1292" cm="1">
        <f t="array" ref="AJ1292">_xlfn.LET(
    _xlpm.vals, CHOOSE({1,2,3,4,5,6}, S1292, V1292, Y1292, AB1292, AE1292, AH1292),
    _xlpm.slopes, CHOOSE({1,2,3,4,5,6}, Q1292, T1292, W1292, Z1292, AC1292, AF1292),
    _xlpm.ints, CHOOSE({1,2,3,4,5,6}, R1292, U1292, X1292, AA1292, AD1292, AG1292),
    _xlpm.limit, -0.00001*_xlpm.slopes + 0.1086*_xlpm.slopes + 63.253,
    _xlpm.valid, (_xlpm.vals &gt;= 0) * (_xlpm.ints &lt;= _xlpm.limit),
    _xlpm.target, MIN(_xlfn._xlws.FILTER(_xlpm.vals, _xlpm.valid)),
    IFERROR(
        _xlfn.XLOOKUP(_xlpm.target, _xlpm.vals, _xlpm.vals),
        CHOOSE({1,2,3,4,5,6}, S$1, V$1, Y$1, AB$1, AE$1, AH$1)
    )
)</f>
        <v>0.39448921169272683</v>
      </c>
    </row>
    <row r="1293" spans="9:36" x14ac:dyDescent="0.45">
      <c r="I1293">
        <v>1291</v>
      </c>
      <c r="J1293">
        <v>0</v>
      </c>
      <c r="K1293">
        <f t="shared" si="461"/>
        <v>0</v>
      </c>
      <c r="L1293">
        <f t="shared" si="460"/>
        <v>0</v>
      </c>
      <c r="M1293">
        <v>0.92</v>
      </c>
      <c r="N1293">
        <f t="shared" si="462"/>
        <v>0.92</v>
      </c>
      <c r="O1293">
        <f t="shared" si="463"/>
        <v>0</v>
      </c>
      <c r="P1293">
        <f t="shared" si="464"/>
        <v>0</v>
      </c>
      <c r="Q1293">
        <f t="shared" si="465"/>
        <v>1000</v>
      </c>
      <c r="R1293">
        <f t="shared" si="466"/>
        <v>8.7853528586726242</v>
      </c>
      <c r="S1293">
        <f t="shared" si="467"/>
        <v>0.3746816499237749</v>
      </c>
      <c r="T1293">
        <f t="shared" si="468"/>
        <v>6000</v>
      </c>
      <c r="U1293">
        <f t="shared" si="469"/>
        <v>1.4642254764454372</v>
      </c>
      <c r="V1293">
        <f t="shared" si="470"/>
        <v>6.7091672661822379</v>
      </c>
      <c r="W1293">
        <f t="shared" si="471"/>
        <v>6000</v>
      </c>
      <c r="X1293">
        <f t="shared" si="472"/>
        <v>1.4642254764454372</v>
      </c>
      <c r="Y1293">
        <f t="shared" si="473"/>
        <v>6.7091672661822379</v>
      </c>
      <c r="Z1293">
        <f t="shared" si="474"/>
        <v>6000</v>
      </c>
      <c r="AA1293">
        <f t="shared" si="475"/>
        <v>1.4642254764454372</v>
      </c>
      <c r="AB1293">
        <f t="shared" si="476"/>
        <v>6.7091672661822379</v>
      </c>
      <c r="AC1293">
        <f t="shared" si="477"/>
        <v>6000</v>
      </c>
      <c r="AD1293">
        <f t="shared" si="478"/>
        <v>1.4642254764454372</v>
      </c>
      <c r="AE1293">
        <f t="shared" si="479"/>
        <v>6.7091672661822379</v>
      </c>
      <c r="AF1293">
        <f t="shared" si="480"/>
        <v>6000</v>
      </c>
      <c r="AG1293">
        <f t="shared" si="481"/>
        <v>1.4642254764454372</v>
      </c>
      <c r="AH1293">
        <f t="shared" si="482"/>
        <v>6.7091672661822379</v>
      </c>
      <c r="AI1293" cm="1">
        <f t="array" ref="AI1293">_xlfn.LET(
    _xlpm.vals,   _xlfn.HSTACK(S1293,V1293,Y1293,AB1293,AE1293,AH1293),
    _xlpm.ints,   _xlfn.HSTACK(R1293,U1293,X1293,AA1293,AD1293,AG1293),
    _xlpm.slopes, _xlfn.HSTACK(Q1293,T1293,W1293,Z1293,AC1293,AF1293),
    _xlpm.limit,  -0.00001*_xlpm.slopes + 0.1086*_xlpm.slopes + 63.253,
    _xlpm.mask,   (_xlpm.vals&gt;=0) * (_xlpm.ints&lt;=_xlpm.limit),
    _xlpm.validVals, _xlfn._xlws.FILTER(_xlpm.vals, _xlpm.mask),
    _xlpm.minVal, MIN(_xlpm.validVals),
    IFERROR( _xlfn.XMATCH(_xlpm.minVal, _xlpm.vals), "" )
)</f>
        <v>1</v>
      </c>
      <c r="AJ1293" cm="1">
        <f t="array" ref="AJ1293">_xlfn.LET(
    _xlpm.vals, CHOOSE({1,2,3,4,5,6}, S1293, V1293, Y1293, AB1293, AE1293, AH1293),
    _xlpm.slopes, CHOOSE({1,2,3,4,5,6}, Q1293, T1293, W1293, Z1293, AC1293, AF1293),
    _xlpm.ints, CHOOSE({1,2,3,4,5,6}, R1293, U1293, X1293, AA1293, AD1293, AG1293),
    _xlpm.limit, -0.00001*_xlpm.slopes + 0.1086*_xlpm.slopes + 63.253,
    _xlpm.valid, (_xlpm.vals &gt;= 0) * (_xlpm.ints &lt;= _xlpm.limit),
    _xlpm.target, MIN(_xlfn._xlws.FILTER(_xlpm.vals, _xlpm.valid)),
    IFERROR(
        _xlfn.XLOOKUP(_xlpm.target, _xlpm.vals, _xlpm.vals),
        CHOOSE({1,2,3,4,5,6}, S$1, V$1, Y$1, AB$1, AE$1, AH$1)
    )
)</f>
        <v>0.3746816499237749</v>
      </c>
    </row>
    <row r="1294" spans="9:36" x14ac:dyDescent="0.45">
      <c r="I1294">
        <v>1292</v>
      </c>
      <c r="J1294">
        <v>0</v>
      </c>
      <c r="K1294">
        <f t="shared" si="461"/>
        <v>0</v>
      </c>
      <c r="L1294">
        <f t="shared" si="460"/>
        <v>0</v>
      </c>
      <c r="M1294">
        <v>0.6</v>
      </c>
      <c r="N1294">
        <f t="shared" si="462"/>
        <v>0.6</v>
      </c>
      <c r="O1294">
        <f t="shared" si="463"/>
        <v>0</v>
      </c>
      <c r="P1294">
        <f t="shared" si="464"/>
        <v>0</v>
      </c>
      <c r="Q1294">
        <f t="shared" si="465"/>
        <v>1000</v>
      </c>
      <c r="R1294">
        <f t="shared" si="466"/>
        <v>5.729577951308233</v>
      </c>
      <c r="S1294">
        <f t="shared" si="467"/>
        <v>0.35457817797922231</v>
      </c>
      <c r="T1294">
        <f t="shared" si="468"/>
        <v>6000</v>
      </c>
      <c r="U1294">
        <f t="shared" si="469"/>
        <v>0.95492965855137202</v>
      </c>
      <c r="V1294">
        <f t="shared" si="470"/>
        <v>6.7059118755079608</v>
      </c>
      <c r="W1294">
        <f t="shared" si="471"/>
        <v>6000</v>
      </c>
      <c r="X1294">
        <f t="shared" si="472"/>
        <v>0.95492965855137202</v>
      </c>
      <c r="Y1294">
        <f t="shared" si="473"/>
        <v>6.7059118755079608</v>
      </c>
      <c r="Z1294">
        <f t="shared" si="474"/>
        <v>6000</v>
      </c>
      <c r="AA1294">
        <f t="shared" si="475"/>
        <v>0.95492965855137202</v>
      </c>
      <c r="AB1294">
        <f t="shared" si="476"/>
        <v>6.7059118755079608</v>
      </c>
      <c r="AC1294">
        <f t="shared" si="477"/>
        <v>6000</v>
      </c>
      <c r="AD1294">
        <f t="shared" si="478"/>
        <v>0.95492965855137202</v>
      </c>
      <c r="AE1294">
        <f t="shared" si="479"/>
        <v>6.7059118755079608</v>
      </c>
      <c r="AF1294">
        <f t="shared" si="480"/>
        <v>6000</v>
      </c>
      <c r="AG1294">
        <f t="shared" si="481"/>
        <v>0.95492965855137202</v>
      </c>
      <c r="AH1294">
        <f t="shared" si="482"/>
        <v>6.7059118755079608</v>
      </c>
      <c r="AI1294" cm="1">
        <f t="array" ref="AI1294">_xlfn.LET(
    _xlpm.vals,   _xlfn.HSTACK(S1294,V1294,Y1294,AB1294,AE1294,AH1294),
    _xlpm.ints,   _xlfn.HSTACK(R1294,U1294,X1294,AA1294,AD1294,AG1294),
    _xlpm.slopes, _xlfn.HSTACK(Q1294,T1294,W1294,Z1294,AC1294,AF1294),
    _xlpm.limit,  -0.00001*_xlpm.slopes + 0.1086*_xlpm.slopes + 63.253,
    _xlpm.mask,   (_xlpm.vals&gt;=0) * (_xlpm.ints&lt;=_xlpm.limit),
    _xlpm.validVals, _xlfn._xlws.FILTER(_xlpm.vals, _xlpm.mask),
    _xlpm.minVal, MIN(_xlpm.validVals),
    IFERROR( _xlfn.XMATCH(_xlpm.minVal, _xlpm.vals), "" )
)</f>
        <v>1</v>
      </c>
      <c r="AJ1294" cm="1">
        <f t="array" ref="AJ1294">_xlfn.LET(
    _xlpm.vals, CHOOSE({1,2,3,4,5,6}, S1294, V1294, Y1294, AB1294, AE1294, AH1294),
    _xlpm.slopes, CHOOSE({1,2,3,4,5,6}, Q1294, T1294, W1294, Z1294, AC1294, AF1294),
    _xlpm.ints, CHOOSE({1,2,3,4,5,6}, R1294, U1294, X1294, AA1294, AD1294, AG1294),
    _xlpm.limit, -0.00001*_xlpm.slopes + 0.1086*_xlpm.slopes + 63.253,
    _xlpm.valid, (_xlpm.vals &gt;= 0) * (_xlpm.ints &lt;= _xlpm.limit),
    _xlpm.target, MIN(_xlfn._xlws.FILTER(_xlpm.vals, _xlpm.valid)),
    IFERROR(
        _xlfn.XLOOKUP(_xlpm.target, _xlpm.vals, _xlpm.vals),
        CHOOSE({1,2,3,4,5,6}, S$1, V$1, Y$1, AB$1, AE$1, AH$1)
    )
)</f>
        <v>0.35457817797922231</v>
      </c>
    </row>
    <row r="1295" spans="9:36" x14ac:dyDescent="0.45">
      <c r="I1295">
        <v>1293</v>
      </c>
      <c r="J1295">
        <v>0</v>
      </c>
      <c r="K1295">
        <f t="shared" si="461"/>
        <v>0</v>
      </c>
      <c r="L1295">
        <f t="shared" si="460"/>
        <v>0</v>
      </c>
      <c r="M1295">
        <v>0.99</v>
      </c>
      <c r="N1295">
        <f t="shared" si="462"/>
        <v>0.99</v>
      </c>
      <c r="O1295">
        <f t="shared" si="463"/>
        <v>0</v>
      </c>
      <c r="P1295">
        <f t="shared" si="464"/>
        <v>0</v>
      </c>
      <c r="Q1295">
        <f t="shared" si="465"/>
        <v>1000</v>
      </c>
      <c r="R1295">
        <f t="shared" si="466"/>
        <v>9.4538036196585846</v>
      </c>
      <c r="S1295">
        <f t="shared" si="467"/>
        <v>0.3792221709208885</v>
      </c>
      <c r="T1295">
        <f t="shared" si="468"/>
        <v>6000</v>
      </c>
      <c r="U1295">
        <f t="shared" si="469"/>
        <v>1.5756339366097638</v>
      </c>
      <c r="V1295">
        <f t="shared" si="470"/>
        <v>6.7098908575872533</v>
      </c>
      <c r="W1295">
        <f t="shared" si="471"/>
        <v>6000</v>
      </c>
      <c r="X1295">
        <f t="shared" si="472"/>
        <v>1.5756339366097638</v>
      </c>
      <c r="Y1295">
        <f t="shared" si="473"/>
        <v>6.7098908575872533</v>
      </c>
      <c r="Z1295">
        <f t="shared" si="474"/>
        <v>6000</v>
      </c>
      <c r="AA1295">
        <f t="shared" si="475"/>
        <v>1.5756339366097638</v>
      </c>
      <c r="AB1295">
        <f t="shared" si="476"/>
        <v>6.7098908575872533</v>
      </c>
      <c r="AC1295">
        <f t="shared" si="477"/>
        <v>6000</v>
      </c>
      <c r="AD1295">
        <f t="shared" si="478"/>
        <v>1.5756339366097638</v>
      </c>
      <c r="AE1295">
        <f t="shared" si="479"/>
        <v>6.7098908575872533</v>
      </c>
      <c r="AF1295">
        <f t="shared" si="480"/>
        <v>6000</v>
      </c>
      <c r="AG1295">
        <f t="shared" si="481"/>
        <v>1.5756339366097638</v>
      </c>
      <c r="AH1295">
        <f t="shared" si="482"/>
        <v>6.7098908575872533</v>
      </c>
      <c r="AI1295" cm="1">
        <f t="array" ref="AI1295">_xlfn.LET(
    _xlpm.vals,   _xlfn.HSTACK(S1295,V1295,Y1295,AB1295,AE1295,AH1295),
    _xlpm.ints,   _xlfn.HSTACK(R1295,U1295,X1295,AA1295,AD1295,AG1295),
    _xlpm.slopes, _xlfn.HSTACK(Q1295,T1295,W1295,Z1295,AC1295,AF1295),
    _xlpm.limit,  -0.00001*_xlpm.slopes + 0.1086*_xlpm.slopes + 63.253,
    _xlpm.mask,   (_xlpm.vals&gt;=0) * (_xlpm.ints&lt;=_xlpm.limit),
    _xlpm.validVals, _xlfn._xlws.FILTER(_xlpm.vals, _xlpm.mask),
    _xlpm.minVal, MIN(_xlpm.validVals),
    IFERROR( _xlfn.XMATCH(_xlpm.minVal, _xlpm.vals), "" )
)</f>
        <v>1</v>
      </c>
      <c r="AJ1295" cm="1">
        <f t="array" ref="AJ1295">_xlfn.LET(
    _xlpm.vals, CHOOSE({1,2,3,4,5,6}, S1295, V1295, Y1295, AB1295, AE1295, AH1295),
    _xlpm.slopes, CHOOSE({1,2,3,4,5,6}, Q1295, T1295, W1295, Z1295, AC1295, AF1295),
    _xlpm.ints, CHOOSE({1,2,3,4,5,6}, R1295, U1295, X1295, AA1295, AD1295, AG1295),
    _xlpm.limit, -0.00001*_xlpm.slopes + 0.1086*_xlpm.slopes + 63.253,
    _xlpm.valid, (_xlpm.vals &gt;= 0) * (_xlpm.ints &lt;= _xlpm.limit),
    _xlpm.target, MIN(_xlfn._xlws.FILTER(_xlpm.vals, _xlpm.valid)),
    IFERROR(
        _xlfn.XLOOKUP(_xlpm.target, _xlpm.vals, _xlpm.vals),
        CHOOSE({1,2,3,4,5,6}, S$1, V$1, Y$1, AB$1, AE$1, AH$1)
    )
)</f>
        <v>0.3792221709208885</v>
      </c>
    </row>
    <row r="1296" spans="9:36" x14ac:dyDescent="0.45">
      <c r="I1296">
        <v>1294</v>
      </c>
      <c r="J1296">
        <v>0</v>
      </c>
      <c r="K1296">
        <f t="shared" si="461"/>
        <v>0</v>
      </c>
      <c r="L1296">
        <f t="shared" si="460"/>
        <v>0</v>
      </c>
      <c r="M1296">
        <v>1.1599999999999999</v>
      </c>
      <c r="N1296">
        <f t="shared" si="462"/>
        <v>1.1599999999999999</v>
      </c>
      <c r="O1296">
        <f t="shared" si="463"/>
        <v>0</v>
      </c>
      <c r="P1296">
        <f t="shared" si="464"/>
        <v>0</v>
      </c>
      <c r="Q1296">
        <f t="shared" si="465"/>
        <v>1000</v>
      </c>
      <c r="R1296">
        <f t="shared" si="466"/>
        <v>11.077184039195917</v>
      </c>
      <c r="S1296">
        <f t="shared" si="467"/>
        <v>0.39045577578232721</v>
      </c>
      <c r="T1296">
        <f t="shared" si="468"/>
        <v>6000</v>
      </c>
      <c r="U1296">
        <f t="shared" si="469"/>
        <v>1.8461973398659859</v>
      </c>
      <c r="V1296">
        <f t="shared" si="470"/>
        <v>6.7116652679600444</v>
      </c>
      <c r="W1296">
        <f t="shared" si="471"/>
        <v>6000</v>
      </c>
      <c r="X1296">
        <f t="shared" si="472"/>
        <v>1.8461973398659859</v>
      </c>
      <c r="Y1296">
        <f t="shared" si="473"/>
        <v>6.7116652679600444</v>
      </c>
      <c r="Z1296">
        <f t="shared" si="474"/>
        <v>6000</v>
      </c>
      <c r="AA1296">
        <f t="shared" si="475"/>
        <v>1.8461973398659859</v>
      </c>
      <c r="AB1296">
        <f t="shared" si="476"/>
        <v>6.7116652679600444</v>
      </c>
      <c r="AC1296">
        <f t="shared" si="477"/>
        <v>6000</v>
      </c>
      <c r="AD1296">
        <f t="shared" si="478"/>
        <v>1.8461973398659859</v>
      </c>
      <c r="AE1296">
        <f t="shared" si="479"/>
        <v>6.7116652679600444</v>
      </c>
      <c r="AF1296">
        <f t="shared" si="480"/>
        <v>6000</v>
      </c>
      <c r="AG1296">
        <f t="shared" si="481"/>
        <v>1.8461973398659859</v>
      </c>
      <c r="AH1296">
        <f t="shared" si="482"/>
        <v>6.7116652679600444</v>
      </c>
      <c r="AI1296" cm="1">
        <f t="array" ref="AI1296">_xlfn.LET(
    _xlpm.vals,   _xlfn.HSTACK(S1296,V1296,Y1296,AB1296,AE1296,AH1296),
    _xlpm.ints,   _xlfn.HSTACK(R1296,U1296,X1296,AA1296,AD1296,AG1296),
    _xlpm.slopes, _xlfn.HSTACK(Q1296,T1296,W1296,Z1296,AC1296,AF1296),
    _xlpm.limit,  -0.00001*_xlpm.slopes + 0.1086*_xlpm.slopes + 63.253,
    _xlpm.mask,   (_xlpm.vals&gt;=0) * (_xlpm.ints&lt;=_xlpm.limit),
    _xlpm.validVals, _xlfn._xlws.FILTER(_xlpm.vals, _xlpm.mask),
    _xlpm.minVal, MIN(_xlpm.validVals),
    IFERROR( _xlfn.XMATCH(_xlpm.minVal, _xlpm.vals), "" )
)</f>
        <v>1</v>
      </c>
      <c r="AJ1296" cm="1">
        <f t="array" ref="AJ1296">_xlfn.LET(
    _xlpm.vals, CHOOSE({1,2,3,4,5,6}, S1296, V1296, Y1296, AB1296, AE1296, AH1296),
    _xlpm.slopes, CHOOSE({1,2,3,4,5,6}, Q1296, T1296, W1296, Z1296, AC1296, AF1296),
    _xlpm.ints, CHOOSE({1,2,3,4,5,6}, R1296, U1296, X1296, AA1296, AD1296, AG1296),
    _xlpm.limit, -0.00001*_xlpm.slopes + 0.1086*_xlpm.slopes + 63.253,
    _xlpm.valid, (_xlpm.vals &gt;= 0) * (_xlpm.ints &lt;= _xlpm.limit),
    _xlpm.target, MIN(_xlfn._xlws.FILTER(_xlpm.vals, _xlpm.valid)),
    IFERROR(
        _xlfn.XLOOKUP(_xlpm.target, _xlpm.vals, _xlpm.vals),
        CHOOSE({1,2,3,4,5,6}, S$1, V$1, Y$1, AB$1, AE$1, AH$1)
    )
)</f>
        <v>0.39045577578232721</v>
      </c>
    </row>
    <row r="1297" spans="9:36" x14ac:dyDescent="0.45">
      <c r="I1297">
        <v>1295</v>
      </c>
      <c r="J1297">
        <v>0</v>
      </c>
      <c r="K1297">
        <f t="shared" si="461"/>
        <v>0</v>
      </c>
      <c r="L1297">
        <f t="shared" si="460"/>
        <v>0</v>
      </c>
      <c r="M1297">
        <v>0.65</v>
      </c>
      <c r="N1297">
        <f t="shared" si="462"/>
        <v>0.65</v>
      </c>
      <c r="O1297">
        <f t="shared" si="463"/>
        <v>0</v>
      </c>
      <c r="P1297">
        <f t="shared" si="464"/>
        <v>0</v>
      </c>
      <c r="Q1297">
        <f t="shared" si="465"/>
        <v>1000</v>
      </c>
      <c r="R1297">
        <f t="shared" si="466"/>
        <v>6.2070427805839188</v>
      </c>
      <c r="S1297">
        <f t="shared" si="467"/>
        <v>0.35764729725340616</v>
      </c>
      <c r="T1297">
        <f t="shared" si="468"/>
        <v>6000</v>
      </c>
      <c r="U1297">
        <f t="shared" si="469"/>
        <v>1.0345071300973196</v>
      </c>
      <c r="V1297">
        <f t="shared" si="470"/>
        <v>6.7064148495656495</v>
      </c>
      <c r="W1297">
        <f t="shared" si="471"/>
        <v>6000</v>
      </c>
      <c r="X1297">
        <f t="shared" si="472"/>
        <v>1.0345071300973196</v>
      </c>
      <c r="Y1297">
        <f t="shared" si="473"/>
        <v>6.7064148495656495</v>
      </c>
      <c r="Z1297">
        <f t="shared" si="474"/>
        <v>6000</v>
      </c>
      <c r="AA1297">
        <f t="shared" si="475"/>
        <v>1.0345071300973196</v>
      </c>
      <c r="AB1297">
        <f t="shared" si="476"/>
        <v>6.7064148495656495</v>
      </c>
      <c r="AC1297">
        <f t="shared" si="477"/>
        <v>6000</v>
      </c>
      <c r="AD1297">
        <f t="shared" si="478"/>
        <v>1.0345071300973196</v>
      </c>
      <c r="AE1297">
        <f t="shared" si="479"/>
        <v>6.7064148495656495</v>
      </c>
      <c r="AF1297">
        <f t="shared" si="480"/>
        <v>6000</v>
      </c>
      <c r="AG1297">
        <f t="shared" si="481"/>
        <v>1.0345071300973196</v>
      </c>
      <c r="AH1297">
        <f t="shared" si="482"/>
        <v>6.7064148495656495</v>
      </c>
      <c r="AI1297" cm="1">
        <f t="array" ref="AI1297">_xlfn.LET(
    _xlpm.vals,   _xlfn.HSTACK(S1297,V1297,Y1297,AB1297,AE1297,AH1297),
    _xlpm.ints,   _xlfn.HSTACK(R1297,U1297,X1297,AA1297,AD1297,AG1297),
    _xlpm.slopes, _xlfn.HSTACK(Q1297,T1297,W1297,Z1297,AC1297,AF1297),
    _xlpm.limit,  -0.00001*_xlpm.slopes + 0.1086*_xlpm.slopes + 63.253,
    _xlpm.mask,   (_xlpm.vals&gt;=0) * (_xlpm.ints&lt;=_xlpm.limit),
    _xlpm.validVals, _xlfn._xlws.FILTER(_xlpm.vals, _xlpm.mask),
    _xlpm.minVal, MIN(_xlpm.validVals),
    IFERROR( _xlfn.XMATCH(_xlpm.minVal, _xlpm.vals), "" )
)</f>
        <v>1</v>
      </c>
      <c r="AJ1297" cm="1">
        <f t="array" ref="AJ1297">_xlfn.LET(
    _xlpm.vals, CHOOSE({1,2,3,4,5,6}, S1297, V1297, Y1297, AB1297, AE1297, AH1297),
    _xlpm.slopes, CHOOSE({1,2,3,4,5,6}, Q1297, T1297, W1297, Z1297, AC1297, AF1297),
    _xlpm.ints, CHOOSE({1,2,3,4,5,6}, R1297, U1297, X1297, AA1297, AD1297, AG1297),
    _xlpm.limit, -0.00001*_xlpm.slopes + 0.1086*_xlpm.slopes + 63.253,
    _xlpm.valid, (_xlpm.vals &gt;= 0) * (_xlpm.ints &lt;= _xlpm.limit),
    _xlpm.target, MIN(_xlfn._xlws.FILTER(_xlpm.vals, _xlpm.valid)),
    IFERROR(
        _xlfn.XLOOKUP(_xlpm.target, _xlpm.vals, _xlpm.vals),
        CHOOSE({1,2,3,4,5,6}, S$1, V$1, Y$1, AB$1, AE$1, AH$1)
    )
)</f>
        <v>0.35764729725340616</v>
      </c>
    </row>
    <row r="1298" spans="9:36" x14ac:dyDescent="0.45">
      <c r="I1298">
        <v>1296</v>
      </c>
      <c r="J1298">
        <v>0</v>
      </c>
      <c r="K1298">
        <f t="shared" si="461"/>
        <v>0</v>
      </c>
      <c r="L1298">
        <f t="shared" si="460"/>
        <v>0</v>
      </c>
      <c r="M1298">
        <v>0.44</v>
      </c>
      <c r="N1298">
        <f t="shared" si="462"/>
        <v>0.44</v>
      </c>
      <c r="O1298">
        <f t="shared" si="463"/>
        <v>0</v>
      </c>
      <c r="P1298">
        <f t="shared" si="464"/>
        <v>0</v>
      </c>
      <c r="Q1298">
        <f t="shared" si="465"/>
        <v>1000</v>
      </c>
      <c r="R1298">
        <f t="shared" si="466"/>
        <v>4.2016904976260374</v>
      </c>
      <c r="S1298">
        <f t="shared" si="467"/>
        <v>0.34494120057447636</v>
      </c>
      <c r="T1298">
        <f t="shared" si="468"/>
        <v>6000</v>
      </c>
      <c r="U1298">
        <f t="shared" si="469"/>
        <v>0.70028174960433953</v>
      </c>
      <c r="V1298">
        <f t="shared" si="470"/>
        <v>6.7043165198543333</v>
      </c>
      <c r="W1298">
        <f t="shared" si="471"/>
        <v>6000</v>
      </c>
      <c r="X1298">
        <f t="shared" si="472"/>
        <v>0.70028174960433953</v>
      </c>
      <c r="Y1298">
        <f t="shared" si="473"/>
        <v>6.7043165198543333</v>
      </c>
      <c r="Z1298">
        <f t="shared" si="474"/>
        <v>6000</v>
      </c>
      <c r="AA1298">
        <f t="shared" si="475"/>
        <v>0.70028174960433953</v>
      </c>
      <c r="AB1298">
        <f t="shared" si="476"/>
        <v>6.7043165198543333</v>
      </c>
      <c r="AC1298">
        <f t="shared" si="477"/>
        <v>6000</v>
      </c>
      <c r="AD1298">
        <f t="shared" si="478"/>
        <v>0.70028174960433953</v>
      </c>
      <c r="AE1298">
        <f t="shared" si="479"/>
        <v>6.7043165198543333</v>
      </c>
      <c r="AF1298">
        <f t="shared" si="480"/>
        <v>6000</v>
      </c>
      <c r="AG1298">
        <f t="shared" si="481"/>
        <v>0.70028174960433953</v>
      </c>
      <c r="AH1298">
        <f t="shared" si="482"/>
        <v>6.7043165198543333</v>
      </c>
      <c r="AI1298" cm="1">
        <f t="array" ref="AI1298">_xlfn.LET(
    _xlpm.vals,   _xlfn.HSTACK(S1298,V1298,Y1298,AB1298,AE1298,AH1298),
    _xlpm.ints,   _xlfn.HSTACK(R1298,U1298,X1298,AA1298,AD1298,AG1298),
    _xlpm.slopes, _xlfn.HSTACK(Q1298,T1298,W1298,Z1298,AC1298,AF1298),
    _xlpm.limit,  -0.00001*_xlpm.slopes + 0.1086*_xlpm.slopes + 63.253,
    _xlpm.mask,   (_xlpm.vals&gt;=0) * (_xlpm.ints&lt;=_xlpm.limit),
    _xlpm.validVals, _xlfn._xlws.FILTER(_xlpm.vals, _xlpm.mask),
    _xlpm.minVal, MIN(_xlpm.validVals),
    IFERROR( _xlfn.XMATCH(_xlpm.minVal, _xlpm.vals), "" )
)</f>
        <v>1</v>
      </c>
      <c r="AJ1298" cm="1">
        <f t="array" ref="AJ1298">_xlfn.LET(
    _xlpm.vals, CHOOSE({1,2,3,4,5,6}, S1298, V1298, Y1298, AB1298, AE1298, AH1298),
    _xlpm.slopes, CHOOSE({1,2,3,4,5,6}, Q1298, T1298, W1298, Z1298, AC1298, AF1298),
    _xlpm.ints, CHOOSE({1,2,3,4,5,6}, R1298, U1298, X1298, AA1298, AD1298, AG1298),
    _xlpm.limit, -0.00001*_xlpm.slopes + 0.1086*_xlpm.slopes + 63.253,
    _xlpm.valid, (_xlpm.vals &gt;= 0) * (_xlpm.ints &lt;= _xlpm.limit),
    _xlpm.target, MIN(_xlfn._xlws.FILTER(_xlpm.vals, _xlpm.valid)),
    IFERROR(
        _xlfn.XLOOKUP(_xlpm.target, _xlpm.vals, _xlpm.vals),
        CHOOSE({1,2,3,4,5,6}, S$1, V$1, Y$1, AB$1, AE$1, AH$1)
    )
)</f>
        <v>0.34494120057447636</v>
      </c>
    </row>
    <row r="1299" spans="9:36" x14ac:dyDescent="0.45">
      <c r="I1299">
        <v>1297</v>
      </c>
      <c r="J1299">
        <v>0</v>
      </c>
      <c r="K1299">
        <f t="shared" si="461"/>
        <v>0</v>
      </c>
      <c r="L1299">
        <f t="shared" si="460"/>
        <v>0</v>
      </c>
      <c r="M1299">
        <v>0.56999999999999995</v>
      </c>
      <c r="N1299">
        <f t="shared" si="462"/>
        <v>0.56999999999999995</v>
      </c>
      <c r="O1299">
        <f t="shared" si="463"/>
        <v>0</v>
      </c>
      <c r="P1299">
        <f t="shared" si="464"/>
        <v>0</v>
      </c>
      <c r="Q1299">
        <f t="shared" si="465"/>
        <v>1000</v>
      </c>
      <c r="R1299">
        <f t="shared" si="466"/>
        <v>5.443099053742821</v>
      </c>
      <c r="S1299">
        <f t="shared" si="467"/>
        <v>0.35274976937547881</v>
      </c>
      <c r="T1299">
        <f t="shared" si="468"/>
        <v>6000</v>
      </c>
      <c r="U1299">
        <f t="shared" si="469"/>
        <v>0.90718317562380346</v>
      </c>
      <c r="V1299">
        <f t="shared" si="470"/>
        <v>6.7056111021595477</v>
      </c>
      <c r="W1299">
        <f t="shared" si="471"/>
        <v>6000</v>
      </c>
      <c r="X1299">
        <f t="shared" si="472"/>
        <v>0.90718317562380346</v>
      </c>
      <c r="Y1299">
        <f t="shared" si="473"/>
        <v>6.7056111021595477</v>
      </c>
      <c r="Z1299">
        <f t="shared" si="474"/>
        <v>6000</v>
      </c>
      <c r="AA1299">
        <f t="shared" si="475"/>
        <v>0.90718317562380346</v>
      </c>
      <c r="AB1299">
        <f t="shared" si="476"/>
        <v>6.7056111021595477</v>
      </c>
      <c r="AC1299">
        <f t="shared" si="477"/>
        <v>6000</v>
      </c>
      <c r="AD1299">
        <f t="shared" si="478"/>
        <v>0.90718317562380346</v>
      </c>
      <c r="AE1299">
        <f t="shared" si="479"/>
        <v>6.7056111021595477</v>
      </c>
      <c r="AF1299">
        <f t="shared" si="480"/>
        <v>6000</v>
      </c>
      <c r="AG1299">
        <f t="shared" si="481"/>
        <v>0.90718317562380346</v>
      </c>
      <c r="AH1299">
        <f t="shared" si="482"/>
        <v>6.7056111021595477</v>
      </c>
      <c r="AI1299" cm="1">
        <f t="array" ref="AI1299">_xlfn.LET(
    _xlpm.vals,   _xlfn.HSTACK(S1299,V1299,Y1299,AB1299,AE1299,AH1299),
    _xlpm.ints,   _xlfn.HSTACK(R1299,U1299,X1299,AA1299,AD1299,AG1299),
    _xlpm.slopes, _xlfn.HSTACK(Q1299,T1299,W1299,Z1299,AC1299,AF1299),
    _xlpm.limit,  -0.00001*_xlpm.slopes + 0.1086*_xlpm.slopes + 63.253,
    _xlpm.mask,   (_xlpm.vals&gt;=0) * (_xlpm.ints&lt;=_xlpm.limit),
    _xlpm.validVals, _xlfn._xlws.FILTER(_xlpm.vals, _xlpm.mask),
    _xlpm.minVal, MIN(_xlpm.validVals),
    IFERROR( _xlfn.XMATCH(_xlpm.minVal, _xlpm.vals), "" )
)</f>
        <v>1</v>
      </c>
      <c r="AJ1299" cm="1">
        <f t="array" ref="AJ1299">_xlfn.LET(
    _xlpm.vals, CHOOSE({1,2,3,4,5,6}, S1299, V1299, Y1299, AB1299, AE1299, AH1299),
    _xlpm.slopes, CHOOSE({1,2,3,4,5,6}, Q1299, T1299, W1299, Z1299, AC1299, AF1299),
    _xlpm.ints, CHOOSE({1,2,3,4,5,6}, R1299, U1299, X1299, AA1299, AD1299, AG1299),
    _xlpm.limit, -0.00001*_xlpm.slopes + 0.1086*_xlpm.slopes + 63.253,
    _xlpm.valid, (_xlpm.vals &gt;= 0) * (_xlpm.ints &lt;= _xlpm.limit),
    _xlpm.target, MIN(_xlfn._xlws.FILTER(_xlpm.vals, _xlpm.valid)),
    IFERROR(
        _xlfn.XLOOKUP(_xlpm.target, _xlpm.vals, _xlpm.vals),
        CHOOSE({1,2,3,4,5,6}, S$1, V$1, Y$1, AB$1, AE$1, AH$1)
    )
)</f>
        <v>0.35274976937547881</v>
      </c>
    </row>
    <row r="1300" spans="9:36" x14ac:dyDescent="0.45">
      <c r="I1300">
        <v>1298</v>
      </c>
      <c r="J1300">
        <v>0</v>
      </c>
      <c r="K1300">
        <f t="shared" si="461"/>
        <v>0</v>
      </c>
      <c r="L1300">
        <f t="shared" si="460"/>
        <v>0</v>
      </c>
      <c r="M1300">
        <v>0.64</v>
      </c>
      <c r="N1300">
        <f t="shared" si="462"/>
        <v>0.64</v>
      </c>
      <c r="O1300">
        <f t="shared" si="463"/>
        <v>0</v>
      </c>
      <c r="P1300">
        <f t="shared" si="464"/>
        <v>0</v>
      </c>
      <c r="Q1300">
        <f t="shared" si="465"/>
        <v>1000</v>
      </c>
      <c r="R1300">
        <f t="shared" si="466"/>
        <v>6.1115498147287814</v>
      </c>
      <c r="S1300">
        <f t="shared" si="467"/>
        <v>0.35703130471806926</v>
      </c>
      <c r="T1300">
        <f t="shared" si="468"/>
        <v>6000</v>
      </c>
      <c r="U1300">
        <f t="shared" si="469"/>
        <v>1.0185916357881302</v>
      </c>
      <c r="V1300">
        <f t="shared" si="470"/>
        <v>6.7063140862790025</v>
      </c>
      <c r="W1300">
        <f t="shared" si="471"/>
        <v>6000</v>
      </c>
      <c r="X1300">
        <f t="shared" si="472"/>
        <v>1.0185916357881302</v>
      </c>
      <c r="Y1300">
        <f t="shared" si="473"/>
        <v>6.7063140862790025</v>
      </c>
      <c r="Z1300">
        <f t="shared" si="474"/>
        <v>6000</v>
      </c>
      <c r="AA1300">
        <f t="shared" si="475"/>
        <v>1.0185916357881302</v>
      </c>
      <c r="AB1300">
        <f t="shared" si="476"/>
        <v>6.7063140862790025</v>
      </c>
      <c r="AC1300">
        <f t="shared" si="477"/>
        <v>6000</v>
      </c>
      <c r="AD1300">
        <f t="shared" si="478"/>
        <v>1.0185916357881302</v>
      </c>
      <c r="AE1300">
        <f t="shared" si="479"/>
        <v>6.7063140862790025</v>
      </c>
      <c r="AF1300">
        <f t="shared" si="480"/>
        <v>6000</v>
      </c>
      <c r="AG1300">
        <f t="shared" si="481"/>
        <v>1.0185916357881302</v>
      </c>
      <c r="AH1300">
        <f t="shared" si="482"/>
        <v>6.7063140862790025</v>
      </c>
      <c r="AI1300" cm="1">
        <f t="array" ref="AI1300">_xlfn.LET(
    _xlpm.vals,   _xlfn.HSTACK(S1300,V1300,Y1300,AB1300,AE1300,AH1300),
    _xlpm.ints,   _xlfn.HSTACK(R1300,U1300,X1300,AA1300,AD1300,AG1300),
    _xlpm.slopes, _xlfn.HSTACK(Q1300,T1300,W1300,Z1300,AC1300,AF1300),
    _xlpm.limit,  -0.00001*_xlpm.slopes + 0.1086*_xlpm.slopes + 63.253,
    _xlpm.mask,   (_xlpm.vals&gt;=0) * (_xlpm.ints&lt;=_xlpm.limit),
    _xlpm.validVals, _xlfn._xlws.FILTER(_xlpm.vals, _xlpm.mask),
    _xlpm.minVal, MIN(_xlpm.validVals),
    IFERROR( _xlfn.XMATCH(_xlpm.minVal, _xlpm.vals), "" )
)</f>
        <v>1</v>
      </c>
      <c r="AJ1300" cm="1">
        <f t="array" ref="AJ1300">_xlfn.LET(
    _xlpm.vals, CHOOSE({1,2,3,4,5,6}, S1300, V1300, Y1300, AB1300, AE1300, AH1300),
    _xlpm.slopes, CHOOSE({1,2,3,4,5,6}, Q1300, T1300, W1300, Z1300, AC1300, AF1300),
    _xlpm.ints, CHOOSE({1,2,3,4,5,6}, R1300, U1300, X1300, AA1300, AD1300, AG1300),
    _xlpm.limit, -0.00001*_xlpm.slopes + 0.1086*_xlpm.slopes + 63.253,
    _xlpm.valid, (_xlpm.vals &gt;= 0) * (_xlpm.ints &lt;= _xlpm.limit),
    _xlpm.target, MIN(_xlfn._xlws.FILTER(_xlpm.vals, _xlpm.valid)),
    IFERROR(
        _xlfn.XLOOKUP(_xlpm.target, _xlpm.vals, _xlpm.vals),
        CHOOSE({1,2,3,4,5,6}, S$1, V$1, Y$1, AB$1, AE$1, AH$1)
    )
)</f>
        <v>0.35703130471806926</v>
      </c>
    </row>
    <row r="1301" spans="9:36" x14ac:dyDescent="0.45">
      <c r="I1301">
        <v>1299</v>
      </c>
      <c r="J1301">
        <v>0</v>
      </c>
      <c r="K1301">
        <f t="shared" si="461"/>
        <v>0</v>
      </c>
      <c r="L1301">
        <f t="shared" si="460"/>
        <v>0</v>
      </c>
      <c r="M1301">
        <v>0.52</v>
      </c>
      <c r="N1301">
        <f t="shared" si="462"/>
        <v>0.52</v>
      </c>
      <c r="O1301">
        <f t="shared" si="463"/>
        <v>0</v>
      </c>
      <c r="P1301">
        <f t="shared" si="464"/>
        <v>0</v>
      </c>
      <c r="Q1301">
        <f t="shared" si="465"/>
        <v>1000</v>
      </c>
      <c r="R1301">
        <f t="shared" si="466"/>
        <v>4.9656342244671352</v>
      </c>
      <c r="S1301">
        <f t="shared" si="467"/>
        <v>0.34972435078264946</v>
      </c>
      <c r="T1301">
        <f t="shared" si="468"/>
        <v>6000</v>
      </c>
      <c r="U1301">
        <f t="shared" si="469"/>
        <v>0.82760570407785583</v>
      </c>
      <c r="V1301">
        <f t="shared" si="470"/>
        <v>6.7051114991182601</v>
      </c>
      <c r="W1301">
        <f t="shared" si="471"/>
        <v>6000</v>
      </c>
      <c r="X1301">
        <f t="shared" si="472"/>
        <v>0.82760570407785583</v>
      </c>
      <c r="Y1301">
        <f t="shared" si="473"/>
        <v>6.7051114991182601</v>
      </c>
      <c r="Z1301">
        <f t="shared" si="474"/>
        <v>6000</v>
      </c>
      <c r="AA1301">
        <f t="shared" si="475"/>
        <v>0.82760570407785583</v>
      </c>
      <c r="AB1301">
        <f t="shared" si="476"/>
        <v>6.7051114991182601</v>
      </c>
      <c r="AC1301">
        <f t="shared" si="477"/>
        <v>6000</v>
      </c>
      <c r="AD1301">
        <f t="shared" si="478"/>
        <v>0.82760570407785583</v>
      </c>
      <c r="AE1301">
        <f t="shared" si="479"/>
        <v>6.7051114991182601</v>
      </c>
      <c r="AF1301">
        <f t="shared" si="480"/>
        <v>6000</v>
      </c>
      <c r="AG1301">
        <f t="shared" si="481"/>
        <v>0.82760570407785583</v>
      </c>
      <c r="AH1301">
        <f t="shared" si="482"/>
        <v>6.7051114991182601</v>
      </c>
      <c r="AI1301" cm="1">
        <f t="array" ref="AI1301">_xlfn.LET(
    _xlpm.vals,   _xlfn.HSTACK(S1301,V1301,Y1301,AB1301,AE1301,AH1301),
    _xlpm.ints,   _xlfn.HSTACK(R1301,U1301,X1301,AA1301,AD1301,AG1301),
    _xlpm.slopes, _xlfn.HSTACK(Q1301,T1301,W1301,Z1301,AC1301,AF1301),
    _xlpm.limit,  -0.00001*_xlpm.slopes + 0.1086*_xlpm.slopes + 63.253,
    _xlpm.mask,   (_xlpm.vals&gt;=0) * (_xlpm.ints&lt;=_xlpm.limit),
    _xlpm.validVals, _xlfn._xlws.FILTER(_xlpm.vals, _xlpm.mask),
    _xlpm.minVal, MIN(_xlpm.validVals),
    IFERROR( _xlfn.XMATCH(_xlpm.minVal, _xlpm.vals), "" )
)</f>
        <v>1</v>
      </c>
      <c r="AJ1301" cm="1">
        <f t="array" ref="AJ1301">_xlfn.LET(
    _xlpm.vals, CHOOSE({1,2,3,4,5,6}, S1301, V1301, Y1301, AB1301, AE1301, AH1301),
    _xlpm.slopes, CHOOSE({1,2,3,4,5,6}, Q1301, T1301, W1301, Z1301, AC1301, AF1301),
    _xlpm.ints, CHOOSE({1,2,3,4,5,6}, R1301, U1301, X1301, AA1301, AD1301, AG1301),
    _xlpm.limit, -0.00001*_xlpm.slopes + 0.1086*_xlpm.slopes + 63.253,
    _xlpm.valid, (_xlpm.vals &gt;= 0) * (_xlpm.ints &lt;= _xlpm.limit),
    _xlpm.target, MIN(_xlfn._xlws.FILTER(_xlpm.vals, _xlpm.valid)),
    IFERROR(
        _xlfn.XLOOKUP(_xlpm.target, _xlpm.vals, _xlpm.vals),
        CHOOSE({1,2,3,4,5,6}, S$1, V$1, Y$1, AB$1, AE$1, AH$1)
    )
)</f>
        <v>0.34972435078264946</v>
      </c>
    </row>
    <row r="1302" spans="9:36" x14ac:dyDescent="0.45">
      <c r="I1302">
        <v>1300</v>
      </c>
      <c r="J1302">
        <v>0</v>
      </c>
      <c r="K1302">
        <f t="shared" si="461"/>
        <v>0</v>
      </c>
      <c r="L1302">
        <f t="shared" si="460"/>
        <v>0</v>
      </c>
      <c r="M1302">
        <v>0.86</v>
      </c>
      <c r="N1302">
        <f t="shared" si="462"/>
        <v>0.86</v>
      </c>
      <c r="O1302">
        <f t="shared" si="463"/>
        <v>0</v>
      </c>
      <c r="P1302">
        <f t="shared" si="464"/>
        <v>0</v>
      </c>
      <c r="Q1302">
        <f t="shared" si="465"/>
        <v>1000</v>
      </c>
      <c r="R1302">
        <f t="shared" si="466"/>
        <v>8.2123950635418002</v>
      </c>
      <c r="S1302">
        <f t="shared" si="467"/>
        <v>0.37082998533300382</v>
      </c>
      <c r="T1302">
        <f t="shared" si="468"/>
        <v>6000</v>
      </c>
      <c r="U1302">
        <f t="shared" si="469"/>
        <v>1.3687325105902999</v>
      </c>
      <c r="V1302">
        <f t="shared" si="470"/>
        <v>6.7085503206188601</v>
      </c>
      <c r="W1302">
        <f t="shared" si="471"/>
        <v>6000</v>
      </c>
      <c r="X1302">
        <f t="shared" si="472"/>
        <v>1.3687325105902999</v>
      </c>
      <c r="Y1302">
        <f t="shared" si="473"/>
        <v>6.7085503206188601</v>
      </c>
      <c r="Z1302">
        <f t="shared" si="474"/>
        <v>6000</v>
      </c>
      <c r="AA1302">
        <f t="shared" si="475"/>
        <v>1.3687325105902999</v>
      </c>
      <c r="AB1302">
        <f t="shared" si="476"/>
        <v>6.7085503206188601</v>
      </c>
      <c r="AC1302">
        <f t="shared" si="477"/>
        <v>6000</v>
      </c>
      <c r="AD1302">
        <f t="shared" si="478"/>
        <v>1.3687325105902999</v>
      </c>
      <c r="AE1302">
        <f t="shared" si="479"/>
        <v>6.7085503206188601</v>
      </c>
      <c r="AF1302">
        <f t="shared" si="480"/>
        <v>6000</v>
      </c>
      <c r="AG1302">
        <f t="shared" si="481"/>
        <v>1.3687325105902999</v>
      </c>
      <c r="AH1302">
        <f t="shared" si="482"/>
        <v>6.7085503206188601</v>
      </c>
      <c r="AI1302" cm="1">
        <f t="array" ref="AI1302">_xlfn.LET(
    _xlpm.vals,   _xlfn.HSTACK(S1302,V1302,Y1302,AB1302,AE1302,AH1302),
    _xlpm.ints,   _xlfn.HSTACK(R1302,U1302,X1302,AA1302,AD1302,AG1302),
    _xlpm.slopes, _xlfn.HSTACK(Q1302,T1302,W1302,Z1302,AC1302,AF1302),
    _xlpm.limit,  -0.00001*_xlpm.slopes + 0.1086*_xlpm.slopes + 63.253,
    _xlpm.mask,   (_xlpm.vals&gt;=0) * (_xlpm.ints&lt;=_xlpm.limit),
    _xlpm.validVals, _xlfn._xlws.FILTER(_xlpm.vals, _xlpm.mask),
    _xlpm.minVal, MIN(_xlpm.validVals),
    IFERROR( _xlfn.XMATCH(_xlpm.minVal, _xlpm.vals), "" )
)</f>
        <v>1</v>
      </c>
      <c r="AJ1302" cm="1">
        <f t="array" ref="AJ1302">_xlfn.LET(
    _xlpm.vals, CHOOSE({1,2,3,4,5,6}, S1302, V1302, Y1302, AB1302, AE1302, AH1302),
    _xlpm.slopes, CHOOSE({1,2,3,4,5,6}, Q1302, T1302, W1302, Z1302, AC1302, AF1302),
    _xlpm.ints, CHOOSE({1,2,3,4,5,6}, R1302, U1302, X1302, AA1302, AD1302, AG1302),
    _xlpm.limit, -0.00001*_xlpm.slopes + 0.1086*_xlpm.slopes + 63.253,
    _xlpm.valid, (_xlpm.vals &gt;= 0) * (_xlpm.ints &lt;= _xlpm.limit),
    _xlpm.target, MIN(_xlfn._xlws.FILTER(_xlpm.vals, _xlpm.valid)),
    IFERROR(
        _xlfn.XLOOKUP(_xlpm.target, _xlpm.vals, _xlpm.vals),
        CHOOSE({1,2,3,4,5,6}, S$1, V$1, Y$1, AB$1, AE$1, AH$1)
    )
)</f>
        <v>0.37082998533300382</v>
      </c>
    </row>
    <row r="1303" spans="9:36" x14ac:dyDescent="0.45">
      <c r="I1303">
        <v>1301</v>
      </c>
      <c r="J1303">
        <v>0</v>
      </c>
      <c r="K1303">
        <f t="shared" si="461"/>
        <v>0</v>
      </c>
      <c r="L1303">
        <f t="shared" si="460"/>
        <v>0</v>
      </c>
      <c r="M1303">
        <v>0.45</v>
      </c>
      <c r="N1303">
        <f t="shared" si="462"/>
        <v>0.45</v>
      </c>
      <c r="O1303">
        <f t="shared" si="463"/>
        <v>0</v>
      </c>
      <c r="P1303">
        <f t="shared" si="464"/>
        <v>0</v>
      </c>
      <c r="Q1303">
        <f t="shared" si="465"/>
        <v>1000</v>
      </c>
      <c r="R1303">
        <f t="shared" si="466"/>
        <v>4.2971834634811747</v>
      </c>
      <c r="S1303">
        <f t="shared" si="467"/>
        <v>0.34553519740409139</v>
      </c>
      <c r="T1303">
        <f t="shared" si="468"/>
        <v>6000</v>
      </c>
      <c r="U1303">
        <f t="shared" si="469"/>
        <v>0.71619724391352901</v>
      </c>
      <c r="V1303">
        <f t="shared" si="470"/>
        <v>6.7044155969597918</v>
      </c>
      <c r="W1303">
        <f t="shared" si="471"/>
        <v>6000</v>
      </c>
      <c r="X1303">
        <f t="shared" si="472"/>
        <v>0.71619724391352901</v>
      </c>
      <c r="Y1303">
        <f t="shared" si="473"/>
        <v>6.7044155969597918</v>
      </c>
      <c r="Z1303">
        <f t="shared" si="474"/>
        <v>6000</v>
      </c>
      <c r="AA1303">
        <f t="shared" si="475"/>
        <v>0.71619724391352901</v>
      </c>
      <c r="AB1303">
        <f t="shared" si="476"/>
        <v>6.7044155969597918</v>
      </c>
      <c r="AC1303">
        <f t="shared" si="477"/>
        <v>6000</v>
      </c>
      <c r="AD1303">
        <f t="shared" si="478"/>
        <v>0.71619724391352901</v>
      </c>
      <c r="AE1303">
        <f t="shared" si="479"/>
        <v>6.7044155969597918</v>
      </c>
      <c r="AF1303">
        <f t="shared" si="480"/>
        <v>6000</v>
      </c>
      <c r="AG1303">
        <f t="shared" si="481"/>
        <v>0.71619724391352901</v>
      </c>
      <c r="AH1303">
        <f t="shared" si="482"/>
        <v>6.7044155969597918</v>
      </c>
      <c r="AI1303" cm="1">
        <f t="array" ref="AI1303">_xlfn.LET(
    _xlpm.vals,   _xlfn.HSTACK(S1303,V1303,Y1303,AB1303,AE1303,AH1303),
    _xlpm.ints,   _xlfn.HSTACK(R1303,U1303,X1303,AA1303,AD1303,AG1303),
    _xlpm.slopes, _xlfn.HSTACK(Q1303,T1303,W1303,Z1303,AC1303,AF1303),
    _xlpm.limit,  -0.00001*_xlpm.slopes + 0.1086*_xlpm.slopes + 63.253,
    _xlpm.mask,   (_xlpm.vals&gt;=0) * (_xlpm.ints&lt;=_xlpm.limit),
    _xlpm.validVals, _xlfn._xlws.FILTER(_xlpm.vals, _xlpm.mask),
    _xlpm.minVal, MIN(_xlpm.validVals),
    IFERROR( _xlfn.XMATCH(_xlpm.minVal, _xlpm.vals), "" )
)</f>
        <v>1</v>
      </c>
      <c r="AJ1303" cm="1">
        <f t="array" ref="AJ1303">_xlfn.LET(
    _xlpm.vals, CHOOSE({1,2,3,4,5,6}, S1303, V1303, Y1303, AB1303, AE1303, AH1303),
    _xlpm.slopes, CHOOSE({1,2,3,4,5,6}, Q1303, T1303, W1303, Z1303, AC1303, AF1303),
    _xlpm.ints, CHOOSE({1,2,3,4,5,6}, R1303, U1303, X1303, AA1303, AD1303, AG1303),
    _xlpm.limit, -0.00001*_xlpm.slopes + 0.1086*_xlpm.slopes + 63.253,
    _xlpm.valid, (_xlpm.vals &gt;= 0) * (_xlpm.ints &lt;= _xlpm.limit),
    _xlpm.target, MIN(_xlfn._xlws.FILTER(_xlpm.vals, _xlpm.valid)),
    IFERROR(
        _xlfn.XLOOKUP(_xlpm.target, _xlpm.vals, _xlpm.vals),
        CHOOSE({1,2,3,4,5,6}, S$1, V$1, Y$1, AB$1, AE$1, AH$1)
    )
)</f>
        <v>0.34553519740409139</v>
      </c>
    </row>
    <row r="1304" spans="9:36" x14ac:dyDescent="0.45">
      <c r="I1304">
        <v>1302</v>
      </c>
      <c r="J1304">
        <v>0</v>
      </c>
      <c r="K1304">
        <f t="shared" si="461"/>
        <v>0</v>
      </c>
      <c r="L1304">
        <f t="shared" si="460"/>
        <v>0</v>
      </c>
      <c r="M1304">
        <v>1.2</v>
      </c>
      <c r="N1304">
        <f t="shared" si="462"/>
        <v>1.2</v>
      </c>
      <c r="O1304">
        <f t="shared" si="463"/>
        <v>0</v>
      </c>
      <c r="P1304">
        <f t="shared" si="464"/>
        <v>0</v>
      </c>
      <c r="Q1304">
        <f t="shared" si="465"/>
        <v>1000</v>
      </c>
      <c r="R1304">
        <f t="shared" si="466"/>
        <v>11.459155902616466</v>
      </c>
      <c r="S1304">
        <f t="shared" si="467"/>
        <v>0.39314080513980293</v>
      </c>
      <c r="T1304">
        <f t="shared" si="468"/>
        <v>6000</v>
      </c>
      <c r="U1304">
        <f t="shared" si="469"/>
        <v>1.909859317102744</v>
      </c>
      <c r="V1304">
        <f t="shared" si="470"/>
        <v>6.7120862970655466</v>
      </c>
      <c r="W1304">
        <f t="shared" si="471"/>
        <v>6000</v>
      </c>
      <c r="X1304">
        <f t="shared" si="472"/>
        <v>1.909859317102744</v>
      </c>
      <c r="Y1304">
        <f t="shared" si="473"/>
        <v>6.7120862970655466</v>
      </c>
      <c r="Z1304">
        <f t="shared" si="474"/>
        <v>6000</v>
      </c>
      <c r="AA1304">
        <f t="shared" si="475"/>
        <v>1.909859317102744</v>
      </c>
      <c r="AB1304">
        <f t="shared" si="476"/>
        <v>6.7120862970655466</v>
      </c>
      <c r="AC1304">
        <f t="shared" si="477"/>
        <v>6000</v>
      </c>
      <c r="AD1304">
        <f t="shared" si="478"/>
        <v>1.909859317102744</v>
      </c>
      <c r="AE1304">
        <f t="shared" si="479"/>
        <v>6.7120862970655466</v>
      </c>
      <c r="AF1304">
        <f t="shared" si="480"/>
        <v>6000</v>
      </c>
      <c r="AG1304">
        <f t="shared" si="481"/>
        <v>1.909859317102744</v>
      </c>
      <c r="AH1304">
        <f t="shared" si="482"/>
        <v>6.7120862970655466</v>
      </c>
      <c r="AI1304" cm="1">
        <f t="array" ref="AI1304">_xlfn.LET(
    _xlpm.vals,   _xlfn.HSTACK(S1304,V1304,Y1304,AB1304,AE1304,AH1304),
    _xlpm.ints,   _xlfn.HSTACK(R1304,U1304,X1304,AA1304,AD1304,AG1304),
    _xlpm.slopes, _xlfn.HSTACK(Q1304,T1304,W1304,Z1304,AC1304,AF1304),
    _xlpm.limit,  -0.00001*_xlpm.slopes + 0.1086*_xlpm.slopes + 63.253,
    _xlpm.mask,   (_xlpm.vals&gt;=0) * (_xlpm.ints&lt;=_xlpm.limit),
    _xlpm.validVals, _xlfn._xlws.FILTER(_xlpm.vals, _xlpm.mask),
    _xlpm.minVal, MIN(_xlpm.validVals),
    IFERROR( _xlfn.XMATCH(_xlpm.minVal, _xlpm.vals), "" )
)</f>
        <v>1</v>
      </c>
      <c r="AJ1304" cm="1">
        <f t="array" ref="AJ1304">_xlfn.LET(
    _xlpm.vals, CHOOSE({1,2,3,4,5,6}, S1304, V1304, Y1304, AB1304, AE1304, AH1304),
    _xlpm.slopes, CHOOSE({1,2,3,4,5,6}, Q1304, T1304, W1304, Z1304, AC1304, AF1304),
    _xlpm.ints, CHOOSE({1,2,3,4,5,6}, R1304, U1304, X1304, AA1304, AD1304, AG1304),
    _xlpm.limit, -0.00001*_xlpm.slopes + 0.1086*_xlpm.slopes + 63.253,
    _xlpm.valid, (_xlpm.vals &gt;= 0) * (_xlpm.ints &lt;= _xlpm.limit),
    _xlpm.target, MIN(_xlfn._xlws.FILTER(_xlpm.vals, _xlpm.valid)),
    IFERROR(
        _xlfn.XLOOKUP(_xlpm.target, _xlpm.vals, _xlpm.vals),
        CHOOSE({1,2,3,4,5,6}, S$1, V$1, Y$1, AB$1, AE$1, AH$1)
    )
)</f>
        <v>0.39314080513980293</v>
      </c>
    </row>
    <row r="1305" spans="9:36" x14ac:dyDescent="0.45">
      <c r="I1305">
        <v>1303</v>
      </c>
      <c r="J1305">
        <v>0</v>
      </c>
      <c r="K1305">
        <f t="shared" si="461"/>
        <v>0</v>
      </c>
      <c r="L1305">
        <f t="shared" si="460"/>
        <v>0</v>
      </c>
      <c r="M1305">
        <v>1</v>
      </c>
      <c r="N1305">
        <f t="shared" si="462"/>
        <v>1</v>
      </c>
      <c r="O1305">
        <f t="shared" si="463"/>
        <v>0</v>
      </c>
      <c r="P1305">
        <f t="shared" si="464"/>
        <v>0</v>
      </c>
      <c r="Q1305">
        <f t="shared" si="465"/>
        <v>1000</v>
      </c>
      <c r="R1305">
        <f t="shared" si="466"/>
        <v>9.5492965855137211</v>
      </c>
      <c r="S1305">
        <f t="shared" si="467"/>
        <v>0.37987490701804322</v>
      </c>
      <c r="T1305">
        <f t="shared" si="468"/>
        <v>6000</v>
      </c>
      <c r="U1305">
        <f t="shared" si="469"/>
        <v>1.5915494309189535</v>
      </c>
      <c r="V1305">
        <f t="shared" si="470"/>
        <v>6.7099945635941127</v>
      </c>
      <c r="W1305">
        <f t="shared" si="471"/>
        <v>6000</v>
      </c>
      <c r="X1305">
        <f t="shared" si="472"/>
        <v>1.5915494309189535</v>
      </c>
      <c r="Y1305">
        <f t="shared" si="473"/>
        <v>6.7099945635941127</v>
      </c>
      <c r="Z1305">
        <f t="shared" si="474"/>
        <v>6000</v>
      </c>
      <c r="AA1305">
        <f t="shared" si="475"/>
        <v>1.5915494309189535</v>
      </c>
      <c r="AB1305">
        <f t="shared" si="476"/>
        <v>6.7099945635941127</v>
      </c>
      <c r="AC1305">
        <f t="shared" si="477"/>
        <v>6000</v>
      </c>
      <c r="AD1305">
        <f t="shared" si="478"/>
        <v>1.5915494309189535</v>
      </c>
      <c r="AE1305">
        <f t="shared" si="479"/>
        <v>6.7099945635941127</v>
      </c>
      <c r="AF1305">
        <f t="shared" si="480"/>
        <v>6000</v>
      </c>
      <c r="AG1305">
        <f t="shared" si="481"/>
        <v>1.5915494309189535</v>
      </c>
      <c r="AH1305">
        <f t="shared" si="482"/>
        <v>6.7099945635941127</v>
      </c>
      <c r="AI1305" cm="1">
        <f t="array" ref="AI1305">_xlfn.LET(
    _xlpm.vals,   _xlfn.HSTACK(S1305,V1305,Y1305,AB1305,AE1305,AH1305),
    _xlpm.ints,   _xlfn.HSTACK(R1305,U1305,X1305,AA1305,AD1305,AG1305),
    _xlpm.slopes, _xlfn.HSTACK(Q1305,T1305,W1305,Z1305,AC1305,AF1305),
    _xlpm.limit,  -0.00001*_xlpm.slopes + 0.1086*_xlpm.slopes + 63.253,
    _xlpm.mask,   (_xlpm.vals&gt;=0) * (_xlpm.ints&lt;=_xlpm.limit),
    _xlpm.validVals, _xlfn._xlws.FILTER(_xlpm.vals, _xlpm.mask),
    _xlpm.minVal, MIN(_xlpm.validVals),
    IFERROR( _xlfn.XMATCH(_xlpm.minVal, _xlpm.vals), "" )
)</f>
        <v>1</v>
      </c>
      <c r="AJ1305" cm="1">
        <f t="array" ref="AJ1305">_xlfn.LET(
    _xlpm.vals, CHOOSE({1,2,3,4,5,6}, S1305, V1305, Y1305, AB1305, AE1305, AH1305),
    _xlpm.slopes, CHOOSE({1,2,3,4,5,6}, Q1305, T1305, W1305, Z1305, AC1305, AF1305),
    _xlpm.ints, CHOOSE({1,2,3,4,5,6}, R1305, U1305, X1305, AA1305, AD1305, AG1305),
    _xlpm.limit, -0.00001*_xlpm.slopes + 0.1086*_xlpm.slopes + 63.253,
    _xlpm.valid, (_xlpm.vals &gt;= 0) * (_xlpm.ints &lt;= _xlpm.limit),
    _xlpm.target, MIN(_xlfn._xlws.FILTER(_xlpm.vals, _xlpm.valid)),
    IFERROR(
        _xlfn.XLOOKUP(_xlpm.target, _xlpm.vals, _xlpm.vals),
        CHOOSE({1,2,3,4,5,6}, S$1, V$1, Y$1, AB$1, AE$1, AH$1)
    )
)</f>
        <v>0.37987490701804322</v>
      </c>
    </row>
    <row r="1306" spans="9:36" x14ac:dyDescent="0.45">
      <c r="I1306">
        <v>1304</v>
      </c>
      <c r="J1306">
        <v>0</v>
      </c>
      <c r="K1306">
        <f t="shared" si="461"/>
        <v>0</v>
      </c>
      <c r="L1306">
        <f t="shared" si="460"/>
        <v>0</v>
      </c>
      <c r="M1306">
        <v>0.55000000000000004</v>
      </c>
      <c r="N1306">
        <f t="shared" si="462"/>
        <v>0.55000000000000004</v>
      </c>
      <c r="O1306">
        <f t="shared" si="463"/>
        <v>0</v>
      </c>
      <c r="P1306">
        <f t="shared" si="464"/>
        <v>0</v>
      </c>
      <c r="Q1306">
        <f t="shared" si="465"/>
        <v>1000</v>
      </c>
      <c r="R1306">
        <f t="shared" si="466"/>
        <v>5.2521131220325463</v>
      </c>
      <c r="S1306">
        <f t="shared" si="467"/>
        <v>0.35153630349102027</v>
      </c>
      <c r="T1306">
        <f t="shared" si="468"/>
        <v>6000</v>
      </c>
      <c r="U1306">
        <f t="shared" si="469"/>
        <v>0.87535218700542439</v>
      </c>
      <c r="V1306">
        <f t="shared" si="470"/>
        <v>6.7054110080200608</v>
      </c>
      <c r="W1306">
        <f t="shared" si="471"/>
        <v>6000</v>
      </c>
      <c r="X1306">
        <f t="shared" si="472"/>
        <v>0.87535218700542439</v>
      </c>
      <c r="Y1306">
        <f t="shared" si="473"/>
        <v>6.7054110080200608</v>
      </c>
      <c r="Z1306">
        <f t="shared" si="474"/>
        <v>6000</v>
      </c>
      <c r="AA1306">
        <f t="shared" si="475"/>
        <v>0.87535218700542439</v>
      </c>
      <c r="AB1306">
        <f t="shared" si="476"/>
        <v>6.7054110080200608</v>
      </c>
      <c r="AC1306">
        <f t="shared" si="477"/>
        <v>6000</v>
      </c>
      <c r="AD1306">
        <f t="shared" si="478"/>
        <v>0.87535218700542439</v>
      </c>
      <c r="AE1306">
        <f t="shared" si="479"/>
        <v>6.7054110080200608</v>
      </c>
      <c r="AF1306">
        <f t="shared" si="480"/>
        <v>6000</v>
      </c>
      <c r="AG1306">
        <f t="shared" si="481"/>
        <v>0.87535218700542439</v>
      </c>
      <c r="AH1306">
        <f t="shared" si="482"/>
        <v>6.7054110080200608</v>
      </c>
      <c r="AI1306" cm="1">
        <f t="array" ref="AI1306">_xlfn.LET(
    _xlpm.vals,   _xlfn.HSTACK(S1306,V1306,Y1306,AB1306,AE1306,AH1306),
    _xlpm.ints,   _xlfn.HSTACK(R1306,U1306,X1306,AA1306,AD1306,AG1306),
    _xlpm.slopes, _xlfn.HSTACK(Q1306,T1306,W1306,Z1306,AC1306,AF1306),
    _xlpm.limit,  -0.00001*_xlpm.slopes + 0.1086*_xlpm.slopes + 63.253,
    _xlpm.mask,   (_xlpm.vals&gt;=0) * (_xlpm.ints&lt;=_xlpm.limit),
    _xlpm.validVals, _xlfn._xlws.FILTER(_xlpm.vals, _xlpm.mask),
    _xlpm.minVal, MIN(_xlpm.validVals),
    IFERROR( _xlfn.XMATCH(_xlpm.minVal, _xlpm.vals), "" )
)</f>
        <v>1</v>
      </c>
      <c r="AJ1306" cm="1">
        <f t="array" ref="AJ1306">_xlfn.LET(
    _xlpm.vals, CHOOSE({1,2,3,4,5,6}, S1306, V1306, Y1306, AB1306, AE1306, AH1306),
    _xlpm.slopes, CHOOSE({1,2,3,4,5,6}, Q1306, T1306, W1306, Z1306, AC1306, AF1306),
    _xlpm.ints, CHOOSE({1,2,3,4,5,6}, R1306, U1306, X1306, AA1306, AD1306, AG1306),
    _xlpm.limit, -0.00001*_xlpm.slopes + 0.1086*_xlpm.slopes + 63.253,
    _xlpm.valid, (_xlpm.vals &gt;= 0) * (_xlpm.ints &lt;= _xlpm.limit),
    _xlpm.target, MIN(_xlfn._xlws.FILTER(_xlpm.vals, _xlpm.valid)),
    IFERROR(
        _xlfn.XLOOKUP(_xlpm.target, _xlpm.vals, _xlpm.vals),
        CHOOSE({1,2,3,4,5,6}, S$1, V$1, Y$1, AB$1, AE$1, AH$1)
    )
)</f>
        <v>0.35153630349102027</v>
      </c>
    </row>
    <row r="1307" spans="9:36" x14ac:dyDescent="0.45">
      <c r="I1307">
        <v>1305</v>
      </c>
      <c r="J1307">
        <v>0</v>
      </c>
      <c r="K1307">
        <f t="shared" si="461"/>
        <v>0</v>
      </c>
      <c r="L1307">
        <f t="shared" si="460"/>
        <v>0</v>
      </c>
      <c r="M1307">
        <v>0.36</v>
      </c>
      <c r="N1307">
        <f t="shared" si="462"/>
        <v>0.36</v>
      </c>
      <c r="O1307">
        <f t="shared" si="463"/>
        <v>0</v>
      </c>
      <c r="P1307">
        <f t="shared" si="464"/>
        <v>0</v>
      </c>
      <c r="Q1307">
        <f t="shared" si="465"/>
        <v>1000</v>
      </c>
      <c r="R1307">
        <f t="shared" si="466"/>
        <v>3.4377467707849396</v>
      </c>
      <c r="S1307">
        <f t="shared" si="467"/>
        <v>0.34022965769099051</v>
      </c>
      <c r="T1307">
        <f t="shared" si="468"/>
        <v>6000</v>
      </c>
      <c r="U1307">
        <f t="shared" si="469"/>
        <v>0.57295779513082323</v>
      </c>
      <c r="V1307">
        <f t="shared" si="470"/>
        <v>6.7035269420232897</v>
      </c>
      <c r="W1307">
        <f t="shared" si="471"/>
        <v>6000</v>
      </c>
      <c r="X1307">
        <f t="shared" si="472"/>
        <v>0.57295779513082323</v>
      </c>
      <c r="Y1307">
        <f t="shared" si="473"/>
        <v>6.7035269420232897</v>
      </c>
      <c r="Z1307">
        <f t="shared" si="474"/>
        <v>6000</v>
      </c>
      <c r="AA1307">
        <f t="shared" si="475"/>
        <v>0.57295779513082323</v>
      </c>
      <c r="AB1307">
        <f t="shared" si="476"/>
        <v>6.7035269420232897</v>
      </c>
      <c r="AC1307">
        <f t="shared" si="477"/>
        <v>6000</v>
      </c>
      <c r="AD1307">
        <f t="shared" si="478"/>
        <v>0.57295779513082323</v>
      </c>
      <c r="AE1307">
        <f t="shared" si="479"/>
        <v>6.7035269420232897</v>
      </c>
      <c r="AF1307">
        <f t="shared" si="480"/>
        <v>6000</v>
      </c>
      <c r="AG1307">
        <f t="shared" si="481"/>
        <v>0.57295779513082323</v>
      </c>
      <c r="AH1307">
        <f t="shared" si="482"/>
        <v>6.7035269420232897</v>
      </c>
      <c r="AI1307" cm="1">
        <f t="array" ref="AI1307">_xlfn.LET(
    _xlpm.vals,   _xlfn.HSTACK(S1307,V1307,Y1307,AB1307,AE1307,AH1307),
    _xlpm.ints,   _xlfn.HSTACK(R1307,U1307,X1307,AA1307,AD1307,AG1307),
    _xlpm.slopes, _xlfn.HSTACK(Q1307,T1307,W1307,Z1307,AC1307,AF1307),
    _xlpm.limit,  -0.00001*_xlpm.slopes + 0.1086*_xlpm.slopes + 63.253,
    _xlpm.mask,   (_xlpm.vals&gt;=0) * (_xlpm.ints&lt;=_xlpm.limit),
    _xlpm.validVals, _xlfn._xlws.FILTER(_xlpm.vals, _xlpm.mask),
    _xlpm.minVal, MIN(_xlpm.validVals),
    IFERROR( _xlfn.XMATCH(_xlpm.minVal, _xlpm.vals), "" )
)</f>
        <v>1</v>
      </c>
      <c r="AJ1307" cm="1">
        <f t="array" ref="AJ1307">_xlfn.LET(
    _xlpm.vals, CHOOSE({1,2,3,4,5,6}, S1307, V1307, Y1307, AB1307, AE1307, AH1307),
    _xlpm.slopes, CHOOSE({1,2,3,4,5,6}, Q1307, T1307, W1307, Z1307, AC1307, AF1307),
    _xlpm.ints, CHOOSE({1,2,3,4,5,6}, R1307, U1307, X1307, AA1307, AD1307, AG1307),
    _xlpm.limit, -0.00001*_xlpm.slopes + 0.1086*_xlpm.slopes + 63.253,
    _xlpm.valid, (_xlpm.vals &gt;= 0) * (_xlpm.ints &lt;= _xlpm.limit),
    _xlpm.target, MIN(_xlfn._xlws.FILTER(_xlpm.vals, _xlpm.valid)),
    IFERROR(
        _xlfn.XLOOKUP(_xlpm.target, _xlpm.vals, _xlpm.vals),
        CHOOSE({1,2,3,4,5,6}, S$1, V$1, Y$1, AB$1, AE$1, AH$1)
    )
)</f>
        <v>0.34022965769099051</v>
      </c>
    </row>
    <row r="1308" spans="9:36" x14ac:dyDescent="0.45">
      <c r="I1308">
        <v>1306</v>
      </c>
      <c r="J1308">
        <v>0</v>
      </c>
      <c r="K1308">
        <f t="shared" si="461"/>
        <v>0</v>
      </c>
      <c r="L1308">
        <f t="shared" si="460"/>
        <v>0</v>
      </c>
      <c r="M1308">
        <v>0.54</v>
      </c>
      <c r="N1308">
        <f t="shared" si="462"/>
        <v>0.54</v>
      </c>
      <c r="O1308">
        <f t="shared" si="463"/>
        <v>0</v>
      </c>
      <c r="P1308">
        <f t="shared" si="464"/>
        <v>0</v>
      </c>
      <c r="Q1308">
        <f t="shared" si="465"/>
        <v>1000</v>
      </c>
      <c r="R1308">
        <f t="shared" si="466"/>
        <v>5.156620156177409</v>
      </c>
      <c r="S1308">
        <f t="shared" si="467"/>
        <v>0.35093121795539134</v>
      </c>
      <c r="T1308">
        <f t="shared" si="468"/>
        <v>6000</v>
      </c>
      <c r="U1308">
        <f t="shared" si="469"/>
        <v>0.85943669269623491</v>
      </c>
      <c r="V1308">
        <f t="shared" si="470"/>
        <v>6.7053110874033912</v>
      </c>
      <c r="W1308">
        <f t="shared" si="471"/>
        <v>6000</v>
      </c>
      <c r="X1308">
        <f t="shared" si="472"/>
        <v>0.85943669269623491</v>
      </c>
      <c r="Y1308">
        <f t="shared" si="473"/>
        <v>6.7053110874033912</v>
      </c>
      <c r="Z1308">
        <f t="shared" si="474"/>
        <v>6000</v>
      </c>
      <c r="AA1308">
        <f t="shared" si="475"/>
        <v>0.85943669269623491</v>
      </c>
      <c r="AB1308">
        <f t="shared" si="476"/>
        <v>6.7053110874033912</v>
      </c>
      <c r="AC1308">
        <f t="shared" si="477"/>
        <v>6000</v>
      </c>
      <c r="AD1308">
        <f t="shared" si="478"/>
        <v>0.85943669269623491</v>
      </c>
      <c r="AE1308">
        <f t="shared" si="479"/>
        <v>6.7053110874033912</v>
      </c>
      <c r="AF1308">
        <f t="shared" si="480"/>
        <v>6000</v>
      </c>
      <c r="AG1308">
        <f t="shared" si="481"/>
        <v>0.85943669269623491</v>
      </c>
      <c r="AH1308">
        <f t="shared" si="482"/>
        <v>6.7053110874033912</v>
      </c>
      <c r="AI1308" cm="1">
        <f t="array" ref="AI1308">_xlfn.LET(
    _xlpm.vals,   _xlfn.HSTACK(S1308,V1308,Y1308,AB1308,AE1308,AH1308),
    _xlpm.ints,   _xlfn.HSTACK(R1308,U1308,X1308,AA1308,AD1308,AG1308),
    _xlpm.slopes, _xlfn.HSTACK(Q1308,T1308,W1308,Z1308,AC1308,AF1308),
    _xlpm.limit,  -0.00001*_xlpm.slopes + 0.1086*_xlpm.slopes + 63.253,
    _xlpm.mask,   (_xlpm.vals&gt;=0) * (_xlpm.ints&lt;=_xlpm.limit),
    _xlpm.validVals, _xlfn._xlws.FILTER(_xlpm.vals, _xlpm.mask),
    _xlpm.minVal, MIN(_xlpm.validVals),
    IFERROR( _xlfn.XMATCH(_xlpm.minVal, _xlpm.vals), "" )
)</f>
        <v>1</v>
      </c>
      <c r="AJ1308" cm="1">
        <f t="array" ref="AJ1308">_xlfn.LET(
    _xlpm.vals, CHOOSE({1,2,3,4,5,6}, S1308, V1308, Y1308, AB1308, AE1308, AH1308),
    _xlpm.slopes, CHOOSE({1,2,3,4,5,6}, Q1308, T1308, W1308, Z1308, AC1308, AF1308),
    _xlpm.ints, CHOOSE({1,2,3,4,5,6}, R1308, U1308, X1308, AA1308, AD1308, AG1308),
    _xlpm.limit, -0.00001*_xlpm.slopes + 0.1086*_xlpm.slopes + 63.253,
    _xlpm.valid, (_xlpm.vals &gt;= 0) * (_xlpm.ints &lt;= _xlpm.limit),
    _xlpm.target, MIN(_xlfn._xlws.FILTER(_xlpm.vals, _xlpm.valid)),
    IFERROR(
        _xlfn.XLOOKUP(_xlpm.target, _xlpm.vals, _xlpm.vals),
        CHOOSE({1,2,3,4,5,6}, S$1, V$1, Y$1, AB$1, AE$1, AH$1)
    )
)</f>
        <v>0.35093121795539134</v>
      </c>
    </row>
    <row r="1309" spans="9:36" x14ac:dyDescent="0.45">
      <c r="I1309">
        <v>1307</v>
      </c>
      <c r="J1309">
        <v>0</v>
      </c>
      <c r="K1309">
        <f t="shared" si="461"/>
        <v>0</v>
      </c>
      <c r="L1309">
        <f t="shared" si="460"/>
        <v>0</v>
      </c>
      <c r="M1309">
        <v>0.59</v>
      </c>
      <c r="N1309">
        <f t="shared" si="462"/>
        <v>0.59</v>
      </c>
      <c r="O1309">
        <f t="shared" si="463"/>
        <v>0</v>
      </c>
      <c r="P1309">
        <f t="shared" si="464"/>
        <v>0</v>
      </c>
      <c r="Q1309">
        <f t="shared" si="465"/>
        <v>1000</v>
      </c>
      <c r="R1309">
        <f t="shared" si="466"/>
        <v>5.6340849854530957</v>
      </c>
      <c r="S1309">
        <f t="shared" si="467"/>
        <v>0.3539676162304512</v>
      </c>
      <c r="T1309">
        <f t="shared" si="468"/>
        <v>6000</v>
      </c>
      <c r="U1309">
        <f t="shared" si="469"/>
        <v>0.93901416424218254</v>
      </c>
      <c r="V1309">
        <f t="shared" si="470"/>
        <v>6.7058115334511479</v>
      </c>
      <c r="W1309">
        <f t="shared" si="471"/>
        <v>6000</v>
      </c>
      <c r="X1309">
        <f t="shared" si="472"/>
        <v>0.93901416424218254</v>
      </c>
      <c r="Y1309">
        <f t="shared" si="473"/>
        <v>6.7058115334511479</v>
      </c>
      <c r="Z1309">
        <f t="shared" si="474"/>
        <v>6000</v>
      </c>
      <c r="AA1309">
        <f t="shared" si="475"/>
        <v>0.93901416424218254</v>
      </c>
      <c r="AB1309">
        <f t="shared" si="476"/>
        <v>6.7058115334511479</v>
      </c>
      <c r="AC1309">
        <f t="shared" si="477"/>
        <v>6000</v>
      </c>
      <c r="AD1309">
        <f t="shared" si="478"/>
        <v>0.93901416424218254</v>
      </c>
      <c r="AE1309">
        <f t="shared" si="479"/>
        <v>6.7058115334511479</v>
      </c>
      <c r="AF1309">
        <f t="shared" si="480"/>
        <v>6000</v>
      </c>
      <c r="AG1309">
        <f t="shared" si="481"/>
        <v>0.93901416424218254</v>
      </c>
      <c r="AH1309">
        <f t="shared" si="482"/>
        <v>6.7058115334511479</v>
      </c>
      <c r="AI1309" cm="1">
        <f t="array" ref="AI1309">_xlfn.LET(
    _xlpm.vals,   _xlfn.HSTACK(S1309,V1309,Y1309,AB1309,AE1309,AH1309),
    _xlpm.ints,   _xlfn.HSTACK(R1309,U1309,X1309,AA1309,AD1309,AG1309),
    _xlpm.slopes, _xlfn.HSTACK(Q1309,T1309,W1309,Z1309,AC1309,AF1309),
    _xlpm.limit,  -0.00001*_xlpm.slopes + 0.1086*_xlpm.slopes + 63.253,
    _xlpm.mask,   (_xlpm.vals&gt;=0) * (_xlpm.ints&lt;=_xlpm.limit),
    _xlpm.validVals, _xlfn._xlws.FILTER(_xlpm.vals, _xlpm.mask),
    _xlpm.minVal, MIN(_xlpm.validVals),
    IFERROR( _xlfn.XMATCH(_xlpm.minVal, _xlpm.vals), "" )
)</f>
        <v>1</v>
      </c>
      <c r="AJ1309" cm="1">
        <f t="array" ref="AJ1309">_xlfn.LET(
    _xlpm.vals, CHOOSE({1,2,3,4,5,6}, S1309, V1309, Y1309, AB1309, AE1309, AH1309),
    _xlpm.slopes, CHOOSE({1,2,3,4,5,6}, Q1309, T1309, W1309, Z1309, AC1309, AF1309),
    _xlpm.ints, CHOOSE({1,2,3,4,5,6}, R1309, U1309, X1309, AA1309, AD1309, AG1309),
    _xlpm.limit, -0.00001*_xlpm.slopes + 0.1086*_xlpm.slopes + 63.253,
    _xlpm.valid, (_xlpm.vals &gt;= 0) * (_xlpm.ints &lt;= _xlpm.limit),
    _xlpm.target, MIN(_xlfn._xlws.FILTER(_xlpm.vals, _xlpm.valid)),
    IFERROR(
        _xlfn.XLOOKUP(_xlpm.target, _xlpm.vals, _xlpm.vals),
        CHOOSE({1,2,3,4,5,6}, S$1, V$1, Y$1, AB$1, AE$1, AH$1)
    )
)</f>
        <v>0.3539676162304512</v>
      </c>
    </row>
    <row r="1310" spans="9:36" x14ac:dyDescent="0.45">
      <c r="I1310">
        <v>1308</v>
      </c>
      <c r="J1310">
        <v>0</v>
      </c>
      <c r="K1310">
        <f t="shared" si="461"/>
        <v>0</v>
      </c>
      <c r="L1310">
        <f t="shared" si="460"/>
        <v>0</v>
      </c>
      <c r="M1310">
        <v>0.56999999999999995</v>
      </c>
      <c r="N1310">
        <f t="shared" si="462"/>
        <v>0.56999999999999995</v>
      </c>
      <c r="O1310">
        <f t="shared" si="463"/>
        <v>0</v>
      </c>
      <c r="P1310">
        <f t="shared" si="464"/>
        <v>0</v>
      </c>
      <c r="Q1310">
        <f t="shared" si="465"/>
        <v>1000</v>
      </c>
      <c r="R1310">
        <f t="shared" si="466"/>
        <v>5.443099053742821</v>
      </c>
      <c r="S1310">
        <f t="shared" si="467"/>
        <v>0.35274976937547881</v>
      </c>
      <c r="T1310">
        <f t="shared" si="468"/>
        <v>6000</v>
      </c>
      <c r="U1310">
        <f t="shared" si="469"/>
        <v>0.90718317562380346</v>
      </c>
      <c r="V1310">
        <f t="shared" si="470"/>
        <v>6.7056111021595477</v>
      </c>
      <c r="W1310">
        <f t="shared" si="471"/>
        <v>6000</v>
      </c>
      <c r="X1310">
        <f t="shared" si="472"/>
        <v>0.90718317562380346</v>
      </c>
      <c r="Y1310">
        <f t="shared" si="473"/>
        <v>6.7056111021595477</v>
      </c>
      <c r="Z1310">
        <f t="shared" si="474"/>
        <v>6000</v>
      </c>
      <c r="AA1310">
        <f t="shared" si="475"/>
        <v>0.90718317562380346</v>
      </c>
      <c r="AB1310">
        <f t="shared" si="476"/>
        <v>6.7056111021595477</v>
      </c>
      <c r="AC1310">
        <f t="shared" si="477"/>
        <v>6000</v>
      </c>
      <c r="AD1310">
        <f t="shared" si="478"/>
        <v>0.90718317562380346</v>
      </c>
      <c r="AE1310">
        <f t="shared" si="479"/>
        <v>6.7056111021595477</v>
      </c>
      <c r="AF1310">
        <f t="shared" si="480"/>
        <v>6000</v>
      </c>
      <c r="AG1310">
        <f t="shared" si="481"/>
        <v>0.90718317562380346</v>
      </c>
      <c r="AH1310">
        <f t="shared" si="482"/>
        <v>6.7056111021595477</v>
      </c>
      <c r="AI1310" cm="1">
        <f t="array" ref="AI1310">_xlfn.LET(
    _xlpm.vals,   _xlfn.HSTACK(S1310,V1310,Y1310,AB1310,AE1310,AH1310),
    _xlpm.ints,   _xlfn.HSTACK(R1310,U1310,X1310,AA1310,AD1310,AG1310),
    _xlpm.slopes, _xlfn.HSTACK(Q1310,T1310,W1310,Z1310,AC1310,AF1310),
    _xlpm.limit,  -0.00001*_xlpm.slopes + 0.1086*_xlpm.slopes + 63.253,
    _xlpm.mask,   (_xlpm.vals&gt;=0) * (_xlpm.ints&lt;=_xlpm.limit),
    _xlpm.validVals, _xlfn._xlws.FILTER(_xlpm.vals, _xlpm.mask),
    _xlpm.minVal, MIN(_xlpm.validVals),
    IFERROR( _xlfn.XMATCH(_xlpm.minVal, _xlpm.vals), "" )
)</f>
        <v>1</v>
      </c>
      <c r="AJ1310" cm="1">
        <f t="array" ref="AJ1310">_xlfn.LET(
    _xlpm.vals, CHOOSE({1,2,3,4,5,6}, S1310, V1310, Y1310, AB1310, AE1310, AH1310),
    _xlpm.slopes, CHOOSE({1,2,3,4,5,6}, Q1310, T1310, W1310, Z1310, AC1310, AF1310),
    _xlpm.ints, CHOOSE({1,2,3,4,5,6}, R1310, U1310, X1310, AA1310, AD1310, AG1310),
    _xlpm.limit, -0.00001*_xlpm.slopes + 0.1086*_xlpm.slopes + 63.253,
    _xlpm.valid, (_xlpm.vals &gt;= 0) * (_xlpm.ints &lt;= _xlpm.limit),
    _xlpm.target, MIN(_xlfn._xlws.FILTER(_xlpm.vals, _xlpm.valid)),
    IFERROR(
        _xlfn.XLOOKUP(_xlpm.target, _xlpm.vals, _xlpm.vals),
        CHOOSE({1,2,3,4,5,6}, S$1, V$1, Y$1, AB$1, AE$1, AH$1)
    )
)</f>
        <v>0.35274976937547881</v>
      </c>
    </row>
    <row r="1311" spans="9:36" x14ac:dyDescent="0.45">
      <c r="I1311">
        <v>1309</v>
      </c>
      <c r="J1311">
        <v>0</v>
      </c>
      <c r="K1311">
        <f t="shared" si="461"/>
        <v>0</v>
      </c>
      <c r="L1311">
        <f t="shared" si="460"/>
        <v>0</v>
      </c>
      <c r="M1311">
        <v>0.42</v>
      </c>
      <c r="N1311">
        <f t="shared" si="462"/>
        <v>0.42</v>
      </c>
      <c r="O1311">
        <f t="shared" si="463"/>
        <v>0</v>
      </c>
      <c r="P1311">
        <f t="shared" si="464"/>
        <v>0</v>
      </c>
      <c r="Q1311">
        <f t="shared" si="465"/>
        <v>1000</v>
      </c>
      <c r="R1311">
        <f t="shared" si="466"/>
        <v>4.0107045659157627</v>
      </c>
      <c r="S1311">
        <f t="shared" si="467"/>
        <v>0.3437565653256543</v>
      </c>
      <c r="T1311">
        <f t="shared" si="468"/>
        <v>6000</v>
      </c>
      <c r="U1311">
        <f t="shared" si="469"/>
        <v>0.66845076098596046</v>
      </c>
      <c r="V1311">
        <f t="shared" si="470"/>
        <v>6.7041186188439923</v>
      </c>
      <c r="W1311">
        <f t="shared" si="471"/>
        <v>6000</v>
      </c>
      <c r="X1311">
        <f t="shared" si="472"/>
        <v>0.66845076098596046</v>
      </c>
      <c r="Y1311">
        <f t="shared" si="473"/>
        <v>6.7041186188439923</v>
      </c>
      <c r="Z1311">
        <f t="shared" si="474"/>
        <v>6000</v>
      </c>
      <c r="AA1311">
        <f t="shared" si="475"/>
        <v>0.66845076098596046</v>
      </c>
      <c r="AB1311">
        <f t="shared" si="476"/>
        <v>6.7041186188439923</v>
      </c>
      <c r="AC1311">
        <f t="shared" si="477"/>
        <v>6000</v>
      </c>
      <c r="AD1311">
        <f t="shared" si="478"/>
        <v>0.66845076098596046</v>
      </c>
      <c r="AE1311">
        <f t="shared" si="479"/>
        <v>6.7041186188439923</v>
      </c>
      <c r="AF1311">
        <f t="shared" si="480"/>
        <v>6000</v>
      </c>
      <c r="AG1311">
        <f t="shared" si="481"/>
        <v>0.66845076098596046</v>
      </c>
      <c r="AH1311">
        <f t="shared" si="482"/>
        <v>6.7041186188439923</v>
      </c>
      <c r="AI1311" cm="1">
        <f t="array" ref="AI1311">_xlfn.LET(
    _xlpm.vals,   _xlfn.HSTACK(S1311,V1311,Y1311,AB1311,AE1311,AH1311),
    _xlpm.ints,   _xlfn.HSTACK(R1311,U1311,X1311,AA1311,AD1311,AG1311),
    _xlpm.slopes, _xlfn.HSTACK(Q1311,T1311,W1311,Z1311,AC1311,AF1311),
    _xlpm.limit,  -0.00001*_xlpm.slopes + 0.1086*_xlpm.slopes + 63.253,
    _xlpm.mask,   (_xlpm.vals&gt;=0) * (_xlpm.ints&lt;=_xlpm.limit),
    _xlpm.validVals, _xlfn._xlws.FILTER(_xlpm.vals, _xlpm.mask),
    _xlpm.minVal, MIN(_xlpm.validVals),
    IFERROR( _xlfn.XMATCH(_xlpm.minVal, _xlpm.vals), "" )
)</f>
        <v>1</v>
      </c>
      <c r="AJ1311" cm="1">
        <f t="array" ref="AJ1311">_xlfn.LET(
    _xlpm.vals, CHOOSE({1,2,3,4,5,6}, S1311, V1311, Y1311, AB1311, AE1311, AH1311),
    _xlpm.slopes, CHOOSE({1,2,3,4,5,6}, Q1311, T1311, W1311, Z1311, AC1311, AF1311),
    _xlpm.ints, CHOOSE({1,2,3,4,5,6}, R1311, U1311, X1311, AA1311, AD1311, AG1311),
    _xlpm.limit, -0.00001*_xlpm.slopes + 0.1086*_xlpm.slopes + 63.253,
    _xlpm.valid, (_xlpm.vals &gt;= 0) * (_xlpm.ints &lt;= _xlpm.limit),
    _xlpm.target, MIN(_xlfn._xlws.FILTER(_xlpm.vals, _xlpm.valid)),
    IFERROR(
        _xlfn.XLOOKUP(_xlpm.target, _xlpm.vals, _xlpm.vals),
        CHOOSE({1,2,3,4,5,6}, S$1, V$1, Y$1, AB$1, AE$1, AH$1)
    )
)</f>
        <v>0.3437565653256543</v>
      </c>
    </row>
    <row r="1312" spans="9:36" x14ac:dyDescent="0.45">
      <c r="I1312">
        <v>1310</v>
      </c>
      <c r="J1312">
        <v>0</v>
      </c>
      <c r="K1312">
        <f t="shared" si="461"/>
        <v>0</v>
      </c>
      <c r="L1312">
        <f t="shared" si="460"/>
        <v>0</v>
      </c>
      <c r="M1312">
        <v>0.53</v>
      </c>
      <c r="N1312">
        <f t="shared" si="462"/>
        <v>0.53</v>
      </c>
      <c r="O1312">
        <f t="shared" si="463"/>
        <v>0</v>
      </c>
      <c r="P1312">
        <f t="shared" si="464"/>
        <v>0</v>
      </c>
      <c r="Q1312">
        <f t="shared" si="465"/>
        <v>1000</v>
      </c>
      <c r="R1312">
        <f t="shared" si="466"/>
        <v>5.0611271903222725</v>
      </c>
      <c r="S1312">
        <f t="shared" si="467"/>
        <v>0.35032723311358005</v>
      </c>
      <c r="T1312">
        <f t="shared" si="468"/>
        <v>6000</v>
      </c>
      <c r="U1312">
        <f t="shared" si="469"/>
        <v>0.84352119838704531</v>
      </c>
      <c r="V1312">
        <f t="shared" si="470"/>
        <v>6.7052112510999864</v>
      </c>
      <c r="W1312">
        <f t="shared" si="471"/>
        <v>6000</v>
      </c>
      <c r="X1312">
        <f t="shared" si="472"/>
        <v>0.84352119838704531</v>
      </c>
      <c r="Y1312">
        <f t="shared" si="473"/>
        <v>6.7052112510999864</v>
      </c>
      <c r="Z1312">
        <f t="shared" si="474"/>
        <v>6000</v>
      </c>
      <c r="AA1312">
        <f t="shared" si="475"/>
        <v>0.84352119838704531</v>
      </c>
      <c r="AB1312">
        <f t="shared" si="476"/>
        <v>6.7052112510999864</v>
      </c>
      <c r="AC1312">
        <f t="shared" si="477"/>
        <v>6000</v>
      </c>
      <c r="AD1312">
        <f t="shared" si="478"/>
        <v>0.84352119838704531</v>
      </c>
      <c r="AE1312">
        <f t="shared" si="479"/>
        <v>6.7052112510999864</v>
      </c>
      <c r="AF1312">
        <f t="shared" si="480"/>
        <v>6000</v>
      </c>
      <c r="AG1312">
        <f t="shared" si="481"/>
        <v>0.84352119838704531</v>
      </c>
      <c r="AH1312">
        <f t="shared" si="482"/>
        <v>6.7052112510999864</v>
      </c>
      <c r="AI1312" cm="1">
        <f t="array" ref="AI1312">_xlfn.LET(
    _xlpm.vals,   _xlfn.HSTACK(S1312,V1312,Y1312,AB1312,AE1312,AH1312),
    _xlpm.ints,   _xlfn.HSTACK(R1312,U1312,X1312,AA1312,AD1312,AG1312),
    _xlpm.slopes, _xlfn.HSTACK(Q1312,T1312,W1312,Z1312,AC1312,AF1312),
    _xlpm.limit,  -0.00001*_xlpm.slopes + 0.1086*_xlpm.slopes + 63.253,
    _xlpm.mask,   (_xlpm.vals&gt;=0) * (_xlpm.ints&lt;=_xlpm.limit),
    _xlpm.validVals, _xlfn._xlws.FILTER(_xlpm.vals, _xlpm.mask),
    _xlpm.minVal, MIN(_xlpm.validVals),
    IFERROR( _xlfn.XMATCH(_xlpm.minVal, _xlpm.vals), "" )
)</f>
        <v>1</v>
      </c>
      <c r="AJ1312" cm="1">
        <f t="array" ref="AJ1312">_xlfn.LET(
    _xlpm.vals, CHOOSE({1,2,3,4,5,6}, S1312, V1312, Y1312, AB1312, AE1312, AH1312),
    _xlpm.slopes, CHOOSE({1,2,3,4,5,6}, Q1312, T1312, W1312, Z1312, AC1312, AF1312),
    _xlpm.ints, CHOOSE({1,2,3,4,5,6}, R1312, U1312, X1312, AA1312, AD1312, AG1312),
    _xlpm.limit, -0.00001*_xlpm.slopes + 0.1086*_xlpm.slopes + 63.253,
    _xlpm.valid, (_xlpm.vals &gt;= 0) * (_xlpm.ints &lt;= _xlpm.limit),
    _xlpm.target, MIN(_xlfn._xlws.FILTER(_xlpm.vals, _xlpm.valid)),
    IFERROR(
        _xlfn.XLOOKUP(_xlpm.target, _xlpm.vals, _xlpm.vals),
        CHOOSE({1,2,3,4,5,6}, S$1, V$1, Y$1, AB$1, AE$1, AH$1)
    )
)</f>
        <v>0.35032723311358005</v>
      </c>
    </row>
    <row r="1313" spans="9:36" x14ac:dyDescent="0.45">
      <c r="I1313">
        <v>1311</v>
      </c>
      <c r="J1313">
        <v>0</v>
      </c>
      <c r="K1313">
        <f t="shared" si="461"/>
        <v>0</v>
      </c>
      <c r="L1313">
        <f t="shared" si="460"/>
        <v>0</v>
      </c>
      <c r="M1313">
        <v>0.48</v>
      </c>
      <c r="N1313">
        <f t="shared" si="462"/>
        <v>0.48</v>
      </c>
      <c r="O1313">
        <f t="shared" si="463"/>
        <v>0</v>
      </c>
      <c r="P1313">
        <f t="shared" si="464"/>
        <v>0</v>
      </c>
      <c r="Q1313">
        <f t="shared" si="465"/>
        <v>1000</v>
      </c>
      <c r="R1313">
        <f t="shared" si="466"/>
        <v>4.5836623610465859</v>
      </c>
      <c r="S1313">
        <f t="shared" si="467"/>
        <v>0.34732388290899496</v>
      </c>
      <c r="T1313">
        <f t="shared" si="468"/>
        <v>6000</v>
      </c>
      <c r="U1313">
        <f t="shared" si="469"/>
        <v>0.76394372684109768</v>
      </c>
      <c r="V1313">
        <f t="shared" si="470"/>
        <v>6.7047133345763807</v>
      </c>
      <c r="W1313">
        <f t="shared" si="471"/>
        <v>6000</v>
      </c>
      <c r="X1313">
        <f t="shared" si="472"/>
        <v>0.76394372684109768</v>
      </c>
      <c r="Y1313">
        <f t="shared" si="473"/>
        <v>6.7047133345763807</v>
      </c>
      <c r="Z1313">
        <f t="shared" si="474"/>
        <v>6000</v>
      </c>
      <c r="AA1313">
        <f t="shared" si="475"/>
        <v>0.76394372684109768</v>
      </c>
      <c r="AB1313">
        <f t="shared" si="476"/>
        <v>6.7047133345763807</v>
      </c>
      <c r="AC1313">
        <f t="shared" si="477"/>
        <v>6000</v>
      </c>
      <c r="AD1313">
        <f t="shared" si="478"/>
        <v>0.76394372684109768</v>
      </c>
      <c r="AE1313">
        <f t="shared" si="479"/>
        <v>6.7047133345763807</v>
      </c>
      <c r="AF1313">
        <f t="shared" si="480"/>
        <v>6000</v>
      </c>
      <c r="AG1313">
        <f t="shared" si="481"/>
        <v>0.76394372684109768</v>
      </c>
      <c r="AH1313">
        <f t="shared" si="482"/>
        <v>6.7047133345763807</v>
      </c>
      <c r="AI1313" cm="1">
        <f t="array" ref="AI1313">_xlfn.LET(
    _xlpm.vals,   _xlfn.HSTACK(S1313,V1313,Y1313,AB1313,AE1313,AH1313),
    _xlpm.ints,   _xlfn.HSTACK(R1313,U1313,X1313,AA1313,AD1313,AG1313),
    _xlpm.slopes, _xlfn.HSTACK(Q1313,T1313,W1313,Z1313,AC1313,AF1313),
    _xlpm.limit,  -0.00001*_xlpm.slopes + 0.1086*_xlpm.slopes + 63.253,
    _xlpm.mask,   (_xlpm.vals&gt;=0) * (_xlpm.ints&lt;=_xlpm.limit),
    _xlpm.validVals, _xlfn._xlws.FILTER(_xlpm.vals, _xlpm.mask),
    _xlpm.minVal, MIN(_xlpm.validVals),
    IFERROR( _xlfn.XMATCH(_xlpm.minVal, _xlpm.vals), "" )
)</f>
        <v>1</v>
      </c>
      <c r="AJ1313" cm="1">
        <f t="array" ref="AJ1313">_xlfn.LET(
    _xlpm.vals, CHOOSE({1,2,3,4,5,6}, S1313, V1313, Y1313, AB1313, AE1313, AH1313),
    _xlpm.slopes, CHOOSE({1,2,3,4,5,6}, Q1313, T1313, W1313, Z1313, AC1313, AF1313),
    _xlpm.ints, CHOOSE({1,2,3,4,5,6}, R1313, U1313, X1313, AA1313, AD1313, AG1313),
    _xlpm.limit, -0.00001*_xlpm.slopes + 0.1086*_xlpm.slopes + 63.253,
    _xlpm.valid, (_xlpm.vals &gt;= 0) * (_xlpm.ints &lt;= _xlpm.limit),
    _xlpm.target, MIN(_xlfn._xlws.FILTER(_xlpm.vals, _xlpm.valid)),
    IFERROR(
        _xlfn.XLOOKUP(_xlpm.target, _xlpm.vals, _xlpm.vals),
        CHOOSE({1,2,3,4,5,6}, S$1, V$1, Y$1, AB$1, AE$1, AH$1)
    )
)</f>
        <v>0.34732388290899496</v>
      </c>
    </row>
    <row r="1314" spans="9:36" x14ac:dyDescent="0.45">
      <c r="I1314">
        <v>1312</v>
      </c>
      <c r="J1314">
        <v>0.3</v>
      </c>
      <c r="K1314">
        <f t="shared" si="461"/>
        <v>0.3</v>
      </c>
      <c r="L1314">
        <f t="shared" si="460"/>
        <v>8.3333333333333331E-5</v>
      </c>
      <c r="M1314">
        <v>0.75</v>
      </c>
      <c r="N1314">
        <f t="shared" si="462"/>
        <v>0.75</v>
      </c>
      <c r="O1314">
        <f t="shared" si="463"/>
        <v>3.898554836153473</v>
      </c>
      <c r="P1314">
        <f t="shared" si="464"/>
        <v>12.475375475691115</v>
      </c>
      <c r="Q1314">
        <f t="shared" si="465"/>
        <v>1000</v>
      </c>
      <c r="R1314">
        <f t="shared" si="466"/>
        <v>7.1619724391352912</v>
      </c>
      <c r="S1314">
        <f t="shared" si="467"/>
        <v>0.36386636162818831</v>
      </c>
      <c r="T1314">
        <f t="shared" si="468"/>
        <v>6000</v>
      </c>
      <c r="U1314">
        <f t="shared" si="469"/>
        <v>1.1936620731892151</v>
      </c>
      <c r="V1314">
        <f t="shared" si="470"/>
        <v>6.7074271131842309</v>
      </c>
      <c r="W1314">
        <f t="shared" si="471"/>
        <v>6000</v>
      </c>
      <c r="X1314">
        <f t="shared" si="472"/>
        <v>1.1936620731892151</v>
      </c>
      <c r="Y1314">
        <f t="shared" si="473"/>
        <v>6.7074271131842309</v>
      </c>
      <c r="Z1314">
        <f t="shared" si="474"/>
        <v>6000</v>
      </c>
      <c r="AA1314">
        <f t="shared" si="475"/>
        <v>1.1936620731892151</v>
      </c>
      <c r="AB1314">
        <f t="shared" si="476"/>
        <v>6.7074271131842309</v>
      </c>
      <c r="AC1314">
        <f t="shared" si="477"/>
        <v>6000</v>
      </c>
      <c r="AD1314">
        <f t="shared" si="478"/>
        <v>1.1936620731892151</v>
      </c>
      <c r="AE1314">
        <f t="shared" si="479"/>
        <v>6.7074271131842309</v>
      </c>
      <c r="AF1314">
        <f t="shared" si="480"/>
        <v>6000</v>
      </c>
      <c r="AG1314">
        <f t="shared" si="481"/>
        <v>1.1936620731892151</v>
      </c>
      <c r="AH1314">
        <f t="shared" si="482"/>
        <v>6.7074271131842309</v>
      </c>
      <c r="AI1314" cm="1">
        <f t="array" ref="AI1314">_xlfn.LET(
    _xlpm.vals,   _xlfn.HSTACK(S1314,V1314,Y1314,AB1314,AE1314,AH1314),
    _xlpm.ints,   _xlfn.HSTACK(R1314,U1314,X1314,AA1314,AD1314,AG1314),
    _xlpm.slopes, _xlfn.HSTACK(Q1314,T1314,W1314,Z1314,AC1314,AF1314),
    _xlpm.limit,  -0.00001*_xlpm.slopes + 0.1086*_xlpm.slopes + 63.253,
    _xlpm.mask,   (_xlpm.vals&gt;=0) * (_xlpm.ints&lt;=_xlpm.limit),
    _xlpm.validVals, _xlfn._xlws.FILTER(_xlpm.vals, _xlpm.mask),
    _xlpm.minVal, MIN(_xlpm.validVals),
    IFERROR( _xlfn.XMATCH(_xlpm.minVal, _xlpm.vals), "" )
)</f>
        <v>1</v>
      </c>
      <c r="AJ1314" cm="1">
        <f t="array" ref="AJ1314">_xlfn.LET(
    _xlpm.vals, CHOOSE({1,2,3,4,5,6}, S1314, V1314, Y1314, AB1314, AE1314, AH1314),
    _xlpm.slopes, CHOOSE({1,2,3,4,5,6}, Q1314, T1314, W1314, Z1314, AC1314, AF1314),
    _xlpm.ints, CHOOSE({1,2,3,4,5,6}, R1314, U1314, X1314, AA1314, AD1314, AG1314),
    _xlpm.limit, -0.00001*_xlpm.slopes + 0.1086*_xlpm.slopes + 63.253,
    _xlpm.valid, (_xlpm.vals &gt;= 0) * (_xlpm.ints &lt;= _xlpm.limit),
    _xlpm.target, MIN(_xlfn._xlws.FILTER(_xlpm.vals, _xlpm.valid)),
    IFERROR(
        _xlfn.XLOOKUP(_xlpm.target, _xlpm.vals, _xlpm.vals),
        CHOOSE({1,2,3,4,5,6}, S$1, V$1, Y$1, AB$1, AE$1, AH$1)
    )
)</f>
        <v>0.36386636162818831</v>
      </c>
    </row>
    <row r="1315" spans="9:36" x14ac:dyDescent="0.45">
      <c r="I1315">
        <v>1313</v>
      </c>
      <c r="J1315">
        <v>1.7</v>
      </c>
      <c r="K1315">
        <f t="shared" si="461"/>
        <v>1.7</v>
      </c>
      <c r="L1315">
        <f t="shared" si="460"/>
        <v>4.7222222222222218E-4</v>
      </c>
      <c r="M1315">
        <v>2.3199999999999998</v>
      </c>
      <c r="N1315">
        <f t="shared" si="462"/>
        <v>2.3199999999999998</v>
      </c>
      <c r="O1315">
        <f t="shared" si="463"/>
        <v>22.091810738203016</v>
      </c>
      <c r="P1315">
        <f t="shared" si="464"/>
        <v>70.693794362249648</v>
      </c>
      <c r="Q1315">
        <f t="shared" si="465"/>
        <v>1000</v>
      </c>
      <c r="R1315">
        <f t="shared" si="466"/>
        <v>22.154368078391833</v>
      </c>
      <c r="S1315">
        <f t="shared" si="467"/>
        <v>0.4742677627410487</v>
      </c>
      <c r="T1315">
        <f t="shared" si="468"/>
        <v>6000</v>
      </c>
      <c r="U1315">
        <f t="shared" si="469"/>
        <v>3.6923946797319718</v>
      </c>
      <c r="V1315">
        <f t="shared" si="470"/>
        <v>6.7244172370506199</v>
      </c>
      <c r="W1315">
        <f t="shared" si="471"/>
        <v>6000</v>
      </c>
      <c r="X1315">
        <f t="shared" si="472"/>
        <v>3.6923946797319718</v>
      </c>
      <c r="Y1315">
        <f t="shared" si="473"/>
        <v>6.7244172370506199</v>
      </c>
      <c r="Z1315">
        <f t="shared" si="474"/>
        <v>6000</v>
      </c>
      <c r="AA1315">
        <f t="shared" si="475"/>
        <v>3.6923946797319718</v>
      </c>
      <c r="AB1315">
        <f t="shared" si="476"/>
        <v>6.7244172370506199</v>
      </c>
      <c r="AC1315">
        <f t="shared" si="477"/>
        <v>6000</v>
      </c>
      <c r="AD1315">
        <f t="shared" si="478"/>
        <v>3.6923946797319718</v>
      </c>
      <c r="AE1315">
        <f t="shared" si="479"/>
        <v>6.7244172370506199</v>
      </c>
      <c r="AF1315">
        <f t="shared" si="480"/>
        <v>6000</v>
      </c>
      <c r="AG1315">
        <f t="shared" si="481"/>
        <v>3.6923946797319718</v>
      </c>
      <c r="AH1315">
        <f t="shared" si="482"/>
        <v>6.7244172370506199</v>
      </c>
      <c r="AI1315" cm="1">
        <f t="array" ref="AI1315">_xlfn.LET(
    _xlpm.vals,   _xlfn.HSTACK(S1315,V1315,Y1315,AB1315,AE1315,AH1315),
    _xlpm.ints,   _xlfn.HSTACK(R1315,U1315,X1315,AA1315,AD1315,AG1315),
    _xlpm.slopes, _xlfn.HSTACK(Q1315,T1315,W1315,Z1315,AC1315,AF1315),
    _xlpm.limit,  -0.00001*_xlpm.slopes + 0.1086*_xlpm.slopes + 63.253,
    _xlpm.mask,   (_xlpm.vals&gt;=0) * (_xlpm.ints&lt;=_xlpm.limit),
    _xlpm.validVals, _xlfn._xlws.FILTER(_xlpm.vals, _xlpm.mask),
    _xlpm.minVal, MIN(_xlpm.validVals),
    IFERROR( _xlfn.XMATCH(_xlpm.minVal, _xlpm.vals), "" )
)</f>
        <v>1</v>
      </c>
      <c r="AJ1315" cm="1">
        <f t="array" ref="AJ1315">_xlfn.LET(
    _xlpm.vals, CHOOSE({1,2,3,4,5,6}, S1315, V1315, Y1315, AB1315, AE1315, AH1315),
    _xlpm.slopes, CHOOSE({1,2,3,4,5,6}, Q1315, T1315, W1315, Z1315, AC1315, AF1315),
    _xlpm.ints, CHOOSE({1,2,3,4,5,6}, R1315, U1315, X1315, AA1315, AD1315, AG1315),
    _xlpm.limit, -0.00001*_xlpm.slopes + 0.1086*_xlpm.slopes + 63.253,
    _xlpm.valid, (_xlpm.vals &gt;= 0) * (_xlpm.ints &lt;= _xlpm.limit),
    _xlpm.target, MIN(_xlfn._xlws.FILTER(_xlpm.vals, _xlpm.valid)),
    IFERROR(
        _xlfn.XLOOKUP(_xlpm.target, _xlpm.vals, _xlpm.vals),
        CHOOSE({1,2,3,4,5,6}, S$1, V$1, Y$1, AB$1, AE$1, AH$1)
    )
)</f>
        <v>0.4742677627410487</v>
      </c>
    </row>
    <row r="1316" spans="9:36" x14ac:dyDescent="0.45">
      <c r="I1316">
        <v>1314</v>
      </c>
      <c r="J1316">
        <v>5.2</v>
      </c>
      <c r="K1316">
        <f t="shared" si="461"/>
        <v>5.2</v>
      </c>
      <c r="L1316">
        <f t="shared" si="460"/>
        <v>1.4444444444444446E-3</v>
      </c>
      <c r="M1316">
        <v>9.32</v>
      </c>
      <c r="N1316">
        <f t="shared" si="462"/>
        <v>9.32</v>
      </c>
      <c r="O1316">
        <f t="shared" si="463"/>
        <v>67.574950493326881</v>
      </c>
      <c r="P1316">
        <f t="shared" si="464"/>
        <v>216.23984157864604</v>
      </c>
      <c r="Q1316">
        <f t="shared" si="465"/>
        <v>1000</v>
      </c>
      <c r="R1316">
        <f t="shared" si="466"/>
        <v>88.999444176987879</v>
      </c>
      <c r="S1316">
        <f t="shared" si="467"/>
        <v>1.100991344366075</v>
      </c>
      <c r="T1316">
        <f t="shared" si="468"/>
        <v>6000</v>
      </c>
      <c r="U1316">
        <f t="shared" si="469"/>
        <v>14.833240696164646</v>
      </c>
      <c r="V1316">
        <f t="shared" si="470"/>
        <v>6.824553288845121</v>
      </c>
      <c r="W1316">
        <f t="shared" si="471"/>
        <v>6000</v>
      </c>
      <c r="X1316">
        <f t="shared" si="472"/>
        <v>14.833240696164646</v>
      </c>
      <c r="Y1316">
        <f t="shared" si="473"/>
        <v>6.824553288845121</v>
      </c>
      <c r="Z1316">
        <f t="shared" si="474"/>
        <v>6000</v>
      </c>
      <c r="AA1316">
        <f t="shared" si="475"/>
        <v>14.833240696164646</v>
      </c>
      <c r="AB1316">
        <f t="shared" si="476"/>
        <v>6.824553288845121</v>
      </c>
      <c r="AC1316">
        <f t="shared" si="477"/>
        <v>6000</v>
      </c>
      <c r="AD1316">
        <f t="shared" si="478"/>
        <v>14.833240696164646</v>
      </c>
      <c r="AE1316">
        <f t="shared" si="479"/>
        <v>6.824553288845121</v>
      </c>
      <c r="AF1316">
        <f t="shared" si="480"/>
        <v>6000</v>
      </c>
      <c r="AG1316">
        <f t="shared" si="481"/>
        <v>14.833240696164646</v>
      </c>
      <c r="AH1316">
        <f t="shared" si="482"/>
        <v>6.824553288845121</v>
      </c>
      <c r="AI1316" cm="1">
        <f t="array" ref="AI1316">_xlfn.LET(
    _xlpm.vals,   _xlfn.HSTACK(S1316,V1316,Y1316,AB1316,AE1316,AH1316),
    _xlpm.ints,   _xlfn.HSTACK(R1316,U1316,X1316,AA1316,AD1316,AG1316),
    _xlpm.slopes, _xlfn.HSTACK(Q1316,T1316,W1316,Z1316,AC1316,AF1316),
    _xlpm.limit,  -0.00001*_xlpm.slopes + 0.1086*_xlpm.slopes + 63.253,
    _xlpm.mask,   (_xlpm.vals&gt;=0) * (_xlpm.ints&lt;=_xlpm.limit),
    _xlpm.validVals, _xlfn._xlws.FILTER(_xlpm.vals, _xlpm.mask),
    _xlpm.minVal, MIN(_xlpm.validVals),
    IFERROR( _xlfn.XMATCH(_xlpm.minVal, _xlpm.vals), "" )
)</f>
        <v>1</v>
      </c>
      <c r="AJ1316" cm="1">
        <f t="array" ref="AJ1316">_xlfn.LET(
    _xlpm.vals, CHOOSE({1,2,3,4,5,6}, S1316, V1316, Y1316, AB1316, AE1316, AH1316),
    _xlpm.slopes, CHOOSE({1,2,3,4,5,6}, Q1316, T1316, W1316, Z1316, AC1316, AF1316),
    _xlpm.ints, CHOOSE({1,2,3,4,5,6}, R1316, U1316, X1316, AA1316, AD1316, AG1316),
    _xlpm.limit, -0.00001*_xlpm.slopes + 0.1086*_xlpm.slopes + 63.253,
    _xlpm.valid, (_xlpm.vals &gt;= 0) * (_xlpm.ints &lt;= _xlpm.limit),
    _xlpm.target, MIN(_xlfn._xlws.FILTER(_xlpm.vals, _xlpm.valid)),
    IFERROR(
        _xlfn.XLOOKUP(_xlpm.target, _xlpm.vals, _xlpm.vals),
        CHOOSE({1,2,3,4,5,6}, S$1, V$1, Y$1, AB$1, AE$1, AH$1)
    )
)</f>
        <v>1.100991344366075</v>
      </c>
    </row>
    <row r="1317" spans="9:36" x14ac:dyDescent="0.45">
      <c r="I1317">
        <v>1315</v>
      </c>
      <c r="J1317">
        <v>8.5</v>
      </c>
      <c r="K1317">
        <f t="shared" si="461"/>
        <v>8.5</v>
      </c>
      <c r="L1317">
        <f t="shared" si="460"/>
        <v>2.3611111111111111E-3</v>
      </c>
      <c r="M1317">
        <v>13.08</v>
      </c>
      <c r="N1317">
        <f t="shared" si="462"/>
        <v>13.08</v>
      </c>
      <c r="O1317">
        <f t="shared" si="463"/>
        <v>110.45905369101509</v>
      </c>
      <c r="P1317">
        <f t="shared" si="464"/>
        <v>353.46897181124831</v>
      </c>
      <c r="Q1317">
        <f t="shared" si="465"/>
        <v>1618.8878908955173</v>
      </c>
      <c r="R1317">
        <f t="shared" si="466"/>
        <v>77.154693688780441</v>
      </c>
      <c r="S1317">
        <f t="shared" si="467"/>
        <v>1.4636383191186586</v>
      </c>
      <c r="T1317">
        <f t="shared" si="468"/>
        <v>1046.268156561295</v>
      </c>
      <c r="U1317">
        <f t="shared" si="469"/>
        <v>119.38124901845084</v>
      </c>
      <c r="V1317">
        <f t="shared" si="470"/>
        <v>1.4020746796968253</v>
      </c>
      <c r="W1317">
        <f t="shared" si="471"/>
        <v>6000</v>
      </c>
      <c r="X1317">
        <f t="shared" si="472"/>
        <v>20.817466556419912</v>
      </c>
      <c r="Y1317">
        <f t="shared" si="473"/>
        <v>6.8940858964995604</v>
      </c>
      <c r="Z1317">
        <f t="shared" si="474"/>
        <v>6000</v>
      </c>
      <c r="AA1317">
        <f t="shared" si="475"/>
        <v>20.817466556419912</v>
      </c>
      <c r="AB1317">
        <f t="shared" si="476"/>
        <v>6.8940858964995604</v>
      </c>
      <c r="AC1317">
        <f t="shared" si="477"/>
        <v>6000</v>
      </c>
      <c r="AD1317">
        <f t="shared" si="478"/>
        <v>20.817466556419912</v>
      </c>
      <c r="AE1317">
        <f t="shared" si="479"/>
        <v>6.8940858964995604</v>
      </c>
      <c r="AF1317">
        <f t="shared" si="480"/>
        <v>6000</v>
      </c>
      <c r="AG1317">
        <f t="shared" si="481"/>
        <v>20.817466556419912</v>
      </c>
      <c r="AH1317">
        <f t="shared" si="482"/>
        <v>6.8940858964995604</v>
      </c>
      <c r="AI1317" cm="1">
        <f t="array" ref="AI1317">_xlfn.LET(
    _xlpm.vals,   _xlfn.HSTACK(S1317,V1317,Y1317,AB1317,AE1317,AH1317),
    _xlpm.ints,   _xlfn.HSTACK(R1317,U1317,X1317,AA1317,AD1317,AG1317),
    _xlpm.slopes, _xlfn.HSTACK(Q1317,T1317,W1317,Z1317,AC1317,AF1317),
    _xlpm.limit,  -0.00001*_xlpm.slopes + 0.1086*_xlpm.slopes + 63.253,
    _xlpm.mask,   (_xlpm.vals&gt;=0) * (_xlpm.ints&lt;=_xlpm.limit),
    _xlpm.validVals, _xlfn._xlws.FILTER(_xlpm.vals, _xlpm.mask),
    _xlpm.minVal, MIN(_xlpm.validVals),
    IFERROR( _xlfn.XMATCH(_xlpm.minVal, _xlpm.vals), "" )
)</f>
        <v>2</v>
      </c>
      <c r="AJ1317" cm="1">
        <f t="array" ref="AJ1317">_xlfn.LET(
    _xlpm.vals, CHOOSE({1,2,3,4,5,6}, S1317, V1317, Y1317, AB1317, AE1317, AH1317),
    _xlpm.slopes, CHOOSE({1,2,3,4,5,6}, Q1317, T1317, W1317, Z1317, AC1317, AF1317),
    _xlpm.ints, CHOOSE({1,2,3,4,5,6}, R1317, U1317, X1317, AA1317, AD1317, AG1317),
    _xlpm.limit, -0.00001*_xlpm.slopes + 0.1086*_xlpm.slopes + 63.253,
    _xlpm.valid, (_xlpm.vals &gt;= 0) * (_xlpm.ints &lt;= _xlpm.limit),
    _xlpm.target, MIN(_xlfn._xlws.FILTER(_xlpm.vals, _xlpm.valid)),
    IFERROR(
        _xlfn.XLOOKUP(_xlpm.target, _xlpm.vals, _xlpm.vals),
        CHOOSE({1,2,3,4,5,6}, S$1, V$1, Y$1, AB$1, AE$1, AH$1)
    )
)</f>
        <v>1.4020746796968253</v>
      </c>
    </row>
    <row r="1318" spans="9:36" x14ac:dyDescent="0.45">
      <c r="I1318">
        <v>1316</v>
      </c>
      <c r="J1318">
        <v>11.6</v>
      </c>
      <c r="K1318">
        <f t="shared" si="461"/>
        <v>11.6</v>
      </c>
      <c r="L1318">
        <f t="shared" si="460"/>
        <v>3.2222222222222222E-3</v>
      </c>
      <c r="M1318">
        <v>11.96</v>
      </c>
      <c r="N1318">
        <f t="shared" si="462"/>
        <v>11.96</v>
      </c>
      <c r="O1318">
        <f t="shared" si="463"/>
        <v>150.74412033126765</v>
      </c>
      <c r="P1318">
        <f t="shared" si="464"/>
        <v>482.38118506005651</v>
      </c>
      <c r="Q1318">
        <f t="shared" si="465"/>
        <v>2209.3058275750586</v>
      </c>
      <c r="R1318">
        <f t="shared" si="466"/>
        <v>51.694783826330152</v>
      </c>
      <c r="S1318">
        <f t="shared" si="467"/>
        <v>1.4003287547929957</v>
      </c>
      <c r="T1318">
        <f t="shared" si="468"/>
        <v>1427.8483077777673</v>
      </c>
      <c r="U1318">
        <f t="shared" si="469"/>
        <v>79.987199298848665</v>
      </c>
      <c r="V1318">
        <f t="shared" si="470"/>
        <v>1.3620193578342146</v>
      </c>
      <c r="W1318">
        <f t="shared" si="471"/>
        <v>6000</v>
      </c>
      <c r="X1318">
        <f t="shared" si="472"/>
        <v>19.034931193790683</v>
      </c>
      <c r="Y1318">
        <f t="shared" si="473"/>
        <v>6.8722632954079366</v>
      </c>
      <c r="Z1318">
        <f t="shared" si="474"/>
        <v>6000</v>
      </c>
      <c r="AA1318">
        <f t="shared" si="475"/>
        <v>19.034931193790683</v>
      </c>
      <c r="AB1318">
        <f t="shared" si="476"/>
        <v>6.8722632954079366</v>
      </c>
      <c r="AC1318">
        <f t="shared" si="477"/>
        <v>6000</v>
      </c>
      <c r="AD1318">
        <f t="shared" si="478"/>
        <v>19.034931193790683</v>
      </c>
      <c r="AE1318">
        <f t="shared" si="479"/>
        <v>6.8722632954079366</v>
      </c>
      <c r="AF1318">
        <f t="shared" si="480"/>
        <v>6000</v>
      </c>
      <c r="AG1318">
        <f t="shared" si="481"/>
        <v>19.034931193790683</v>
      </c>
      <c r="AH1318">
        <f t="shared" si="482"/>
        <v>6.8722632954079366</v>
      </c>
      <c r="AI1318" cm="1">
        <f t="array" ref="AI1318">_xlfn.LET(
    _xlpm.vals,   _xlfn.HSTACK(S1318,V1318,Y1318,AB1318,AE1318,AH1318),
    _xlpm.ints,   _xlfn.HSTACK(R1318,U1318,X1318,AA1318,AD1318,AG1318),
    _xlpm.slopes, _xlfn.HSTACK(Q1318,T1318,W1318,Z1318,AC1318,AF1318),
    _xlpm.limit,  -0.00001*_xlpm.slopes + 0.1086*_xlpm.slopes + 63.253,
    _xlpm.mask,   (_xlpm.vals&gt;=0) * (_xlpm.ints&lt;=_xlpm.limit),
    _xlpm.validVals, _xlfn._xlws.FILTER(_xlpm.vals, _xlpm.mask),
    _xlpm.minVal, MIN(_xlpm.validVals),
    IFERROR( _xlfn.XMATCH(_xlpm.minVal, _xlpm.vals), "" )
)</f>
        <v>2</v>
      </c>
      <c r="AJ1318" cm="1">
        <f t="array" ref="AJ1318">_xlfn.LET(
    _xlpm.vals, CHOOSE({1,2,3,4,5,6}, S1318, V1318, Y1318, AB1318, AE1318, AH1318),
    _xlpm.slopes, CHOOSE({1,2,3,4,5,6}, Q1318, T1318, W1318, Z1318, AC1318, AF1318),
    _xlpm.ints, CHOOSE({1,2,3,4,5,6}, R1318, U1318, X1318, AA1318, AD1318, AG1318),
    _xlpm.limit, -0.00001*_xlpm.slopes + 0.1086*_xlpm.slopes + 63.253,
    _xlpm.valid, (_xlpm.vals &gt;= 0) * (_xlpm.ints &lt;= _xlpm.limit),
    _xlpm.target, MIN(_xlfn._xlws.FILTER(_xlpm.vals, _xlpm.valid)),
    IFERROR(
        _xlfn.XLOOKUP(_xlpm.target, _xlpm.vals, _xlpm.vals),
        CHOOSE({1,2,3,4,5,6}, S$1, V$1, Y$1, AB$1, AE$1, AH$1)
    )
)</f>
        <v>1.3620193578342146</v>
      </c>
    </row>
    <row r="1319" spans="9:36" x14ac:dyDescent="0.45">
      <c r="I1319">
        <v>1317</v>
      </c>
      <c r="J1319">
        <v>13.8</v>
      </c>
      <c r="K1319">
        <f t="shared" si="461"/>
        <v>13.8</v>
      </c>
      <c r="L1319">
        <f t="shared" si="460"/>
        <v>3.8333333333333336E-3</v>
      </c>
      <c r="M1319">
        <v>13.52</v>
      </c>
      <c r="N1319">
        <f t="shared" si="462"/>
        <v>13.52</v>
      </c>
      <c r="O1319">
        <f t="shared" si="463"/>
        <v>179.33352246305981</v>
      </c>
      <c r="P1319">
        <f t="shared" si="464"/>
        <v>573.86727188179145</v>
      </c>
      <c r="Q1319">
        <f t="shared" si="465"/>
        <v>2628.3121052186048</v>
      </c>
      <c r="R1319">
        <f t="shared" si="466"/>
        <v>49.121445501011884</v>
      </c>
      <c r="S1319">
        <f t="shared" si="467"/>
        <v>1.607117325011558</v>
      </c>
      <c r="T1319">
        <f t="shared" si="468"/>
        <v>1698.6471247701027</v>
      </c>
      <c r="U1319">
        <f t="shared" si="469"/>
        <v>76.005479863052159</v>
      </c>
      <c r="V1319">
        <f t="shared" si="470"/>
        <v>1.5029803571507063</v>
      </c>
      <c r="W1319">
        <f t="shared" si="471"/>
        <v>1096.0864892942216</v>
      </c>
      <c r="X1319">
        <f t="shared" si="472"/>
        <v>117.78859706525363</v>
      </c>
      <c r="Y1319">
        <f t="shared" si="473"/>
        <v>1.4523789338572524</v>
      </c>
      <c r="Z1319">
        <f t="shared" si="474"/>
        <v>6000</v>
      </c>
      <c r="AA1319">
        <f t="shared" si="475"/>
        <v>21.517748306024252</v>
      </c>
      <c r="AB1319">
        <f t="shared" si="476"/>
        <v>6.9029128743775496</v>
      </c>
      <c r="AC1319">
        <f t="shared" si="477"/>
        <v>6000</v>
      </c>
      <c r="AD1319">
        <f t="shared" si="478"/>
        <v>21.517748306024252</v>
      </c>
      <c r="AE1319">
        <f t="shared" si="479"/>
        <v>6.9029128743775496</v>
      </c>
      <c r="AF1319">
        <f t="shared" si="480"/>
        <v>6000</v>
      </c>
      <c r="AG1319">
        <f t="shared" si="481"/>
        <v>21.517748306024252</v>
      </c>
      <c r="AH1319">
        <f t="shared" si="482"/>
        <v>6.9029128743775496</v>
      </c>
      <c r="AI1319" cm="1">
        <f t="array" ref="AI1319">_xlfn.LET(
    _xlpm.vals,   _xlfn.HSTACK(S1319,V1319,Y1319,AB1319,AE1319,AH1319),
    _xlpm.ints,   _xlfn.HSTACK(R1319,U1319,X1319,AA1319,AD1319,AG1319),
    _xlpm.slopes, _xlfn.HSTACK(Q1319,T1319,W1319,Z1319,AC1319,AF1319),
    _xlpm.limit,  -0.00001*_xlpm.slopes + 0.1086*_xlpm.slopes + 63.253,
    _xlpm.mask,   (_xlpm.vals&gt;=0) * (_xlpm.ints&lt;=_xlpm.limit),
    _xlpm.validVals, _xlfn._xlws.FILTER(_xlpm.vals, _xlpm.mask),
    _xlpm.minVal, MIN(_xlpm.validVals),
    IFERROR( _xlfn.XMATCH(_xlpm.minVal, _xlpm.vals), "" )
)</f>
        <v>3</v>
      </c>
      <c r="AJ1319" cm="1">
        <f t="array" ref="AJ1319">_xlfn.LET(
    _xlpm.vals, CHOOSE({1,2,3,4,5,6}, S1319, V1319, Y1319, AB1319, AE1319, AH1319),
    _xlpm.slopes, CHOOSE({1,2,3,4,5,6}, Q1319, T1319, W1319, Z1319, AC1319, AF1319),
    _xlpm.ints, CHOOSE({1,2,3,4,5,6}, R1319, U1319, X1319, AA1319, AD1319, AG1319),
    _xlpm.limit, -0.00001*_xlpm.slopes + 0.1086*_xlpm.slopes + 63.253,
    _xlpm.valid, (_xlpm.vals &gt;= 0) * (_xlpm.ints &lt;= _xlpm.limit),
    _xlpm.target, MIN(_xlfn._xlws.FILTER(_xlpm.vals, _xlpm.valid)),
    IFERROR(
        _xlfn.XLOOKUP(_xlpm.target, _xlpm.vals, _xlpm.vals),
        CHOOSE({1,2,3,4,5,6}, S$1, V$1, Y$1, AB$1, AE$1, AH$1)
    )
)</f>
        <v>1.4523789338572524</v>
      </c>
    </row>
    <row r="1320" spans="9:36" x14ac:dyDescent="0.45">
      <c r="I1320">
        <v>1318</v>
      </c>
      <c r="J1320">
        <v>15.3</v>
      </c>
      <c r="K1320">
        <f t="shared" si="461"/>
        <v>15.3</v>
      </c>
      <c r="L1320">
        <f t="shared" si="460"/>
        <v>4.2500000000000003E-3</v>
      </c>
      <c r="M1320">
        <v>13.86</v>
      </c>
      <c r="N1320">
        <f t="shared" si="462"/>
        <v>13.86</v>
      </c>
      <c r="O1320">
        <f t="shared" si="463"/>
        <v>198.82629664382716</v>
      </c>
      <c r="P1320">
        <f t="shared" si="464"/>
        <v>636.24414926024701</v>
      </c>
      <c r="Q1320">
        <f t="shared" si="465"/>
        <v>2913.9982036119313</v>
      </c>
      <c r="R1320">
        <f t="shared" si="466"/>
        <v>45.419812033915093</v>
      </c>
      <c r="S1320">
        <f t="shared" si="467"/>
        <v>1.7298619473948458</v>
      </c>
      <c r="T1320">
        <f t="shared" si="468"/>
        <v>1883.282681810331</v>
      </c>
      <c r="U1320">
        <f t="shared" si="469"/>
        <v>70.277952403828081</v>
      </c>
      <c r="V1320">
        <f t="shared" si="470"/>
        <v>1.5346632791736945</v>
      </c>
      <c r="W1320">
        <f t="shared" si="471"/>
        <v>1215.2263250870717</v>
      </c>
      <c r="X1320">
        <f t="shared" si="472"/>
        <v>108.91242885619432</v>
      </c>
      <c r="Y1320">
        <f t="shared" si="473"/>
        <v>1.5116615235265989</v>
      </c>
      <c r="Z1320">
        <f t="shared" si="474"/>
        <v>6000</v>
      </c>
      <c r="AA1320">
        <f t="shared" si="475"/>
        <v>22.058875112536693</v>
      </c>
      <c r="AB1320">
        <f t="shared" si="476"/>
        <v>6.9098310786290211</v>
      </c>
      <c r="AC1320">
        <f t="shared" si="477"/>
        <v>6000</v>
      </c>
      <c r="AD1320">
        <f t="shared" si="478"/>
        <v>22.058875112536693</v>
      </c>
      <c r="AE1320">
        <f t="shared" si="479"/>
        <v>6.9098310786290211</v>
      </c>
      <c r="AF1320">
        <f t="shared" si="480"/>
        <v>6000</v>
      </c>
      <c r="AG1320">
        <f t="shared" si="481"/>
        <v>22.058875112536693</v>
      </c>
      <c r="AH1320">
        <f t="shared" si="482"/>
        <v>6.9098310786290211</v>
      </c>
      <c r="AI1320" cm="1">
        <f t="array" ref="AI1320">_xlfn.LET(
    _xlpm.vals,   _xlfn.HSTACK(S1320,V1320,Y1320,AB1320,AE1320,AH1320),
    _xlpm.ints,   _xlfn.HSTACK(R1320,U1320,X1320,AA1320,AD1320,AG1320),
    _xlpm.slopes, _xlfn.HSTACK(Q1320,T1320,W1320,Z1320,AC1320,AF1320),
    _xlpm.limit,  -0.00001*_xlpm.slopes + 0.1086*_xlpm.slopes + 63.253,
    _xlpm.mask,   (_xlpm.vals&gt;=0) * (_xlpm.ints&lt;=_xlpm.limit),
    _xlpm.validVals, _xlfn._xlws.FILTER(_xlpm.vals, _xlpm.mask),
    _xlpm.minVal, MIN(_xlpm.validVals),
    IFERROR( _xlfn.XMATCH(_xlpm.minVal, _xlpm.vals), "" )
)</f>
        <v>3</v>
      </c>
      <c r="AJ1320" cm="1">
        <f t="array" ref="AJ1320">_xlfn.LET(
    _xlpm.vals, CHOOSE({1,2,3,4,5,6}, S1320, V1320, Y1320, AB1320, AE1320, AH1320),
    _xlpm.slopes, CHOOSE({1,2,3,4,5,6}, Q1320, T1320, W1320, Z1320, AC1320, AF1320),
    _xlpm.ints, CHOOSE({1,2,3,4,5,6}, R1320, U1320, X1320, AA1320, AD1320, AG1320),
    _xlpm.limit, -0.00001*_xlpm.slopes + 0.1086*_xlpm.slopes + 63.253,
    _xlpm.valid, (_xlpm.vals &gt;= 0) * (_xlpm.ints &lt;= _xlpm.limit),
    _xlpm.target, MIN(_xlfn._xlws.FILTER(_xlpm.vals, _xlpm.valid)),
    IFERROR(
        _xlfn.XLOOKUP(_xlpm.target, _xlpm.vals, _xlpm.vals),
        CHOOSE({1,2,3,4,5,6}, S$1, V$1, Y$1, AB$1, AE$1, AH$1)
    )
)</f>
        <v>1.5116615235265989</v>
      </c>
    </row>
    <row r="1321" spans="9:36" x14ac:dyDescent="0.45">
      <c r="I1321">
        <v>1319</v>
      </c>
      <c r="J1321">
        <v>16.7</v>
      </c>
      <c r="K1321">
        <f t="shared" si="461"/>
        <v>16.7</v>
      </c>
      <c r="L1321">
        <f t="shared" si="460"/>
        <v>4.6388888888888886E-3</v>
      </c>
      <c r="M1321">
        <v>15.32</v>
      </c>
      <c r="N1321">
        <f t="shared" si="462"/>
        <v>15.32</v>
      </c>
      <c r="O1321">
        <f t="shared" si="463"/>
        <v>217.01955254587668</v>
      </c>
      <c r="P1321">
        <f t="shared" si="464"/>
        <v>694.46256814680544</v>
      </c>
      <c r="Q1321">
        <f t="shared" si="465"/>
        <v>3180.6385621123691</v>
      </c>
      <c r="R1321">
        <f t="shared" si="466"/>
        <v>45.99555115527199</v>
      </c>
      <c r="S1321">
        <f t="shared" si="467"/>
        <v>1.9553402915287537</v>
      </c>
      <c r="T1321">
        <f t="shared" si="468"/>
        <v>2055.6092017145443</v>
      </c>
      <c r="U1321">
        <f t="shared" si="469"/>
        <v>71.168791990251918</v>
      </c>
      <c r="V1321">
        <f t="shared" si="470"/>
        <v>1.6663257727603207</v>
      </c>
      <c r="W1321">
        <f t="shared" si="471"/>
        <v>1326.4235051603982</v>
      </c>
      <c r="X1321">
        <f t="shared" si="472"/>
        <v>110.29299701107107</v>
      </c>
      <c r="Y1321">
        <f t="shared" si="473"/>
        <v>1.6471723426342124</v>
      </c>
      <c r="Z1321">
        <f t="shared" si="474"/>
        <v>1000.0260981313997</v>
      </c>
      <c r="AA1321">
        <f t="shared" si="475"/>
        <v>146.29140575774008</v>
      </c>
      <c r="AB1321">
        <f t="shared" si="476"/>
        <v>1.4689088132181272</v>
      </c>
      <c r="AC1321">
        <f t="shared" si="477"/>
        <v>6000</v>
      </c>
      <c r="AD1321">
        <f t="shared" si="478"/>
        <v>24.382537281678367</v>
      </c>
      <c r="AE1321">
        <f t="shared" si="479"/>
        <v>6.9404951745284693</v>
      </c>
      <c r="AF1321">
        <f t="shared" si="480"/>
        <v>6000</v>
      </c>
      <c r="AG1321">
        <f t="shared" si="481"/>
        <v>24.382537281678367</v>
      </c>
      <c r="AH1321">
        <f t="shared" si="482"/>
        <v>6.9404951745284693</v>
      </c>
      <c r="AI1321" cm="1">
        <f t="array" ref="AI1321">_xlfn.LET(
    _xlpm.vals,   _xlfn.HSTACK(S1321,V1321,Y1321,AB1321,AE1321,AH1321),
    _xlpm.ints,   _xlfn.HSTACK(R1321,U1321,X1321,AA1321,AD1321,AG1321),
    _xlpm.slopes, _xlfn.HSTACK(Q1321,T1321,W1321,Z1321,AC1321,AF1321),
    _xlpm.limit,  -0.00001*_xlpm.slopes + 0.1086*_xlpm.slopes + 63.253,
    _xlpm.mask,   (_xlpm.vals&gt;=0) * (_xlpm.ints&lt;=_xlpm.limit),
    _xlpm.validVals, _xlfn._xlws.FILTER(_xlpm.vals, _xlpm.mask),
    _xlpm.minVal, MIN(_xlpm.validVals),
    IFERROR( _xlfn.XMATCH(_xlpm.minVal, _xlpm.vals), "" )
)</f>
        <v>4</v>
      </c>
      <c r="AJ1321" cm="1">
        <f t="array" ref="AJ1321">_xlfn.LET(
    _xlpm.vals, CHOOSE({1,2,3,4,5,6}, S1321, V1321, Y1321, AB1321, AE1321, AH1321),
    _xlpm.slopes, CHOOSE({1,2,3,4,5,6}, Q1321, T1321, W1321, Z1321, AC1321, AF1321),
    _xlpm.ints, CHOOSE({1,2,3,4,5,6}, R1321, U1321, X1321, AA1321, AD1321, AG1321),
    _xlpm.limit, -0.00001*_xlpm.slopes + 0.1086*_xlpm.slopes + 63.253,
    _xlpm.valid, (_xlpm.vals &gt;= 0) * (_xlpm.ints &lt;= _xlpm.limit),
    _xlpm.target, MIN(_xlfn._xlws.FILTER(_xlpm.vals, _xlpm.valid)),
    IFERROR(
        _xlfn.XLOOKUP(_xlpm.target, _xlpm.vals, _xlpm.vals),
        CHOOSE({1,2,3,4,5,6}, S$1, V$1, Y$1, AB$1, AE$1, AH$1)
    )
)</f>
        <v>1.4689088132181272</v>
      </c>
    </row>
    <row r="1322" spans="9:36" x14ac:dyDescent="0.45">
      <c r="I1322">
        <v>1320</v>
      </c>
      <c r="J1322">
        <v>18.100000000000001</v>
      </c>
      <c r="K1322">
        <f t="shared" si="461"/>
        <v>18.100000000000001</v>
      </c>
      <c r="L1322">
        <f t="shared" si="460"/>
        <v>5.0277777777777786E-3</v>
      </c>
      <c r="M1322">
        <v>13.89</v>
      </c>
      <c r="N1322">
        <f t="shared" si="462"/>
        <v>13.89</v>
      </c>
      <c r="O1322">
        <f t="shared" si="463"/>
        <v>235.21280844792625</v>
      </c>
      <c r="P1322">
        <f t="shared" si="464"/>
        <v>752.68098703336409</v>
      </c>
      <c r="Q1322">
        <f t="shared" si="465"/>
        <v>3447.2789206128077</v>
      </c>
      <c r="R1322">
        <f t="shared" si="466"/>
        <v>38.476645675426461</v>
      </c>
      <c r="S1322">
        <f t="shared" si="467"/>
        <v>2.0349740146319251</v>
      </c>
      <c r="T1322">
        <f t="shared" si="468"/>
        <v>2227.9357216187577</v>
      </c>
      <c r="U1322">
        <f t="shared" si="469"/>
        <v>59.534809862653098</v>
      </c>
      <c r="V1322">
        <f t="shared" si="470"/>
        <v>1.5590152557760619</v>
      </c>
      <c r="W1322">
        <f t="shared" si="471"/>
        <v>1437.6206852337255</v>
      </c>
      <c r="X1322">
        <f t="shared" si="472"/>
        <v>92.263370258352452</v>
      </c>
      <c r="Y1322">
        <f t="shared" si="473"/>
        <v>1.5353417516422259</v>
      </c>
      <c r="Z1322">
        <f t="shared" si="474"/>
        <v>1083.8606213280443</v>
      </c>
      <c r="AA1322">
        <f t="shared" si="475"/>
        <v>122.37710916212028</v>
      </c>
      <c r="AB1322">
        <f t="shared" si="476"/>
        <v>1.4712411958164822</v>
      </c>
      <c r="AC1322">
        <f t="shared" si="477"/>
        <v>6000</v>
      </c>
      <c r="AD1322">
        <f t="shared" si="478"/>
        <v>22.106621595464265</v>
      </c>
      <c r="AE1322">
        <f t="shared" si="479"/>
        <v>6.9104455707367922</v>
      </c>
      <c r="AF1322">
        <f t="shared" si="480"/>
        <v>6000</v>
      </c>
      <c r="AG1322">
        <f t="shared" si="481"/>
        <v>22.106621595464265</v>
      </c>
      <c r="AH1322">
        <f t="shared" si="482"/>
        <v>6.9104455707367922</v>
      </c>
      <c r="AI1322" cm="1">
        <f t="array" ref="AI1322">_xlfn.LET(
    _xlpm.vals,   _xlfn.HSTACK(S1322,V1322,Y1322,AB1322,AE1322,AH1322),
    _xlpm.ints,   _xlfn.HSTACK(R1322,U1322,X1322,AA1322,AD1322,AG1322),
    _xlpm.slopes, _xlfn.HSTACK(Q1322,T1322,W1322,Z1322,AC1322,AF1322),
    _xlpm.limit,  -0.00001*_xlpm.slopes + 0.1086*_xlpm.slopes + 63.253,
    _xlpm.mask,   (_xlpm.vals&gt;=0) * (_xlpm.ints&lt;=_xlpm.limit),
    _xlpm.validVals, _xlfn._xlws.FILTER(_xlpm.vals, _xlpm.mask),
    _xlpm.minVal, MIN(_xlpm.validVals),
    IFERROR( _xlfn.XMATCH(_xlpm.minVal, _xlpm.vals), "" )
)</f>
        <v>4</v>
      </c>
      <c r="AJ1322" cm="1">
        <f t="array" ref="AJ1322">_xlfn.LET(
    _xlpm.vals, CHOOSE({1,2,3,4,5,6}, S1322, V1322, Y1322, AB1322, AE1322, AH1322),
    _xlpm.slopes, CHOOSE({1,2,3,4,5,6}, Q1322, T1322, W1322, Z1322, AC1322, AF1322),
    _xlpm.ints, CHOOSE({1,2,3,4,5,6}, R1322, U1322, X1322, AA1322, AD1322, AG1322),
    _xlpm.limit, -0.00001*_xlpm.slopes + 0.1086*_xlpm.slopes + 63.253,
    _xlpm.valid, (_xlpm.vals &gt;= 0) * (_xlpm.ints &lt;= _xlpm.limit),
    _xlpm.target, MIN(_xlfn._xlws.FILTER(_xlpm.vals, _xlpm.valid)),
    IFERROR(
        _xlfn.XLOOKUP(_xlpm.target, _xlpm.vals, _xlpm.vals),
        CHOOSE({1,2,3,4,5,6}, S$1, V$1, Y$1, AB$1, AE$1, AH$1)
    )
)</f>
        <v>1.4712411958164822</v>
      </c>
    </row>
    <row r="1323" spans="9:36" x14ac:dyDescent="0.45">
      <c r="I1323">
        <v>1321</v>
      </c>
      <c r="J1323">
        <v>19.7</v>
      </c>
      <c r="K1323">
        <f t="shared" si="461"/>
        <v>19.7</v>
      </c>
      <c r="L1323">
        <f t="shared" si="460"/>
        <v>5.4722222222222221E-3</v>
      </c>
      <c r="M1323">
        <v>13.79</v>
      </c>
      <c r="N1323">
        <f t="shared" si="462"/>
        <v>13.79</v>
      </c>
      <c r="O1323">
        <f t="shared" si="463"/>
        <v>256.00510090741142</v>
      </c>
      <c r="P1323">
        <f t="shared" si="464"/>
        <v>819.21632290371656</v>
      </c>
      <c r="Q1323">
        <f t="shared" si="465"/>
        <v>3752.0107588990218</v>
      </c>
      <c r="R1323">
        <f t="shared" si="466"/>
        <v>35.097127480752583</v>
      </c>
      <c r="S1323">
        <f t="shared" si="467"/>
        <v>2.2868131586305593</v>
      </c>
      <c r="T1323">
        <f t="shared" si="468"/>
        <v>2424.880315795001</v>
      </c>
      <c r="U1323">
        <f t="shared" si="469"/>
        <v>54.305690493867168</v>
      </c>
      <c r="V1323">
        <f t="shared" si="470"/>
        <v>1.580441057306353</v>
      </c>
      <c r="W1323">
        <f t="shared" si="471"/>
        <v>1564.7031767460985</v>
      </c>
      <c r="X1323">
        <f t="shared" si="472"/>
        <v>84.159604116150163</v>
      </c>
      <c r="Y1323">
        <f t="shared" si="473"/>
        <v>1.5276466686934174</v>
      </c>
      <c r="Z1323">
        <f t="shared" si="474"/>
        <v>1179.6715049813517</v>
      </c>
      <c r="AA1323">
        <f t="shared" si="475"/>
        <v>111.62836379294919</v>
      </c>
      <c r="AB1323">
        <f t="shared" si="476"/>
        <v>1.4982691098230307</v>
      </c>
      <c r="AC1323">
        <f t="shared" si="477"/>
        <v>6000</v>
      </c>
      <c r="AD1323">
        <f t="shared" si="478"/>
        <v>21.947466652372366</v>
      </c>
      <c r="AE1323">
        <f t="shared" si="479"/>
        <v>6.9083998228849834</v>
      </c>
      <c r="AF1323">
        <f t="shared" si="480"/>
        <v>6000</v>
      </c>
      <c r="AG1323">
        <f t="shared" si="481"/>
        <v>21.947466652372366</v>
      </c>
      <c r="AH1323">
        <f t="shared" si="482"/>
        <v>6.9083998228849834</v>
      </c>
      <c r="AI1323" cm="1">
        <f t="array" ref="AI1323">_xlfn.LET(
    _xlpm.vals,   _xlfn.HSTACK(S1323,V1323,Y1323,AB1323,AE1323,AH1323),
    _xlpm.ints,   _xlfn.HSTACK(R1323,U1323,X1323,AA1323,AD1323,AG1323),
    _xlpm.slopes, _xlfn.HSTACK(Q1323,T1323,W1323,Z1323,AC1323,AF1323),
    _xlpm.limit,  -0.00001*_xlpm.slopes + 0.1086*_xlpm.slopes + 63.253,
    _xlpm.mask,   (_xlpm.vals&gt;=0) * (_xlpm.ints&lt;=_xlpm.limit),
    _xlpm.validVals, _xlfn._xlws.FILTER(_xlpm.vals, _xlpm.mask),
    _xlpm.minVal, MIN(_xlpm.validVals),
    IFERROR( _xlfn.XMATCH(_xlpm.minVal, _xlpm.vals), "" )
)</f>
        <v>4</v>
      </c>
      <c r="AJ1323" cm="1">
        <f t="array" ref="AJ1323">_xlfn.LET(
    _xlpm.vals, CHOOSE({1,2,3,4,5,6}, S1323, V1323, Y1323, AB1323, AE1323, AH1323),
    _xlpm.slopes, CHOOSE({1,2,3,4,5,6}, Q1323, T1323, W1323, Z1323, AC1323, AF1323),
    _xlpm.ints, CHOOSE({1,2,3,4,5,6}, R1323, U1323, X1323, AA1323, AD1323, AG1323),
    _xlpm.limit, -0.00001*_xlpm.slopes + 0.1086*_xlpm.slopes + 63.253,
    _xlpm.valid, (_xlpm.vals &gt;= 0) * (_xlpm.ints &lt;= _xlpm.limit),
    _xlpm.target, MIN(_xlfn._xlws.FILTER(_xlpm.vals, _xlpm.valid)),
    IFERROR(
        _xlfn.XLOOKUP(_xlpm.target, _xlpm.vals, _xlpm.vals),
        CHOOSE({1,2,3,4,5,6}, S$1, V$1, Y$1, AB$1, AE$1, AH$1)
    )
)</f>
        <v>1.4982691098230307</v>
      </c>
    </row>
    <row r="1324" spans="9:36" x14ac:dyDescent="0.45">
      <c r="I1324">
        <v>1322</v>
      </c>
      <c r="J1324">
        <v>20.9</v>
      </c>
      <c r="K1324">
        <f t="shared" si="461"/>
        <v>20.9</v>
      </c>
      <c r="L1324">
        <f t="shared" si="460"/>
        <v>5.8055555555555551E-3</v>
      </c>
      <c r="M1324">
        <v>11.72</v>
      </c>
      <c r="N1324">
        <f t="shared" si="462"/>
        <v>11.72</v>
      </c>
      <c r="O1324">
        <f t="shared" si="463"/>
        <v>271.59932025202534</v>
      </c>
      <c r="P1324">
        <f t="shared" si="464"/>
        <v>869.11782480648117</v>
      </c>
      <c r="Q1324">
        <f t="shared" si="465"/>
        <v>3980.5596376136837</v>
      </c>
      <c r="R1324">
        <f t="shared" si="466"/>
        <v>28.116085719372535</v>
      </c>
      <c r="S1324">
        <f t="shared" si="467"/>
        <v>2.423324361514644</v>
      </c>
      <c r="T1324">
        <f t="shared" si="468"/>
        <v>2572.5887614271842</v>
      </c>
      <c r="U1324">
        <f t="shared" si="469"/>
        <v>43.503943444164257</v>
      </c>
      <c r="V1324">
        <f t="shared" si="470"/>
        <v>1.4591880781269024</v>
      </c>
      <c r="W1324">
        <f t="shared" si="471"/>
        <v>1660.015045380379</v>
      </c>
      <c r="X1324">
        <f t="shared" si="472"/>
        <v>67.419723871584409</v>
      </c>
      <c r="Y1324">
        <f t="shared" si="473"/>
        <v>1.3417945827760009</v>
      </c>
      <c r="Z1324">
        <f t="shared" si="474"/>
        <v>1251.5296677213328</v>
      </c>
      <c r="AA1324">
        <f t="shared" si="475"/>
        <v>89.424772635226546</v>
      </c>
      <c r="AB1324">
        <f t="shared" si="476"/>
        <v>1.3355900343581242</v>
      </c>
      <c r="AC1324">
        <f t="shared" si="477"/>
        <v>6000</v>
      </c>
      <c r="AD1324">
        <f t="shared" si="478"/>
        <v>18.652959330370134</v>
      </c>
      <c r="AE1324">
        <f t="shared" si="479"/>
        <v>6.8677085418521182</v>
      </c>
      <c r="AF1324">
        <f t="shared" si="480"/>
        <v>6000</v>
      </c>
      <c r="AG1324">
        <f t="shared" si="481"/>
        <v>18.652959330370134</v>
      </c>
      <c r="AH1324">
        <f t="shared" si="482"/>
        <v>6.8677085418521182</v>
      </c>
      <c r="AI1324" cm="1">
        <f t="array" ref="AI1324">_xlfn.LET(
    _xlpm.vals,   _xlfn.HSTACK(S1324,V1324,Y1324,AB1324,AE1324,AH1324),
    _xlpm.ints,   _xlfn.HSTACK(R1324,U1324,X1324,AA1324,AD1324,AG1324),
    _xlpm.slopes, _xlfn.HSTACK(Q1324,T1324,W1324,Z1324,AC1324,AF1324),
    _xlpm.limit,  -0.00001*_xlpm.slopes + 0.1086*_xlpm.slopes + 63.253,
    _xlpm.mask,   (_xlpm.vals&gt;=0) * (_xlpm.ints&lt;=_xlpm.limit),
    _xlpm.validVals, _xlfn._xlws.FILTER(_xlpm.vals, _xlpm.mask),
    _xlpm.minVal, MIN(_xlpm.validVals),
    IFERROR( _xlfn.XMATCH(_xlpm.minVal, _xlpm.vals), "" )
)</f>
        <v>4</v>
      </c>
      <c r="AJ1324" cm="1">
        <f t="array" ref="AJ1324">_xlfn.LET(
    _xlpm.vals, CHOOSE({1,2,3,4,5,6}, S1324, V1324, Y1324, AB1324, AE1324, AH1324),
    _xlpm.slopes, CHOOSE({1,2,3,4,5,6}, Q1324, T1324, W1324, Z1324, AC1324, AF1324),
    _xlpm.ints, CHOOSE({1,2,3,4,5,6}, R1324, U1324, X1324, AA1324, AD1324, AG1324),
    _xlpm.limit, -0.00001*_xlpm.slopes + 0.1086*_xlpm.slopes + 63.253,
    _xlpm.valid, (_xlpm.vals &gt;= 0) * (_xlpm.ints &lt;= _xlpm.limit),
    _xlpm.target, MIN(_xlfn._xlws.FILTER(_xlpm.vals, _xlpm.valid)),
    IFERROR(
        _xlfn.XLOOKUP(_xlpm.target, _xlpm.vals, _xlpm.vals),
        CHOOSE({1,2,3,4,5,6}, S$1, V$1, Y$1, AB$1, AE$1, AH$1)
    )
)</f>
        <v>1.3355900343581242</v>
      </c>
    </row>
    <row r="1325" spans="9:36" x14ac:dyDescent="0.45">
      <c r="I1325">
        <v>1323</v>
      </c>
      <c r="J1325">
        <v>21.4</v>
      </c>
      <c r="K1325">
        <f t="shared" si="461"/>
        <v>21.4</v>
      </c>
      <c r="L1325">
        <f t="shared" si="460"/>
        <v>5.944444444444444E-3</v>
      </c>
      <c r="M1325">
        <v>8.9499999999999993</v>
      </c>
      <c r="N1325">
        <f t="shared" si="462"/>
        <v>8.9499999999999993</v>
      </c>
      <c r="O1325">
        <f t="shared" si="463"/>
        <v>278.09691164561445</v>
      </c>
      <c r="P1325">
        <f t="shared" si="464"/>
        <v>889.91011726596628</v>
      </c>
      <c r="Q1325">
        <f t="shared" si="465"/>
        <v>4075.7883370781256</v>
      </c>
      <c r="R1325">
        <f t="shared" si="466"/>
        <v>20.96924505692494</v>
      </c>
      <c r="S1325">
        <f t="shared" si="467"/>
        <v>2.4125495598626947</v>
      </c>
      <c r="T1325">
        <f t="shared" si="468"/>
        <v>2634.1339471072602</v>
      </c>
      <c r="U1325">
        <f t="shared" si="469"/>
        <v>32.445656202944669</v>
      </c>
      <c r="V1325">
        <f t="shared" si="470"/>
        <v>1.2854073736144878</v>
      </c>
      <c r="W1325">
        <f t="shared" si="471"/>
        <v>1699.7283239779956</v>
      </c>
      <c r="X1325">
        <f t="shared" si="472"/>
        <v>50.282273487285977</v>
      </c>
      <c r="Y1325">
        <f t="shared" si="473"/>
        <v>1.1007125828590438</v>
      </c>
      <c r="Z1325">
        <f t="shared" si="474"/>
        <v>1281.4705688629913</v>
      </c>
      <c r="AA1325">
        <f t="shared" si="475"/>
        <v>66.693848861608487</v>
      </c>
      <c r="AB1325">
        <f t="shared" si="476"/>
        <v>1.0837380569318356</v>
      </c>
      <c r="AC1325">
        <f t="shared" si="477"/>
        <v>6000</v>
      </c>
      <c r="AD1325">
        <f t="shared" si="478"/>
        <v>14.244367406724633</v>
      </c>
      <c r="AE1325">
        <f t="shared" si="479"/>
        <v>6.8182914839438107</v>
      </c>
      <c r="AF1325">
        <f t="shared" si="480"/>
        <v>6000</v>
      </c>
      <c r="AG1325">
        <f t="shared" si="481"/>
        <v>14.244367406724633</v>
      </c>
      <c r="AH1325">
        <f t="shared" si="482"/>
        <v>6.8182914839438107</v>
      </c>
      <c r="AI1325" cm="1">
        <f t="array" ref="AI1325">_xlfn.LET(
    _xlpm.vals,   _xlfn.HSTACK(S1325,V1325,Y1325,AB1325,AE1325,AH1325),
    _xlpm.ints,   _xlfn.HSTACK(R1325,U1325,X1325,AA1325,AD1325,AG1325),
    _xlpm.slopes, _xlfn.HSTACK(Q1325,T1325,W1325,Z1325,AC1325,AF1325),
    _xlpm.limit,  -0.00001*_xlpm.slopes + 0.1086*_xlpm.slopes + 63.253,
    _xlpm.mask,   (_xlpm.vals&gt;=0) * (_xlpm.ints&lt;=_xlpm.limit),
    _xlpm.validVals, _xlfn._xlws.FILTER(_xlpm.vals, _xlpm.mask),
    _xlpm.minVal, MIN(_xlpm.validVals),
    IFERROR( _xlfn.XMATCH(_xlpm.minVal, _xlpm.vals), "" )
)</f>
        <v>4</v>
      </c>
      <c r="AJ1325" cm="1">
        <f t="array" ref="AJ1325">_xlfn.LET(
    _xlpm.vals, CHOOSE({1,2,3,4,5,6}, S1325, V1325, Y1325, AB1325, AE1325, AH1325),
    _xlpm.slopes, CHOOSE({1,2,3,4,5,6}, Q1325, T1325, W1325, Z1325, AC1325, AF1325),
    _xlpm.ints, CHOOSE({1,2,3,4,5,6}, R1325, U1325, X1325, AA1325, AD1325, AG1325),
    _xlpm.limit, -0.00001*_xlpm.slopes + 0.1086*_xlpm.slopes + 63.253,
    _xlpm.valid, (_xlpm.vals &gt;= 0) * (_xlpm.ints &lt;= _xlpm.limit),
    _xlpm.target, MIN(_xlfn._xlws.FILTER(_xlpm.vals, _xlpm.valid)),
    IFERROR(
        _xlfn.XLOOKUP(_xlpm.target, _xlpm.vals, _xlpm.vals),
        CHOOSE({1,2,3,4,5,6}, S$1, V$1, Y$1, AB$1, AE$1, AH$1)
    )
)</f>
        <v>1.0837380569318356</v>
      </c>
    </row>
    <row r="1326" spans="9:36" x14ac:dyDescent="0.45">
      <c r="I1326">
        <v>1324</v>
      </c>
      <c r="J1326">
        <v>21.9</v>
      </c>
      <c r="K1326">
        <f t="shared" si="461"/>
        <v>21.9</v>
      </c>
      <c r="L1326">
        <f t="shared" si="460"/>
        <v>6.083333333333333E-3</v>
      </c>
      <c r="M1326">
        <v>6.45</v>
      </c>
      <c r="N1326">
        <f t="shared" si="462"/>
        <v>6.45</v>
      </c>
      <c r="O1326">
        <f t="shared" si="463"/>
        <v>284.59450303920352</v>
      </c>
      <c r="P1326">
        <f t="shared" si="464"/>
        <v>910.70240972545128</v>
      </c>
      <c r="Q1326">
        <f t="shared" si="465"/>
        <v>4171.0170365425665</v>
      </c>
      <c r="R1326">
        <f t="shared" si="466"/>
        <v>14.766893167048543</v>
      </c>
      <c r="S1326">
        <f t="shared" si="467"/>
        <v>2.4369367555897665</v>
      </c>
      <c r="T1326">
        <f t="shared" si="468"/>
        <v>2695.6791327873357</v>
      </c>
      <c r="U1326">
        <f t="shared" si="469"/>
        <v>22.848773886852143</v>
      </c>
      <c r="V1326">
        <f t="shared" si="470"/>
        <v>1.1490249220995936</v>
      </c>
      <c r="W1326">
        <f t="shared" si="471"/>
        <v>1739.4416025756118</v>
      </c>
      <c r="X1326">
        <f t="shared" si="472"/>
        <v>35.409618170200176</v>
      </c>
      <c r="Y1326">
        <f t="shared" si="473"/>
        <v>0.89869765910922472</v>
      </c>
      <c r="Z1326">
        <f t="shared" si="474"/>
        <v>1311.4114700046498</v>
      </c>
      <c r="AA1326">
        <f t="shared" si="475"/>
        <v>46.966924100751619</v>
      </c>
      <c r="AB1326">
        <f t="shared" si="476"/>
        <v>0.85800650333006478</v>
      </c>
      <c r="AC1326">
        <f t="shared" si="477"/>
        <v>6000</v>
      </c>
      <c r="AD1326">
        <f t="shared" si="478"/>
        <v>10.26549382942725</v>
      </c>
      <c r="AE1326">
        <f t="shared" si="479"/>
        <v>6.7787743496957296</v>
      </c>
      <c r="AF1326">
        <f t="shared" si="480"/>
        <v>6000</v>
      </c>
      <c r="AG1326">
        <f t="shared" si="481"/>
        <v>10.26549382942725</v>
      </c>
      <c r="AH1326">
        <f t="shared" si="482"/>
        <v>6.7787743496957296</v>
      </c>
      <c r="AI1326" cm="1">
        <f t="array" ref="AI1326">_xlfn.LET(
    _xlpm.vals,   _xlfn.HSTACK(S1326,V1326,Y1326,AB1326,AE1326,AH1326),
    _xlpm.ints,   _xlfn.HSTACK(R1326,U1326,X1326,AA1326,AD1326,AG1326),
    _xlpm.slopes, _xlfn.HSTACK(Q1326,T1326,W1326,Z1326,AC1326,AF1326),
    _xlpm.limit,  -0.00001*_xlpm.slopes + 0.1086*_xlpm.slopes + 63.253,
    _xlpm.mask,   (_xlpm.vals&gt;=0) * (_xlpm.ints&lt;=_xlpm.limit),
    _xlpm.validVals, _xlfn._xlws.FILTER(_xlpm.vals, _xlpm.mask),
    _xlpm.minVal, MIN(_xlpm.validVals),
    IFERROR( _xlfn.XMATCH(_xlpm.minVal, _xlpm.vals), "" )
)</f>
        <v>4</v>
      </c>
      <c r="AJ1326" cm="1">
        <f t="array" ref="AJ1326">_xlfn.LET(
    _xlpm.vals, CHOOSE({1,2,3,4,5,6}, S1326, V1326, Y1326, AB1326, AE1326, AH1326),
    _xlpm.slopes, CHOOSE({1,2,3,4,5,6}, Q1326, T1326, W1326, Z1326, AC1326, AF1326),
    _xlpm.ints, CHOOSE({1,2,3,4,5,6}, R1326, U1326, X1326, AA1326, AD1326, AG1326),
    _xlpm.limit, -0.00001*_xlpm.slopes + 0.1086*_xlpm.slopes + 63.253,
    _xlpm.valid, (_xlpm.vals &gt;= 0) * (_xlpm.ints &lt;= _xlpm.limit),
    _xlpm.target, MIN(_xlfn._xlws.FILTER(_xlpm.vals, _xlpm.valid)),
    IFERROR(
        _xlfn.XLOOKUP(_xlpm.target, _xlpm.vals, _xlpm.vals),
        CHOOSE({1,2,3,4,5,6}, S$1, V$1, Y$1, AB$1, AE$1, AH$1)
    )
)</f>
        <v>0.85800650333006478</v>
      </c>
    </row>
    <row r="1327" spans="9:36" x14ac:dyDescent="0.45">
      <c r="I1327">
        <v>1325</v>
      </c>
      <c r="J1327">
        <v>22.2</v>
      </c>
      <c r="K1327">
        <f t="shared" si="461"/>
        <v>22.2</v>
      </c>
      <c r="L1327">
        <f t="shared" si="460"/>
        <v>6.1666666666666667E-3</v>
      </c>
      <c r="M1327">
        <v>4.76</v>
      </c>
      <c r="N1327">
        <f t="shared" si="462"/>
        <v>4.76</v>
      </c>
      <c r="O1327">
        <f t="shared" si="463"/>
        <v>288.49305787535701</v>
      </c>
      <c r="P1327">
        <f t="shared" si="464"/>
        <v>923.17778520114246</v>
      </c>
      <c r="Q1327">
        <f t="shared" si="465"/>
        <v>4228.1542562212326</v>
      </c>
      <c r="R1327">
        <f t="shared" si="466"/>
        <v>10.75047148059088</v>
      </c>
      <c r="S1327">
        <f t="shared" si="467"/>
        <v>2.455161687672232</v>
      </c>
      <c r="T1327">
        <f t="shared" si="468"/>
        <v>2732.6062441953818</v>
      </c>
      <c r="U1327">
        <f t="shared" si="469"/>
        <v>16.634175466589944</v>
      </c>
      <c r="V1327">
        <f t="shared" si="470"/>
        <v>1.0651167459856687</v>
      </c>
      <c r="W1327">
        <f t="shared" si="471"/>
        <v>1763.2695697341819</v>
      </c>
      <c r="X1327">
        <f t="shared" si="472"/>
        <v>25.778617477018976</v>
      </c>
      <c r="Y1327">
        <f t="shared" si="473"/>
        <v>0.77313808698595443</v>
      </c>
      <c r="Z1327">
        <f t="shared" si="474"/>
        <v>1329.376010689645</v>
      </c>
      <c r="AA1327">
        <f t="shared" si="475"/>
        <v>34.192471792434894</v>
      </c>
      <c r="AB1327">
        <f t="shared" si="476"/>
        <v>0.71471729086005309</v>
      </c>
      <c r="AC1327">
        <f t="shared" si="477"/>
        <v>6000</v>
      </c>
      <c r="AD1327">
        <f t="shared" si="478"/>
        <v>7.5757752911742182</v>
      </c>
      <c r="AE1327">
        <f t="shared" si="479"/>
        <v>6.7548618534698122</v>
      </c>
      <c r="AF1327">
        <f t="shared" si="480"/>
        <v>6000</v>
      </c>
      <c r="AG1327">
        <f t="shared" si="481"/>
        <v>7.5757752911742182</v>
      </c>
      <c r="AH1327">
        <f t="shared" si="482"/>
        <v>6.7548618534698122</v>
      </c>
      <c r="AI1327" cm="1">
        <f t="array" ref="AI1327">_xlfn.LET(
    _xlpm.vals,   _xlfn.HSTACK(S1327,V1327,Y1327,AB1327,AE1327,AH1327),
    _xlpm.ints,   _xlfn.HSTACK(R1327,U1327,X1327,AA1327,AD1327,AG1327),
    _xlpm.slopes, _xlfn.HSTACK(Q1327,T1327,W1327,Z1327,AC1327,AF1327),
    _xlpm.limit,  -0.00001*_xlpm.slopes + 0.1086*_xlpm.slopes + 63.253,
    _xlpm.mask,   (_xlpm.vals&gt;=0) * (_xlpm.ints&lt;=_xlpm.limit),
    _xlpm.validVals, _xlfn._xlws.FILTER(_xlpm.vals, _xlpm.mask),
    _xlpm.minVal, MIN(_xlpm.validVals),
    IFERROR( _xlfn.XMATCH(_xlpm.minVal, _xlpm.vals), "" )
)</f>
        <v>4</v>
      </c>
      <c r="AJ1327" cm="1">
        <f t="array" ref="AJ1327">_xlfn.LET(
    _xlpm.vals, CHOOSE({1,2,3,4,5,6}, S1327, V1327, Y1327, AB1327, AE1327, AH1327),
    _xlpm.slopes, CHOOSE({1,2,3,4,5,6}, Q1327, T1327, W1327, Z1327, AC1327, AF1327),
    _xlpm.ints, CHOOSE({1,2,3,4,5,6}, R1327, U1327, X1327, AA1327, AD1327, AG1327),
    _xlpm.limit, -0.00001*_xlpm.slopes + 0.1086*_xlpm.slopes + 63.253,
    _xlpm.valid, (_xlpm.vals &gt;= 0) * (_xlpm.ints &lt;= _xlpm.limit),
    _xlpm.target, MIN(_xlfn._xlws.FILTER(_xlpm.vals, _xlpm.valid)),
    IFERROR(
        _xlfn.XLOOKUP(_xlpm.target, _xlpm.vals, _xlpm.vals),
        CHOOSE({1,2,3,4,5,6}, S$1, V$1, Y$1, AB$1, AE$1, AH$1)
    )
)</f>
        <v>0.71471729086005309</v>
      </c>
    </row>
    <row r="1328" spans="9:36" x14ac:dyDescent="0.45">
      <c r="I1328">
        <v>1326</v>
      </c>
      <c r="J1328">
        <v>22.4</v>
      </c>
      <c r="K1328">
        <f t="shared" si="461"/>
        <v>22.4</v>
      </c>
      <c r="L1328">
        <f t="shared" si="460"/>
        <v>6.2222222222222219E-3</v>
      </c>
      <c r="M1328">
        <v>4.88</v>
      </c>
      <c r="N1328">
        <f t="shared" si="462"/>
        <v>4.88</v>
      </c>
      <c r="O1328">
        <f t="shared" si="463"/>
        <v>291.09209443279269</v>
      </c>
      <c r="P1328">
        <f t="shared" si="464"/>
        <v>931.49470218493661</v>
      </c>
      <c r="Q1328">
        <f t="shared" si="465"/>
        <v>4266.2457360070093</v>
      </c>
      <c r="R1328">
        <f t="shared" si="466"/>
        <v>10.923085593499529</v>
      </c>
      <c r="S1328">
        <f t="shared" si="467"/>
        <v>2.5168289292908272</v>
      </c>
      <c r="T1328">
        <f t="shared" si="468"/>
        <v>2757.2243184674126</v>
      </c>
      <c r="U1328">
        <f t="shared" si="469"/>
        <v>16.901260816968865</v>
      </c>
      <c r="V1328">
        <f t="shared" si="470"/>
        <v>1.0839437511532126</v>
      </c>
      <c r="W1328">
        <f t="shared" si="471"/>
        <v>1779.1548811732289</v>
      </c>
      <c r="X1328">
        <f t="shared" si="472"/>
        <v>26.192529852475307</v>
      </c>
      <c r="Y1328">
        <f t="shared" si="473"/>
        <v>0.78463814868080339</v>
      </c>
      <c r="Z1328">
        <f t="shared" si="474"/>
        <v>1341.3523711463088</v>
      </c>
      <c r="AA1328">
        <f t="shared" si="475"/>
        <v>34.741480568213774</v>
      </c>
      <c r="AB1328">
        <f t="shared" si="476"/>
        <v>0.72595716123227383</v>
      </c>
      <c r="AC1328">
        <f t="shared" si="477"/>
        <v>6000</v>
      </c>
      <c r="AD1328">
        <f t="shared" si="478"/>
        <v>7.7667612228844929</v>
      </c>
      <c r="AE1328">
        <f t="shared" si="479"/>
        <v>6.7564841813087506</v>
      </c>
      <c r="AF1328">
        <f t="shared" si="480"/>
        <v>6000</v>
      </c>
      <c r="AG1328">
        <f t="shared" si="481"/>
        <v>7.7667612228844929</v>
      </c>
      <c r="AH1328">
        <f t="shared" si="482"/>
        <v>6.7564841813087506</v>
      </c>
      <c r="AI1328" cm="1">
        <f t="array" ref="AI1328">_xlfn.LET(
    _xlpm.vals,   _xlfn.HSTACK(S1328,V1328,Y1328,AB1328,AE1328,AH1328),
    _xlpm.ints,   _xlfn.HSTACK(R1328,U1328,X1328,AA1328,AD1328,AG1328),
    _xlpm.slopes, _xlfn.HSTACK(Q1328,T1328,W1328,Z1328,AC1328,AF1328),
    _xlpm.limit,  -0.00001*_xlpm.slopes + 0.1086*_xlpm.slopes + 63.253,
    _xlpm.mask,   (_xlpm.vals&gt;=0) * (_xlpm.ints&lt;=_xlpm.limit),
    _xlpm.validVals, _xlfn._xlws.FILTER(_xlpm.vals, _xlpm.mask),
    _xlpm.minVal, MIN(_xlpm.validVals),
    IFERROR( _xlfn.XMATCH(_xlpm.minVal, _xlpm.vals), "" )
)</f>
        <v>4</v>
      </c>
      <c r="AJ1328" cm="1">
        <f t="array" ref="AJ1328">_xlfn.LET(
    _xlpm.vals, CHOOSE({1,2,3,4,5,6}, S1328, V1328, Y1328, AB1328, AE1328, AH1328),
    _xlpm.slopes, CHOOSE({1,2,3,4,5,6}, Q1328, T1328, W1328, Z1328, AC1328, AF1328),
    _xlpm.ints, CHOOSE({1,2,3,4,5,6}, R1328, U1328, X1328, AA1328, AD1328, AG1328),
    _xlpm.limit, -0.00001*_xlpm.slopes + 0.1086*_xlpm.slopes + 63.253,
    _xlpm.valid, (_xlpm.vals &gt;= 0) * (_xlpm.ints &lt;= _xlpm.limit),
    _xlpm.target, MIN(_xlfn._xlws.FILTER(_xlpm.vals, _xlpm.valid)),
    IFERROR(
        _xlfn.XLOOKUP(_xlpm.target, _xlpm.vals, _xlpm.vals),
        CHOOSE({1,2,3,4,5,6}, S$1, V$1, Y$1, AB$1, AE$1, AH$1)
    )
)</f>
        <v>0.72595716123227383</v>
      </c>
    </row>
    <row r="1329" spans="9:36" x14ac:dyDescent="0.45">
      <c r="I1329">
        <v>1327</v>
      </c>
      <c r="J1329">
        <v>22.2</v>
      </c>
      <c r="K1329">
        <f t="shared" si="461"/>
        <v>22.2</v>
      </c>
      <c r="L1329">
        <f t="shared" si="460"/>
        <v>6.1666666666666667E-3</v>
      </c>
      <c r="M1329">
        <v>1.04</v>
      </c>
      <c r="N1329">
        <f t="shared" si="462"/>
        <v>1.04</v>
      </c>
      <c r="O1329">
        <f t="shared" si="463"/>
        <v>288.49305787535701</v>
      </c>
      <c r="P1329">
        <f t="shared" si="464"/>
        <v>923.17778520114246</v>
      </c>
      <c r="Q1329">
        <f t="shared" si="465"/>
        <v>4228.1542562212326</v>
      </c>
      <c r="R1329">
        <f t="shared" si="466"/>
        <v>2.348842508364394</v>
      </c>
      <c r="S1329">
        <f t="shared" si="467"/>
        <v>2.3268131451626304</v>
      </c>
      <c r="T1329">
        <f t="shared" si="468"/>
        <v>2732.6062441953818</v>
      </c>
      <c r="U1329">
        <f t="shared" si="469"/>
        <v>3.6343576649692317</v>
      </c>
      <c r="V1329">
        <f t="shared" si="470"/>
        <v>0.86544235949512027</v>
      </c>
      <c r="W1329">
        <f t="shared" si="471"/>
        <v>1763.2695697341819</v>
      </c>
      <c r="X1329">
        <f t="shared" si="472"/>
        <v>5.6323029781722127</v>
      </c>
      <c r="Y1329">
        <f t="shared" si="473"/>
        <v>0.52421465610382656</v>
      </c>
      <c r="Z1329">
        <f t="shared" si="474"/>
        <v>1329.376010689645</v>
      </c>
      <c r="AA1329">
        <f t="shared" si="475"/>
        <v>7.4706240891034215</v>
      </c>
      <c r="AB1329">
        <f t="shared" si="476"/>
        <v>0.43996676823140457</v>
      </c>
      <c r="AC1329">
        <f t="shared" si="477"/>
        <v>6000</v>
      </c>
      <c r="AD1329">
        <f t="shared" si="478"/>
        <v>1.6552114081557117</v>
      </c>
      <c r="AE1329">
        <f t="shared" si="479"/>
        <v>6.7104102268004064</v>
      </c>
      <c r="AF1329">
        <f t="shared" si="480"/>
        <v>6000</v>
      </c>
      <c r="AG1329">
        <f t="shared" si="481"/>
        <v>1.6552114081557117</v>
      </c>
      <c r="AH1329">
        <f t="shared" si="482"/>
        <v>6.7104102268004064</v>
      </c>
      <c r="AI1329" cm="1">
        <f t="array" ref="AI1329">_xlfn.LET(
    _xlpm.vals,   _xlfn.HSTACK(S1329,V1329,Y1329,AB1329,AE1329,AH1329),
    _xlpm.ints,   _xlfn.HSTACK(R1329,U1329,X1329,AA1329,AD1329,AG1329),
    _xlpm.slopes, _xlfn.HSTACK(Q1329,T1329,W1329,Z1329,AC1329,AF1329),
    _xlpm.limit,  -0.00001*_xlpm.slopes + 0.1086*_xlpm.slopes + 63.253,
    _xlpm.mask,   (_xlpm.vals&gt;=0) * (_xlpm.ints&lt;=_xlpm.limit),
    _xlpm.validVals, _xlfn._xlws.FILTER(_xlpm.vals, _xlpm.mask),
    _xlpm.minVal, MIN(_xlpm.validVals),
    IFERROR( _xlfn.XMATCH(_xlpm.minVal, _xlpm.vals), "" )
)</f>
        <v>4</v>
      </c>
      <c r="AJ1329" cm="1">
        <f t="array" ref="AJ1329">_xlfn.LET(
    _xlpm.vals, CHOOSE({1,2,3,4,5,6}, S1329, V1329, Y1329, AB1329, AE1329, AH1329),
    _xlpm.slopes, CHOOSE({1,2,3,4,5,6}, Q1329, T1329, W1329, Z1329, AC1329, AF1329),
    _xlpm.ints, CHOOSE({1,2,3,4,5,6}, R1329, U1329, X1329, AA1329, AD1329, AG1329),
    _xlpm.limit, -0.00001*_xlpm.slopes + 0.1086*_xlpm.slopes + 63.253,
    _xlpm.valid, (_xlpm.vals &gt;= 0) * (_xlpm.ints &lt;= _xlpm.limit),
    _xlpm.target, MIN(_xlfn._xlws.FILTER(_xlpm.vals, _xlpm.valid)),
    IFERROR(
        _xlfn.XLOOKUP(_xlpm.target, _xlpm.vals, _xlpm.vals),
        CHOOSE({1,2,3,4,5,6}, S$1, V$1, Y$1, AB$1, AE$1, AH$1)
    )
)</f>
        <v>0.43996676823140457</v>
      </c>
    </row>
    <row r="1330" spans="9:36" x14ac:dyDescent="0.45">
      <c r="I1330">
        <v>1328</v>
      </c>
      <c r="J1330">
        <v>21.7</v>
      </c>
      <c r="K1330">
        <f t="shared" si="461"/>
        <v>21.7</v>
      </c>
      <c r="L1330">
        <f t="shared" si="460"/>
        <v>6.0277777777777777E-3</v>
      </c>
      <c r="M1330">
        <v>-0.89</v>
      </c>
      <c r="N1330">
        <f t="shared" si="462"/>
        <v>0</v>
      </c>
      <c r="O1330">
        <f t="shared" si="463"/>
        <v>281.99546648176789</v>
      </c>
      <c r="P1330">
        <f t="shared" si="464"/>
        <v>902.38549274165734</v>
      </c>
      <c r="Q1330">
        <f t="shared" si="465"/>
        <v>4132.9255567567907</v>
      </c>
      <c r="R1330">
        <f t="shared" si="466"/>
        <v>0</v>
      </c>
      <c r="S1330">
        <f t="shared" si="467"/>
        <v>2.1508220231162571</v>
      </c>
      <c r="T1330">
        <f t="shared" si="468"/>
        <v>2671.0610585153058</v>
      </c>
      <c r="U1330">
        <f t="shared" si="469"/>
        <v>0</v>
      </c>
      <c r="V1330">
        <f t="shared" si="470"/>
        <v>0.78301281143045343</v>
      </c>
      <c r="W1330">
        <f t="shared" si="471"/>
        <v>1723.5562911365655</v>
      </c>
      <c r="X1330">
        <f t="shared" si="472"/>
        <v>0</v>
      </c>
      <c r="Y1330">
        <f t="shared" si="473"/>
        <v>0.45584147320559443</v>
      </c>
      <c r="Z1330">
        <f t="shared" si="474"/>
        <v>1299.4351095479865</v>
      </c>
      <c r="AA1330">
        <f t="shared" si="475"/>
        <v>0</v>
      </c>
      <c r="AB1330">
        <f t="shared" si="476"/>
        <v>0.37259717668900993</v>
      </c>
      <c r="AC1330">
        <f t="shared" si="477"/>
        <v>6000</v>
      </c>
      <c r="AD1330">
        <f t="shared" si="478"/>
        <v>0</v>
      </c>
      <c r="AE1330">
        <f t="shared" si="479"/>
        <v>6.7000407999999982</v>
      </c>
      <c r="AF1330">
        <f t="shared" si="480"/>
        <v>6000</v>
      </c>
      <c r="AG1330">
        <f t="shared" si="481"/>
        <v>0</v>
      </c>
      <c r="AH1330">
        <f t="shared" si="482"/>
        <v>6.7000407999999982</v>
      </c>
      <c r="AI1330" cm="1">
        <f t="array" ref="AI1330">_xlfn.LET(
    _xlpm.vals,   _xlfn.HSTACK(S1330,V1330,Y1330,AB1330,AE1330,AH1330),
    _xlpm.ints,   _xlfn.HSTACK(R1330,U1330,X1330,AA1330,AD1330,AG1330),
    _xlpm.slopes, _xlfn.HSTACK(Q1330,T1330,W1330,Z1330,AC1330,AF1330),
    _xlpm.limit,  -0.00001*_xlpm.slopes + 0.1086*_xlpm.slopes + 63.253,
    _xlpm.mask,   (_xlpm.vals&gt;=0) * (_xlpm.ints&lt;=_xlpm.limit),
    _xlpm.validVals, _xlfn._xlws.FILTER(_xlpm.vals, _xlpm.mask),
    _xlpm.minVal, MIN(_xlpm.validVals),
    IFERROR( _xlfn.XMATCH(_xlpm.minVal, _xlpm.vals), "" )
)</f>
        <v>4</v>
      </c>
      <c r="AJ1330" cm="1">
        <f t="array" ref="AJ1330">_xlfn.LET(
    _xlpm.vals, CHOOSE({1,2,3,4,5,6}, S1330, V1330, Y1330, AB1330, AE1330, AH1330),
    _xlpm.slopes, CHOOSE({1,2,3,4,5,6}, Q1330, T1330, W1330, Z1330, AC1330, AF1330),
    _xlpm.ints, CHOOSE({1,2,3,4,5,6}, R1330, U1330, X1330, AA1330, AD1330, AG1330),
    _xlpm.limit, -0.00001*_xlpm.slopes + 0.1086*_xlpm.slopes + 63.253,
    _xlpm.valid, (_xlpm.vals &gt;= 0) * (_xlpm.ints &lt;= _xlpm.limit),
    _xlpm.target, MIN(_xlfn._xlws.FILTER(_xlpm.vals, _xlpm.valid)),
    IFERROR(
        _xlfn.XLOOKUP(_xlpm.target, _xlpm.vals, _xlpm.vals),
        CHOOSE({1,2,3,4,5,6}, S$1, V$1, Y$1, AB$1, AE$1, AH$1)
    )
)</f>
        <v>0.37259717668900993</v>
      </c>
    </row>
    <row r="1331" spans="9:36" x14ac:dyDescent="0.45">
      <c r="I1331">
        <v>1329</v>
      </c>
      <c r="J1331">
        <v>21.2</v>
      </c>
      <c r="K1331">
        <f t="shared" si="461"/>
        <v>21.2</v>
      </c>
      <c r="L1331">
        <f t="shared" si="460"/>
        <v>5.8888888888888888E-3</v>
      </c>
      <c r="M1331">
        <v>-0.28000000000000003</v>
      </c>
      <c r="N1331">
        <f t="shared" si="462"/>
        <v>0</v>
      </c>
      <c r="O1331">
        <f t="shared" si="463"/>
        <v>275.49787508817877</v>
      </c>
      <c r="P1331">
        <f t="shared" si="464"/>
        <v>881.59320028217212</v>
      </c>
      <c r="Q1331">
        <f t="shared" si="465"/>
        <v>4037.6968572923483</v>
      </c>
      <c r="R1331">
        <f t="shared" si="466"/>
        <v>0</v>
      </c>
      <c r="S1331">
        <f t="shared" si="467"/>
        <v>2.0153357928848799</v>
      </c>
      <c r="T1331">
        <f t="shared" si="468"/>
        <v>2609.5158728352294</v>
      </c>
      <c r="U1331">
        <f t="shared" si="469"/>
        <v>0</v>
      </c>
      <c r="V1331">
        <f t="shared" si="470"/>
        <v>0.75239899138287292</v>
      </c>
      <c r="W1331">
        <f t="shared" si="471"/>
        <v>1683.8430125389486</v>
      </c>
      <c r="X1331">
        <f t="shared" si="472"/>
        <v>0</v>
      </c>
      <c r="Y1331">
        <f t="shared" si="473"/>
        <v>0.44711353484764588</v>
      </c>
      <c r="Z1331">
        <f t="shared" si="474"/>
        <v>1269.4942084063277</v>
      </c>
      <c r="AA1331">
        <f t="shared" si="475"/>
        <v>0</v>
      </c>
      <c r="AB1331">
        <f t="shared" si="476"/>
        <v>0.36728047177335144</v>
      </c>
      <c r="AC1331">
        <f t="shared" si="477"/>
        <v>6000</v>
      </c>
      <c r="AD1331">
        <f t="shared" si="478"/>
        <v>0</v>
      </c>
      <c r="AE1331">
        <f t="shared" si="479"/>
        <v>6.7000407999999982</v>
      </c>
      <c r="AF1331">
        <f t="shared" si="480"/>
        <v>6000</v>
      </c>
      <c r="AG1331">
        <f t="shared" si="481"/>
        <v>0</v>
      </c>
      <c r="AH1331">
        <f t="shared" si="482"/>
        <v>6.7000407999999982</v>
      </c>
      <c r="AI1331" cm="1">
        <f t="array" ref="AI1331">_xlfn.LET(
    _xlpm.vals,   _xlfn.HSTACK(S1331,V1331,Y1331,AB1331,AE1331,AH1331),
    _xlpm.ints,   _xlfn.HSTACK(R1331,U1331,X1331,AA1331,AD1331,AG1331),
    _xlpm.slopes, _xlfn.HSTACK(Q1331,T1331,W1331,Z1331,AC1331,AF1331),
    _xlpm.limit,  -0.00001*_xlpm.slopes + 0.1086*_xlpm.slopes + 63.253,
    _xlpm.mask,   (_xlpm.vals&gt;=0) * (_xlpm.ints&lt;=_xlpm.limit),
    _xlpm.validVals, _xlfn._xlws.FILTER(_xlpm.vals, _xlpm.mask),
    _xlpm.minVal, MIN(_xlpm.validVals),
    IFERROR( _xlfn.XMATCH(_xlpm.minVal, _xlpm.vals), "" )
)</f>
        <v>4</v>
      </c>
      <c r="AJ1331" cm="1">
        <f t="array" ref="AJ1331">_xlfn.LET(
    _xlpm.vals, CHOOSE({1,2,3,4,5,6}, S1331, V1331, Y1331, AB1331, AE1331, AH1331),
    _xlpm.slopes, CHOOSE({1,2,3,4,5,6}, Q1331, T1331, W1331, Z1331, AC1331, AF1331),
    _xlpm.ints, CHOOSE({1,2,3,4,5,6}, R1331, U1331, X1331, AA1331, AD1331, AG1331),
    _xlpm.limit, -0.00001*_xlpm.slopes + 0.1086*_xlpm.slopes + 63.253,
    _xlpm.valid, (_xlpm.vals &gt;= 0) * (_xlpm.ints &lt;= _xlpm.limit),
    _xlpm.target, MIN(_xlfn._xlws.FILTER(_xlpm.vals, _xlpm.valid)),
    IFERROR(
        _xlfn.XLOOKUP(_xlpm.target, _xlpm.vals, _xlpm.vals),
        CHOOSE({1,2,3,4,5,6}, S$1, V$1, Y$1, AB$1, AE$1, AH$1)
    )
)</f>
        <v>0.36728047177335144</v>
      </c>
    </row>
    <row r="1332" spans="9:36" x14ac:dyDescent="0.45">
      <c r="I1332">
        <v>1330</v>
      </c>
      <c r="J1332">
        <v>20.7</v>
      </c>
      <c r="K1332">
        <f t="shared" si="461"/>
        <v>20.7</v>
      </c>
      <c r="L1332">
        <f t="shared" si="460"/>
        <v>5.7499999999999999E-3</v>
      </c>
      <c r="M1332">
        <v>-0.7</v>
      </c>
      <c r="N1332">
        <f t="shared" si="462"/>
        <v>0</v>
      </c>
      <c r="O1332">
        <f t="shared" si="463"/>
        <v>269.00028369458965</v>
      </c>
      <c r="P1332">
        <f t="shared" si="464"/>
        <v>860.8009078226869</v>
      </c>
      <c r="Q1332">
        <f t="shared" si="465"/>
        <v>3942.468157827906</v>
      </c>
      <c r="R1332">
        <f t="shared" si="466"/>
        <v>0</v>
      </c>
      <c r="S1332">
        <f t="shared" si="467"/>
        <v>1.8874237024870317</v>
      </c>
      <c r="T1332">
        <f t="shared" si="468"/>
        <v>2547.970687155153</v>
      </c>
      <c r="U1332">
        <f t="shared" si="469"/>
        <v>0</v>
      </c>
      <c r="V1332">
        <f t="shared" si="470"/>
        <v>0.72338653681146481</v>
      </c>
      <c r="W1332">
        <f t="shared" si="471"/>
        <v>1644.129733941332</v>
      </c>
      <c r="X1332">
        <f t="shared" si="472"/>
        <v>0</v>
      </c>
      <c r="Y1332">
        <f t="shared" si="473"/>
        <v>0.43863075156918874</v>
      </c>
      <c r="Z1332">
        <f t="shared" si="474"/>
        <v>1239.553307264669</v>
      </c>
      <c r="AA1332">
        <f t="shared" si="475"/>
        <v>0</v>
      </c>
      <c r="AB1332">
        <f t="shared" si="476"/>
        <v>0.36199584412450514</v>
      </c>
      <c r="AC1332">
        <f t="shared" si="477"/>
        <v>6000</v>
      </c>
      <c r="AD1332">
        <f t="shared" si="478"/>
        <v>0</v>
      </c>
      <c r="AE1332">
        <f t="shared" si="479"/>
        <v>6.7000407999999982</v>
      </c>
      <c r="AF1332">
        <f t="shared" si="480"/>
        <v>6000</v>
      </c>
      <c r="AG1332">
        <f t="shared" si="481"/>
        <v>0</v>
      </c>
      <c r="AH1332">
        <f t="shared" si="482"/>
        <v>6.7000407999999982</v>
      </c>
      <c r="AI1332" cm="1">
        <f t="array" ref="AI1332">_xlfn.LET(
    _xlpm.vals,   _xlfn.HSTACK(S1332,V1332,Y1332,AB1332,AE1332,AH1332),
    _xlpm.ints,   _xlfn.HSTACK(R1332,U1332,X1332,AA1332,AD1332,AG1332),
    _xlpm.slopes, _xlfn.HSTACK(Q1332,T1332,W1332,Z1332,AC1332,AF1332),
    _xlpm.limit,  -0.00001*_xlpm.slopes + 0.1086*_xlpm.slopes + 63.253,
    _xlpm.mask,   (_xlpm.vals&gt;=0) * (_xlpm.ints&lt;=_xlpm.limit),
    _xlpm.validVals, _xlfn._xlws.FILTER(_xlpm.vals, _xlpm.mask),
    _xlpm.minVal, MIN(_xlpm.validVals),
    IFERROR( _xlfn.XMATCH(_xlpm.minVal, _xlpm.vals), "" )
)</f>
        <v>4</v>
      </c>
      <c r="AJ1332" cm="1">
        <f t="array" ref="AJ1332">_xlfn.LET(
    _xlpm.vals, CHOOSE({1,2,3,4,5,6}, S1332, V1332, Y1332, AB1332, AE1332, AH1332),
    _xlpm.slopes, CHOOSE({1,2,3,4,5,6}, Q1332, T1332, W1332, Z1332, AC1332, AF1332),
    _xlpm.ints, CHOOSE({1,2,3,4,5,6}, R1332, U1332, X1332, AA1332, AD1332, AG1332),
    _xlpm.limit, -0.00001*_xlpm.slopes + 0.1086*_xlpm.slopes + 63.253,
    _xlpm.valid, (_xlpm.vals &gt;= 0) * (_xlpm.ints &lt;= _xlpm.limit),
    _xlpm.target, MIN(_xlfn._xlws.FILTER(_xlpm.vals, _xlpm.valid)),
    IFERROR(
        _xlfn.XLOOKUP(_xlpm.target, _xlpm.vals, _xlpm.vals),
        CHOOSE({1,2,3,4,5,6}, S$1, V$1, Y$1, AB$1, AE$1, AH$1)
    )
)</f>
        <v>0.36199584412450514</v>
      </c>
    </row>
    <row r="1333" spans="9:36" x14ac:dyDescent="0.45">
      <c r="I1333">
        <v>1331</v>
      </c>
      <c r="J1333">
        <v>20.2</v>
      </c>
      <c r="K1333">
        <f t="shared" si="461"/>
        <v>20.2</v>
      </c>
      <c r="L1333">
        <f t="shared" si="460"/>
        <v>5.611111111111111E-3</v>
      </c>
      <c r="M1333">
        <v>-0.35</v>
      </c>
      <c r="N1333">
        <f t="shared" si="462"/>
        <v>0</v>
      </c>
      <c r="O1333">
        <f t="shared" si="463"/>
        <v>262.50269230100059</v>
      </c>
      <c r="P1333">
        <f t="shared" si="464"/>
        <v>840.0086153632019</v>
      </c>
      <c r="Q1333">
        <f t="shared" si="465"/>
        <v>3847.2394583634646</v>
      </c>
      <c r="R1333">
        <f t="shared" si="466"/>
        <v>0</v>
      </c>
      <c r="S1333">
        <f t="shared" si="467"/>
        <v>1.766836357398645</v>
      </c>
      <c r="T1333">
        <f t="shared" si="468"/>
        <v>2486.4255014750775</v>
      </c>
      <c r="U1333">
        <f t="shared" si="469"/>
        <v>0</v>
      </c>
      <c r="V1333">
        <f t="shared" si="470"/>
        <v>0.69590812438260274</v>
      </c>
      <c r="W1333">
        <f t="shared" si="471"/>
        <v>1604.4164553437156</v>
      </c>
      <c r="X1333">
        <f t="shared" si="472"/>
        <v>0</v>
      </c>
      <c r="Y1333">
        <f t="shared" si="473"/>
        <v>0.43037503536889543</v>
      </c>
      <c r="Z1333">
        <f t="shared" si="474"/>
        <v>1209.6124061230107</v>
      </c>
      <c r="AA1333">
        <f t="shared" si="475"/>
        <v>0</v>
      </c>
      <c r="AB1333">
        <f t="shared" si="476"/>
        <v>0.35673554238160976</v>
      </c>
      <c r="AC1333">
        <f t="shared" si="477"/>
        <v>6000</v>
      </c>
      <c r="AD1333">
        <f t="shared" si="478"/>
        <v>0</v>
      </c>
      <c r="AE1333">
        <f t="shared" si="479"/>
        <v>6.7000407999999982</v>
      </c>
      <c r="AF1333">
        <f t="shared" si="480"/>
        <v>6000</v>
      </c>
      <c r="AG1333">
        <f t="shared" si="481"/>
        <v>0</v>
      </c>
      <c r="AH1333">
        <f t="shared" si="482"/>
        <v>6.7000407999999982</v>
      </c>
      <c r="AI1333" cm="1">
        <f t="array" ref="AI1333">_xlfn.LET(
    _xlpm.vals,   _xlfn.HSTACK(S1333,V1333,Y1333,AB1333,AE1333,AH1333),
    _xlpm.ints,   _xlfn.HSTACK(R1333,U1333,X1333,AA1333,AD1333,AG1333),
    _xlpm.slopes, _xlfn.HSTACK(Q1333,T1333,W1333,Z1333,AC1333,AF1333),
    _xlpm.limit,  -0.00001*_xlpm.slopes + 0.1086*_xlpm.slopes + 63.253,
    _xlpm.mask,   (_xlpm.vals&gt;=0) * (_xlpm.ints&lt;=_xlpm.limit),
    _xlpm.validVals, _xlfn._xlws.FILTER(_xlpm.vals, _xlpm.mask),
    _xlpm.minVal, MIN(_xlpm.validVals),
    IFERROR( _xlfn.XMATCH(_xlpm.minVal, _xlpm.vals), "" )
)</f>
        <v>4</v>
      </c>
      <c r="AJ1333" cm="1">
        <f t="array" ref="AJ1333">_xlfn.LET(
    _xlpm.vals, CHOOSE({1,2,3,4,5,6}, S1333, V1333, Y1333, AB1333, AE1333, AH1333),
    _xlpm.slopes, CHOOSE({1,2,3,4,5,6}, Q1333, T1333, W1333, Z1333, AC1333, AF1333),
    _xlpm.ints, CHOOSE({1,2,3,4,5,6}, R1333, U1333, X1333, AA1333, AD1333, AG1333),
    _xlpm.limit, -0.00001*_xlpm.slopes + 0.1086*_xlpm.slopes + 63.253,
    _xlpm.valid, (_xlpm.vals &gt;= 0) * (_xlpm.ints &lt;= _xlpm.limit),
    _xlpm.target, MIN(_xlfn._xlws.FILTER(_xlpm.vals, _xlpm.valid)),
    IFERROR(
        _xlfn.XLOOKUP(_xlpm.target, _xlpm.vals, _xlpm.vals),
        CHOOSE({1,2,3,4,5,6}, S$1, V$1, Y$1, AB$1, AE$1, AH$1)
    )
)</f>
        <v>0.35673554238160976</v>
      </c>
    </row>
    <row r="1334" spans="9:36" x14ac:dyDescent="0.45">
      <c r="I1334">
        <v>1332</v>
      </c>
      <c r="J1334">
        <v>19.399999999999999</v>
      </c>
      <c r="K1334">
        <f t="shared" si="461"/>
        <v>19.399999999999999</v>
      </c>
      <c r="L1334">
        <f t="shared" si="460"/>
        <v>5.3888888888888884E-3</v>
      </c>
      <c r="M1334">
        <v>-0.12</v>
      </c>
      <c r="N1334">
        <f t="shared" si="462"/>
        <v>0</v>
      </c>
      <c r="O1334">
        <f t="shared" si="463"/>
        <v>252.10654607125795</v>
      </c>
      <c r="P1334">
        <f t="shared" si="464"/>
        <v>806.74094742802549</v>
      </c>
      <c r="Q1334">
        <f t="shared" si="465"/>
        <v>3694.8735392203566</v>
      </c>
      <c r="R1334">
        <f t="shared" si="466"/>
        <v>0</v>
      </c>
      <c r="S1334">
        <f t="shared" si="467"/>
        <v>1.5885095867688348</v>
      </c>
      <c r="T1334">
        <f t="shared" si="468"/>
        <v>2387.9532043869553</v>
      </c>
      <c r="U1334">
        <f t="shared" si="469"/>
        <v>0</v>
      </c>
      <c r="V1334">
        <f t="shared" si="470"/>
        <v>0.6549654331121868</v>
      </c>
      <c r="W1334">
        <f t="shared" si="471"/>
        <v>1540.8752095875286</v>
      </c>
      <c r="X1334">
        <f t="shared" si="472"/>
        <v>0</v>
      </c>
      <c r="Y1334">
        <f t="shared" si="473"/>
        <v>0.41759304131969288</v>
      </c>
      <c r="Z1334">
        <f t="shared" si="474"/>
        <v>1161.7069642963568</v>
      </c>
      <c r="AA1334">
        <f t="shared" si="475"/>
        <v>0</v>
      </c>
      <c r="AB1334">
        <f t="shared" si="476"/>
        <v>0.3483503100806451</v>
      </c>
      <c r="AC1334">
        <f t="shared" si="477"/>
        <v>6000</v>
      </c>
      <c r="AD1334">
        <f t="shared" si="478"/>
        <v>0</v>
      </c>
      <c r="AE1334">
        <f t="shared" si="479"/>
        <v>6.7000407999999982</v>
      </c>
      <c r="AF1334">
        <f t="shared" si="480"/>
        <v>6000</v>
      </c>
      <c r="AG1334">
        <f t="shared" si="481"/>
        <v>0</v>
      </c>
      <c r="AH1334">
        <f t="shared" si="482"/>
        <v>6.7000407999999982</v>
      </c>
      <c r="AI1334" cm="1">
        <f t="array" ref="AI1334">_xlfn.LET(
    _xlpm.vals,   _xlfn.HSTACK(S1334,V1334,Y1334,AB1334,AE1334,AH1334),
    _xlpm.ints,   _xlfn.HSTACK(R1334,U1334,X1334,AA1334,AD1334,AG1334),
    _xlpm.slopes, _xlfn.HSTACK(Q1334,T1334,W1334,Z1334,AC1334,AF1334),
    _xlpm.limit,  -0.00001*_xlpm.slopes + 0.1086*_xlpm.slopes + 63.253,
    _xlpm.mask,   (_xlpm.vals&gt;=0) * (_xlpm.ints&lt;=_xlpm.limit),
    _xlpm.validVals, _xlfn._xlws.FILTER(_xlpm.vals, _xlpm.mask),
    _xlpm.minVal, MIN(_xlpm.validVals),
    IFERROR( _xlfn.XMATCH(_xlpm.minVal, _xlpm.vals), "" )
)</f>
        <v>4</v>
      </c>
      <c r="AJ1334" cm="1">
        <f t="array" ref="AJ1334">_xlfn.LET(
    _xlpm.vals, CHOOSE({1,2,3,4,5,6}, S1334, V1334, Y1334, AB1334, AE1334, AH1334),
    _xlpm.slopes, CHOOSE({1,2,3,4,5,6}, Q1334, T1334, W1334, Z1334, AC1334, AF1334),
    _xlpm.ints, CHOOSE({1,2,3,4,5,6}, R1334, U1334, X1334, AA1334, AD1334, AG1334),
    _xlpm.limit, -0.00001*_xlpm.slopes + 0.1086*_xlpm.slopes + 63.253,
    _xlpm.valid, (_xlpm.vals &gt;= 0) * (_xlpm.ints &lt;= _xlpm.limit),
    _xlpm.target, MIN(_xlfn._xlws.FILTER(_xlpm.vals, _xlpm.valid)),
    IFERROR(
        _xlfn.XLOOKUP(_xlpm.target, _xlpm.vals, _xlpm.vals),
        CHOOSE({1,2,3,4,5,6}, S$1, V$1, Y$1, AB$1, AE$1, AH$1)
    )
)</f>
        <v>0.3483503100806451</v>
      </c>
    </row>
    <row r="1335" spans="9:36" x14ac:dyDescent="0.45">
      <c r="I1335">
        <v>1333</v>
      </c>
      <c r="J1335">
        <v>18.399999999999999</v>
      </c>
      <c r="K1335">
        <f t="shared" si="461"/>
        <v>18.399999999999999</v>
      </c>
      <c r="L1335">
        <f t="shared" si="460"/>
        <v>5.1111111111111105E-3</v>
      </c>
      <c r="M1335">
        <v>-0.26</v>
      </c>
      <c r="N1335">
        <f t="shared" si="462"/>
        <v>0</v>
      </c>
      <c r="O1335">
        <f t="shared" si="463"/>
        <v>239.11136328407972</v>
      </c>
      <c r="P1335">
        <f t="shared" si="464"/>
        <v>765.15636250905516</v>
      </c>
      <c r="Q1335">
        <f t="shared" si="465"/>
        <v>3504.4161402914729</v>
      </c>
      <c r="R1335">
        <f t="shared" si="466"/>
        <v>0</v>
      </c>
      <c r="S1335">
        <f t="shared" si="467"/>
        <v>1.3895161644788161</v>
      </c>
      <c r="T1335">
        <f t="shared" si="468"/>
        <v>2264.8628330268034</v>
      </c>
      <c r="U1335">
        <f t="shared" si="469"/>
        <v>0</v>
      </c>
      <c r="V1335">
        <f t="shared" si="470"/>
        <v>0.60864715913444767</v>
      </c>
      <c r="W1335">
        <f t="shared" si="471"/>
        <v>1461.4486523922953</v>
      </c>
      <c r="X1335">
        <f t="shared" si="472"/>
        <v>0</v>
      </c>
      <c r="Y1335">
        <f t="shared" si="473"/>
        <v>0.40225500430651551</v>
      </c>
      <c r="Z1335">
        <f t="shared" si="474"/>
        <v>1101.8251620130393</v>
      </c>
      <c r="AA1335">
        <f t="shared" si="475"/>
        <v>0</v>
      </c>
      <c r="AB1335">
        <f t="shared" si="476"/>
        <v>0.33788006957498656</v>
      </c>
      <c r="AC1335">
        <f t="shared" si="477"/>
        <v>6000</v>
      </c>
      <c r="AD1335">
        <f t="shared" si="478"/>
        <v>0</v>
      </c>
      <c r="AE1335">
        <f t="shared" si="479"/>
        <v>6.7000407999999982</v>
      </c>
      <c r="AF1335">
        <f t="shared" si="480"/>
        <v>6000</v>
      </c>
      <c r="AG1335">
        <f t="shared" si="481"/>
        <v>0</v>
      </c>
      <c r="AH1335">
        <f t="shared" si="482"/>
        <v>6.7000407999999982</v>
      </c>
      <c r="AI1335" cm="1">
        <f t="array" ref="AI1335">_xlfn.LET(
    _xlpm.vals,   _xlfn.HSTACK(S1335,V1335,Y1335,AB1335,AE1335,AH1335),
    _xlpm.ints,   _xlfn.HSTACK(R1335,U1335,X1335,AA1335,AD1335,AG1335),
    _xlpm.slopes, _xlfn.HSTACK(Q1335,T1335,W1335,Z1335,AC1335,AF1335),
    _xlpm.limit,  -0.00001*_xlpm.slopes + 0.1086*_xlpm.slopes + 63.253,
    _xlpm.mask,   (_xlpm.vals&gt;=0) * (_xlpm.ints&lt;=_xlpm.limit),
    _xlpm.validVals, _xlfn._xlws.FILTER(_xlpm.vals, _xlpm.mask),
    _xlpm.minVal, MIN(_xlpm.validVals),
    IFERROR( _xlfn.XMATCH(_xlpm.minVal, _xlpm.vals), "" )
)</f>
        <v>4</v>
      </c>
      <c r="AJ1335" cm="1">
        <f t="array" ref="AJ1335">_xlfn.LET(
    _xlpm.vals, CHOOSE({1,2,3,4,5,6}, S1335, V1335, Y1335, AB1335, AE1335, AH1335),
    _xlpm.slopes, CHOOSE({1,2,3,4,5,6}, Q1335, T1335, W1335, Z1335, AC1335, AF1335),
    _xlpm.ints, CHOOSE({1,2,3,4,5,6}, R1335, U1335, X1335, AA1335, AD1335, AG1335),
    _xlpm.limit, -0.00001*_xlpm.slopes + 0.1086*_xlpm.slopes + 63.253,
    _xlpm.valid, (_xlpm.vals &gt;= 0) * (_xlpm.ints &lt;= _xlpm.limit),
    _xlpm.target, MIN(_xlfn._xlws.FILTER(_xlpm.vals, _xlpm.valid)),
    IFERROR(
        _xlfn.XLOOKUP(_xlpm.target, _xlpm.vals, _xlpm.vals),
        CHOOSE({1,2,3,4,5,6}, S$1, V$1, Y$1, AB$1, AE$1, AH$1)
    )
)</f>
        <v>0.33788006957498656</v>
      </c>
    </row>
    <row r="1336" spans="9:36" x14ac:dyDescent="0.45">
      <c r="I1336">
        <v>1334</v>
      </c>
      <c r="J1336">
        <v>17.3</v>
      </c>
      <c r="K1336">
        <f t="shared" si="461"/>
        <v>17.3</v>
      </c>
      <c r="L1336">
        <f t="shared" si="460"/>
        <v>4.805555555555556E-3</v>
      </c>
      <c r="M1336">
        <v>0.04</v>
      </c>
      <c r="N1336">
        <f t="shared" si="462"/>
        <v>0.04</v>
      </c>
      <c r="O1336">
        <f t="shared" si="463"/>
        <v>224.81666221818367</v>
      </c>
      <c r="P1336">
        <f t="shared" si="464"/>
        <v>719.4133190981878</v>
      </c>
      <c r="Q1336">
        <f t="shared" si="465"/>
        <v>3294.9130014697002</v>
      </c>
      <c r="R1336">
        <f t="shared" si="466"/>
        <v>0.11592775385880288</v>
      </c>
      <c r="S1336">
        <f t="shared" si="467"/>
        <v>1.2007355352607822</v>
      </c>
      <c r="T1336">
        <f t="shared" si="468"/>
        <v>2129.4634245306361</v>
      </c>
      <c r="U1336">
        <f t="shared" si="469"/>
        <v>0.17937470022747201</v>
      </c>
      <c r="V1336">
        <f t="shared" si="470"/>
        <v>0.56542656743556552</v>
      </c>
      <c r="W1336">
        <f t="shared" si="471"/>
        <v>1374.0794394775387</v>
      </c>
      <c r="X1336">
        <f t="shared" si="472"/>
        <v>0.27798382862477339</v>
      </c>
      <c r="Y1336">
        <f t="shared" si="473"/>
        <v>0.38828330969710895</v>
      </c>
      <c r="Z1336">
        <f t="shared" si="474"/>
        <v>1035.9551795013904</v>
      </c>
      <c r="AA1336">
        <f t="shared" si="475"/>
        <v>0.36871466157869248</v>
      </c>
      <c r="AB1336">
        <f t="shared" si="476"/>
        <v>0.32850130647122078</v>
      </c>
      <c r="AC1336">
        <f t="shared" si="477"/>
        <v>6000</v>
      </c>
      <c r="AD1336">
        <f t="shared" si="478"/>
        <v>6.3661977236758135E-2</v>
      </c>
      <c r="AE1336">
        <f t="shared" si="479"/>
        <v>6.7004227311702147</v>
      </c>
      <c r="AF1336">
        <f t="shared" si="480"/>
        <v>6000</v>
      </c>
      <c r="AG1336">
        <f t="shared" si="481"/>
        <v>6.3661977236758135E-2</v>
      </c>
      <c r="AH1336">
        <f t="shared" si="482"/>
        <v>6.7004227311702147</v>
      </c>
      <c r="AI1336" cm="1">
        <f t="array" ref="AI1336">_xlfn.LET(
    _xlpm.vals,   _xlfn.HSTACK(S1336,V1336,Y1336,AB1336,AE1336,AH1336),
    _xlpm.ints,   _xlfn.HSTACK(R1336,U1336,X1336,AA1336,AD1336,AG1336),
    _xlpm.slopes, _xlfn.HSTACK(Q1336,T1336,W1336,Z1336,AC1336,AF1336),
    _xlpm.limit,  -0.00001*_xlpm.slopes + 0.1086*_xlpm.slopes + 63.253,
    _xlpm.mask,   (_xlpm.vals&gt;=0) * (_xlpm.ints&lt;=_xlpm.limit),
    _xlpm.validVals, _xlfn._xlws.FILTER(_xlpm.vals, _xlpm.mask),
    _xlpm.minVal, MIN(_xlpm.validVals),
    IFERROR( _xlfn.XMATCH(_xlpm.minVal, _xlpm.vals), "" )
)</f>
        <v>4</v>
      </c>
      <c r="AJ1336" cm="1">
        <f t="array" ref="AJ1336">_xlfn.LET(
    _xlpm.vals, CHOOSE({1,2,3,4,5,6}, S1336, V1336, Y1336, AB1336, AE1336, AH1336),
    _xlpm.slopes, CHOOSE({1,2,3,4,5,6}, Q1336, T1336, W1336, Z1336, AC1336, AF1336),
    _xlpm.ints, CHOOSE({1,2,3,4,5,6}, R1336, U1336, X1336, AA1336, AD1336, AG1336),
    _xlpm.limit, -0.00001*_xlpm.slopes + 0.1086*_xlpm.slopes + 63.253,
    _xlpm.valid, (_xlpm.vals &gt;= 0) * (_xlpm.ints &lt;= _xlpm.limit),
    _xlpm.target, MIN(_xlfn._xlws.FILTER(_xlpm.vals, _xlpm.valid)),
    IFERROR(
        _xlfn.XLOOKUP(_xlpm.target, _xlpm.vals, _xlpm.vals),
        CHOOSE({1,2,3,4,5,6}, S$1, V$1, Y$1, AB$1, AE$1, AH$1)
    )
)</f>
        <v>0.32850130647122078</v>
      </c>
    </row>
    <row r="1337" spans="9:36" x14ac:dyDescent="0.45">
      <c r="I1337">
        <v>1335</v>
      </c>
      <c r="J1337">
        <v>16.2</v>
      </c>
      <c r="K1337">
        <f t="shared" si="461"/>
        <v>16.2</v>
      </c>
      <c r="L1337">
        <f t="shared" si="460"/>
        <v>4.4999999999999997E-3</v>
      </c>
      <c r="M1337">
        <v>-0.27</v>
      </c>
      <c r="N1337">
        <f t="shared" si="462"/>
        <v>0</v>
      </c>
      <c r="O1337">
        <f t="shared" si="463"/>
        <v>210.52196115228756</v>
      </c>
      <c r="P1337">
        <f t="shared" si="464"/>
        <v>673.67027568732021</v>
      </c>
      <c r="Q1337">
        <f t="shared" si="465"/>
        <v>3085.4098626479267</v>
      </c>
      <c r="R1337">
        <f t="shared" si="466"/>
        <v>0</v>
      </c>
      <c r="S1337">
        <f t="shared" si="467"/>
        <v>1.0359010849441412</v>
      </c>
      <c r="T1337">
        <f t="shared" si="468"/>
        <v>1994.0640160344678</v>
      </c>
      <c r="U1337">
        <f t="shared" si="469"/>
        <v>0</v>
      </c>
      <c r="V1337">
        <f t="shared" si="470"/>
        <v>0.52322754204817812</v>
      </c>
      <c r="W1337">
        <f t="shared" si="471"/>
        <v>1286.7102265627816</v>
      </c>
      <c r="X1337">
        <f t="shared" si="472"/>
        <v>0</v>
      </c>
      <c r="Y1337">
        <f t="shared" si="473"/>
        <v>0.37033316042112874</v>
      </c>
      <c r="Z1337">
        <f t="shared" si="474"/>
        <v>6000</v>
      </c>
      <c r="AA1337">
        <f t="shared" si="475"/>
        <v>0</v>
      </c>
      <c r="AB1337">
        <f t="shared" si="476"/>
        <v>6.7000407999999982</v>
      </c>
      <c r="AC1337">
        <f t="shared" si="477"/>
        <v>6000</v>
      </c>
      <c r="AD1337">
        <f t="shared" si="478"/>
        <v>0</v>
      </c>
      <c r="AE1337">
        <f t="shared" si="479"/>
        <v>6.7000407999999982</v>
      </c>
      <c r="AF1337">
        <f t="shared" si="480"/>
        <v>6000</v>
      </c>
      <c r="AG1337">
        <f t="shared" si="481"/>
        <v>0</v>
      </c>
      <c r="AH1337">
        <f t="shared" si="482"/>
        <v>6.7000407999999982</v>
      </c>
      <c r="AI1337" cm="1">
        <f t="array" ref="AI1337">_xlfn.LET(
    _xlpm.vals,   _xlfn.HSTACK(S1337,V1337,Y1337,AB1337,AE1337,AH1337),
    _xlpm.ints,   _xlfn.HSTACK(R1337,U1337,X1337,AA1337,AD1337,AG1337),
    _xlpm.slopes, _xlfn.HSTACK(Q1337,T1337,W1337,Z1337,AC1337,AF1337),
    _xlpm.limit,  -0.00001*_xlpm.slopes + 0.1086*_xlpm.slopes + 63.253,
    _xlpm.mask,   (_xlpm.vals&gt;=0) * (_xlpm.ints&lt;=_xlpm.limit),
    _xlpm.validVals, _xlfn._xlws.FILTER(_xlpm.vals, _xlpm.mask),
    _xlpm.minVal, MIN(_xlpm.validVals),
    IFERROR( _xlfn.XMATCH(_xlpm.minVal, _xlpm.vals), "" )
)</f>
        <v>3</v>
      </c>
      <c r="AJ1337" cm="1">
        <f t="array" ref="AJ1337">_xlfn.LET(
    _xlpm.vals, CHOOSE({1,2,3,4,5,6}, S1337, V1337, Y1337, AB1337, AE1337, AH1337),
    _xlpm.slopes, CHOOSE({1,2,3,4,5,6}, Q1337, T1337, W1337, Z1337, AC1337, AF1337),
    _xlpm.ints, CHOOSE({1,2,3,4,5,6}, R1337, U1337, X1337, AA1337, AD1337, AG1337),
    _xlpm.limit, -0.00001*_xlpm.slopes + 0.1086*_xlpm.slopes + 63.253,
    _xlpm.valid, (_xlpm.vals &gt;= 0) * (_xlpm.ints &lt;= _xlpm.limit),
    _xlpm.target, MIN(_xlfn._xlws.FILTER(_xlpm.vals, _xlpm.valid)),
    IFERROR(
        _xlfn.XLOOKUP(_xlpm.target, _xlpm.vals, _xlpm.vals),
        CHOOSE({1,2,3,4,5,6}, S$1, V$1, Y$1, AB$1, AE$1, AH$1)
    )
)</f>
        <v>0.37033316042112874</v>
      </c>
    </row>
    <row r="1338" spans="9:36" x14ac:dyDescent="0.45">
      <c r="I1338">
        <v>1336</v>
      </c>
      <c r="J1338">
        <v>15</v>
      </c>
      <c r="K1338">
        <f t="shared" si="461"/>
        <v>15</v>
      </c>
      <c r="L1338">
        <f t="shared" si="460"/>
        <v>4.1666666666666666E-3</v>
      </c>
      <c r="M1338">
        <v>-0.87</v>
      </c>
      <c r="N1338">
        <f t="shared" si="462"/>
        <v>0</v>
      </c>
      <c r="O1338">
        <f t="shared" si="463"/>
        <v>194.92774180767367</v>
      </c>
      <c r="P1338">
        <f t="shared" si="464"/>
        <v>623.76877378455583</v>
      </c>
      <c r="Q1338">
        <f t="shared" si="465"/>
        <v>2856.8609839332657</v>
      </c>
      <c r="R1338">
        <f t="shared" si="466"/>
        <v>0</v>
      </c>
      <c r="S1338">
        <f t="shared" si="467"/>
        <v>0.88583122655934288</v>
      </c>
      <c r="T1338">
        <f t="shared" si="468"/>
        <v>1846.3555704022851</v>
      </c>
      <c r="U1338">
        <f t="shared" si="469"/>
        <v>0</v>
      </c>
      <c r="V1338">
        <f t="shared" si="470"/>
        <v>0.48457482083405923</v>
      </c>
      <c r="W1338">
        <f t="shared" si="471"/>
        <v>1191.3983579285016</v>
      </c>
      <c r="X1338">
        <f t="shared" si="472"/>
        <v>0</v>
      </c>
      <c r="Y1338">
        <f t="shared" si="473"/>
        <v>0.35354412884209163</v>
      </c>
      <c r="Z1338">
        <f t="shared" si="474"/>
        <v>6000</v>
      </c>
      <c r="AA1338">
        <f t="shared" si="475"/>
        <v>0</v>
      </c>
      <c r="AB1338">
        <f t="shared" si="476"/>
        <v>6.7000407999999982</v>
      </c>
      <c r="AC1338">
        <f t="shared" si="477"/>
        <v>6000</v>
      </c>
      <c r="AD1338">
        <f t="shared" si="478"/>
        <v>0</v>
      </c>
      <c r="AE1338">
        <f t="shared" si="479"/>
        <v>6.7000407999999982</v>
      </c>
      <c r="AF1338">
        <f t="shared" si="480"/>
        <v>6000</v>
      </c>
      <c r="AG1338">
        <f t="shared" si="481"/>
        <v>0</v>
      </c>
      <c r="AH1338">
        <f t="shared" si="482"/>
        <v>6.7000407999999982</v>
      </c>
      <c r="AI1338" cm="1">
        <f t="array" ref="AI1338">_xlfn.LET(
    _xlpm.vals,   _xlfn.HSTACK(S1338,V1338,Y1338,AB1338,AE1338,AH1338),
    _xlpm.ints,   _xlfn.HSTACK(R1338,U1338,X1338,AA1338,AD1338,AG1338),
    _xlpm.slopes, _xlfn.HSTACK(Q1338,T1338,W1338,Z1338,AC1338,AF1338),
    _xlpm.limit,  -0.00001*_xlpm.slopes + 0.1086*_xlpm.slopes + 63.253,
    _xlpm.mask,   (_xlpm.vals&gt;=0) * (_xlpm.ints&lt;=_xlpm.limit),
    _xlpm.validVals, _xlfn._xlws.FILTER(_xlpm.vals, _xlpm.mask),
    _xlpm.minVal, MIN(_xlpm.validVals),
    IFERROR( _xlfn.XMATCH(_xlpm.minVal, _xlpm.vals), "" )
)</f>
        <v>3</v>
      </c>
      <c r="AJ1338" cm="1">
        <f t="array" ref="AJ1338">_xlfn.LET(
    _xlpm.vals, CHOOSE({1,2,3,4,5,6}, S1338, V1338, Y1338, AB1338, AE1338, AH1338),
    _xlpm.slopes, CHOOSE({1,2,3,4,5,6}, Q1338, T1338, W1338, Z1338, AC1338, AF1338),
    _xlpm.ints, CHOOSE({1,2,3,4,5,6}, R1338, U1338, X1338, AA1338, AD1338, AG1338),
    _xlpm.limit, -0.00001*_xlpm.slopes + 0.1086*_xlpm.slopes + 63.253,
    _xlpm.valid, (_xlpm.vals &gt;= 0) * (_xlpm.ints &lt;= _xlpm.limit),
    _xlpm.target, MIN(_xlfn._xlws.FILTER(_xlpm.vals, _xlpm.valid)),
    IFERROR(
        _xlfn.XLOOKUP(_xlpm.target, _xlpm.vals, _xlpm.vals),
        CHOOSE({1,2,3,4,5,6}, S$1, V$1, Y$1, AB$1, AE$1, AH$1)
    )
)</f>
        <v>0.35354412884209163</v>
      </c>
    </row>
    <row r="1339" spans="9:36" x14ac:dyDescent="0.45">
      <c r="I1339">
        <v>1337</v>
      </c>
      <c r="J1339">
        <v>13.6</v>
      </c>
      <c r="K1339">
        <f t="shared" si="461"/>
        <v>13.6</v>
      </c>
      <c r="L1339">
        <f t="shared" si="460"/>
        <v>3.7777777777777775E-3</v>
      </c>
      <c r="M1339">
        <v>-0.6</v>
      </c>
      <c r="N1339">
        <f t="shared" si="462"/>
        <v>0</v>
      </c>
      <c r="O1339">
        <f t="shared" si="463"/>
        <v>176.73448590562413</v>
      </c>
      <c r="P1339">
        <f t="shared" si="464"/>
        <v>565.55035489799718</v>
      </c>
      <c r="Q1339">
        <f t="shared" si="465"/>
        <v>2590.2206254328271</v>
      </c>
      <c r="R1339">
        <f t="shared" si="466"/>
        <v>0</v>
      </c>
      <c r="S1339">
        <f t="shared" si="467"/>
        <v>0.74313404167057451</v>
      </c>
      <c r="T1339">
        <f t="shared" si="468"/>
        <v>1674.0290504980717</v>
      </c>
      <c r="U1339">
        <f t="shared" si="469"/>
        <v>0</v>
      </c>
      <c r="V1339">
        <f t="shared" si="470"/>
        <v>0.44499515959515207</v>
      </c>
      <c r="W1339">
        <f t="shared" si="471"/>
        <v>1080.2011778551746</v>
      </c>
      <c r="X1339">
        <f t="shared" si="472"/>
        <v>0</v>
      </c>
      <c r="Y1339">
        <f t="shared" si="473"/>
        <v>0.33409125683610902</v>
      </c>
      <c r="Z1339">
        <f t="shared" si="474"/>
        <v>6000</v>
      </c>
      <c r="AA1339">
        <f t="shared" si="475"/>
        <v>0</v>
      </c>
      <c r="AB1339">
        <f t="shared" si="476"/>
        <v>6.7000407999999982</v>
      </c>
      <c r="AC1339">
        <f t="shared" si="477"/>
        <v>6000</v>
      </c>
      <c r="AD1339">
        <f t="shared" si="478"/>
        <v>0</v>
      </c>
      <c r="AE1339">
        <f t="shared" si="479"/>
        <v>6.7000407999999982</v>
      </c>
      <c r="AF1339">
        <f t="shared" si="480"/>
        <v>6000</v>
      </c>
      <c r="AG1339">
        <f t="shared" si="481"/>
        <v>0</v>
      </c>
      <c r="AH1339">
        <f t="shared" si="482"/>
        <v>6.7000407999999982</v>
      </c>
      <c r="AI1339" cm="1">
        <f t="array" ref="AI1339">_xlfn.LET(
    _xlpm.vals,   _xlfn.HSTACK(S1339,V1339,Y1339,AB1339,AE1339,AH1339),
    _xlpm.ints,   _xlfn.HSTACK(R1339,U1339,X1339,AA1339,AD1339,AG1339),
    _xlpm.slopes, _xlfn.HSTACK(Q1339,T1339,W1339,Z1339,AC1339,AF1339),
    _xlpm.limit,  -0.00001*_xlpm.slopes + 0.1086*_xlpm.slopes + 63.253,
    _xlpm.mask,   (_xlpm.vals&gt;=0) * (_xlpm.ints&lt;=_xlpm.limit),
    _xlpm.validVals, _xlfn._xlws.FILTER(_xlpm.vals, _xlpm.mask),
    _xlpm.minVal, MIN(_xlpm.validVals),
    IFERROR( _xlfn.XMATCH(_xlpm.minVal, _xlpm.vals), "" )
)</f>
        <v>3</v>
      </c>
      <c r="AJ1339" cm="1">
        <f t="array" ref="AJ1339">_xlfn.LET(
    _xlpm.vals, CHOOSE({1,2,3,4,5,6}, S1339, V1339, Y1339, AB1339, AE1339, AH1339),
    _xlpm.slopes, CHOOSE({1,2,3,4,5,6}, Q1339, T1339, W1339, Z1339, AC1339, AF1339),
    _xlpm.ints, CHOOSE({1,2,3,4,5,6}, R1339, U1339, X1339, AA1339, AD1339, AG1339),
    _xlpm.limit, -0.00001*_xlpm.slopes + 0.1086*_xlpm.slopes + 63.253,
    _xlpm.valid, (_xlpm.vals &gt;= 0) * (_xlpm.ints &lt;= _xlpm.limit),
    _xlpm.target, MIN(_xlfn._xlws.FILTER(_xlpm.vals, _xlpm.valid)),
    IFERROR(
        _xlfn.XLOOKUP(_xlpm.target, _xlpm.vals, _xlpm.vals),
        CHOOSE({1,2,3,4,5,6}, S$1, V$1, Y$1, AB$1, AE$1, AH$1)
    )
)</f>
        <v>0.33409125683610902</v>
      </c>
    </row>
    <row r="1340" spans="9:36" x14ac:dyDescent="0.45">
      <c r="I1340">
        <v>1338</v>
      </c>
      <c r="J1340">
        <v>11.3</v>
      </c>
      <c r="K1340">
        <f t="shared" si="461"/>
        <v>11.3</v>
      </c>
      <c r="L1340">
        <f t="shared" si="460"/>
        <v>3.138888888888889E-3</v>
      </c>
      <c r="M1340">
        <v>0.43</v>
      </c>
      <c r="N1340">
        <f t="shared" si="462"/>
        <v>0.43</v>
      </c>
      <c r="O1340">
        <f t="shared" si="463"/>
        <v>146.84556549511419</v>
      </c>
      <c r="P1340">
        <f t="shared" si="464"/>
        <v>469.90580958436544</v>
      </c>
      <c r="Q1340">
        <f t="shared" si="465"/>
        <v>2152.168607896394</v>
      </c>
      <c r="R1340">
        <f t="shared" si="466"/>
        <v>1.9079348693708729</v>
      </c>
      <c r="S1340">
        <f t="shared" si="467"/>
        <v>0.59327226184307824</v>
      </c>
      <c r="T1340">
        <f t="shared" si="468"/>
        <v>1390.9211963697217</v>
      </c>
      <c r="U1340">
        <f t="shared" si="469"/>
        <v>2.9521424667968241</v>
      </c>
      <c r="V1340">
        <f t="shared" si="470"/>
        <v>0.41378276783782464</v>
      </c>
      <c r="W1340">
        <f t="shared" si="471"/>
        <v>6000</v>
      </c>
      <c r="X1340">
        <f t="shared" si="472"/>
        <v>0.68436625529514994</v>
      </c>
      <c r="Y1340">
        <f t="shared" si="473"/>
        <v>6.7042175271462616</v>
      </c>
      <c r="Z1340">
        <f t="shared" si="474"/>
        <v>6000</v>
      </c>
      <c r="AA1340">
        <f t="shared" si="475"/>
        <v>0.68436625529514994</v>
      </c>
      <c r="AB1340">
        <f t="shared" si="476"/>
        <v>6.7042175271462616</v>
      </c>
      <c r="AC1340">
        <f t="shared" si="477"/>
        <v>6000</v>
      </c>
      <c r="AD1340">
        <f t="shared" si="478"/>
        <v>0.68436625529514994</v>
      </c>
      <c r="AE1340">
        <f t="shared" si="479"/>
        <v>6.7042175271462616</v>
      </c>
      <c r="AF1340">
        <f t="shared" si="480"/>
        <v>6000</v>
      </c>
      <c r="AG1340">
        <f t="shared" si="481"/>
        <v>0.68436625529514994</v>
      </c>
      <c r="AH1340">
        <f t="shared" si="482"/>
        <v>6.7042175271462616</v>
      </c>
      <c r="AI1340" cm="1">
        <f t="array" ref="AI1340">_xlfn.LET(
    _xlpm.vals,   _xlfn.HSTACK(S1340,V1340,Y1340,AB1340,AE1340,AH1340),
    _xlpm.ints,   _xlfn.HSTACK(R1340,U1340,X1340,AA1340,AD1340,AG1340),
    _xlpm.slopes, _xlfn.HSTACK(Q1340,T1340,W1340,Z1340,AC1340,AF1340),
    _xlpm.limit,  -0.00001*_xlpm.slopes + 0.1086*_xlpm.slopes + 63.253,
    _xlpm.mask,   (_xlpm.vals&gt;=0) * (_xlpm.ints&lt;=_xlpm.limit),
    _xlpm.validVals, _xlfn._xlws.FILTER(_xlpm.vals, _xlpm.mask),
    _xlpm.minVal, MIN(_xlpm.validVals),
    IFERROR( _xlfn.XMATCH(_xlpm.minVal, _xlpm.vals), "" )
)</f>
        <v>2</v>
      </c>
      <c r="AJ1340" cm="1">
        <f t="array" ref="AJ1340">_xlfn.LET(
    _xlpm.vals, CHOOSE({1,2,3,4,5,6}, S1340, V1340, Y1340, AB1340, AE1340, AH1340),
    _xlpm.slopes, CHOOSE({1,2,3,4,5,6}, Q1340, T1340, W1340, Z1340, AC1340, AF1340),
    _xlpm.ints, CHOOSE({1,2,3,4,5,6}, R1340, U1340, X1340, AA1340, AD1340, AG1340),
    _xlpm.limit, -0.00001*_xlpm.slopes + 0.1086*_xlpm.slopes + 63.253,
    _xlpm.valid, (_xlpm.vals &gt;= 0) * (_xlpm.ints &lt;= _xlpm.limit),
    _xlpm.target, MIN(_xlfn._xlws.FILTER(_xlpm.vals, _xlpm.valid)),
    IFERROR(
        _xlfn.XLOOKUP(_xlpm.target, _xlpm.vals, _xlpm.vals),
        CHOOSE({1,2,3,4,5,6}, S$1, V$1, Y$1, AB$1, AE$1, AH$1)
    )
)</f>
        <v>0.41378276783782464</v>
      </c>
    </row>
    <row r="1341" spans="9:36" x14ac:dyDescent="0.45">
      <c r="I1341">
        <v>1339</v>
      </c>
      <c r="J1341">
        <v>8.6</v>
      </c>
      <c r="K1341">
        <f t="shared" si="461"/>
        <v>8.6</v>
      </c>
      <c r="L1341">
        <f t="shared" si="460"/>
        <v>2.3888888888888887E-3</v>
      </c>
      <c r="M1341">
        <v>0.31</v>
      </c>
      <c r="N1341">
        <f t="shared" si="462"/>
        <v>0.31</v>
      </c>
      <c r="O1341">
        <f t="shared" si="463"/>
        <v>111.75857196973291</v>
      </c>
      <c r="P1341">
        <f t="shared" si="464"/>
        <v>357.62743030314533</v>
      </c>
      <c r="Q1341">
        <f t="shared" si="465"/>
        <v>1637.9336307884057</v>
      </c>
      <c r="R1341">
        <f t="shared" si="466"/>
        <v>1.8073271626301159</v>
      </c>
      <c r="S1341">
        <f t="shared" si="467"/>
        <v>0.45471563927534636</v>
      </c>
      <c r="T1341">
        <f t="shared" si="468"/>
        <v>1058.5771936973101</v>
      </c>
      <c r="U1341">
        <f t="shared" si="469"/>
        <v>2.7964724340695715</v>
      </c>
      <c r="V1341">
        <f t="shared" si="470"/>
        <v>0.34779846550400423</v>
      </c>
      <c r="W1341">
        <f t="shared" si="471"/>
        <v>6000</v>
      </c>
      <c r="X1341">
        <f t="shared" si="472"/>
        <v>0.49338032358487555</v>
      </c>
      <c r="Y1341">
        <f t="shared" si="473"/>
        <v>6.7030362007078299</v>
      </c>
      <c r="Z1341">
        <f t="shared" si="474"/>
        <v>6000</v>
      </c>
      <c r="AA1341">
        <f t="shared" si="475"/>
        <v>0.49338032358487555</v>
      </c>
      <c r="AB1341">
        <f t="shared" si="476"/>
        <v>6.7030362007078299</v>
      </c>
      <c r="AC1341">
        <f t="shared" si="477"/>
        <v>6000</v>
      </c>
      <c r="AD1341">
        <f t="shared" si="478"/>
        <v>0.49338032358487555</v>
      </c>
      <c r="AE1341">
        <f t="shared" si="479"/>
        <v>6.7030362007078299</v>
      </c>
      <c r="AF1341">
        <f t="shared" si="480"/>
        <v>6000</v>
      </c>
      <c r="AG1341">
        <f t="shared" si="481"/>
        <v>0.49338032358487555</v>
      </c>
      <c r="AH1341">
        <f t="shared" si="482"/>
        <v>6.7030362007078299</v>
      </c>
      <c r="AI1341" cm="1">
        <f t="array" ref="AI1341">_xlfn.LET(
    _xlpm.vals,   _xlfn.HSTACK(S1341,V1341,Y1341,AB1341,AE1341,AH1341),
    _xlpm.ints,   _xlfn.HSTACK(R1341,U1341,X1341,AA1341,AD1341,AG1341),
    _xlpm.slopes, _xlfn.HSTACK(Q1341,T1341,W1341,Z1341,AC1341,AF1341),
    _xlpm.limit,  -0.00001*_xlpm.slopes + 0.1086*_xlpm.slopes + 63.253,
    _xlpm.mask,   (_xlpm.vals&gt;=0) * (_xlpm.ints&lt;=_xlpm.limit),
    _xlpm.validVals, _xlfn._xlws.FILTER(_xlpm.vals, _xlpm.mask),
    _xlpm.minVal, MIN(_xlpm.validVals),
    IFERROR( _xlfn.XMATCH(_xlpm.minVal, _xlpm.vals), "" )
)</f>
        <v>2</v>
      </c>
      <c r="AJ1341" cm="1">
        <f t="array" ref="AJ1341">_xlfn.LET(
    _xlpm.vals, CHOOSE({1,2,3,4,5,6}, S1341, V1341, Y1341, AB1341, AE1341, AH1341),
    _xlpm.slopes, CHOOSE({1,2,3,4,5,6}, Q1341, T1341, W1341, Z1341, AC1341, AF1341),
    _xlpm.ints, CHOOSE({1,2,3,4,5,6}, R1341, U1341, X1341, AA1341, AD1341, AG1341),
    _xlpm.limit, -0.00001*_xlpm.slopes + 0.1086*_xlpm.slopes + 63.253,
    _xlpm.valid, (_xlpm.vals &gt;= 0) * (_xlpm.ints &lt;= _xlpm.limit),
    _xlpm.target, MIN(_xlfn._xlws.FILTER(_xlpm.vals, _xlpm.valid)),
    IFERROR(
        _xlfn.XLOOKUP(_xlpm.target, _xlpm.vals, _xlpm.vals),
        CHOOSE({1,2,3,4,5,6}, S$1, V$1, Y$1, AB$1, AE$1, AH$1)
    )
)</f>
        <v>0.34779846550400423</v>
      </c>
    </row>
    <row r="1342" spans="9:36" x14ac:dyDescent="0.45">
      <c r="I1342">
        <v>1340</v>
      </c>
      <c r="J1342">
        <v>5.3</v>
      </c>
      <c r="K1342">
        <f t="shared" si="461"/>
        <v>5.3</v>
      </c>
      <c r="L1342">
        <f t="shared" si="460"/>
        <v>1.4722222222222222E-3</v>
      </c>
      <c r="M1342">
        <v>0.83</v>
      </c>
      <c r="N1342">
        <f t="shared" si="462"/>
        <v>0.83</v>
      </c>
      <c r="O1342">
        <f t="shared" si="463"/>
        <v>68.874468772044693</v>
      </c>
      <c r="P1342">
        <f t="shared" si="464"/>
        <v>220.39830007054303</v>
      </c>
      <c r="Q1342">
        <f t="shared" si="465"/>
        <v>1009.4242143230871</v>
      </c>
      <c r="R1342">
        <f t="shared" si="466"/>
        <v>7.851918007823353</v>
      </c>
      <c r="S1342">
        <f t="shared" si="467"/>
        <v>0.37061538063886085</v>
      </c>
      <c r="T1342">
        <f t="shared" si="468"/>
        <v>6000</v>
      </c>
      <c r="U1342">
        <f t="shared" si="469"/>
        <v>1.3209860276627314</v>
      </c>
      <c r="V1342">
        <f t="shared" si="470"/>
        <v>6.7082429823185636</v>
      </c>
      <c r="W1342">
        <f t="shared" si="471"/>
        <v>6000</v>
      </c>
      <c r="X1342">
        <f t="shared" si="472"/>
        <v>1.3209860276627314</v>
      </c>
      <c r="Y1342">
        <f t="shared" si="473"/>
        <v>6.7082429823185636</v>
      </c>
      <c r="Z1342">
        <f t="shared" si="474"/>
        <v>6000</v>
      </c>
      <c r="AA1342">
        <f t="shared" si="475"/>
        <v>1.3209860276627314</v>
      </c>
      <c r="AB1342">
        <f t="shared" si="476"/>
        <v>6.7082429823185636</v>
      </c>
      <c r="AC1342">
        <f t="shared" si="477"/>
        <v>6000</v>
      </c>
      <c r="AD1342">
        <f t="shared" si="478"/>
        <v>1.3209860276627314</v>
      </c>
      <c r="AE1342">
        <f t="shared" si="479"/>
        <v>6.7082429823185636</v>
      </c>
      <c r="AF1342">
        <f t="shared" si="480"/>
        <v>6000</v>
      </c>
      <c r="AG1342">
        <f t="shared" si="481"/>
        <v>1.3209860276627314</v>
      </c>
      <c r="AH1342">
        <f t="shared" si="482"/>
        <v>6.7082429823185636</v>
      </c>
      <c r="AI1342" cm="1">
        <f t="array" ref="AI1342">_xlfn.LET(
    _xlpm.vals,   _xlfn.HSTACK(S1342,V1342,Y1342,AB1342,AE1342,AH1342),
    _xlpm.ints,   _xlfn.HSTACK(R1342,U1342,X1342,AA1342,AD1342,AG1342),
    _xlpm.slopes, _xlfn.HSTACK(Q1342,T1342,W1342,Z1342,AC1342,AF1342),
    _xlpm.limit,  -0.00001*_xlpm.slopes + 0.1086*_xlpm.slopes + 63.253,
    _xlpm.mask,   (_xlpm.vals&gt;=0) * (_xlpm.ints&lt;=_xlpm.limit),
    _xlpm.validVals, _xlfn._xlws.FILTER(_xlpm.vals, _xlpm.mask),
    _xlpm.minVal, MIN(_xlpm.validVals),
    IFERROR( _xlfn.XMATCH(_xlpm.minVal, _xlpm.vals), "" )
)</f>
        <v>1</v>
      </c>
      <c r="AJ1342" cm="1">
        <f t="array" ref="AJ1342">_xlfn.LET(
    _xlpm.vals, CHOOSE({1,2,3,4,5,6}, S1342, V1342, Y1342, AB1342, AE1342, AH1342),
    _xlpm.slopes, CHOOSE({1,2,3,4,5,6}, Q1342, T1342, W1342, Z1342, AC1342, AF1342),
    _xlpm.ints, CHOOSE({1,2,3,4,5,6}, R1342, U1342, X1342, AA1342, AD1342, AG1342),
    _xlpm.limit, -0.00001*_xlpm.slopes + 0.1086*_xlpm.slopes + 63.253,
    _xlpm.valid, (_xlpm.vals &gt;= 0) * (_xlpm.ints &lt;= _xlpm.limit),
    _xlpm.target, MIN(_xlfn._xlws.FILTER(_xlpm.vals, _xlpm.valid)),
    IFERROR(
        _xlfn.XLOOKUP(_xlpm.target, _xlpm.vals, _xlpm.vals),
        CHOOSE({1,2,3,4,5,6}, S$1, V$1, Y$1, AB$1, AE$1, AH$1)
    )
)</f>
        <v>0.37061538063886085</v>
      </c>
    </row>
    <row r="1343" spans="9:36" x14ac:dyDescent="0.45">
      <c r="I1343">
        <v>1341</v>
      </c>
      <c r="J1343">
        <v>2.2999999999999998</v>
      </c>
      <c r="K1343">
        <f t="shared" si="461"/>
        <v>2.2999999999999998</v>
      </c>
      <c r="L1343">
        <f t="shared" si="460"/>
        <v>6.3888888888888882E-4</v>
      </c>
      <c r="M1343">
        <v>1.1100000000000001</v>
      </c>
      <c r="N1343">
        <f t="shared" si="462"/>
        <v>1.1100000000000001</v>
      </c>
      <c r="O1343">
        <f t="shared" si="463"/>
        <v>29.888920410509964</v>
      </c>
      <c r="P1343">
        <f t="shared" si="464"/>
        <v>95.644545313631895</v>
      </c>
      <c r="Q1343">
        <f t="shared" si="465"/>
        <v>1000</v>
      </c>
      <c r="R1343">
        <f t="shared" si="466"/>
        <v>10.599719209920231</v>
      </c>
      <c r="S1343">
        <f t="shared" si="467"/>
        <v>0.38712173352138263</v>
      </c>
      <c r="T1343">
        <f t="shared" si="468"/>
        <v>6000</v>
      </c>
      <c r="U1343">
        <f t="shared" si="469"/>
        <v>1.7666198683200383</v>
      </c>
      <c r="V1343">
        <f t="shared" si="470"/>
        <v>6.7111408669545369</v>
      </c>
      <c r="W1343">
        <f t="shared" si="471"/>
        <v>6000</v>
      </c>
      <c r="X1343">
        <f t="shared" si="472"/>
        <v>1.7666198683200383</v>
      </c>
      <c r="Y1343">
        <f t="shared" si="473"/>
        <v>6.7111408669545369</v>
      </c>
      <c r="Z1343">
        <f t="shared" si="474"/>
        <v>6000</v>
      </c>
      <c r="AA1343">
        <f t="shared" si="475"/>
        <v>1.7666198683200383</v>
      </c>
      <c r="AB1343">
        <f t="shared" si="476"/>
        <v>6.7111408669545369</v>
      </c>
      <c r="AC1343">
        <f t="shared" si="477"/>
        <v>6000</v>
      </c>
      <c r="AD1343">
        <f t="shared" si="478"/>
        <v>1.7666198683200383</v>
      </c>
      <c r="AE1343">
        <f t="shared" si="479"/>
        <v>6.7111408669545369</v>
      </c>
      <c r="AF1343">
        <f t="shared" si="480"/>
        <v>6000</v>
      </c>
      <c r="AG1343">
        <f t="shared" si="481"/>
        <v>1.7666198683200383</v>
      </c>
      <c r="AH1343">
        <f t="shared" si="482"/>
        <v>6.7111408669545369</v>
      </c>
      <c r="AI1343" cm="1">
        <f t="array" ref="AI1343">_xlfn.LET(
    _xlpm.vals,   _xlfn.HSTACK(S1343,V1343,Y1343,AB1343,AE1343,AH1343),
    _xlpm.ints,   _xlfn.HSTACK(R1343,U1343,X1343,AA1343,AD1343,AG1343),
    _xlpm.slopes, _xlfn.HSTACK(Q1343,T1343,W1343,Z1343,AC1343,AF1343),
    _xlpm.limit,  -0.00001*_xlpm.slopes + 0.1086*_xlpm.slopes + 63.253,
    _xlpm.mask,   (_xlpm.vals&gt;=0) * (_xlpm.ints&lt;=_xlpm.limit),
    _xlpm.validVals, _xlfn._xlws.FILTER(_xlpm.vals, _xlpm.mask),
    _xlpm.minVal, MIN(_xlpm.validVals),
    IFERROR( _xlfn.XMATCH(_xlpm.minVal, _xlpm.vals), "" )
)</f>
        <v>1</v>
      </c>
      <c r="AJ1343" cm="1">
        <f t="array" ref="AJ1343">_xlfn.LET(
    _xlpm.vals, CHOOSE({1,2,3,4,5,6}, S1343, V1343, Y1343, AB1343, AE1343, AH1343),
    _xlpm.slopes, CHOOSE({1,2,3,4,5,6}, Q1343, T1343, W1343, Z1343, AC1343, AF1343),
    _xlpm.ints, CHOOSE({1,2,3,4,5,6}, R1343, U1343, X1343, AA1343, AD1343, AG1343),
    _xlpm.limit, -0.00001*_xlpm.slopes + 0.1086*_xlpm.slopes + 63.253,
    _xlpm.valid, (_xlpm.vals &gt;= 0) * (_xlpm.ints &lt;= _xlpm.limit),
    _xlpm.target, MIN(_xlfn._xlws.FILTER(_xlpm.vals, _xlpm.valid)),
    IFERROR(
        _xlfn.XLOOKUP(_xlpm.target, _xlpm.vals, _xlpm.vals),
        CHOOSE({1,2,3,4,5,6}, S$1, V$1, Y$1, AB$1, AE$1, AH$1)
    )
)</f>
        <v>0.38712173352138263</v>
      </c>
    </row>
    <row r="1344" spans="9:36" x14ac:dyDescent="0.45">
      <c r="I1344">
        <v>1342</v>
      </c>
      <c r="J1344">
        <v>0</v>
      </c>
      <c r="K1344">
        <f t="shared" si="461"/>
        <v>0</v>
      </c>
      <c r="L1344">
        <f t="shared" si="460"/>
        <v>0</v>
      </c>
      <c r="M1344">
        <v>0.86</v>
      </c>
      <c r="N1344">
        <f t="shared" si="462"/>
        <v>0.86</v>
      </c>
      <c r="O1344">
        <f t="shared" si="463"/>
        <v>0</v>
      </c>
      <c r="P1344">
        <f t="shared" si="464"/>
        <v>0</v>
      </c>
      <c r="Q1344">
        <f t="shared" si="465"/>
        <v>1000</v>
      </c>
      <c r="R1344">
        <f t="shared" si="466"/>
        <v>8.2123950635418002</v>
      </c>
      <c r="S1344">
        <f t="shared" si="467"/>
        <v>0.37082998533300382</v>
      </c>
      <c r="T1344">
        <f t="shared" si="468"/>
        <v>6000</v>
      </c>
      <c r="U1344">
        <f t="shared" si="469"/>
        <v>1.3687325105902999</v>
      </c>
      <c r="V1344">
        <f t="shared" si="470"/>
        <v>6.7085503206188601</v>
      </c>
      <c r="W1344">
        <f t="shared" si="471"/>
        <v>6000</v>
      </c>
      <c r="X1344">
        <f t="shared" si="472"/>
        <v>1.3687325105902999</v>
      </c>
      <c r="Y1344">
        <f t="shared" si="473"/>
        <v>6.7085503206188601</v>
      </c>
      <c r="Z1344">
        <f t="shared" si="474"/>
        <v>6000</v>
      </c>
      <c r="AA1344">
        <f t="shared" si="475"/>
        <v>1.3687325105902999</v>
      </c>
      <c r="AB1344">
        <f t="shared" si="476"/>
        <v>6.7085503206188601</v>
      </c>
      <c r="AC1344">
        <f t="shared" si="477"/>
        <v>6000</v>
      </c>
      <c r="AD1344">
        <f t="shared" si="478"/>
        <v>1.3687325105902999</v>
      </c>
      <c r="AE1344">
        <f t="shared" si="479"/>
        <v>6.7085503206188601</v>
      </c>
      <c r="AF1344">
        <f t="shared" si="480"/>
        <v>6000</v>
      </c>
      <c r="AG1344">
        <f t="shared" si="481"/>
        <v>1.3687325105902999</v>
      </c>
      <c r="AH1344">
        <f t="shared" si="482"/>
        <v>6.7085503206188601</v>
      </c>
      <c r="AI1344" cm="1">
        <f t="array" ref="AI1344">_xlfn.LET(
    _xlpm.vals,   _xlfn.HSTACK(S1344,V1344,Y1344,AB1344,AE1344,AH1344),
    _xlpm.ints,   _xlfn.HSTACK(R1344,U1344,X1344,AA1344,AD1344,AG1344),
    _xlpm.slopes, _xlfn.HSTACK(Q1344,T1344,W1344,Z1344,AC1344,AF1344),
    _xlpm.limit,  -0.00001*_xlpm.slopes + 0.1086*_xlpm.slopes + 63.253,
    _xlpm.mask,   (_xlpm.vals&gt;=0) * (_xlpm.ints&lt;=_xlpm.limit),
    _xlpm.validVals, _xlfn._xlws.FILTER(_xlpm.vals, _xlpm.mask),
    _xlpm.minVal, MIN(_xlpm.validVals),
    IFERROR( _xlfn.XMATCH(_xlpm.minVal, _xlpm.vals), "" )
)</f>
        <v>1</v>
      </c>
      <c r="AJ1344" cm="1">
        <f t="array" ref="AJ1344">_xlfn.LET(
    _xlpm.vals, CHOOSE({1,2,3,4,5,6}, S1344, V1344, Y1344, AB1344, AE1344, AH1344),
    _xlpm.slopes, CHOOSE({1,2,3,4,5,6}, Q1344, T1344, W1344, Z1344, AC1344, AF1344),
    _xlpm.ints, CHOOSE({1,2,3,4,5,6}, R1344, U1344, X1344, AA1344, AD1344, AG1344),
    _xlpm.limit, -0.00001*_xlpm.slopes + 0.1086*_xlpm.slopes + 63.253,
    _xlpm.valid, (_xlpm.vals &gt;= 0) * (_xlpm.ints &lt;= _xlpm.limit),
    _xlpm.target, MIN(_xlfn._xlws.FILTER(_xlpm.vals, _xlpm.valid)),
    IFERROR(
        _xlfn.XLOOKUP(_xlpm.target, _xlpm.vals, _xlpm.vals),
        CHOOSE({1,2,3,4,5,6}, S$1, V$1, Y$1, AB$1, AE$1, AH$1)
    )
)</f>
        <v>0.37082998533300382</v>
      </c>
    </row>
    <row r="1345" spans="9:36" x14ac:dyDescent="0.45">
      <c r="I1345">
        <v>1343</v>
      </c>
      <c r="J1345">
        <v>0</v>
      </c>
      <c r="K1345">
        <f t="shared" si="461"/>
        <v>0</v>
      </c>
      <c r="L1345">
        <f t="shared" si="460"/>
        <v>0</v>
      </c>
      <c r="M1345">
        <v>1.3</v>
      </c>
      <c r="N1345">
        <f t="shared" si="462"/>
        <v>1.3</v>
      </c>
      <c r="O1345">
        <f t="shared" si="463"/>
        <v>0</v>
      </c>
      <c r="P1345">
        <f t="shared" si="464"/>
        <v>0</v>
      </c>
      <c r="Q1345">
        <f t="shared" si="465"/>
        <v>1000</v>
      </c>
      <c r="R1345">
        <f t="shared" si="466"/>
        <v>12.414085561167838</v>
      </c>
      <c r="S1345">
        <f t="shared" si="467"/>
        <v>0.39992177788055827</v>
      </c>
      <c r="T1345">
        <f t="shared" si="468"/>
        <v>6000</v>
      </c>
      <c r="U1345">
        <f t="shared" si="469"/>
        <v>2.0690142601946393</v>
      </c>
      <c r="V1345">
        <f t="shared" si="470"/>
        <v>6.7131447317152011</v>
      </c>
      <c r="W1345">
        <f t="shared" si="471"/>
        <v>6000</v>
      </c>
      <c r="X1345">
        <f t="shared" si="472"/>
        <v>2.0690142601946393</v>
      </c>
      <c r="Y1345">
        <f t="shared" si="473"/>
        <v>6.7131447317152011</v>
      </c>
      <c r="Z1345">
        <f t="shared" si="474"/>
        <v>6000</v>
      </c>
      <c r="AA1345">
        <f t="shared" si="475"/>
        <v>2.0690142601946393</v>
      </c>
      <c r="AB1345">
        <f t="shared" si="476"/>
        <v>6.7131447317152011</v>
      </c>
      <c r="AC1345">
        <f t="shared" si="477"/>
        <v>6000</v>
      </c>
      <c r="AD1345">
        <f t="shared" si="478"/>
        <v>2.0690142601946393</v>
      </c>
      <c r="AE1345">
        <f t="shared" si="479"/>
        <v>6.7131447317152011</v>
      </c>
      <c r="AF1345">
        <f t="shared" si="480"/>
        <v>6000</v>
      </c>
      <c r="AG1345">
        <f t="shared" si="481"/>
        <v>2.0690142601946393</v>
      </c>
      <c r="AH1345">
        <f t="shared" si="482"/>
        <v>6.7131447317152011</v>
      </c>
      <c r="AI1345" cm="1">
        <f t="array" ref="AI1345">_xlfn.LET(
    _xlpm.vals,   _xlfn.HSTACK(S1345,V1345,Y1345,AB1345,AE1345,AH1345),
    _xlpm.ints,   _xlfn.HSTACK(R1345,U1345,X1345,AA1345,AD1345,AG1345),
    _xlpm.slopes, _xlfn.HSTACK(Q1345,T1345,W1345,Z1345,AC1345,AF1345),
    _xlpm.limit,  -0.00001*_xlpm.slopes + 0.1086*_xlpm.slopes + 63.253,
    _xlpm.mask,   (_xlpm.vals&gt;=0) * (_xlpm.ints&lt;=_xlpm.limit),
    _xlpm.validVals, _xlfn._xlws.FILTER(_xlpm.vals, _xlpm.mask),
    _xlpm.minVal, MIN(_xlpm.validVals),
    IFERROR( _xlfn.XMATCH(_xlpm.minVal, _xlpm.vals), "" )
)</f>
        <v>1</v>
      </c>
      <c r="AJ1345" cm="1">
        <f t="array" ref="AJ1345">_xlfn.LET(
    _xlpm.vals, CHOOSE({1,2,3,4,5,6}, S1345, V1345, Y1345, AB1345, AE1345, AH1345),
    _xlpm.slopes, CHOOSE({1,2,3,4,5,6}, Q1345, T1345, W1345, Z1345, AC1345, AF1345),
    _xlpm.ints, CHOOSE({1,2,3,4,5,6}, R1345, U1345, X1345, AA1345, AD1345, AG1345),
    _xlpm.limit, -0.00001*_xlpm.slopes + 0.1086*_xlpm.slopes + 63.253,
    _xlpm.valid, (_xlpm.vals &gt;= 0) * (_xlpm.ints &lt;= _xlpm.limit),
    _xlpm.target, MIN(_xlfn._xlws.FILTER(_xlpm.vals, _xlpm.valid)),
    IFERROR(
        _xlfn.XLOOKUP(_xlpm.target, _xlpm.vals, _xlpm.vals),
        CHOOSE({1,2,3,4,5,6}, S$1, V$1, Y$1, AB$1, AE$1, AH$1)
    )
)</f>
        <v>0.39992177788055827</v>
      </c>
    </row>
    <row r="1346" spans="9:36" x14ac:dyDescent="0.45">
      <c r="I1346">
        <v>1344</v>
      </c>
      <c r="J1346">
        <v>0</v>
      </c>
      <c r="K1346">
        <f t="shared" si="461"/>
        <v>0</v>
      </c>
      <c r="L1346">
        <f t="shared" ref="L1346:L1409" si="483">K1346*(1/3600)</f>
        <v>0</v>
      </c>
      <c r="M1346">
        <v>1.17</v>
      </c>
      <c r="N1346">
        <f t="shared" si="462"/>
        <v>1.17</v>
      </c>
      <c r="O1346">
        <f t="shared" si="463"/>
        <v>0</v>
      </c>
      <c r="P1346">
        <f t="shared" si="464"/>
        <v>0</v>
      </c>
      <c r="Q1346">
        <f t="shared" si="465"/>
        <v>1000</v>
      </c>
      <c r="R1346">
        <f t="shared" si="466"/>
        <v>11.172677005051053</v>
      </c>
      <c r="S1346">
        <f t="shared" si="467"/>
        <v>0.39112555561049189</v>
      </c>
      <c r="T1346">
        <f t="shared" si="468"/>
        <v>6000</v>
      </c>
      <c r="U1346">
        <f t="shared" si="469"/>
        <v>1.8621128341751756</v>
      </c>
      <c r="V1346">
        <f t="shared" si="470"/>
        <v>6.7117703995699003</v>
      </c>
      <c r="W1346">
        <f t="shared" si="471"/>
        <v>6000</v>
      </c>
      <c r="X1346">
        <f t="shared" si="472"/>
        <v>1.8621128341751756</v>
      </c>
      <c r="Y1346">
        <f t="shared" si="473"/>
        <v>6.7117703995699003</v>
      </c>
      <c r="Z1346">
        <f t="shared" si="474"/>
        <v>6000</v>
      </c>
      <c r="AA1346">
        <f t="shared" si="475"/>
        <v>1.8621128341751756</v>
      </c>
      <c r="AB1346">
        <f t="shared" si="476"/>
        <v>6.7117703995699003</v>
      </c>
      <c r="AC1346">
        <f t="shared" si="477"/>
        <v>6000</v>
      </c>
      <c r="AD1346">
        <f t="shared" si="478"/>
        <v>1.8621128341751756</v>
      </c>
      <c r="AE1346">
        <f t="shared" si="479"/>
        <v>6.7117703995699003</v>
      </c>
      <c r="AF1346">
        <f t="shared" si="480"/>
        <v>6000</v>
      </c>
      <c r="AG1346">
        <f t="shared" si="481"/>
        <v>1.8621128341751756</v>
      </c>
      <c r="AH1346">
        <f t="shared" si="482"/>
        <v>6.7117703995699003</v>
      </c>
      <c r="AI1346" cm="1">
        <f t="array" ref="AI1346">_xlfn.LET(
    _xlpm.vals,   _xlfn.HSTACK(S1346,V1346,Y1346,AB1346,AE1346,AH1346),
    _xlpm.ints,   _xlfn.HSTACK(R1346,U1346,X1346,AA1346,AD1346,AG1346),
    _xlpm.slopes, _xlfn.HSTACK(Q1346,T1346,W1346,Z1346,AC1346,AF1346),
    _xlpm.limit,  -0.00001*_xlpm.slopes + 0.1086*_xlpm.slopes + 63.253,
    _xlpm.mask,   (_xlpm.vals&gt;=0) * (_xlpm.ints&lt;=_xlpm.limit),
    _xlpm.validVals, _xlfn._xlws.FILTER(_xlpm.vals, _xlpm.mask),
    _xlpm.minVal, MIN(_xlpm.validVals),
    IFERROR( _xlfn.XMATCH(_xlpm.minVal, _xlpm.vals), "" )
)</f>
        <v>1</v>
      </c>
      <c r="AJ1346" cm="1">
        <f t="array" ref="AJ1346">_xlfn.LET(
    _xlpm.vals, CHOOSE({1,2,3,4,5,6}, S1346, V1346, Y1346, AB1346, AE1346, AH1346),
    _xlpm.slopes, CHOOSE({1,2,3,4,5,6}, Q1346, T1346, W1346, Z1346, AC1346, AF1346),
    _xlpm.ints, CHOOSE({1,2,3,4,5,6}, R1346, U1346, X1346, AA1346, AD1346, AG1346),
    _xlpm.limit, -0.00001*_xlpm.slopes + 0.1086*_xlpm.slopes + 63.253,
    _xlpm.valid, (_xlpm.vals &gt;= 0) * (_xlpm.ints &lt;= _xlpm.limit),
    _xlpm.target, MIN(_xlfn._xlws.FILTER(_xlpm.vals, _xlpm.valid)),
    IFERROR(
        _xlfn.XLOOKUP(_xlpm.target, _xlpm.vals, _xlpm.vals),
        CHOOSE({1,2,3,4,5,6}, S$1, V$1, Y$1, AB$1, AE$1, AH$1)
    )
)</f>
        <v>0.39112555561049189</v>
      </c>
    </row>
    <row r="1347" spans="9:36" x14ac:dyDescent="0.45">
      <c r="I1347">
        <v>1345</v>
      </c>
      <c r="J1347">
        <v>0</v>
      </c>
      <c r="K1347">
        <f t="shared" ref="K1347:K1349" si="484">IF(J1347&lt;0,0,J1347)</f>
        <v>0</v>
      </c>
      <c r="L1347">
        <f t="shared" si="483"/>
        <v>0</v>
      </c>
      <c r="M1347">
        <v>0.91</v>
      </c>
      <c r="N1347">
        <f t="shared" ref="N1347:N1349" si="485">IF(M1347&lt;0,0,M1347)</f>
        <v>0.91</v>
      </c>
      <c r="O1347">
        <f t="shared" ref="O1347:O1349" si="486">(K1347*0.44704*60)/(PI()*$B$2)</f>
        <v>0</v>
      </c>
      <c r="P1347">
        <f t="shared" ref="P1347:P1349" si="487">O1347*3.2</f>
        <v>0</v>
      </c>
      <c r="Q1347">
        <f t="shared" ref="Q1347:Q1349" si="488">IF(4.58*P1347&lt;1000,1000,4.58*P1347)</f>
        <v>1000</v>
      </c>
      <c r="R1347">
        <f t="shared" ref="R1347:R1349" si="489">(1000*N1347*60)/(Q1347*2*PI())</f>
        <v>8.6898598928174859</v>
      </c>
      <c r="S1347">
        <f t="shared" ref="S1347:S1349" si="490">(0.072946 + (0.000364279 * Q1347) + (-0.00248749 * R1347) + (0.00000951906 * Q1347 * R1347) + (-0.000000165418 * Q1347^2) + (0.000045414 * R1347^2) + (-0.00000000135106 * Q1347^2 * R1347) + (0.0000000203184 * Q1347 * R1347^2) + (0.0000000000481318 * Q1347^3) + (-0.00000034778 * R1347^3))</f>
        <v>0.37403711611222523</v>
      </c>
      <c r="T1347">
        <f t="shared" ref="T1347:T1349" si="491">IF(2.96*P1347&lt;1000,6000,2.96*P1347)</f>
        <v>6000</v>
      </c>
      <c r="U1347">
        <f t="shared" ref="U1347:U1349" si="492">(1000*N1347*60)/(T1347*2*PI())</f>
        <v>1.4483099821362477</v>
      </c>
      <c r="V1347">
        <f t="shared" ref="V1347:V1349" si="493">(0.072946 + (0.000364279 * T1347) + (-0.00248749 * U1347) + (0.00000951906 * T1347 * U1347) + (-0.000000165418 * T1347^2) + (0.000045414 * U1347^2) + (-0.00000000135106 * T1347^2 * U1347) + (0.0000000203184 * T1347 * U1347^2) + (0.0000000000481318 * T1347^3) + (-0.00000034778 * U1347^3))</f>
        <v>6.7090642318886093</v>
      </c>
      <c r="W1347">
        <f t="shared" ref="W1347:W1349" si="494">IF(1.91*P1347&lt;1000,6000,1.91*P1347)</f>
        <v>6000</v>
      </c>
      <c r="X1347">
        <f t="shared" ref="X1347:X1349" si="495">(1000*N1347*60)/(W1347*2*PI())</f>
        <v>1.4483099821362477</v>
      </c>
      <c r="Y1347">
        <f t="shared" ref="Y1347:Y1349" si="496">(0.072946 + (0.000364279 * W1347) + (-0.00248749 * X1347) + (0.00000951906 * W1347 * X1347) + (-0.000000165418 * W1347^2) + (0.000045414 * X1347^2) + (-0.00000000135106 * W1347^2 * X1347) + (0.0000000203184 * W1347 * X1347^2) + (0.0000000000481318 * W1347^3) + (-0.00000034778 * X1347^3))</f>
        <v>6.7090642318886093</v>
      </c>
      <c r="Z1347">
        <f t="shared" ref="Z1347:Z1349" si="497">IF(1.44*P1347&lt;1000,6000,1.44*P1347)</f>
        <v>6000</v>
      </c>
      <c r="AA1347">
        <f t="shared" ref="AA1347:AA1349" si="498">(1000*N1347*60)/(Z1347*2*PI())</f>
        <v>1.4483099821362477</v>
      </c>
      <c r="AB1347">
        <f t="shared" ref="AB1347:AB1349" si="499">(0.072946 + (0.000364279 * Z1347) + (-0.00248749 * AA1347) + (0.00000951906 * Z1347 * AA1347) + (-0.000000165418 * Z1347^2) + (0.000045414 * AA1347^2) + (-0.00000000135106 * Z1347^2 * AA1347) + (0.0000000203184 * Z1347 * AA1347^2) + (0.0000000000481318 * Z1347^3) + (-0.00000034778 * AA1347^3))</f>
        <v>6.7090642318886093</v>
      </c>
      <c r="AC1347">
        <f t="shared" ref="AC1347:AC1349" si="500">IF(0.74*P1347&lt;1000,6000,0.74*P1347)</f>
        <v>6000</v>
      </c>
      <c r="AD1347">
        <f t="shared" ref="AD1347:AD1349" si="501">(1000*N1347*60)/(AC1347*2*PI())</f>
        <v>1.4483099821362477</v>
      </c>
      <c r="AE1347">
        <f t="shared" ref="AE1347:AE1349" si="502">(0.072946 + (0.000364279 * AC1347) + (-0.00248749 * AD1347) + (0.00000951906 * AC1347 * AD1347) + (-0.000000165418 * AC1347^2) + (0.000045414 * AD1347^2) + (-0.00000000135106 * AC1347^2 * AD1347) + (0.0000000203184 * AC1347 * AD1347^2) + (0.0000000000481318 * AC1347^3) + (-0.00000034778 * AD1347^3))</f>
        <v>6.7090642318886093</v>
      </c>
      <c r="AF1347">
        <f t="shared" ref="AF1347:AF1349" si="503">IF(0.68*P1347&lt;1000,6000,0.68*P1347)</f>
        <v>6000</v>
      </c>
      <c r="AG1347">
        <f t="shared" ref="AG1347:AG1349" si="504">(1000*N1347*60)/(AF1347*2*PI())</f>
        <v>1.4483099821362477</v>
      </c>
      <c r="AH1347">
        <f t="shared" ref="AH1347:AH1349" si="505">(0.072946 + (0.000364279 * AF1347) + (-0.00248749 * AG1347) + (0.00000951906 * AF1347 * AG1347) + (-0.000000165418 * AF1347^2) + (0.000045414 * AG1347^2) + (-0.00000000135106 * AF1347^2 * AG1347) + (0.0000000203184 * AF1347 * AG1347^2) + (0.0000000000481318 * AF1347^3) + (-0.00000034778 * AG1347^3))</f>
        <v>6.7090642318886093</v>
      </c>
      <c r="AI1347" cm="1">
        <f t="array" ref="AI1347">_xlfn.LET(
    _xlpm.vals,   _xlfn.HSTACK(S1347,V1347,Y1347,AB1347,AE1347,AH1347),
    _xlpm.ints,   _xlfn.HSTACK(R1347,U1347,X1347,AA1347,AD1347,AG1347),
    _xlpm.slopes, _xlfn.HSTACK(Q1347,T1347,W1347,Z1347,AC1347,AF1347),
    _xlpm.limit,  -0.00001*_xlpm.slopes + 0.1086*_xlpm.slopes + 63.253,
    _xlpm.mask,   (_xlpm.vals&gt;=0) * (_xlpm.ints&lt;=_xlpm.limit),
    _xlpm.validVals, _xlfn._xlws.FILTER(_xlpm.vals, _xlpm.mask),
    _xlpm.minVal, MIN(_xlpm.validVals),
    IFERROR( _xlfn.XMATCH(_xlpm.minVal, _xlpm.vals), "" )
)</f>
        <v>1</v>
      </c>
      <c r="AJ1347" cm="1">
        <f t="array" ref="AJ1347">_xlfn.LET(
    _xlpm.vals, CHOOSE({1,2,3,4,5,6}, S1347, V1347, Y1347, AB1347, AE1347, AH1347),
    _xlpm.slopes, CHOOSE({1,2,3,4,5,6}, Q1347, T1347, W1347, Z1347, AC1347, AF1347),
    _xlpm.ints, CHOOSE({1,2,3,4,5,6}, R1347, U1347, X1347, AA1347, AD1347, AG1347),
    _xlpm.limit, -0.00001*_xlpm.slopes + 0.1086*_xlpm.slopes + 63.253,
    _xlpm.valid, (_xlpm.vals &gt;= 0) * (_xlpm.ints &lt;= _xlpm.limit),
    _xlpm.target, MIN(_xlfn._xlws.FILTER(_xlpm.vals, _xlpm.valid)),
    IFERROR(
        _xlfn.XLOOKUP(_xlpm.target, _xlpm.vals, _xlpm.vals),
        CHOOSE({1,2,3,4,5,6}, S$1, V$1, Y$1, AB$1, AE$1, AH$1)
    )
)</f>
        <v>0.37403711611222523</v>
      </c>
    </row>
    <row r="1348" spans="9:36" x14ac:dyDescent="0.45">
      <c r="I1348">
        <v>1346</v>
      </c>
      <c r="J1348">
        <v>0</v>
      </c>
      <c r="K1348">
        <f t="shared" si="484"/>
        <v>0</v>
      </c>
      <c r="L1348">
        <f t="shared" si="483"/>
        <v>0</v>
      </c>
      <c r="M1348">
        <v>0.66</v>
      </c>
      <c r="N1348">
        <f t="shared" si="485"/>
        <v>0.66</v>
      </c>
      <c r="O1348">
        <f t="shared" si="486"/>
        <v>0</v>
      </c>
      <c r="P1348">
        <f t="shared" si="487"/>
        <v>0</v>
      </c>
      <c r="Q1348">
        <f t="shared" si="488"/>
        <v>1000</v>
      </c>
      <c r="R1348">
        <f t="shared" si="489"/>
        <v>6.3025357464390561</v>
      </c>
      <c r="S1348">
        <f t="shared" si="490"/>
        <v>0.35826437049486692</v>
      </c>
      <c r="T1348">
        <f t="shared" si="491"/>
        <v>6000</v>
      </c>
      <c r="U1348">
        <f t="shared" si="492"/>
        <v>1.0504226244065094</v>
      </c>
      <c r="V1348">
        <f t="shared" si="493"/>
        <v>6.7065156970730264</v>
      </c>
      <c r="W1348">
        <f t="shared" si="494"/>
        <v>6000</v>
      </c>
      <c r="X1348">
        <f t="shared" si="495"/>
        <v>1.0504226244065094</v>
      </c>
      <c r="Y1348">
        <f t="shared" si="496"/>
        <v>6.7065156970730264</v>
      </c>
      <c r="Z1348">
        <f t="shared" si="497"/>
        <v>6000</v>
      </c>
      <c r="AA1348">
        <f t="shared" si="498"/>
        <v>1.0504226244065094</v>
      </c>
      <c r="AB1348">
        <f t="shared" si="499"/>
        <v>6.7065156970730264</v>
      </c>
      <c r="AC1348">
        <f t="shared" si="500"/>
        <v>6000</v>
      </c>
      <c r="AD1348">
        <f t="shared" si="501"/>
        <v>1.0504226244065094</v>
      </c>
      <c r="AE1348">
        <f t="shared" si="502"/>
        <v>6.7065156970730264</v>
      </c>
      <c r="AF1348">
        <f t="shared" si="503"/>
        <v>6000</v>
      </c>
      <c r="AG1348">
        <f t="shared" si="504"/>
        <v>1.0504226244065094</v>
      </c>
      <c r="AH1348">
        <f t="shared" si="505"/>
        <v>6.7065156970730264</v>
      </c>
      <c r="AI1348" cm="1">
        <f t="array" ref="AI1348">_xlfn.LET(
    _xlpm.vals,   _xlfn.HSTACK(S1348,V1348,Y1348,AB1348,AE1348,AH1348),
    _xlpm.ints,   _xlfn.HSTACK(R1348,U1348,X1348,AA1348,AD1348,AG1348),
    _xlpm.slopes, _xlfn.HSTACK(Q1348,T1348,W1348,Z1348,AC1348,AF1348),
    _xlpm.limit,  -0.00001*_xlpm.slopes + 0.1086*_xlpm.slopes + 63.253,
    _xlpm.mask,   (_xlpm.vals&gt;=0) * (_xlpm.ints&lt;=_xlpm.limit),
    _xlpm.validVals, _xlfn._xlws.FILTER(_xlpm.vals, _xlpm.mask),
    _xlpm.minVal, MIN(_xlpm.validVals),
    IFERROR( _xlfn.XMATCH(_xlpm.minVal, _xlpm.vals), "" )
)</f>
        <v>1</v>
      </c>
      <c r="AJ1348" cm="1">
        <f t="array" ref="AJ1348">_xlfn.LET(
    _xlpm.vals, CHOOSE({1,2,3,4,5,6}, S1348, V1348, Y1348, AB1348, AE1348, AH1348),
    _xlpm.slopes, CHOOSE({1,2,3,4,5,6}, Q1348, T1348, W1348, Z1348, AC1348, AF1348),
    _xlpm.ints, CHOOSE({1,2,3,4,5,6}, R1348, U1348, X1348, AA1348, AD1348, AG1348),
    _xlpm.limit, -0.00001*_xlpm.slopes + 0.1086*_xlpm.slopes + 63.253,
    _xlpm.valid, (_xlpm.vals &gt;= 0) * (_xlpm.ints &lt;= _xlpm.limit),
    _xlpm.target, MIN(_xlfn._xlws.FILTER(_xlpm.vals, _xlpm.valid)),
    IFERROR(
        _xlfn.XLOOKUP(_xlpm.target, _xlpm.vals, _xlpm.vals),
        CHOOSE({1,2,3,4,5,6}, S$1, V$1, Y$1, AB$1, AE$1, AH$1)
    )
)</f>
        <v>0.35826437049486692</v>
      </c>
    </row>
    <row r="1349" spans="9:36" x14ac:dyDescent="0.45">
      <c r="I1349">
        <v>1347</v>
      </c>
      <c r="J1349">
        <v>0</v>
      </c>
      <c r="K1349">
        <f t="shared" si="484"/>
        <v>0</v>
      </c>
      <c r="L1349">
        <f t="shared" si="483"/>
        <v>0</v>
      </c>
      <c r="M1349">
        <v>0.91</v>
      </c>
      <c r="N1349">
        <f t="shared" si="485"/>
        <v>0.91</v>
      </c>
      <c r="O1349">
        <f t="shared" si="486"/>
        <v>0</v>
      </c>
      <c r="P1349">
        <f t="shared" si="487"/>
        <v>0</v>
      </c>
      <c r="Q1349">
        <f t="shared" si="488"/>
        <v>1000</v>
      </c>
      <c r="R1349">
        <f t="shared" si="489"/>
        <v>8.6898598928174859</v>
      </c>
      <c r="S1349">
        <f t="shared" si="490"/>
        <v>0.37403711611222523</v>
      </c>
      <c r="T1349">
        <f t="shared" si="491"/>
        <v>6000</v>
      </c>
      <c r="U1349">
        <f t="shared" si="492"/>
        <v>1.4483099821362477</v>
      </c>
      <c r="V1349">
        <f t="shared" si="493"/>
        <v>6.7090642318886093</v>
      </c>
      <c r="W1349">
        <f t="shared" si="494"/>
        <v>6000</v>
      </c>
      <c r="X1349">
        <f t="shared" si="495"/>
        <v>1.4483099821362477</v>
      </c>
      <c r="Y1349">
        <f t="shared" si="496"/>
        <v>6.7090642318886093</v>
      </c>
      <c r="Z1349">
        <f t="shared" si="497"/>
        <v>6000</v>
      </c>
      <c r="AA1349">
        <f t="shared" si="498"/>
        <v>1.4483099821362477</v>
      </c>
      <c r="AB1349">
        <f t="shared" si="499"/>
        <v>6.7090642318886093</v>
      </c>
      <c r="AC1349">
        <f t="shared" si="500"/>
        <v>6000</v>
      </c>
      <c r="AD1349">
        <f t="shared" si="501"/>
        <v>1.4483099821362477</v>
      </c>
      <c r="AE1349">
        <f t="shared" si="502"/>
        <v>6.7090642318886093</v>
      </c>
      <c r="AF1349">
        <f t="shared" si="503"/>
        <v>6000</v>
      </c>
      <c r="AG1349">
        <f t="shared" si="504"/>
        <v>1.4483099821362477</v>
      </c>
      <c r="AH1349">
        <f t="shared" si="505"/>
        <v>6.7090642318886093</v>
      </c>
      <c r="AI1349" cm="1">
        <f t="array" ref="AI1349">_xlfn.LET(
    _xlpm.vals,   _xlfn.HSTACK(S1349,V1349,Y1349,AB1349,AE1349,AH1349),
    _xlpm.ints,   _xlfn.HSTACK(R1349,U1349,X1349,AA1349,AD1349,AG1349),
    _xlpm.slopes, _xlfn.HSTACK(Q1349,T1349,W1349,Z1349,AC1349,AF1349),
    _xlpm.limit,  -0.00001*_xlpm.slopes + 0.1086*_xlpm.slopes + 63.253,
    _xlpm.mask,   (_xlpm.vals&gt;=0) * (_xlpm.ints&lt;=_xlpm.limit),
    _xlpm.validVals, _xlfn._xlws.FILTER(_xlpm.vals, _xlpm.mask),
    _xlpm.minVal, MIN(_xlpm.validVals),
    IFERROR( _xlfn.XMATCH(_xlpm.minVal, _xlpm.vals), "" )
)</f>
        <v>1</v>
      </c>
      <c r="AJ1349" cm="1">
        <f t="array" ref="AJ1349">_xlfn.LET(
    _xlpm.vals, CHOOSE({1,2,3,4,5,6}, S1349, V1349, Y1349, AB1349, AE1349, AH1349),
    _xlpm.slopes, CHOOSE({1,2,3,4,5,6}, Q1349, T1349, W1349, Z1349, AC1349, AF1349),
    _xlpm.ints, CHOOSE({1,2,3,4,5,6}, R1349, U1349, X1349, AA1349, AD1349, AG1349),
    _xlpm.limit, -0.00001*_xlpm.slopes + 0.1086*_xlpm.slopes + 63.253,
    _xlpm.valid, (_xlpm.vals &gt;= 0) * (_xlpm.ints &lt;= _xlpm.limit),
    _xlpm.target, MIN(_xlfn._xlws.FILTER(_xlpm.vals, _xlpm.valid)),
    IFERROR(
        _xlfn.XLOOKUP(_xlpm.target, _xlpm.vals, _xlpm.vals),
        CHOOSE({1,2,3,4,5,6}, S$1, V$1, Y$1, AB$1, AE$1, AH$1)
    )
)</f>
        <v>0.37403711611222523</v>
      </c>
    </row>
  </sheetData>
  <mergeCells count="1">
    <mergeCell ref="A57:F72"/>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Backward Fuel Model (Fusion V6)</vt:lpstr>
      <vt:lpstr>Fuel Rate_Gear Selection_MPG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Obakin</dc:creator>
  <cp:lastModifiedBy>David Obakin</cp:lastModifiedBy>
  <dcterms:created xsi:type="dcterms:W3CDTF">2026-02-27T22:09:46Z</dcterms:created>
  <dcterms:modified xsi:type="dcterms:W3CDTF">2026-06-18T17:01:46Z</dcterms:modified>
</cp:coreProperties>
</file>